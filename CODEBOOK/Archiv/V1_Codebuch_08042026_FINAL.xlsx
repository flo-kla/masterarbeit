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iubhfs-my.sharepoint.com/personal/florian_klawun_iu-study_org/Documents/IU Study/Marketing/19_Thesis/Anhang/CODEBOOK/"/>
    </mc:Choice>
  </mc:AlternateContent>
  <xr:revisionPtr revIDLastSave="8162" documentId="13_ncr:1_{C245E2A3-57C9-4A09-94EC-D2BB2DF34E06}" xr6:coauthVersionLast="47" xr6:coauthVersionMax="47" xr10:uidLastSave="{77D69BF7-F226-4FC3-AEC3-E7D51E971F65}"/>
  <bookViews>
    <workbookView xWindow="-105" yWindow="0" windowWidth="29010" windowHeight="15585" firstSheet="9" activeTab="13" xr2:uid="{F9AAA310-B95D-453B-B29F-7BBE9569B71F}"/>
  </bookViews>
  <sheets>
    <sheet name="00_DAX_Master" sheetId="1" r:id="rId1"/>
    <sheet name="01_Document_Log" sheetId="2" r:id="rId2"/>
    <sheet name="02_Values_Codebook" sheetId="3" r:id="rId3"/>
    <sheet name="04_Governance_Codebook" sheetId="5" r:id="rId4"/>
    <sheet name="03_Values_Coding" sheetId="4" r:id="rId5"/>
    <sheet name="05_Governance_Coding" sheetId="6" r:id="rId6"/>
    <sheet name="07_Boundary_Cases" sheetId="10" r:id="rId7"/>
    <sheet name="03b_Values_Company_Level" sheetId="9" r:id="rId8"/>
    <sheet name="05b_Governance_Company_Level" sheetId="18" r:id="rId9"/>
    <sheet name="06_Derived_Indices" sheetId="7" r:id="rId10"/>
    <sheet name="07a_Analyse_Jaccard" sheetId="25" r:id="rId11"/>
    <sheet name="07b_Analyse_deskriptiv" sheetId="21" r:id="rId12"/>
    <sheet name="07c_Analyse_Cluster" sheetId="22" r:id="rId13"/>
    <sheet name="07d_Analyse_Zusammenhänge" sheetId="23" r:id="rId14"/>
    <sheet name="07e_Analyse_Sensitivität" sheetId="24" r:id="rId15"/>
    <sheet name="08_Codebook_Changelog" sheetId="11" r:id="rId16"/>
    <sheet name="09_Coding_Memos" sheetId="12" r:id="rId17"/>
    <sheet name="99_Lookups" sheetId="8" r:id="rId18"/>
    <sheet name="30_Values_Coding_PILOT" sheetId="13" r:id="rId19"/>
    <sheet name="31_Values_Coding_RE" sheetId="16" r:id="rId20"/>
    <sheet name="50_Governance_Coding_PILOT" sheetId="14" r:id="rId21"/>
    <sheet name="51_Governance_Coding_RE" sheetId="17" r:id="rId22"/>
    <sheet name="80_Regelkonsolidierung_Pilot" sheetId="15" r:id="rId2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7" l="1"/>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G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E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2" i="7"/>
  <c r="F2" i="18" a="1"/>
  <c r="F2" i="18" s="1"/>
  <c r="F3" i="18" a="1"/>
  <c r="F3" i="18"/>
  <c r="F4" i="18" a="1"/>
  <c r="F4" i="18" s="1"/>
  <c r="F5" i="18" a="1"/>
  <c r="F5" i="18" s="1"/>
  <c r="F6" i="18" a="1"/>
  <c r="F6" i="18" s="1"/>
  <c r="F7" i="18" a="1"/>
  <c r="F7" i="18"/>
  <c r="F8" i="18" a="1"/>
  <c r="F8" i="18" s="1"/>
  <c r="F9" i="18" a="1"/>
  <c r="F9" i="18"/>
  <c r="F10" i="18" a="1"/>
  <c r="F10" i="18" s="1"/>
  <c r="F11" i="18" a="1"/>
  <c r="F11" i="18" s="1"/>
  <c r="F12" i="18" a="1"/>
  <c r="F12" i="18" s="1"/>
  <c r="F13" i="18" a="1"/>
  <c r="F13" i="18" s="1"/>
  <c r="F14" i="18" a="1"/>
  <c r="F14" i="18" s="1"/>
  <c r="F15" i="18" a="1"/>
  <c r="F15" i="18"/>
  <c r="F16" i="18" a="1"/>
  <c r="F16" i="18" s="1"/>
  <c r="F17" i="18" a="1"/>
  <c r="F17" i="18"/>
  <c r="F18" i="18" a="1"/>
  <c r="F18" i="18" s="1"/>
  <c r="F19" i="18" a="1"/>
  <c r="F19" i="18" s="1"/>
  <c r="F20" i="18" a="1"/>
  <c r="F20" i="18" s="1"/>
  <c r="F21" i="18" a="1"/>
  <c r="F21" i="18" s="1"/>
  <c r="F22" i="18" a="1"/>
  <c r="F22" i="18" s="1"/>
  <c r="F23" i="18" a="1"/>
  <c r="F23" i="18" s="1"/>
  <c r="F24" i="18" a="1"/>
  <c r="F24" i="18" s="1"/>
  <c r="F25" i="18" a="1"/>
  <c r="F25" i="18"/>
  <c r="F26" i="18" a="1"/>
  <c r="F26" i="18" s="1"/>
  <c r="F27" i="18" a="1"/>
  <c r="F27" i="18" s="1"/>
  <c r="F28" i="18" a="1"/>
  <c r="F28" i="18" s="1"/>
  <c r="F29" i="18" a="1"/>
  <c r="F29" i="18" s="1"/>
  <c r="F30" i="18" a="1"/>
  <c r="F30" i="18" s="1"/>
  <c r="F31" i="18" a="1"/>
  <c r="F31" i="18" s="1"/>
  <c r="F32" i="18" a="1"/>
  <c r="F32" i="18" s="1"/>
  <c r="F33" i="18" a="1"/>
  <c r="F33" i="18"/>
  <c r="F34" i="18" a="1"/>
  <c r="F34" i="18" s="1"/>
  <c r="F35" i="18" a="1"/>
  <c r="F35" i="18" s="1"/>
  <c r="F36" i="18" a="1"/>
  <c r="F36" i="18" s="1"/>
  <c r="F37" i="18" a="1"/>
  <c r="F37" i="18" s="1"/>
  <c r="F38" i="18" a="1"/>
  <c r="F38" i="18" s="1"/>
  <c r="F39" i="18" a="1"/>
  <c r="F39" i="18" s="1"/>
  <c r="F40" i="18" a="1"/>
  <c r="F40" i="18" s="1"/>
  <c r="F41" i="18" a="1"/>
  <c r="F41" i="18"/>
  <c r="F42" i="18" a="1"/>
  <c r="F42" i="18" s="1"/>
  <c r="F43" i="18" a="1"/>
  <c r="F43" i="18" s="1"/>
  <c r="F44" i="18" a="1"/>
  <c r="F44" i="18" s="1"/>
  <c r="F45" i="18" a="1"/>
  <c r="F45" i="18" s="1"/>
  <c r="F46" i="18" a="1"/>
  <c r="F46" i="18" s="1"/>
  <c r="F47" i="18" a="1"/>
  <c r="F47" i="18" s="1"/>
  <c r="F48" i="18" a="1"/>
  <c r="F48" i="18" s="1"/>
  <c r="F49" i="18" a="1"/>
  <c r="F49" i="18"/>
  <c r="F50" i="18" a="1"/>
  <c r="F50" i="18" s="1"/>
  <c r="F51" i="18" a="1"/>
  <c r="F51" i="18" s="1"/>
  <c r="F52" i="18" a="1"/>
  <c r="F52" i="18" s="1"/>
  <c r="F53" i="18" a="1"/>
  <c r="F53" i="18" s="1"/>
  <c r="F54" i="18" a="1"/>
  <c r="F54" i="18" s="1"/>
  <c r="F55" i="18" a="1"/>
  <c r="F55" i="18" s="1"/>
  <c r="F56" i="18" a="1"/>
  <c r="F56" i="18" s="1"/>
  <c r="F57" i="18" a="1"/>
  <c r="F57" i="18"/>
  <c r="F58" i="18" a="1"/>
  <c r="F58" i="18" s="1"/>
  <c r="F59" i="18" a="1"/>
  <c r="F59" i="18" s="1"/>
  <c r="F60" i="18" a="1"/>
  <c r="F60" i="18" s="1"/>
  <c r="F61" i="18" a="1"/>
  <c r="F61" i="18" s="1"/>
  <c r="F62" i="18" a="1"/>
  <c r="F62" i="18" s="1"/>
  <c r="F63" i="18" a="1"/>
  <c r="F63" i="18" s="1"/>
  <c r="F64" i="18" a="1"/>
  <c r="F64" i="18" s="1"/>
  <c r="F65" i="18" a="1"/>
  <c r="F65" i="18"/>
  <c r="F66" i="18" a="1"/>
  <c r="F66" i="18" s="1"/>
  <c r="F67" i="18" a="1"/>
  <c r="F67" i="18" s="1"/>
  <c r="F68" i="18" a="1"/>
  <c r="F68" i="18" s="1"/>
  <c r="F69" i="18" a="1"/>
  <c r="F69" i="18" s="1"/>
  <c r="F70" i="18" a="1"/>
  <c r="F70" i="18" s="1"/>
  <c r="F71" i="18" a="1"/>
  <c r="F71" i="18" s="1"/>
  <c r="F72" i="18" a="1"/>
  <c r="F72" i="18" s="1"/>
  <c r="F73" i="18" a="1"/>
  <c r="F73" i="18"/>
  <c r="F74" i="18" a="1"/>
  <c r="F74" i="18" s="1"/>
  <c r="F75" i="18" a="1"/>
  <c r="F75" i="18" s="1"/>
  <c r="F76" i="18" a="1"/>
  <c r="F76" i="18" s="1"/>
  <c r="F77" i="18" a="1"/>
  <c r="F77" i="18" s="1"/>
  <c r="F78" i="18" a="1"/>
  <c r="F78" i="18" s="1"/>
  <c r="F79" i="18" a="1"/>
  <c r="F79" i="18" s="1"/>
  <c r="F80" i="18" a="1"/>
  <c r="F80" i="18" s="1"/>
  <c r="F81" i="18" a="1"/>
  <c r="F81" i="18"/>
  <c r="F82" i="18" a="1"/>
  <c r="F82" i="18" s="1"/>
  <c r="F83" i="18" a="1"/>
  <c r="F83" i="18" s="1"/>
  <c r="F84" i="18" a="1"/>
  <c r="F84" i="18" s="1"/>
  <c r="F85" i="18" a="1"/>
  <c r="F85" i="18" s="1"/>
  <c r="F86" i="18" a="1"/>
  <c r="F86" i="18" s="1"/>
  <c r="F87" i="18" a="1"/>
  <c r="F87" i="18" s="1"/>
  <c r="F88" i="18" a="1"/>
  <c r="F88" i="18" s="1"/>
  <c r="F89" i="18" a="1"/>
  <c r="F89" i="18"/>
  <c r="F90" i="18" a="1"/>
  <c r="F90" i="18" s="1"/>
  <c r="F91" i="18" a="1"/>
  <c r="F91" i="18" s="1"/>
  <c r="F92" i="18" a="1"/>
  <c r="F92" i="18" s="1"/>
  <c r="F93" i="18" a="1"/>
  <c r="F93" i="18" s="1"/>
  <c r="F94" i="18" a="1"/>
  <c r="F94" i="18" s="1"/>
  <c r="F95" i="18" a="1"/>
  <c r="F95" i="18" s="1"/>
  <c r="F96" i="18" a="1"/>
  <c r="F96" i="18" s="1"/>
  <c r="F97" i="18" a="1"/>
  <c r="F97" i="18"/>
  <c r="F98" i="18" a="1"/>
  <c r="F98" i="18" s="1"/>
  <c r="F99" i="18" a="1"/>
  <c r="F99" i="18" s="1"/>
  <c r="F100" i="18" a="1"/>
  <c r="F100" i="18" s="1"/>
  <c r="F101" i="18" a="1"/>
  <c r="F101" i="18" s="1"/>
  <c r="F102" i="18" a="1"/>
  <c r="F102" i="18" s="1"/>
  <c r="F103" i="18" a="1"/>
  <c r="F103" i="18" s="1"/>
  <c r="F104" i="18" a="1"/>
  <c r="F104" i="18" s="1"/>
  <c r="F105" i="18" a="1"/>
  <c r="F105" i="18"/>
  <c r="F106" i="18" a="1"/>
  <c r="F106" i="18" s="1"/>
  <c r="F107" i="18" a="1"/>
  <c r="F107" i="18" s="1"/>
  <c r="F108" i="18" a="1"/>
  <c r="F108" i="18" s="1"/>
  <c r="F109" i="18" a="1"/>
  <c r="F109" i="18" s="1"/>
  <c r="F110" i="18" a="1"/>
  <c r="F110" i="18" s="1"/>
  <c r="F111" i="18" a="1"/>
  <c r="F111" i="18" s="1"/>
  <c r="F112" i="18" a="1"/>
  <c r="F112" i="18" s="1"/>
  <c r="F113" i="18" a="1"/>
  <c r="F113" i="18"/>
  <c r="F114" i="18" a="1"/>
  <c r="F114" i="18" s="1"/>
  <c r="F115" i="18" a="1"/>
  <c r="F115" i="18" s="1"/>
  <c r="F116" i="18" a="1"/>
  <c r="F116" i="18" s="1"/>
  <c r="F117" i="18" a="1"/>
  <c r="F117" i="18" s="1"/>
  <c r="F118" i="18" a="1"/>
  <c r="F118" i="18" s="1"/>
  <c r="F119" i="18" a="1"/>
  <c r="F119" i="18" s="1"/>
  <c r="F120" i="18" a="1"/>
  <c r="F120" i="18" s="1"/>
  <c r="F121" i="18" a="1"/>
  <c r="F121" i="18"/>
  <c r="F122" i="18" a="1"/>
  <c r="F122" i="18" s="1"/>
  <c r="F123" i="18" a="1"/>
  <c r="F123" i="18" s="1"/>
  <c r="F124" i="18" a="1"/>
  <c r="F124" i="18" s="1"/>
  <c r="F125" i="18" a="1"/>
  <c r="F125" i="18" s="1"/>
  <c r="F126" i="18" a="1"/>
  <c r="F126" i="18" s="1"/>
  <c r="F127" i="18" a="1"/>
  <c r="F127" i="18" s="1"/>
  <c r="F128" i="18" a="1"/>
  <c r="F128" i="18" s="1"/>
  <c r="F129" i="18" a="1"/>
  <c r="F129" i="18"/>
  <c r="F130" i="18" a="1"/>
  <c r="F130" i="18" s="1"/>
  <c r="F131" i="18" a="1"/>
  <c r="F131" i="18" s="1"/>
  <c r="F132" i="18" a="1"/>
  <c r="F132" i="18" s="1"/>
  <c r="F133" i="18" a="1"/>
  <c r="F133" i="18" s="1"/>
  <c r="F134" i="18" a="1"/>
  <c r="F134" i="18" s="1"/>
  <c r="F135" i="18" a="1"/>
  <c r="F135" i="18" s="1"/>
  <c r="F136" i="18" a="1"/>
  <c r="F136" i="18" s="1"/>
  <c r="F137" i="18" a="1"/>
  <c r="F137" i="18"/>
  <c r="F138" i="18" a="1"/>
  <c r="F138" i="18" s="1"/>
  <c r="F139" i="18" a="1"/>
  <c r="F139" i="18" s="1"/>
  <c r="F140" i="18" a="1"/>
  <c r="F140" i="18" s="1"/>
  <c r="F141" i="18" a="1"/>
  <c r="F141" i="18" s="1"/>
  <c r="F142" i="18" a="1"/>
  <c r="F142" i="18" s="1"/>
  <c r="F143" i="18" a="1"/>
  <c r="F143" i="18" s="1"/>
  <c r="F144" i="18" a="1"/>
  <c r="F144" i="18" s="1"/>
  <c r="F145" i="18" a="1"/>
  <c r="F145" i="18"/>
  <c r="F146" i="18" a="1"/>
  <c r="F146" i="18" s="1"/>
  <c r="F147" i="18" a="1"/>
  <c r="F147" i="18" s="1"/>
  <c r="F148" i="18" a="1"/>
  <c r="F148" i="18" s="1"/>
  <c r="F149" i="18" a="1"/>
  <c r="F149" i="18" s="1"/>
  <c r="F150" i="18" a="1"/>
  <c r="F150" i="18" s="1"/>
  <c r="F151" i="18" a="1"/>
  <c r="F151" i="18" s="1"/>
  <c r="F152" i="18" a="1"/>
  <c r="F152" i="18" s="1"/>
  <c r="F153" i="18" a="1"/>
  <c r="F153" i="18"/>
  <c r="F154" i="18" a="1"/>
  <c r="F154" i="18" s="1"/>
  <c r="F155" i="18" a="1"/>
  <c r="F155" i="18" s="1"/>
  <c r="F156" i="18" a="1"/>
  <c r="F156" i="18" s="1"/>
  <c r="F157" i="18" a="1"/>
  <c r="F157" i="18" s="1"/>
  <c r="F158" i="18" a="1"/>
  <c r="F158" i="18" s="1"/>
  <c r="F159" i="18" a="1"/>
  <c r="F159" i="18" s="1"/>
  <c r="F160" i="18" a="1"/>
  <c r="F160" i="18" s="1"/>
  <c r="F161" i="18" a="1"/>
  <c r="F161" i="18"/>
  <c r="F162" i="18" a="1"/>
  <c r="F162" i="18" s="1"/>
  <c r="F163" i="18" a="1"/>
  <c r="F163" i="18" s="1"/>
  <c r="F164" i="18" a="1"/>
  <c r="F164" i="18" s="1"/>
  <c r="F165" i="18" a="1"/>
  <c r="F165" i="18" s="1"/>
  <c r="F166" i="18" a="1"/>
  <c r="F166" i="18" s="1"/>
  <c r="F167" i="18" a="1"/>
  <c r="F167" i="18" s="1"/>
  <c r="F168" i="18" a="1"/>
  <c r="F168" i="18" s="1"/>
  <c r="F169" i="18" a="1"/>
  <c r="F169" i="18"/>
  <c r="F170" i="18" a="1"/>
  <c r="F170" i="18" s="1"/>
  <c r="F171" i="18" a="1"/>
  <c r="F171" i="18" s="1"/>
  <c r="F172" i="18" a="1"/>
  <c r="F172" i="18" s="1"/>
  <c r="F173" i="18" a="1"/>
  <c r="F173" i="18" s="1"/>
  <c r="F174" i="18" a="1"/>
  <c r="F174" i="18" s="1"/>
  <c r="F175" i="18" a="1"/>
  <c r="F175" i="18" s="1"/>
  <c r="F176" i="18" a="1"/>
  <c r="F176" i="18" s="1"/>
  <c r="F177" i="18" a="1"/>
  <c r="F177" i="18"/>
  <c r="F178" i="18" a="1"/>
  <c r="F178" i="18" s="1"/>
  <c r="F179" i="18" a="1"/>
  <c r="F179" i="18" s="1"/>
  <c r="F180" i="18" a="1"/>
  <c r="F180" i="18" s="1"/>
  <c r="F181" i="18" a="1"/>
  <c r="F181" i="18" s="1"/>
  <c r="F182" i="18" a="1"/>
  <c r="F182" i="18" s="1"/>
  <c r="F183" i="18" a="1"/>
  <c r="F183" i="18" s="1"/>
  <c r="F184" i="18" a="1"/>
  <c r="F184" i="18" s="1"/>
  <c r="F185" i="18" a="1"/>
  <c r="F185" i="18"/>
  <c r="F186" i="18" a="1"/>
  <c r="F186" i="18" s="1"/>
  <c r="F187" i="18" a="1"/>
  <c r="F187" i="18" s="1"/>
  <c r="F188" i="18" a="1"/>
  <c r="F188" i="18" s="1"/>
  <c r="F189" i="18" a="1"/>
  <c r="F189" i="18" s="1"/>
  <c r="F190" i="18" a="1"/>
  <c r="F190" i="18" s="1"/>
  <c r="F191" i="18" a="1"/>
  <c r="F191" i="18" s="1"/>
  <c r="F192" i="18" a="1"/>
  <c r="F192" i="18" s="1"/>
  <c r="F193" i="18" a="1"/>
  <c r="F193" i="18"/>
  <c r="F194" i="18" a="1"/>
  <c r="F194" i="18" s="1"/>
  <c r="F195" i="18" a="1"/>
  <c r="F195" i="18" s="1"/>
  <c r="F196" i="18" a="1"/>
  <c r="F196" i="18" s="1"/>
  <c r="F197" i="18" a="1"/>
  <c r="F197" i="18" s="1"/>
  <c r="F198" i="18" a="1"/>
  <c r="F198" i="18" s="1"/>
  <c r="F199" i="18" a="1"/>
  <c r="F199" i="18" s="1"/>
  <c r="F200" i="18" a="1"/>
  <c r="F200" i="18" s="1"/>
  <c r="F201" i="18" a="1"/>
  <c r="F201" i="18"/>
  <c r="F202" i="18" a="1"/>
  <c r="F202" i="18" s="1"/>
  <c r="F203" i="18" a="1"/>
  <c r="F203" i="18" s="1"/>
  <c r="F204" i="18" a="1"/>
  <c r="F204" i="18" s="1"/>
  <c r="F205" i="18" a="1"/>
  <c r="F205" i="18" s="1"/>
  <c r="F206" i="18" a="1"/>
  <c r="F206" i="18" s="1"/>
  <c r="F207" i="18" a="1"/>
  <c r="F207" i="18" s="1"/>
  <c r="F208" i="18" a="1"/>
  <c r="F208" i="18" s="1"/>
  <c r="F209" i="18" a="1"/>
  <c r="F209" i="18"/>
  <c r="F210" i="18" a="1"/>
  <c r="F210" i="18" s="1"/>
  <c r="F211" i="18" a="1"/>
  <c r="F211" i="18" s="1"/>
  <c r="F212" i="18" a="1"/>
  <c r="F212" i="18" s="1"/>
  <c r="F213" i="18" a="1"/>
  <c r="F213" i="18" s="1"/>
  <c r="F214" i="18" a="1"/>
  <c r="F214" i="18" s="1"/>
  <c r="F215" i="18" a="1"/>
  <c r="F215" i="18" s="1"/>
  <c r="F216" i="18" a="1"/>
  <c r="F216" i="18" s="1"/>
  <c r="F217" i="18" a="1"/>
  <c r="F217" i="18"/>
  <c r="F218" i="18" a="1"/>
  <c r="F218" i="18" s="1"/>
  <c r="F219" i="18" a="1"/>
  <c r="F219" i="18" s="1"/>
  <c r="F220" i="18" a="1"/>
  <c r="F220" i="18" s="1"/>
  <c r="F221" i="18" a="1"/>
  <c r="F221" i="18" s="1"/>
  <c r="F222" i="18" a="1"/>
  <c r="F222" i="18" s="1"/>
  <c r="F223" i="18" a="1"/>
  <c r="F223" i="18" s="1"/>
  <c r="F224" i="18" a="1"/>
  <c r="F224" i="18" s="1"/>
  <c r="F225" i="18" a="1"/>
  <c r="F225" i="18"/>
  <c r="F226" i="18" a="1"/>
  <c r="F226" i="18" s="1"/>
  <c r="F227" i="18" a="1"/>
  <c r="F227" i="18" s="1"/>
  <c r="F228" i="18" a="1"/>
  <c r="F228" i="18" s="1"/>
  <c r="F229" i="18" a="1"/>
  <c r="F229" i="18" s="1"/>
  <c r="F230" i="18" a="1"/>
  <c r="F230" i="18" s="1"/>
  <c r="F231" i="18" a="1"/>
  <c r="F231" i="18" s="1"/>
  <c r="F232" i="18" a="1"/>
  <c r="F232" i="18" s="1"/>
  <c r="F233" i="18" a="1"/>
  <c r="F233" i="18"/>
  <c r="F234" i="18" a="1"/>
  <c r="F234" i="18" s="1"/>
  <c r="F235" i="18" a="1"/>
  <c r="F235" i="18" s="1"/>
  <c r="F236" i="18" a="1"/>
  <c r="F236" i="18" s="1"/>
  <c r="F237" i="18" a="1"/>
  <c r="F237" i="18" s="1"/>
  <c r="F238" i="18" a="1"/>
  <c r="F238" i="18" s="1"/>
  <c r="F239" i="18" a="1"/>
  <c r="F239" i="18" s="1"/>
  <c r="F240" i="18" a="1"/>
  <c r="F240" i="18" s="1"/>
  <c r="F241" i="18" a="1"/>
  <c r="F241" i="18"/>
  <c r="F242" i="18" a="1"/>
  <c r="F242" i="18" s="1"/>
  <c r="F243" i="18" a="1"/>
  <c r="F243" i="18" s="1"/>
  <c r="F244" i="18" a="1"/>
  <c r="F244" i="18" s="1"/>
  <c r="F245" i="18" a="1"/>
  <c r="F245" i="18" s="1"/>
  <c r="F246" i="18" a="1"/>
  <c r="F246" i="18" s="1"/>
  <c r="F247" i="18" a="1"/>
  <c r="F247" i="18" s="1"/>
  <c r="F248" i="18" a="1"/>
  <c r="F248" i="18" s="1"/>
  <c r="F249" i="18" a="1"/>
  <c r="F249" i="18" s="1"/>
  <c r="F250" i="18" a="1"/>
  <c r="F250" i="18" s="1"/>
  <c r="F251" i="18" a="1"/>
  <c r="F251" i="18" s="1"/>
  <c r="F252" i="18" a="1"/>
  <c r="F252" i="18" s="1"/>
  <c r="F253" i="18" a="1"/>
  <c r="F253" i="18" s="1"/>
  <c r="F254" i="18" a="1"/>
  <c r="F254" i="18" s="1"/>
  <c r="F255" i="18" a="1"/>
  <c r="F255" i="18" s="1"/>
  <c r="F256" i="18" a="1"/>
  <c r="F256" i="18" s="1"/>
  <c r="F257" i="18" a="1"/>
  <c r="F257" i="18"/>
  <c r="F258" i="18" a="1"/>
  <c r="F258" i="18" s="1"/>
  <c r="F259" i="18" a="1"/>
  <c r="F259" i="18" s="1"/>
  <c r="F260" i="18" a="1"/>
  <c r="F260" i="18" s="1"/>
  <c r="F261" i="18" a="1"/>
  <c r="F261" i="18" s="1"/>
  <c r="F262" i="18" a="1"/>
  <c r="F262" i="18" s="1"/>
  <c r="F263" i="18" a="1"/>
  <c r="F263" i="18" s="1"/>
  <c r="F264" i="18" a="1"/>
  <c r="F264" i="18" s="1"/>
  <c r="F265" i="18" a="1"/>
  <c r="F265" i="18"/>
  <c r="F266" i="18" a="1"/>
  <c r="F266" i="18" s="1"/>
  <c r="F267" i="18" a="1"/>
  <c r="F267" i="18" s="1"/>
  <c r="F268" i="18" a="1"/>
  <c r="F268" i="18" s="1"/>
  <c r="F269" i="18" a="1"/>
  <c r="F269" i="18" s="1"/>
  <c r="F270" i="18" a="1"/>
  <c r="F270" i="18" s="1"/>
  <c r="F271" i="18" a="1"/>
  <c r="F271" i="18" s="1"/>
  <c r="F272" i="18" a="1"/>
  <c r="F272" i="18" s="1"/>
  <c r="F273" i="18" a="1"/>
  <c r="F273" i="18"/>
  <c r="F274" i="18" a="1"/>
  <c r="F274" i="18" s="1"/>
  <c r="F275" i="18" a="1"/>
  <c r="F275" i="18" s="1"/>
  <c r="F276" i="18" a="1"/>
  <c r="F276" i="18" s="1"/>
  <c r="F277" i="18" a="1"/>
  <c r="F277" i="18" s="1"/>
  <c r="F278" i="18" a="1"/>
  <c r="F278" i="18" s="1"/>
  <c r="F279" i="18" a="1"/>
  <c r="F279" i="18" s="1"/>
  <c r="F280" i="18" a="1"/>
  <c r="F280" i="18" s="1"/>
  <c r="F281" i="18" a="1"/>
  <c r="F281" i="18"/>
  <c r="C101" i="18"/>
  <c r="E101" i="18" s="1" a="1"/>
  <c r="E101" i="18" s="1"/>
  <c r="C229" i="18"/>
  <c r="E229" i="18" s="1" a="1"/>
  <c r="E229" i="18" s="1"/>
  <c r="D2" i="18"/>
  <c r="C2" i="18" s="1"/>
  <c r="E2" i="18" s="1" a="1"/>
  <c r="E2" i="18" s="1"/>
  <c r="D3" i="18"/>
  <c r="C3" i="18" s="1"/>
  <c r="E3" i="18" s="1" a="1"/>
  <c r="E3" i="18" s="1"/>
  <c r="D4" i="18"/>
  <c r="C4" i="18" s="1"/>
  <c r="E4" i="18" s="1" a="1"/>
  <c r="E4" i="18" s="1"/>
  <c r="D5" i="18"/>
  <c r="C5" i="18" s="1"/>
  <c r="E5" i="18" s="1" a="1"/>
  <c r="E5" i="18" s="1"/>
  <c r="D6" i="18"/>
  <c r="C6" i="18" s="1"/>
  <c r="E6" i="18" s="1" a="1"/>
  <c r="E6" i="18" s="1"/>
  <c r="D7" i="18"/>
  <c r="C7" i="18" s="1"/>
  <c r="E7" i="18" s="1" a="1"/>
  <c r="E7" i="18" s="1"/>
  <c r="D8" i="18"/>
  <c r="C8" i="18" s="1"/>
  <c r="E8" i="18" s="1" a="1"/>
  <c r="E8" i="18" s="1"/>
  <c r="D9" i="18"/>
  <c r="C9" i="18" s="1"/>
  <c r="E9" i="18" s="1" a="1"/>
  <c r="E9" i="18" s="1"/>
  <c r="D10" i="18"/>
  <c r="C10" i="18" s="1"/>
  <c r="E10" i="18" s="1" a="1"/>
  <c r="E10" i="18" s="1"/>
  <c r="D11" i="18"/>
  <c r="C11" i="18" s="1"/>
  <c r="E11" i="18" s="1" a="1"/>
  <c r="E11" i="18" s="1"/>
  <c r="D12" i="18"/>
  <c r="C12" i="18" s="1"/>
  <c r="E12" i="18" s="1" a="1"/>
  <c r="E12" i="18" s="1"/>
  <c r="D13" i="18"/>
  <c r="C13" i="18" s="1"/>
  <c r="E13" i="18" s="1" a="1"/>
  <c r="E13" i="18" s="1"/>
  <c r="D14" i="18"/>
  <c r="C14" i="18" s="1"/>
  <c r="E14" i="18" s="1" a="1"/>
  <c r="E14" i="18" s="1"/>
  <c r="D15" i="18"/>
  <c r="C15" i="18" s="1"/>
  <c r="E15" i="18" s="1" a="1"/>
  <c r="E15" i="18" s="1"/>
  <c r="D16" i="18"/>
  <c r="C16" i="18" s="1"/>
  <c r="E16" i="18" s="1" a="1"/>
  <c r="E16" i="18" s="1"/>
  <c r="D17" i="18"/>
  <c r="C17" i="18" s="1"/>
  <c r="E17" i="18" s="1" a="1"/>
  <c r="E17" i="18" s="1"/>
  <c r="D18" i="18"/>
  <c r="C18" i="18" s="1"/>
  <c r="E18" i="18" s="1" a="1"/>
  <c r="E18" i="18" s="1"/>
  <c r="D19" i="18"/>
  <c r="C19" i="18" s="1"/>
  <c r="E19" i="18" s="1" a="1"/>
  <c r="E19" i="18" s="1"/>
  <c r="D20" i="18"/>
  <c r="C20" i="18" s="1"/>
  <c r="E20" i="18" s="1" a="1"/>
  <c r="E20" i="18" s="1"/>
  <c r="D21" i="18"/>
  <c r="C21" i="18" s="1"/>
  <c r="E21" i="18" s="1" a="1"/>
  <c r="E21" i="18" s="1"/>
  <c r="D22" i="18"/>
  <c r="C22" i="18" s="1"/>
  <c r="E22" i="18" s="1" a="1"/>
  <c r="E22" i="18" s="1"/>
  <c r="D23" i="18"/>
  <c r="C23" i="18" s="1"/>
  <c r="E23" i="18" s="1" a="1"/>
  <c r="E23" i="18" s="1"/>
  <c r="D24" i="18"/>
  <c r="C24" i="18" s="1"/>
  <c r="E24" i="18" s="1" a="1"/>
  <c r="E24" i="18" s="1"/>
  <c r="D25" i="18"/>
  <c r="C25" i="18" s="1"/>
  <c r="E25" i="18" s="1" a="1"/>
  <c r="E25" i="18" s="1"/>
  <c r="D26" i="18"/>
  <c r="C26" i="18" s="1"/>
  <c r="E26" i="18" s="1" a="1"/>
  <c r="E26" i="18" s="1"/>
  <c r="D27" i="18"/>
  <c r="C27" i="18" s="1"/>
  <c r="E27" i="18" s="1" a="1"/>
  <c r="E27" i="18" s="1"/>
  <c r="D28" i="18"/>
  <c r="C28" i="18" s="1"/>
  <c r="E28" i="18" s="1" a="1"/>
  <c r="E28" i="18" s="1"/>
  <c r="D29" i="18"/>
  <c r="C29" i="18" s="1"/>
  <c r="E29" i="18" s="1" a="1"/>
  <c r="E29" i="18" s="1"/>
  <c r="D30" i="18"/>
  <c r="C30" i="18" s="1"/>
  <c r="E30" i="18" s="1" a="1"/>
  <c r="E30" i="18" s="1"/>
  <c r="D31" i="18"/>
  <c r="C31" i="18" s="1"/>
  <c r="E31" i="18" s="1" a="1"/>
  <c r="E31" i="18" s="1"/>
  <c r="D32" i="18"/>
  <c r="C32" i="18" s="1"/>
  <c r="E32" i="18" s="1" a="1"/>
  <c r="E32" i="18" s="1"/>
  <c r="D33" i="18"/>
  <c r="C33" i="18" s="1"/>
  <c r="E33" i="18" s="1" a="1"/>
  <c r="E33" i="18" s="1"/>
  <c r="D34" i="18"/>
  <c r="C34" i="18" s="1"/>
  <c r="E34" i="18" s="1" a="1"/>
  <c r="E34" i="18" s="1"/>
  <c r="D35" i="18"/>
  <c r="C35" i="18" s="1"/>
  <c r="E35" i="18" s="1" a="1"/>
  <c r="E35" i="18" s="1"/>
  <c r="D36" i="18"/>
  <c r="C36" i="18" s="1"/>
  <c r="E36" i="18" s="1" a="1"/>
  <c r="E36" i="18" s="1"/>
  <c r="D37" i="18"/>
  <c r="C37" i="18" s="1"/>
  <c r="E37" i="18" s="1" a="1"/>
  <c r="E37" i="18" s="1"/>
  <c r="D38" i="18"/>
  <c r="C38" i="18" s="1"/>
  <c r="E38" i="18" s="1" a="1"/>
  <c r="E38" i="18" s="1"/>
  <c r="D39" i="18"/>
  <c r="C39" i="18" s="1"/>
  <c r="E39" i="18" s="1" a="1"/>
  <c r="E39" i="18" s="1"/>
  <c r="D40" i="18"/>
  <c r="C40" i="18" s="1"/>
  <c r="E40" i="18" s="1" a="1"/>
  <c r="E40" i="18" s="1"/>
  <c r="D41" i="18"/>
  <c r="C41" i="18" s="1"/>
  <c r="E41" i="18" s="1" a="1"/>
  <c r="E41" i="18" s="1"/>
  <c r="D42" i="18"/>
  <c r="C42" i="18" s="1"/>
  <c r="E42" i="18" s="1" a="1"/>
  <c r="E42" i="18" s="1"/>
  <c r="D43" i="18"/>
  <c r="C43" i="18" s="1"/>
  <c r="E43" i="18" s="1" a="1"/>
  <c r="E43" i="18" s="1"/>
  <c r="D44" i="18"/>
  <c r="C44" i="18" s="1"/>
  <c r="E44" i="18" s="1" a="1"/>
  <c r="E44" i="18" s="1"/>
  <c r="D45" i="18"/>
  <c r="C45" i="18" s="1"/>
  <c r="E45" i="18" s="1" a="1"/>
  <c r="E45" i="18" s="1"/>
  <c r="D46" i="18"/>
  <c r="C46" i="18" s="1"/>
  <c r="E46" i="18" s="1" a="1"/>
  <c r="E46" i="18" s="1"/>
  <c r="D47" i="18"/>
  <c r="C47" i="18" s="1"/>
  <c r="E47" i="18" s="1" a="1"/>
  <c r="E47" i="18" s="1"/>
  <c r="D48" i="18"/>
  <c r="C48" i="18" s="1"/>
  <c r="E48" i="18" s="1" a="1"/>
  <c r="E48" i="18" s="1"/>
  <c r="D49" i="18"/>
  <c r="C49" i="18" s="1"/>
  <c r="E49" i="18" s="1" a="1"/>
  <c r="E49" i="18" s="1"/>
  <c r="D50" i="18"/>
  <c r="C50" i="18" s="1"/>
  <c r="E50" i="18" s="1" a="1"/>
  <c r="E50" i="18" s="1"/>
  <c r="D51" i="18"/>
  <c r="C51" i="18" s="1"/>
  <c r="E51" i="18" s="1" a="1"/>
  <c r="E51" i="18" s="1"/>
  <c r="D52" i="18"/>
  <c r="C52" i="18" s="1"/>
  <c r="E52" i="18" s="1" a="1"/>
  <c r="E52" i="18" s="1"/>
  <c r="D53" i="18"/>
  <c r="C53" i="18" s="1"/>
  <c r="E53" i="18" s="1" a="1"/>
  <c r="E53" i="18" s="1"/>
  <c r="D54" i="18"/>
  <c r="C54" i="18" s="1"/>
  <c r="E54" i="18" s="1" a="1"/>
  <c r="E54" i="18" s="1"/>
  <c r="D55" i="18"/>
  <c r="C55" i="18" s="1"/>
  <c r="E55" i="18" s="1" a="1"/>
  <c r="E55" i="18" s="1"/>
  <c r="D56" i="18"/>
  <c r="C56" i="18" s="1"/>
  <c r="E56" i="18" s="1" a="1"/>
  <c r="E56" i="18" s="1"/>
  <c r="D57" i="18"/>
  <c r="C57" i="18" s="1"/>
  <c r="E57" i="18" s="1" a="1"/>
  <c r="E57" i="18" s="1"/>
  <c r="D58" i="18"/>
  <c r="C58" i="18" s="1"/>
  <c r="E58" i="18" s="1" a="1"/>
  <c r="E58" i="18" s="1"/>
  <c r="D59" i="18"/>
  <c r="C59" i="18" s="1"/>
  <c r="E59" i="18" s="1" a="1"/>
  <c r="E59" i="18" s="1"/>
  <c r="D60" i="18"/>
  <c r="C60" i="18" s="1"/>
  <c r="E60" i="18" s="1" a="1"/>
  <c r="E60" i="18" s="1"/>
  <c r="D61" i="18"/>
  <c r="C61" i="18" s="1"/>
  <c r="E61" i="18" s="1" a="1"/>
  <c r="E61" i="18" s="1"/>
  <c r="D62" i="18"/>
  <c r="C62" i="18" s="1"/>
  <c r="E62" i="18" s="1" a="1"/>
  <c r="E62" i="18" s="1"/>
  <c r="D63" i="18"/>
  <c r="C63" i="18" s="1"/>
  <c r="E63" i="18" s="1" a="1"/>
  <c r="E63" i="18" s="1"/>
  <c r="D64" i="18"/>
  <c r="C64" i="18" s="1"/>
  <c r="E64" i="18" s="1" a="1"/>
  <c r="E64" i="18" s="1"/>
  <c r="D65" i="18"/>
  <c r="C65" i="18" s="1"/>
  <c r="E65" i="18" s="1" a="1"/>
  <c r="E65" i="18" s="1"/>
  <c r="D66" i="18"/>
  <c r="C66" i="18" s="1"/>
  <c r="E66" i="18" s="1" a="1"/>
  <c r="E66" i="18" s="1"/>
  <c r="D67" i="18"/>
  <c r="C67" i="18" s="1"/>
  <c r="E67" i="18" s="1" a="1"/>
  <c r="E67" i="18" s="1"/>
  <c r="D68" i="18"/>
  <c r="C68" i="18" s="1"/>
  <c r="E68" i="18" s="1" a="1"/>
  <c r="E68" i="18" s="1"/>
  <c r="D69" i="18"/>
  <c r="C69" i="18" s="1"/>
  <c r="E69" i="18" s="1" a="1"/>
  <c r="E69" i="18" s="1"/>
  <c r="D70" i="18"/>
  <c r="C70" i="18" s="1"/>
  <c r="E70" i="18" s="1" a="1"/>
  <c r="E70" i="18" s="1"/>
  <c r="D71" i="18"/>
  <c r="C71" i="18" s="1"/>
  <c r="E71" i="18" s="1" a="1"/>
  <c r="E71" i="18" s="1"/>
  <c r="D72" i="18"/>
  <c r="C72" i="18" s="1"/>
  <c r="E72" i="18" s="1" a="1"/>
  <c r="E72" i="18" s="1"/>
  <c r="D73" i="18"/>
  <c r="C73" i="18" s="1"/>
  <c r="E73" i="18" s="1" a="1"/>
  <c r="E73" i="18" s="1"/>
  <c r="D74" i="18"/>
  <c r="C74" i="18" s="1"/>
  <c r="E74" i="18" s="1" a="1"/>
  <c r="E74" i="18" s="1"/>
  <c r="D75" i="18"/>
  <c r="C75" i="18" s="1"/>
  <c r="E75" i="18" s="1" a="1"/>
  <c r="E75" i="18" s="1"/>
  <c r="D76" i="18"/>
  <c r="C76" i="18" s="1"/>
  <c r="E76" i="18" s="1" a="1"/>
  <c r="E76" i="18" s="1"/>
  <c r="D77" i="18"/>
  <c r="C77" i="18" s="1"/>
  <c r="E77" i="18" s="1" a="1"/>
  <c r="E77" i="18" s="1"/>
  <c r="D78" i="18"/>
  <c r="C78" i="18" s="1"/>
  <c r="E78" i="18" s="1" a="1"/>
  <c r="E78" i="18" s="1"/>
  <c r="D79" i="18"/>
  <c r="C79" i="18" s="1"/>
  <c r="E79" i="18" s="1" a="1"/>
  <c r="E79" i="18" s="1"/>
  <c r="D80" i="18"/>
  <c r="C80" i="18" s="1"/>
  <c r="E80" i="18" s="1" a="1"/>
  <c r="E80" i="18" s="1"/>
  <c r="D81" i="18"/>
  <c r="C81" i="18" s="1"/>
  <c r="E81" i="18" s="1" a="1"/>
  <c r="E81" i="18" s="1"/>
  <c r="D82" i="18"/>
  <c r="C82" i="18" s="1"/>
  <c r="E82" i="18" s="1" a="1"/>
  <c r="E82" i="18" s="1"/>
  <c r="D83" i="18"/>
  <c r="C83" i="18" s="1"/>
  <c r="E83" i="18" s="1" a="1"/>
  <c r="E83" i="18" s="1"/>
  <c r="D84" i="18"/>
  <c r="C84" i="18" s="1"/>
  <c r="E84" i="18" s="1" a="1"/>
  <c r="E84" i="18" s="1"/>
  <c r="D85" i="18"/>
  <c r="C85" i="18" s="1"/>
  <c r="E85" i="18" s="1" a="1"/>
  <c r="E85" i="18" s="1"/>
  <c r="D86" i="18"/>
  <c r="C86" i="18" s="1"/>
  <c r="E86" i="18" s="1" a="1"/>
  <c r="E86" i="18" s="1"/>
  <c r="D87" i="18"/>
  <c r="C87" i="18" s="1"/>
  <c r="E87" i="18" s="1" a="1"/>
  <c r="E87" i="18" s="1"/>
  <c r="D88" i="18"/>
  <c r="C88" i="18" s="1"/>
  <c r="E88" i="18" s="1" a="1"/>
  <c r="E88" i="18" s="1"/>
  <c r="D89" i="18"/>
  <c r="C89" i="18" s="1"/>
  <c r="E89" i="18" s="1" a="1"/>
  <c r="E89" i="18" s="1"/>
  <c r="D90" i="18"/>
  <c r="C90" i="18" s="1"/>
  <c r="E90" i="18" s="1" a="1"/>
  <c r="E90" i="18" s="1"/>
  <c r="D91" i="18"/>
  <c r="C91" i="18" s="1"/>
  <c r="E91" i="18" s="1" a="1"/>
  <c r="E91" i="18" s="1"/>
  <c r="D92" i="18"/>
  <c r="C92" i="18" s="1"/>
  <c r="E92" i="18" s="1" a="1"/>
  <c r="E92" i="18" s="1"/>
  <c r="D93" i="18"/>
  <c r="C93" i="18" s="1"/>
  <c r="E93" i="18" s="1" a="1"/>
  <c r="E93" i="18" s="1"/>
  <c r="D94" i="18"/>
  <c r="C94" i="18" s="1"/>
  <c r="E94" i="18" s="1" a="1"/>
  <c r="E94" i="18" s="1"/>
  <c r="D95" i="18"/>
  <c r="C95" i="18" s="1"/>
  <c r="E95" i="18" s="1" a="1"/>
  <c r="E95" i="18" s="1"/>
  <c r="D96" i="18"/>
  <c r="C96" i="18" s="1"/>
  <c r="E96" i="18" s="1" a="1"/>
  <c r="E96" i="18" s="1"/>
  <c r="D97" i="18"/>
  <c r="C97" i="18" s="1"/>
  <c r="E97" i="18" s="1" a="1"/>
  <c r="E97" i="18" s="1"/>
  <c r="D98" i="18"/>
  <c r="C98" i="18" s="1"/>
  <c r="E98" i="18" s="1" a="1"/>
  <c r="E98" i="18" s="1"/>
  <c r="D99" i="18"/>
  <c r="C99" i="18" s="1"/>
  <c r="E99" i="18" s="1" a="1"/>
  <c r="E99" i="18" s="1"/>
  <c r="D100" i="18"/>
  <c r="C100" i="18" s="1"/>
  <c r="E100" i="18" s="1" a="1"/>
  <c r="E100" i="18" s="1"/>
  <c r="D101" i="18"/>
  <c r="D102" i="18"/>
  <c r="C102" i="18" s="1"/>
  <c r="E102" i="18" s="1" a="1"/>
  <c r="E102" i="18" s="1"/>
  <c r="D103" i="18"/>
  <c r="C103" i="18" s="1"/>
  <c r="E103" i="18" s="1" a="1"/>
  <c r="E103" i="18" s="1"/>
  <c r="D104" i="18"/>
  <c r="C104" i="18" s="1"/>
  <c r="E104" i="18" s="1" a="1"/>
  <c r="E104" i="18" s="1"/>
  <c r="D105" i="18"/>
  <c r="C105" i="18" s="1"/>
  <c r="E105" i="18" s="1" a="1"/>
  <c r="E105" i="18" s="1"/>
  <c r="D106" i="18"/>
  <c r="C106" i="18" s="1"/>
  <c r="E106" i="18" s="1" a="1"/>
  <c r="E106" i="18" s="1"/>
  <c r="D107" i="18"/>
  <c r="C107" i="18" s="1"/>
  <c r="E107" i="18" s="1" a="1"/>
  <c r="E107" i="18" s="1"/>
  <c r="D108" i="18"/>
  <c r="C108" i="18" s="1"/>
  <c r="E108" i="18" s="1" a="1"/>
  <c r="E108" i="18" s="1"/>
  <c r="D109" i="18"/>
  <c r="C109" i="18" s="1"/>
  <c r="E109" i="18" s="1" a="1"/>
  <c r="E109" i="18" s="1"/>
  <c r="D110" i="18"/>
  <c r="C110" i="18" s="1"/>
  <c r="E110" i="18" s="1" a="1"/>
  <c r="E110" i="18" s="1"/>
  <c r="D111" i="18"/>
  <c r="C111" i="18" s="1"/>
  <c r="E111" i="18" s="1" a="1"/>
  <c r="E111" i="18" s="1"/>
  <c r="D112" i="18"/>
  <c r="C112" i="18" s="1"/>
  <c r="E112" i="18" s="1" a="1"/>
  <c r="E112" i="18" s="1"/>
  <c r="D113" i="18"/>
  <c r="C113" i="18" s="1"/>
  <c r="E113" i="18" s="1" a="1"/>
  <c r="E113" i="18" s="1"/>
  <c r="D114" i="18"/>
  <c r="C114" i="18" s="1"/>
  <c r="E114" i="18" s="1" a="1"/>
  <c r="E114" i="18" s="1"/>
  <c r="D115" i="18"/>
  <c r="C115" i="18" s="1"/>
  <c r="E115" i="18" s="1" a="1"/>
  <c r="E115" i="18" s="1"/>
  <c r="D116" i="18"/>
  <c r="C116" i="18" s="1"/>
  <c r="E116" i="18" s="1" a="1"/>
  <c r="E116" i="18" s="1"/>
  <c r="D117" i="18"/>
  <c r="C117" i="18" s="1"/>
  <c r="E117" i="18" s="1" a="1"/>
  <c r="E117" i="18" s="1"/>
  <c r="D118" i="18"/>
  <c r="C118" i="18" s="1"/>
  <c r="E118" i="18" s="1" a="1"/>
  <c r="E118" i="18" s="1"/>
  <c r="D119" i="18"/>
  <c r="C119" i="18" s="1"/>
  <c r="E119" i="18" s="1" a="1"/>
  <c r="E119" i="18" s="1"/>
  <c r="D120" i="18"/>
  <c r="C120" i="18" s="1"/>
  <c r="E120" i="18" s="1" a="1"/>
  <c r="E120" i="18" s="1"/>
  <c r="D121" i="18"/>
  <c r="C121" i="18" s="1"/>
  <c r="E121" i="18" s="1" a="1"/>
  <c r="E121" i="18" s="1"/>
  <c r="D122" i="18"/>
  <c r="C122" i="18" s="1"/>
  <c r="E122" i="18" s="1" a="1"/>
  <c r="E122" i="18" s="1"/>
  <c r="D123" i="18"/>
  <c r="C123" i="18" s="1"/>
  <c r="E123" i="18" s="1" a="1"/>
  <c r="E123" i="18" s="1"/>
  <c r="D124" i="18"/>
  <c r="C124" i="18" s="1"/>
  <c r="E124" i="18" s="1" a="1"/>
  <c r="E124" i="18" s="1"/>
  <c r="D125" i="18"/>
  <c r="C125" i="18" s="1"/>
  <c r="E125" i="18" s="1" a="1"/>
  <c r="E125" i="18" s="1"/>
  <c r="D126" i="18"/>
  <c r="C126" i="18" s="1"/>
  <c r="E126" i="18" s="1" a="1"/>
  <c r="E126" i="18" s="1"/>
  <c r="D127" i="18"/>
  <c r="C127" i="18" s="1"/>
  <c r="E127" i="18" s="1" a="1"/>
  <c r="E127" i="18" s="1"/>
  <c r="D128" i="18"/>
  <c r="C128" i="18" s="1"/>
  <c r="E128" i="18" s="1" a="1"/>
  <c r="E128" i="18" s="1"/>
  <c r="D129" i="18"/>
  <c r="C129" i="18" s="1"/>
  <c r="E129" i="18" s="1" a="1"/>
  <c r="E129" i="18" s="1"/>
  <c r="D130" i="18"/>
  <c r="C130" i="18" s="1"/>
  <c r="E130" i="18" s="1" a="1"/>
  <c r="E130" i="18" s="1"/>
  <c r="D131" i="18"/>
  <c r="C131" i="18" s="1"/>
  <c r="E131" i="18" s="1" a="1"/>
  <c r="E131" i="18" s="1"/>
  <c r="D132" i="18"/>
  <c r="C132" i="18" s="1"/>
  <c r="E132" i="18" s="1" a="1"/>
  <c r="E132" i="18" s="1"/>
  <c r="D133" i="18"/>
  <c r="C133" i="18" s="1"/>
  <c r="E133" i="18" s="1" a="1"/>
  <c r="E133" i="18" s="1"/>
  <c r="D134" i="18"/>
  <c r="C134" i="18" s="1"/>
  <c r="E134" i="18" s="1" a="1"/>
  <c r="E134" i="18" s="1"/>
  <c r="D135" i="18"/>
  <c r="C135" i="18" s="1"/>
  <c r="E135" i="18" s="1" a="1"/>
  <c r="E135" i="18" s="1"/>
  <c r="D136" i="18"/>
  <c r="C136" i="18" s="1"/>
  <c r="E136" i="18" s="1" a="1"/>
  <c r="E136" i="18" s="1"/>
  <c r="D137" i="18"/>
  <c r="C137" i="18" s="1"/>
  <c r="E137" i="18" s="1" a="1"/>
  <c r="E137" i="18" s="1"/>
  <c r="D138" i="18"/>
  <c r="C138" i="18" s="1"/>
  <c r="E138" i="18" s="1" a="1"/>
  <c r="E138" i="18" s="1"/>
  <c r="D139" i="18"/>
  <c r="C139" i="18" s="1"/>
  <c r="E139" i="18" s="1" a="1"/>
  <c r="E139" i="18" s="1"/>
  <c r="D140" i="18"/>
  <c r="C140" i="18" s="1"/>
  <c r="E140" i="18" s="1" a="1"/>
  <c r="E140" i="18" s="1"/>
  <c r="D141" i="18"/>
  <c r="C141" i="18" s="1"/>
  <c r="E141" i="18" s="1" a="1"/>
  <c r="E141" i="18" s="1"/>
  <c r="D142" i="18"/>
  <c r="C142" i="18" s="1"/>
  <c r="E142" i="18" s="1" a="1"/>
  <c r="E142" i="18" s="1"/>
  <c r="D143" i="18"/>
  <c r="C143" i="18" s="1"/>
  <c r="E143" i="18" s="1" a="1"/>
  <c r="E143" i="18" s="1"/>
  <c r="D144" i="18"/>
  <c r="C144" i="18" s="1"/>
  <c r="E144" i="18" s="1" a="1"/>
  <c r="E144" i="18" s="1"/>
  <c r="D145" i="18"/>
  <c r="C145" i="18" s="1"/>
  <c r="E145" i="18" s="1" a="1"/>
  <c r="E145" i="18" s="1"/>
  <c r="D146" i="18"/>
  <c r="C146" i="18" s="1"/>
  <c r="E146" i="18" s="1" a="1"/>
  <c r="E146" i="18" s="1"/>
  <c r="D147" i="18"/>
  <c r="C147" i="18" s="1"/>
  <c r="E147" i="18" s="1" a="1"/>
  <c r="E147" i="18" s="1"/>
  <c r="D148" i="18"/>
  <c r="C148" i="18" s="1"/>
  <c r="E148" i="18" s="1" a="1"/>
  <c r="E148" i="18" s="1"/>
  <c r="D149" i="18"/>
  <c r="C149" i="18" s="1"/>
  <c r="E149" i="18" s="1" a="1"/>
  <c r="E149" i="18" s="1"/>
  <c r="D150" i="18"/>
  <c r="C150" i="18" s="1"/>
  <c r="E150" i="18" s="1" a="1"/>
  <c r="E150" i="18" s="1"/>
  <c r="D151" i="18"/>
  <c r="C151" i="18" s="1"/>
  <c r="E151" i="18" s="1" a="1"/>
  <c r="E151" i="18" s="1"/>
  <c r="D152" i="18"/>
  <c r="C152" i="18" s="1"/>
  <c r="E152" i="18" s="1" a="1"/>
  <c r="E152" i="18" s="1"/>
  <c r="D153" i="18"/>
  <c r="C153" i="18" s="1"/>
  <c r="E153" i="18" s="1" a="1"/>
  <c r="E153" i="18" s="1"/>
  <c r="D154" i="18"/>
  <c r="C154" i="18" s="1"/>
  <c r="E154" i="18" s="1" a="1"/>
  <c r="E154" i="18" s="1"/>
  <c r="D155" i="18"/>
  <c r="C155" i="18" s="1"/>
  <c r="E155" i="18" s="1" a="1"/>
  <c r="E155" i="18" s="1"/>
  <c r="D156" i="18"/>
  <c r="C156" i="18" s="1"/>
  <c r="E156" i="18" s="1" a="1"/>
  <c r="E156" i="18" s="1"/>
  <c r="D157" i="18"/>
  <c r="C157" i="18" s="1"/>
  <c r="E157" i="18" s="1" a="1"/>
  <c r="E157" i="18" s="1"/>
  <c r="D158" i="18"/>
  <c r="C158" i="18" s="1"/>
  <c r="E158" i="18" s="1" a="1"/>
  <c r="E158" i="18" s="1"/>
  <c r="D159" i="18"/>
  <c r="C159" i="18" s="1"/>
  <c r="E159" i="18" s="1" a="1"/>
  <c r="E159" i="18" s="1"/>
  <c r="D160" i="18"/>
  <c r="C160" i="18" s="1"/>
  <c r="E160" i="18" s="1" a="1"/>
  <c r="E160" i="18" s="1"/>
  <c r="D161" i="18"/>
  <c r="C161" i="18" s="1"/>
  <c r="E161" i="18" s="1" a="1"/>
  <c r="E161" i="18" s="1"/>
  <c r="D162" i="18"/>
  <c r="C162" i="18" s="1"/>
  <c r="E162" i="18" s="1" a="1"/>
  <c r="E162" i="18" s="1"/>
  <c r="D163" i="18"/>
  <c r="C163" i="18" s="1"/>
  <c r="E163" i="18" s="1" a="1"/>
  <c r="E163" i="18" s="1"/>
  <c r="D164" i="18"/>
  <c r="C164" i="18" s="1"/>
  <c r="E164" i="18" s="1" a="1"/>
  <c r="E164" i="18" s="1"/>
  <c r="D165" i="18"/>
  <c r="C165" i="18" s="1"/>
  <c r="E165" i="18" s="1" a="1"/>
  <c r="E165" i="18" s="1"/>
  <c r="D166" i="18"/>
  <c r="C166" i="18" s="1"/>
  <c r="E166" i="18" s="1" a="1"/>
  <c r="E166" i="18" s="1"/>
  <c r="D167" i="18"/>
  <c r="C167" i="18" s="1"/>
  <c r="E167" i="18" s="1" a="1"/>
  <c r="E167" i="18" s="1"/>
  <c r="D168" i="18"/>
  <c r="C168" i="18" s="1"/>
  <c r="E168" i="18" s="1" a="1"/>
  <c r="E168" i="18" s="1"/>
  <c r="D169" i="18"/>
  <c r="C169" i="18" s="1"/>
  <c r="E169" i="18" s="1" a="1"/>
  <c r="E169" i="18" s="1"/>
  <c r="D170" i="18"/>
  <c r="C170" i="18" s="1"/>
  <c r="E170" i="18" s="1" a="1"/>
  <c r="E170" i="18" s="1"/>
  <c r="D171" i="18"/>
  <c r="C171" i="18" s="1"/>
  <c r="E171" i="18" s="1" a="1"/>
  <c r="E171" i="18" s="1"/>
  <c r="D172" i="18"/>
  <c r="C172" i="18" s="1"/>
  <c r="E172" i="18" s="1" a="1"/>
  <c r="E172" i="18" s="1"/>
  <c r="D173" i="18"/>
  <c r="C173" i="18" s="1"/>
  <c r="E173" i="18" s="1" a="1"/>
  <c r="E173" i="18" s="1"/>
  <c r="D174" i="18"/>
  <c r="C174" i="18" s="1"/>
  <c r="E174" i="18" s="1" a="1"/>
  <c r="E174" i="18" s="1"/>
  <c r="D175" i="18"/>
  <c r="C175" i="18" s="1"/>
  <c r="E175" i="18" s="1" a="1"/>
  <c r="E175" i="18" s="1"/>
  <c r="D176" i="18"/>
  <c r="C176" i="18" s="1"/>
  <c r="E176" i="18" s="1" a="1"/>
  <c r="E176" i="18" s="1"/>
  <c r="D177" i="18"/>
  <c r="C177" i="18" s="1"/>
  <c r="E177" i="18" s="1" a="1"/>
  <c r="E177" i="18" s="1"/>
  <c r="D178" i="18"/>
  <c r="C178" i="18" s="1"/>
  <c r="E178" i="18" s="1" a="1"/>
  <c r="E178" i="18" s="1"/>
  <c r="D179" i="18"/>
  <c r="C179" i="18" s="1"/>
  <c r="E179" i="18" s="1" a="1"/>
  <c r="E179" i="18" s="1"/>
  <c r="D180" i="18"/>
  <c r="C180" i="18" s="1"/>
  <c r="E180" i="18" s="1" a="1"/>
  <c r="E180" i="18" s="1"/>
  <c r="D181" i="18"/>
  <c r="C181" i="18" s="1"/>
  <c r="E181" i="18" s="1" a="1"/>
  <c r="E181" i="18" s="1"/>
  <c r="D182" i="18"/>
  <c r="C182" i="18" s="1"/>
  <c r="E182" i="18" s="1" a="1"/>
  <c r="E182" i="18" s="1"/>
  <c r="D183" i="18"/>
  <c r="C183" i="18" s="1"/>
  <c r="E183" i="18" s="1" a="1"/>
  <c r="E183" i="18" s="1"/>
  <c r="D184" i="18"/>
  <c r="C184" i="18" s="1"/>
  <c r="E184" i="18" s="1" a="1"/>
  <c r="E184" i="18" s="1"/>
  <c r="D185" i="18"/>
  <c r="C185" i="18" s="1"/>
  <c r="E185" i="18" s="1" a="1"/>
  <c r="E185" i="18" s="1"/>
  <c r="D186" i="18"/>
  <c r="C186" i="18" s="1"/>
  <c r="E186" i="18" s="1" a="1"/>
  <c r="E186" i="18" s="1"/>
  <c r="D187" i="18"/>
  <c r="C187" i="18" s="1"/>
  <c r="E187" i="18" s="1" a="1"/>
  <c r="E187" i="18" s="1"/>
  <c r="D188" i="18"/>
  <c r="C188" i="18" s="1"/>
  <c r="E188" i="18" s="1" a="1"/>
  <c r="E188" i="18" s="1"/>
  <c r="D189" i="18"/>
  <c r="C189" i="18" s="1"/>
  <c r="E189" i="18" s="1" a="1"/>
  <c r="E189" i="18" s="1"/>
  <c r="D190" i="18"/>
  <c r="C190" i="18" s="1"/>
  <c r="E190" i="18" s="1" a="1"/>
  <c r="E190" i="18" s="1"/>
  <c r="D191" i="18"/>
  <c r="C191" i="18" s="1"/>
  <c r="E191" i="18" s="1" a="1"/>
  <c r="E191" i="18" s="1"/>
  <c r="D192" i="18"/>
  <c r="C192" i="18" s="1"/>
  <c r="E192" i="18" s="1" a="1"/>
  <c r="E192" i="18" s="1"/>
  <c r="D193" i="18"/>
  <c r="C193" i="18" s="1"/>
  <c r="E193" i="18" s="1" a="1"/>
  <c r="E193" i="18" s="1"/>
  <c r="D194" i="18"/>
  <c r="C194" i="18" s="1"/>
  <c r="E194" i="18" s="1" a="1"/>
  <c r="E194" i="18" s="1"/>
  <c r="D195" i="18"/>
  <c r="C195" i="18" s="1"/>
  <c r="E195" i="18" s="1" a="1"/>
  <c r="E195" i="18" s="1"/>
  <c r="D196" i="18"/>
  <c r="C196" i="18" s="1"/>
  <c r="E196" i="18" s="1" a="1"/>
  <c r="E196" i="18" s="1"/>
  <c r="D197" i="18"/>
  <c r="C197" i="18" s="1"/>
  <c r="E197" i="18" s="1" a="1"/>
  <c r="E197" i="18" s="1"/>
  <c r="D198" i="18"/>
  <c r="C198" i="18" s="1"/>
  <c r="E198" i="18" s="1" a="1"/>
  <c r="E198" i="18" s="1"/>
  <c r="D199" i="18"/>
  <c r="C199" i="18" s="1"/>
  <c r="E199" i="18" s="1" a="1"/>
  <c r="E199" i="18" s="1"/>
  <c r="D200" i="18"/>
  <c r="C200" i="18" s="1"/>
  <c r="E200" i="18" s="1" a="1"/>
  <c r="E200" i="18" s="1"/>
  <c r="D201" i="18"/>
  <c r="C201" i="18" s="1"/>
  <c r="E201" i="18" s="1" a="1"/>
  <c r="E201" i="18" s="1"/>
  <c r="D202" i="18"/>
  <c r="C202" i="18" s="1"/>
  <c r="E202" i="18" s="1" a="1"/>
  <c r="E202" i="18" s="1"/>
  <c r="D203" i="18"/>
  <c r="C203" i="18" s="1"/>
  <c r="E203" i="18" s="1" a="1"/>
  <c r="E203" i="18" s="1"/>
  <c r="D204" i="18"/>
  <c r="C204" i="18" s="1"/>
  <c r="E204" i="18" s="1" a="1"/>
  <c r="E204" i="18" s="1"/>
  <c r="D205" i="18"/>
  <c r="C205" i="18" s="1"/>
  <c r="E205" i="18" s="1" a="1"/>
  <c r="E205" i="18" s="1"/>
  <c r="D206" i="18"/>
  <c r="C206" i="18" s="1"/>
  <c r="E206" i="18" s="1" a="1"/>
  <c r="E206" i="18" s="1"/>
  <c r="D207" i="18"/>
  <c r="C207" i="18" s="1"/>
  <c r="E207" i="18" s="1" a="1"/>
  <c r="E207" i="18" s="1"/>
  <c r="D208" i="18"/>
  <c r="C208" i="18" s="1"/>
  <c r="E208" i="18" s="1" a="1"/>
  <c r="E208" i="18" s="1"/>
  <c r="D209" i="18"/>
  <c r="C209" i="18" s="1"/>
  <c r="E209" i="18" s="1" a="1"/>
  <c r="E209" i="18" s="1"/>
  <c r="D210" i="18"/>
  <c r="C210" i="18" s="1"/>
  <c r="E210" i="18" s="1" a="1"/>
  <c r="E210" i="18" s="1"/>
  <c r="D211" i="18"/>
  <c r="C211" i="18" s="1"/>
  <c r="E211" i="18" s="1" a="1"/>
  <c r="E211" i="18" s="1"/>
  <c r="D212" i="18"/>
  <c r="C212" i="18" s="1"/>
  <c r="E212" i="18" s="1" a="1"/>
  <c r="E212" i="18" s="1"/>
  <c r="D213" i="18"/>
  <c r="C213" i="18" s="1"/>
  <c r="E213" i="18" s="1" a="1"/>
  <c r="E213" i="18" s="1"/>
  <c r="D214" i="18"/>
  <c r="C214" i="18" s="1"/>
  <c r="E214" i="18" s="1" a="1"/>
  <c r="E214" i="18" s="1"/>
  <c r="D215" i="18"/>
  <c r="C215" i="18" s="1"/>
  <c r="E215" i="18" s="1" a="1"/>
  <c r="E215" i="18" s="1"/>
  <c r="D216" i="18"/>
  <c r="C216" i="18" s="1"/>
  <c r="E216" i="18" s="1" a="1"/>
  <c r="E216" i="18" s="1"/>
  <c r="D217" i="18"/>
  <c r="C217" i="18" s="1"/>
  <c r="E217" i="18" s="1" a="1"/>
  <c r="E217" i="18" s="1"/>
  <c r="D218" i="18"/>
  <c r="C218" i="18" s="1"/>
  <c r="E218" i="18" s="1" a="1"/>
  <c r="E218" i="18" s="1"/>
  <c r="D219" i="18"/>
  <c r="C219" i="18" s="1"/>
  <c r="E219" i="18" s="1" a="1"/>
  <c r="E219" i="18" s="1"/>
  <c r="D220" i="18"/>
  <c r="C220" i="18" s="1"/>
  <c r="E220" i="18" s="1" a="1"/>
  <c r="E220" i="18" s="1"/>
  <c r="D221" i="18"/>
  <c r="C221" i="18" s="1"/>
  <c r="E221" i="18" s="1" a="1"/>
  <c r="E221" i="18" s="1"/>
  <c r="D222" i="18"/>
  <c r="C222" i="18" s="1"/>
  <c r="E222" i="18" s="1" a="1"/>
  <c r="E222" i="18" s="1"/>
  <c r="D223" i="18"/>
  <c r="C223" i="18" s="1"/>
  <c r="E223" i="18" s="1" a="1"/>
  <c r="E223" i="18" s="1"/>
  <c r="D224" i="18"/>
  <c r="C224" i="18" s="1"/>
  <c r="E224" i="18" s="1" a="1"/>
  <c r="E224" i="18" s="1"/>
  <c r="D225" i="18"/>
  <c r="C225" i="18" s="1"/>
  <c r="E225" i="18" s="1" a="1"/>
  <c r="E225" i="18" s="1"/>
  <c r="D226" i="18"/>
  <c r="C226" i="18" s="1"/>
  <c r="E226" i="18" s="1" a="1"/>
  <c r="E226" i="18" s="1"/>
  <c r="D227" i="18"/>
  <c r="C227" i="18" s="1"/>
  <c r="E227" i="18" s="1" a="1"/>
  <c r="E227" i="18" s="1"/>
  <c r="D228" i="18"/>
  <c r="C228" i="18" s="1"/>
  <c r="E228" i="18" s="1" a="1"/>
  <c r="E228" i="18" s="1"/>
  <c r="D229" i="18"/>
  <c r="D230" i="18"/>
  <c r="C230" i="18" s="1"/>
  <c r="E230" i="18" s="1" a="1"/>
  <c r="E230" i="18" s="1"/>
  <c r="D231" i="18"/>
  <c r="C231" i="18" s="1"/>
  <c r="E231" i="18" s="1" a="1"/>
  <c r="E231" i="18" s="1"/>
  <c r="D232" i="18"/>
  <c r="C232" i="18" s="1"/>
  <c r="E232" i="18" s="1" a="1"/>
  <c r="E232" i="18" s="1"/>
  <c r="D233" i="18"/>
  <c r="C233" i="18" s="1"/>
  <c r="E233" i="18" s="1" a="1"/>
  <c r="E233" i="18" s="1"/>
  <c r="D234" i="18"/>
  <c r="C234" i="18" s="1"/>
  <c r="E234" i="18" s="1" a="1"/>
  <c r="E234" i="18" s="1"/>
  <c r="D235" i="18"/>
  <c r="C235" i="18" s="1"/>
  <c r="E235" i="18" s="1" a="1"/>
  <c r="E235" i="18" s="1"/>
  <c r="D236" i="18"/>
  <c r="C236" i="18" s="1"/>
  <c r="E236" i="18" s="1" a="1"/>
  <c r="E236" i="18" s="1"/>
  <c r="D237" i="18"/>
  <c r="C237" i="18" s="1"/>
  <c r="E237" i="18" s="1" a="1"/>
  <c r="E237" i="18" s="1"/>
  <c r="D238" i="18"/>
  <c r="C238" i="18" s="1"/>
  <c r="E238" i="18" s="1" a="1"/>
  <c r="E238" i="18" s="1"/>
  <c r="D239" i="18"/>
  <c r="C239" i="18" s="1"/>
  <c r="E239" i="18" s="1" a="1"/>
  <c r="E239" i="18" s="1"/>
  <c r="D240" i="18"/>
  <c r="C240" i="18" s="1"/>
  <c r="E240" i="18" s="1" a="1"/>
  <c r="E240" i="18" s="1"/>
  <c r="D241" i="18"/>
  <c r="C241" i="18" s="1"/>
  <c r="E241" i="18" s="1" a="1"/>
  <c r="E241" i="18" s="1"/>
  <c r="D242" i="18"/>
  <c r="C242" i="18" s="1"/>
  <c r="E242" i="18" s="1" a="1"/>
  <c r="E242" i="18" s="1"/>
  <c r="D243" i="18"/>
  <c r="C243" i="18" s="1"/>
  <c r="E243" i="18" s="1" a="1"/>
  <c r="E243" i="18" s="1"/>
  <c r="D244" i="18"/>
  <c r="C244" i="18" s="1"/>
  <c r="E244" i="18" s="1" a="1"/>
  <c r="E244" i="18" s="1"/>
  <c r="D245" i="18"/>
  <c r="C245" i="18" s="1"/>
  <c r="E245" i="18" s="1" a="1"/>
  <c r="E245" i="18" s="1"/>
  <c r="D246" i="18"/>
  <c r="C246" i="18" s="1"/>
  <c r="E246" i="18" s="1" a="1"/>
  <c r="E246" i="18" s="1"/>
  <c r="D247" i="18"/>
  <c r="C247" i="18" s="1"/>
  <c r="E247" i="18" s="1" a="1"/>
  <c r="E247" i="18" s="1"/>
  <c r="D248" i="18"/>
  <c r="C248" i="18" s="1"/>
  <c r="E248" i="18" s="1" a="1"/>
  <c r="E248" i="18" s="1"/>
  <c r="D249" i="18"/>
  <c r="C249" i="18" s="1"/>
  <c r="E249" i="18" s="1" a="1"/>
  <c r="E249" i="18" s="1"/>
  <c r="D250" i="18"/>
  <c r="C250" i="18" s="1"/>
  <c r="E250" i="18" s="1" a="1"/>
  <c r="E250" i="18" s="1"/>
  <c r="D251" i="18"/>
  <c r="C251" i="18" s="1"/>
  <c r="E251" i="18" s="1" a="1"/>
  <c r="E251" i="18" s="1"/>
  <c r="D252" i="18"/>
  <c r="C252" i="18" s="1"/>
  <c r="E252" i="18" s="1" a="1"/>
  <c r="E252" i="18" s="1"/>
  <c r="D253" i="18"/>
  <c r="C253" i="18" s="1"/>
  <c r="E253" i="18" s="1" a="1"/>
  <c r="E253" i="18" s="1"/>
  <c r="D254" i="18"/>
  <c r="C254" i="18" s="1"/>
  <c r="E254" i="18" s="1" a="1"/>
  <c r="E254" i="18" s="1"/>
  <c r="D255" i="18"/>
  <c r="C255" i="18" s="1"/>
  <c r="E255" i="18" s="1" a="1"/>
  <c r="E255" i="18" s="1"/>
  <c r="D256" i="18"/>
  <c r="C256" i="18" s="1"/>
  <c r="E256" i="18" s="1" a="1"/>
  <c r="E256" i="18" s="1"/>
  <c r="D257" i="18"/>
  <c r="C257" i="18" s="1"/>
  <c r="E257" i="18" s="1" a="1"/>
  <c r="E257" i="18" s="1"/>
  <c r="D258" i="18"/>
  <c r="C258" i="18" s="1"/>
  <c r="E258" i="18" s="1" a="1"/>
  <c r="E258" i="18" s="1"/>
  <c r="D259" i="18"/>
  <c r="C259" i="18" s="1"/>
  <c r="E259" i="18" s="1" a="1"/>
  <c r="E259" i="18" s="1"/>
  <c r="D260" i="18"/>
  <c r="C260" i="18" s="1"/>
  <c r="E260" i="18" s="1" a="1"/>
  <c r="E260" i="18" s="1"/>
  <c r="D261" i="18"/>
  <c r="C261" i="18" s="1"/>
  <c r="E261" i="18" s="1" a="1"/>
  <c r="E261" i="18" s="1"/>
  <c r="D262" i="18"/>
  <c r="C262" i="18" s="1"/>
  <c r="E262" i="18" s="1" a="1"/>
  <c r="E262" i="18" s="1"/>
  <c r="D263" i="18"/>
  <c r="C263" i="18" s="1"/>
  <c r="E263" i="18" s="1" a="1"/>
  <c r="E263" i="18" s="1"/>
  <c r="D264" i="18"/>
  <c r="C264" i="18" s="1"/>
  <c r="E264" i="18" s="1" a="1"/>
  <c r="E264" i="18" s="1"/>
  <c r="D265" i="18"/>
  <c r="C265" i="18" s="1"/>
  <c r="E265" i="18" s="1" a="1"/>
  <c r="E265" i="18" s="1"/>
  <c r="D266" i="18"/>
  <c r="C266" i="18" s="1"/>
  <c r="E266" i="18" s="1" a="1"/>
  <c r="E266" i="18" s="1"/>
  <c r="D267" i="18"/>
  <c r="C267" i="18" s="1"/>
  <c r="E267" i="18" s="1" a="1"/>
  <c r="E267" i="18" s="1"/>
  <c r="D268" i="18"/>
  <c r="C268" i="18" s="1"/>
  <c r="E268" i="18" s="1" a="1"/>
  <c r="E268" i="18" s="1"/>
  <c r="D269" i="18"/>
  <c r="C269" i="18" s="1"/>
  <c r="E269" i="18" s="1" a="1"/>
  <c r="E269" i="18" s="1"/>
  <c r="D270" i="18"/>
  <c r="C270" i="18" s="1"/>
  <c r="E270" i="18" s="1" a="1"/>
  <c r="E270" i="18" s="1"/>
  <c r="D271" i="18"/>
  <c r="C271" i="18" s="1"/>
  <c r="E271" i="18" s="1" a="1"/>
  <c r="E271" i="18" s="1"/>
  <c r="D272" i="18"/>
  <c r="C272" i="18" s="1"/>
  <c r="E272" i="18" s="1" a="1"/>
  <c r="E272" i="18" s="1"/>
  <c r="D273" i="18"/>
  <c r="C273" i="18" s="1"/>
  <c r="E273" i="18" s="1" a="1"/>
  <c r="E273" i="18" s="1"/>
  <c r="D274" i="18"/>
  <c r="C274" i="18" s="1"/>
  <c r="E274" i="18" s="1" a="1"/>
  <c r="E274" i="18" s="1"/>
  <c r="D275" i="18"/>
  <c r="C275" i="18" s="1"/>
  <c r="E275" i="18" s="1" a="1"/>
  <c r="E275" i="18" s="1"/>
  <c r="D276" i="18"/>
  <c r="C276" i="18" s="1"/>
  <c r="E276" i="18" s="1" a="1"/>
  <c r="E276" i="18" s="1"/>
  <c r="D277" i="18"/>
  <c r="C277" i="18" s="1"/>
  <c r="E277" i="18" s="1" a="1"/>
  <c r="E277" i="18" s="1"/>
  <c r="D278" i="18"/>
  <c r="C278" i="18" s="1"/>
  <c r="E278" i="18" s="1" a="1"/>
  <c r="E278" i="18" s="1"/>
  <c r="D279" i="18"/>
  <c r="C279" i="18" s="1"/>
  <c r="E279" i="18" s="1" a="1"/>
  <c r="E279" i="18" s="1"/>
  <c r="D280" i="18"/>
  <c r="C280" i="18" s="1"/>
  <c r="E280" i="18" s="1" a="1"/>
  <c r="E280" i="18" s="1"/>
  <c r="D281" i="18"/>
  <c r="C281" i="18" s="1"/>
  <c r="E281" i="18" s="1" a="1"/>
  <c r="E281" i="18" s="1"/>
  <c r="E2" i="9"/>
  <c r="F2" i="9" s="1"/>
  <c r="G2" i="9" s="1" a="1"/>
  <c r="G2" i="9" s="1"/>
  <c r="E3" i="9"/>
  <c r="F3" i="9" s="1"/>
  <c r="G3" i="9" s="1" a="1"/>
  <c r="G3" i="9" s="1"/>
  <c r="E4" i="9"/>
  <c r="F4" i="9" s="1"/>
  <c r="G4" i="9" s="1" a="1"/>
  <c r="G4" i="9" s="1"/>
  <c r="E5" i="9"/>
  <c r="F5" i="9" s="1"/>
  <c r="G5" i="9" s="1" a="1"/>
  <c r="G5" i="9" s="1"/>
  <c r="E6" i="9"/>
  <c r="F6" i="9" s="1"/>
  <c r="G6" i="9" s="1" a="1"/>
  <c r="G6" i="9" s="1"/>
  <c r="E7" i="9"/>
  <c r="F7" i="9" s="1"/>
  <c r="G7" i="9" s="1" a="1"/>
  <c r="G7" i="9" s="1"/>
  <c r="E8" i="9"/>
  <c r="F8" i="9" s="1"/>
  <c r="G8" i="9" s="1" a="1"/>
  <c r="G8" i="9" s="1"/>
  <c r="E9" i="9"/>
  <c r="F9" i="9" s="1"/>
  <c r="G9" i="9" s="1" a="1"/>
  <c r="G9" i="9" s="1"/>
  <c r="E10" i="9"/>
  <c r="F10" i="9" s="1"/>
  <c r="G10" i="9" s="1" a="1"/>
  <c r="G10" i="9" s="1"/>
  <c r="E11" i="9"/>
  <c r="F11" i="9" s="1"/>
  <c r="G11" i="9" s="1" a="1"/>
  <c r="G11" i="9" s="1"/>
  <c r="E12" i="9"/>
  <c r="F12" i="9" s="1"/>
  <c r="G12" i="9" s="1" a="1"/>
  <c r="G12" i="9" s="1"/>
  <c r="E13" i="9"/>
  <c r="F13" i="9" s="1"/>
  <c r="G13" i="9" s="1" a="1"/>
  <c r="G13" i="9" s="1"/>
  <c r="E14" i="9"/>
  <c r="F14" i="9" s="1"/>
  <c r="G14" i="9" s="1" a="1"/>
  <c r="G14" i="9" s="1"/>
  <c r="E15" i="9"/>
  <c r="F15" i="9" s="1"/>
  <c r="G15" i="9" s="1" a="1"/>
  <c r="G15" i="9" s="1"/>
  <c r="E16" i="9"/>
  <c r="F16" i="9" s="1"/>
  <c r="G16" i="9" s="1" a="1"/>
  <c r="G16" i="9" s="1"/>
  <c r="E17" i="9"/>
  <c r="F17" i="9" s="1"/>
  <c r="E18" i="9"/>
  <c r="F18" i="9" s="1"/>
  <c r="G18" i="9" s="1" a="1"/>
  <c r="G18" i="9" s="1"/>
  <c r="E19" i="9"/>
  <c r="F19" i="9" s="1"/>
  <c r="G19" i="9" s="1" a="1"/>
  <c r="G19" i="9" s="1"/>
  <c r="E20" i="9"/>
  <c r="F20" i="9" s="1"/>
  <c r="G20" i="9" s="1" a="1"/>
  <c r="G20" i="9" s="1"/>
  <c r="E21" i="9"/>
  <c r="F21" i="9" s="1"/>
  <c r="G21" i="9" s="1" a="1"/>
  <c r="G21" i="9" s="1"/>
  <c r="E22" i="9"/>
  <c r="F22" i="9" s="1"/>
  <c r="G22" i="9" s="1" a="1"/>
  <c r="G22" i="9" s="1"/>
  <c r="E23" i="9"/>
  <c r="F23" i="9" s="1"/>
  <c r="G23" i="9" s="1" a="1"/>
  <c r="G23" i="9" s="1"/>
  <c r="E24" i="9"/>
  <c r="F24" i="9" s="1"/>
  <c r="G24" i="9" s="1" a="1"/>
  <c r="G24" i="9" s="1"/>
  <c r="E25" i="9"/>
  <c r="F25" i="9" s="1"/>
  <c r="G25" i="9" s="1" a="1"/>
  <c r="G25" i="9" s="1"/>
  <c r="E26" i="9"/>
  <c r="F26" i="9" s="1"/>
  <c r="G26" i="9" s="1" a="1"/>
  <c r="G26" i="9" s="1"/>
  <c r="E27" i="9"/>
  <c r="F27" i="9" s="1"/>
  <c r="G27" i="9" s="1" a="1"/>
  <c r="G27" i="9" s="1"/>
  <c r="E28" i="9"/>
  <c r="F28" i="9" s="1"/>
  <c r="G28" i="9" s="1" a="1"/>
  <c r="G28" i="9" s="1"/>
  <c r="E29" i="9"/>
  <c r="F29" i="9" s="1"/>
  <c r="G29" i="9" s="1" a="1"/>
  <c r="G29" i="9" s="1"/>
  <c r="E30" i="9"/>
  <c r="F30" i="9" s="1"/>
  <c r="G30" i="9" s="1" a="1"/>
  <c r="G30" i="9" s="1"/>
  <c r="E31" i="9"/>
  <c r="F31" i="9" s="1"/>
  <c r="G31" i="9" s="1" a="1"/>
  <c r="G31" i="9" s="1"/>
  <c r="E32" i="9"/>
  <c r="F32" i="9" s="1"/>
  <c r="G32" i="9" s="1" a="1"/>
  <c r="G32" i="9" s="1"/>
  <c r="E33" i="9"/>
  <c r="F33" i="9" s="1"/>
  <c r="G33" i="9" s="1" a="1"/>
  <c r="G33" i="9" s="1"/>
  <c r="E34" i="9"/>
  <c r="F34" i="9" s="1"/>
  <c r="G34" i="9" s="1" a="1"/>
  <c r="G34" i="9" s="1"/>
  <c r="E35" i="9"/>
  <c r="F35" i="9" s="1"/>
  <c r="G35" i="9" s="1" a="1"/>
  <c r="G35" i="9" s="1"/>
  <c r="E36" i="9"/>
  <c r="F36" i="9" s="1"/>
  <c r="G36" i="9" s="1" a="1"/>
  <c r="G36" i="9" s="1"/>
  <c r="E37" i="9"/>
  <c r="F37" i="9" s="1"/>
  <c r="G37" i="9" s="1" a="1"/>
  <c r="G37" i="9" s="1"/>
  <c r="E38" i="9"/>
  <c r="F38" i="9" s="1"/>
  <c r="G38" i="9" s="1" a="1"/>
  <c r="G38" i="9" s="1"/>
  <c r="E39" i="9"/>
  <c r="F39" i="9" s="1"/>
  <c r="G39" i="9" s="1" a="1"/>
  <c r="G39" i="9" s="1"/>
  <c r="E40" i="9"/>
  <c r="F40" i="9" s="1"/>
  <c r="G40" i="9" s="1" a="1"/>
  <c r="G40" i="9" s="1"/>
  <c r="E41" i="9"/>
  <c r="F41" i="9" s="1"/>
  <c r="G41" i="9" s="1" a="1"/>
  <c r="G41" i="9" s="1"/>
  <c r="E42" i="9"/>
  <c r="F42" i="9" s="1"/>
  <c r="G42" i="9" s="1" a="1"/>
  <c r="G42" i="9" s="1"/>
  <c r="E43" i="9"/>
  <c r="F43" i="9" s="1"/>
  <c r="G43" i="9" s="1" a="1"/>
  <c r="G43" i="9" s="1"/>
  <c r="E44" i="9"/>
  <c r="F44" i="9" s="1"/>
  <c r="G44" i="9" s="1" a="1"/>
  <c r="G44" i="9" s="1"/>
  <c r="E45" i="9"/>
  <c r="F45" i="9" s="1"/>
  <c r="G45" i="9" s="1" a="1"/>
  <c r="G45" i="9" s="1"/>
  <c r="E46" i="9"/>
  <c r="F46" i="9" s="1"/>
  <c r="G46" i="9" s="1" a="1"/>
  <c r="G46" i="9" s="1"/>
  <c r="E47" i="9"/>
  <c r="F47" i="9" s="1"/>
  <c r="G47" i="9" s="1" a="1"/>
  <c r="G47" i="9" s="1"/>
  <c r="E48" i="9"/>
  <c r="F48" i="9" s="1"/>
  <c r="G48" i="9" s="1" a="1"/>
  <c r="G48" i="9" s="1"/>
  <c r="E49" i="9"/>
  <c r="F49" i="9" s="1"/>
  <c r="G49" i="9" s="1" a="1"/>
  <c r="G49" i="9" s="1"/>
  <c r="E50" i="9"/>
  <c r="F50" i="9" s="1"/>
  <c r="G50" i="9" s="1" a="1"/>
  <c r="G50" i="9" s="1"/>
  <c r="E51" i="9"/>
  <c r="F51" i="9" s="1"/>
  <c r="G51" i="9" s="1" a="1"/>
  <c r="G51" i="9" s="1"/>
  <c r="E52" i="9"/>
  <c r="F52" i="9" s="1"/>
  <c r="G52" i="9" s="1" a="1"/>
  <c r="G52" i="9" s="1"/>
  <c r="E53" i="9"/>
  <c r="F53" i="9" s="1"/>
  <c r="G53" i="9" s="1" a="1"/>
  <c r="G53" i="9" s="1"/>
  <c r="E54" i="9"/>
  <c r="F54" i="9" s="1"/>
  <c r="G54" i="9" s="1" a="1"/>
  <c r="G54" i="9" s="1"/>
  <c r="E55" i="9"/>
  <c r="F55" i="9" s="1"/>
  <c r="G55" i="9" s="1" a="1"/>
  <c r="G55" i="9" s="1"/>
  <c r="E56" i="9"/>
  <c r="F56" i="9" s="1"/>
  <c r="G56" i="9" s="1" a="1"/>
  <c r="G56" i="9" s="1"/>
  <c r="E57" i="9"/>
  <c r="F57" i="9" s="1"/>
  <c r="G57" i="9" s="1" a="1"/>
  <c r="G57" i="9" s="1"/>
  <c r="E58" i="9"/>
  <c r="F58" i="9" s="1"/>
  <c r="G58" i="9" s="1" a="1"/>
  <c r="G58" i="9" s="1"/>
  <c r="E59" i="9"/>
  <c r="F59" i="9" s="1"/>
  <c r="G59" i="9" s="1" a="1"/>
  <c r="G59" i="9" s="1"/>
  <c r="E60" i="9"/>
  <c r="F60" i="9" s="1"/>
  <c r="G60" i="9" s="1" a="1"/>
  <c r="G60" i="9" s="1"/>
  <c r="E61" i="9"/>
  <c r="F61" i="9" s="1"/>
  <c r="G61" i="9" s="1" a="1"/>
  <c r="G61" i="9" s="1"/>
  <c r="E62" i="9"/>
  <c r="F62" i="9" s="1"/>
  <c r="G62" i="9" s="1" a="1"/>
  <c r="G62" i="9" s="1"/>
  <c r="E63" i="9"/>
  <c r="F63" i="9" s="1"/>
  <c r="G63" i="9" s="1" a="1"/>
  <c r="G63" i="9" s="1"/>
  <c r="E64" i="9"/>
  <c r="F64" i="9" s="1"/>
  <c r="G64" i="9" s="1" a="1"/>
  <c r="G64" i="9" s="1"/>
  <c r="E65" i="9"/>
  <c r="F65" i="9" s="1"/>
  <c r="G65" i="9" s="1" a="1"/>
  <c r="G65" i="9" s="1"/>
  <c r="E66" i="9"/>
  <c r="F66" i="9" s="1"/>
  <c r="E67" i="9"/>
  <c r="F67" i="9" s="1"/>
  <c r="G67" i="9" s="1" a="1"/>
  <c r="G67" i="9" s="1"/>
  <c r="E68" i="9"/>
  <c r="F68" i="9" s="1"/>
  <c r="G68" i="9" s="1" a="1"/>
  <c r="G68" i="9" s="1"/>
  <c r="E69" i="9"/>
  <c r="F69" i="9" s="1"/>
  <c r="G69" i="9" s="1" a="1"/>
  <c r="G69" i="9" s="1"/>
  <c r="E70" i="9"/>
  <c r="F70" i="9" s="1"/>
  <c r="G70" i="9" s="1" a="1"/>
  <c r="G70" i="9" s="1"/>
  <c r="E71" i="9"/>
  <c r="F71" i="9" s="1"/>
  <c r="G71" i="9" s="1" a="1"/>
  <c r="G71" i="9" s="1"/>
  <c r="E72" i="9"/>
  <c r="F72" i="9" s="1"/>
  <c r="G72" i="9" s="1" a="1"/>
  <c r="G72" i="9" s="1"/>
  <c r="E73" i="9"/>
  <c r="F73" i="9" s="1"/>
  <c r="G73" i="9" s="1" a="1"/>
  <c r="G73" i="9" s="1"/>
  <c r="E74" i="9"/>
  <c r="F74" i="9" s="1"/>
  <c r="G74" i="9" s="1" a="1"/>
  <c r="G74" i="9" s="1"/>
  <c r="E75" i="9"/>
  <c r="F75" i="9" s="1"/>
  <c r="G75" i="9" s="1" a="1"/>
  <c r="G75" i="9" s="1"/>
  <c r="E76" i="9"/>
  <c r="F76" i="9" s="1"/>
  <c r="G76" i="9" s="1" a="1"/>
  <c r="G76" i="9" s="1"/>
  <c r="E77" i="9"/>
  <c r="F77" i="9" s="1"/>
  <c r="G77" i="9" s="1" a="1"/>
  <c r="G77" i="9" s="1"/>
  <c r="E78" i="9"/>
  <c r="F78" i="9" s="1"/>
  <c r="G78" i="9" s="1" a="1"/>
  <c r="G78" i="9" s="1"/>
  <c r="E79" i="9"/>
  <c r="F79" i="9" s="1"/>
  <c r="G79" i="9" s="1" a="1"/>
  <c r="G79" i="9" s="1"/>
  <c r="E80" i="9"/>
  <c r="F80" i="9" s="1"/>
  <c r="G80" i="9" s="1" a="1"/>
  <c r="G80" i="9" s="1"/>
  <c r="E81" i="9"/>
  <c r="F81" i="9" s="1"/>
  <c r="G81" i="9" s="1" a="1"/>
  <c r="G81" i="9" s="1"/>
  <c r="E82" i="9"/>
  <c r="F82" i="9" s="1"/>
  <c r="G82" i="9" s="1" a="1"/>
  <c r="G82" i="9" s="1"/>
  <c r="E83" i="9"/>
  <c r="F83" i="9" s="1"/>
  <c r="G83" i="9" s="1" a="1"/>
  <c r="G83" i="9" s="1"/>
  <c r="E84" i="9"/>
  <c r="F84" i="9" s="1"/>
  <c r="G84" i="9" s="1" a="1"/>
  <c r="G84" i="9" s="1"/>
  <c r="E85" i="9"/>
  <c r="F85" i="9" s="1"/>
  <c r="G85" i="9" s="1" a="1"/>
  <c r="G85" i="9" s="1"/>
  <c r="E86" i="9"/>
  <c r="F86" i="9" s="1"/>
  <c r="G86" i="9" s="1" a="1"/>
  <c r="G86" i="9" s="1"/>
  <c r="E87" i="9"/>
  <c r="F87" i="9" s="1"/>
  <c r="G87" i="9" s="1" a="1"/>
  <c r="G87" i="9" s="1"/>
  <c r="E88" i="9"/>
  <c r="F88" i="9" s="1"/>
  <c r="G88" i="9" s="1" a="1"/>
  <c r="G88" i="9" s="1"/>
  <c r="E89" i="9"/>
  <c r="F89" i="9" s="1"/>
  <c r="G89" i="9" s="1" a="1"/>
  <c r="G89" i="9" s="1"/>
  <c r="E90" i="9"/>
  <c r="F90" i="9" s="1"/>
  <c r="G90" i="9" s="1" a="1"/>
  <c r="G90" i="9" s="1"/>
  <c r="E91" i="9"/>
  <c r="F91" i="9" s="1"/>
  <c r="G91" i="9" s="1" a="1"/>
  <c r="G91" i="9" s="1"/>
  <c r="E92" i="9"/>
  <c r="F92" i="9" s="1"/>
  <c r="G92" i="9" s="1" a="1"/>
  <c r="G92" i="9" s="1"/>
  <c r="E93" i="9"/>
  <c r="F93" i="9" s="1"/>
  <c r="G93" i="9" s="1" a="1"/>
  <c r="G93" i="9" s="1"/>
  <c r="E94" i="9"/>
  <c r="F94" i="9" s="1"/>
  <c r="G94" i="9" s="1" a="1"/>
  <c r="G94" i="9" s="1"/>
  <c r="E95" i="9"/>
  <c r="F95" i="9" s="1"/>
  <c r="G95" i="9" s="1" a="1"/>
  <c r="G95" i="9" s="1"/>
  <c r="E96" i="9"/>
  <c r="F96" i="9" s="1"/>
  <c r="G96" i="9" s="1" a="1"/>
  <c r="G96" i="9" s="1"/>
  <c r="E97" i="9"/>
  <c r="F97" i="9" s="1"/>
  <c r="G97" i="9" s="1" a="1"/>
  <c r="G97" i="9" s="1"/>
  <c r="E98" i="9"/>
  <c r="F98" i="9" s="1"/>
  <c r="G98" i="9" s="1" a="1"/>
  <c r="G98" i="9" s="1"/>
  <c r="E99" i="9"/>
  <c r="F99" i="9" s="1"/>
  <c r="G99" i="9" s="1" a="1"/>
  <c r="G99" i="9" s="1"/>
  <c r="E100" i="9"/>
  <c r="F100" i="9" s="1"/>
  <c r="G100" i="9" s="1" a="1"/>
  <c r="G100" i="9" s="1"/>
  <c r="E101" i="9"/>
  <c r="F101" i="9" s="1"/>
  <c r="G101" i="9" s="1" a="1"/>
  <c r="G101" i="9" s="1"/>
  <c r="E102" i="9"/>
  <c r="F102" i="9" s="1"/>
  <c r="G102" i="9" s="1" a="1"/>
  <c r="G102" i="9" s="1"/>
  <c r="E103" i="9"/>
  <c r="F103" i="9" s="1"/>
  <c r="G103" i="9" s="1" a="1"/>
  <c r="G103" i="9" s="1"/>
  <c r="E104" i="9"/>
  <c r="F104" i="9" s="1"/>
  <c r="G104" i="9" s="1" a="1"/>
  <c r="G104" i="9" s="1"/>
  <c r="E105" i="9"/>
  <c r="F105" i="9" s="1"/>
  <c r="G105" i="9" s="1" a="1"/>
  <c r="G105" i="9" s="1"/>
  <c r="E106" i="9"/>
  <c r="F106" i="9" s="1"/>
  <c r="G106" i="9" s="1" a="1"/>
  <c r="G106" i="9" s="1"/>
  <c r="E107" i="9"/>
  <c r="F107" i="9" s="1"/>
  <c r="G107" i="9" s="1" a="1"/>
  <c r="G107" i="9" s="1"/>
  <c r="E108" i="9"/>
  <c r="F108" i="9" s="1"/>
  <c r="G108" i="9" s="1" a="1"/>
  <c r="G108" i="9" s="1"/>
  <c r="E109" i="9"/>
  <c r="F109" i="9" s="1"/>
  <c r="G109" i="9" s="1" a="1"/>
  <c r="G109" i="9" s="1"/>
  <c r="E110" i="9"/>
  <c r="F110" i="9" s="1"/>
  <c r="G110" i="9" s="1" a="1"/>
  <c r="G110" i="9" s="1"/>
  <c r="E111" i="9"/>
  <c r="F111" i="9" s="1"/>
  <c r="G111" i="9" s="1" a="1"/>
  <c r="G111" i="9" s="1"/>
  <c r="E112" i="9"/>
  <c r="F112" i="9" s="1"/>
  <c r="G112" i="9" s="1" a="1"/>
  <c r="G112" i="9" s="1"/>
  <c r="E113" i="9"/>
  <c r="F113" i="9" s="1"/>
  <c r="G113" i="9" s="1" a="1"/>
  <c r="G113" i="9" s="1"/>
  <c r="E114" i="9"/>
  <c r="F114" i="9" s="1"/>
  <c r="G114" i="9" s="1" a="1"/>
  <c r="G114" i="9" s="1"/>
  <c r="E115" i="9"/>
  <c r="F115" i="9" s="1"/>
  <c r="G115" i="9" s="1" a="1"/>
  <c r="G115" i="9" s="1"/>
  <c r="E116" i="9"/>
  <c r="F116" i="9" s="1"/>
  <c r="G116" i="9" s="1" a="1"/>
  <c r="G116" i="9" s="1"/>
  <c r="E117" i="9"/>
  <c r="F117" i="9" s="1"/>
  <c r="G117" i="9" s="1" a="1"/>
  <c r="G117" i="9" s="1"/>
  <c r="E118" i="9"/>
  <c r="F118" i="9" s="1"/>
  <c r="G118" i="9" s="1" a="1"/>
  <c r="G118" i="9" s="1"/>
  <c r="E119" i="9"/>
  <c r="F119" i="9" s="1"/>
  <c r="G119" i="9" s="1" a="1"/>
  <c r="G119" i="9" s="1"/>
  <c r="E120" i="9"/>
  <c r="F120" i="9" s="1"/>
  <c r="G120" i="9" s="1" a="1"/>
  <c r="G120" i="9" s="1"/>
  <c r="E121" i="9"/>
  <c r="F121" i="9" s="1"/>
  <c r="E122" i="9"/>
  <c r="F122" i="9" s="1"/>
  <c r="G122" i="9" s="1" a="1"/>
  <c r="G122" i="9" s="1"/>
  <c r="E123" i="9"/>
  <c r="F123" i="9" s="1"/>
  <c r="G123" i="9" s="1" a="1"/>
  <c r="G123" i="9" s="1"/>
  <c r="E124" i="9"/>
  <c r="F124" i="9" s="1"/>
  <c r="G124" i="9" s="1" a="1"/>
  <c r="G124" i="9" s="1"/>
  <c r="E125" i="9"/>
  <c r="F125" i="9" s="1"/>
  <c r="G125" i="9" s="1" a="1"/>
  <c r="G125" i="9" s="1"/>
  <c r="E126" i="9"/>
  <c r="F126" i="9" s="1"/>
  <c r="G126" i="9" s="1" a="1"/>
  <c r="G126" i="9" s="1"/>
  <c r="E127" i="9"/>
  <c r="F127" i="9" s="1"/>
  <c r="G127" i="9" s="1" a="1"/>
  <c r="G127" i="9" s="1"/>
  <c r="E128" i="9"/>
  <c r="F128" i="9" s="1"/>
  <c r="G128" i="9" s="1" a="1"/>
  <c r="G128" i="9" s="1"/>
  <c r="E129" i="9"/>
  <c r="F129" i="9" s="1"/>
  <c r="G129" i="9" s="1" a="1"/>
  <c r="G129" i="9" s="1"/>
  <c r="E130" i="9"/>
  <c r="F130" i="9" s="1"/>
  <c r="G130" i="9" s="1" a="1"/>
  <c r="G130" i="9" s="1"/>
  <c r="E131" i="9"/>
  <c r="F131" i="9" s="1"/>
  <c r="G131" i="9" s="1" a="1"/>
  <c r="G131" i="9" s="1"/>
  <c r="E132" i="9"/>
  <c r="F132" i="9" s="1"/>
  <c r="G132" i="9" s="1" a="1"/>
  <c r="G132" i="9" s="1"/>
  <c r="E133" i="9"/>
  <c r="F133" i="9" s="1"/>
  <c r="G133" i="9" s="1" a="1"/>
  <c r="G133" i="9" s="1"/>
  <c r="E134" i="9"/>
  <c r="F134" i="9" s="1"/>
  <c r="G134" i="9" s="1" a="1"/>
  <c r="G134" i="9" s="1"/>
  <c r="E135" i="9"/>
  <c r="F135" i="9" s="1"/>
  <c r="G135" i="9" s="1" a="1"/>
  <c r="G135" i="9" s="1"/>
  <c r="E136" i="9"/>
  <c r="F136" i="9" s="1"/>
  <c r="G136" i="9" s="1" a="1"/>
  <c r="G136" i="9" s="1"/>
  <c r="E137" i="9"/>
  <c r="F137" i="9" s="1"/>
  <c r="G137" i="9" s="1" a="1"/>
  <c r="G137" i="9" s="1"/>
  <c r="E138" i="9"/>
  <c r="F138" i="9" s="1"/>
  <c r="G138" i="9" s="1" a="1"/>
  <c r="G138" i="9" s="1"/>
  <c r="E139" i="9"/>
  <c r="F139" i="9" s="1"/>
  <c r="G139" i="9" s="1" a="1"/>
  <c r="G139" i="9" s="1"/>
  <c r="E140" i="9"/>
  <c r="F140" i="9" s="1"/>
  <c r="G140" i="9" s="1" a="1"/>
  <c r="G140" i="9" s="1"/>
  <c r="E141" i="9"/>
  <c r="F141" i="9" s="1"/>
  <c r="G141" i="9" s="1" a="1"/>
  <c r="G141" i="9" s="1"/>
  <c r="E142" i="9"/>
  <c r="F142" i="9" s="1"/>
  <c r="G142" i="9" s="1" a="1"/>
  <c r="G142" i="9" s="1"/>
  <c r="E143" i="9"/>
  <c r="F143" i="9" s="1"/>
  <c r="G143" i="9" s="1" a="1"/>
  <c r="G143" i="9" s="1"/>
  <c r="E144" i="9"/>
  <c r="F144" i="9" s="1"/>
  <c r="G144" i="9" s="1" a="1"/>
  <c r="G144" i="9" s="1"/>
  <c r="E145" i="9"/>
  <c r="F145" i="9" s="1"/>
  <c r="G145" i="9" s="1" a="1"/>
  <c r="G145" i="9" s="1"/>
  <c r="E146" i="9"/>
  <c r="F146" i="9" s="1"/>
  <c r="G146" i="9" s="1" a="1"/>
  <c r="G146" i="9" s="1"/>
  <c r="E147" i="9"/>
  <c r="F147" i="9" s="1"/>
  <c r="G147" i="9" s="1" a="1"/>
  <c r="G147" i="9" s="1"/>
  <c r="E148" i="9"/>
  <c r="F148" i="9" s="1"/>
  <c r="G148" i="9" s="1" a="1"/>
  <c r="G148" i="9" s="1"/>
  <c r="E149" i="9"/>
  <c r="F149" i="9" s="1"/>
  <c r="G149" i="9" s="1" a="1"/>
  <c r="G149" i="9" s="1"/>
  <c r="E150" i="9"/>
  <c r="F150" i="9" s="1"/>
  <c r="G150" i="9" s="1" a="1"/>
  <c r="G150" i="9" s="1"/>
  <c r="E151" i="9"/>
  <c r="F151" i="9" s="1"/>
  <c r="G151" i="9" s="1" a="1"/>
  <c r="G151" i="9" s="1"/>
  <c r="E152" i="9"/>
  <c r="F152" i="9" s="1"/>
  <c r="G152" i="9" s="1" a="1"/>
  <c r="G152" i="9" s="1"/>
  <c r="E153" i="9"/>
  <c r="F153" i="9" s="1"/>
  <c r="G153" i="9" s="1" a="1"/>
  <c r="G153" i="9" s="1"/>
  <c r="E154" i="9"/>
  <c r="F154" i="9" s="1"/>
  <c r="G154" i="9" s="1" a="1"/>
  <c r="G154" i="9" s="1"/>
  <c r="E155" i="9"/>
  <c r="F155" i="9" s="1"/>
  <c r="G155" i="9" s="1" a="1"/>
  <c r="G155" i="9" s="1"/>
  <c r="E156" i="9"/>
  <c r="F156" i="9" s="1"/>
  <c r="G156" i="9" s="1" a="1"/>
  <c r="G156" i="9" s="1"/>
  <c r="E157" i="9"/>
  <c r="F157" i="9" s="1"/>
  <c r="G157" i="9" s="1" a="1"/>
  <c r="G157" i="9" s="1"/>
  <c r="E158" i="9"/>
  <c r="F158" i="9" s="1"/>
  <c r="G158" i="9" s="1" a="1"/>
  <c r="G158" i="9" s="1"/>
  <c r="E159" i="9"/>
  <c r="F159" i="9" s="1"/>
  <c r="G159" i="9" s="1" a="1"/>
  <c r="G159" i="9" s="1"/>
  <c r="E160" i="9"/>
  <c r="F160" i="9" s="1"/>
  <c r="G160" i="9" s="1" a="1"/>
  <c r="G160" i="9" s="1"/>
  <c r="E161" i="9"/>
  <c r="F161" i="9" s="1"/>
  <c r="G161" i="9" s="1" a="1"/>
  <c r="G161" i="9" s="1"/>
  <c r="E162" i="9"/>
  <c r="F162" i="9" s="1"/>
  <c r="G162" i="9" s="1" a="1"/>
  <c r="G162" i="9" s="1"/>
  <c r="E163" i="9"/>
  <c r="F163" i="9" s="1"/>
  <c r="G163" i="9" s="1" a="1"/>
  <c r="G163" i="9" s="1"/>
  <c r="E164" i="9"/>
  <c r="F164" i="9" s="1"/>
  <c r="G164" i="9" s="1" a="1"/>
  <c r="G164" i="9" s="1"/>
  <c r="E165" i="9"/>
  <c r="F165" i="9" s="1"/>
  <c r="G165" i="9" s="1" a="1"/>
  <c r="G165" i="9" s="1"/>
  <c r="E166" i="9"/>
  <c r="F166" i="9" s="1"/>
  <c r="G166" i="9" s="1" a="1"/>
  <c r="G166" i="9" s="1"/>
  <c r="E167" i="9"/>
  <c r="F167" i="9" s="1"/>
  <c r="G167" i="9" s="1" a="1"/>
  <c r="G167" i="9" s="1"/>
  <c r="E168" i="9"/>
  <c r="F168" i="9" s="1"/>
  <c r="G168" i="9" s="1" a="1"/>
  <c r="G168" i="9" s="1"/>
  <c r="E169" i="9"/>
  <c r="F169" i="9" s="1"/>
  <c r="G169" i="9" s="1" a="1"/>
  <c r="G169" i="9" s="1"/>
  <c r="E170" i="9"/>
  <c r="F170" i="9" s="1"/>
  <c r="E171" i="9"/>
  <c r="F171" i="9" s="1"/>
  <c r="G171" i="9" s="1" a="1"/>
  <c r="G171" i="9" s="1"/>
  <c r="E172" i="9"/>
  <c r="F172" i="9" s="1"/>
  <c r="G172" i="9" s="1" a="1"/>
  <c r="G172" i="9" s="1"/>
  <c r="E173" i="9"/>
  <c r="F173" i="9" s="1"/>
  <c r="G173" i="9" s="1" a="1"/>
  <c r="G173" i="9" s="1"/>
  <c r="E174" i="9"/>
  <c r="F174" i="9" s="1"/>
  <c r="G174" i="9" s="1" a="1"/>
  <c r="G174" i="9" s="1"/>
  <c r="E175" i="9"/>
  <c r="F175" i="9" s="1"/>
  <c r="G175" i="9" s="1" a="1"/>
  <c r="G175" i="9" s="1"/>
  <c r="E176" i="9"/>
  <c r="F176" i="9" s="1"/>
  <c r="G176" i="9" s="1" a="1"/>
  <c r="G176" i="9" s="1"/>
  <c r="E177" i="9"/>
  <c r="F177" i="9" s="1"/>
  <c r="G177" i="9" s="1" a="1"/>
  <c r="G177" i="9" s="1"/>
  <c r="E178" i="9"/>
  <c r="F178" i="9" s="1"/>
  <c r="G178" i="9" s="1" a="1"/>
  <c r="G178" i="9" s="1"/>
  <c r="E179" i="9"/>
  <c r="F179" i="9" s="1"/>
  <c r="G179" i="9" s="1" a="1"/>
  <c r="G179" i="9" s="1"/>
  <c r="E180" i="9"/>
  <c r="F180" i="9" s="1"/>
  <c r="G180" i="9" s="1" a="1"/>
  <c r="G180" i="9" s="1"/>
  <c r="E181" i="9"/>
  <c r="F181" i="9" s="1"/>
  <c r="G181" i="9" s="1" a="1"/>
  <c r="G181" i="9" s="1"/>
  <c r="E182" i="9"/>
  <c r="F182" i="9" s="1"/>
  <c r="G182" i="9" s="1" a="1"/>
  <c r="G182" i="9" s="1"/>
  <c r="E183" i="9"/>
  <c r="F183" i="9" s="1"/>
  <c r="G183" i="9" s="1" a="1"/>
  <c r="G183" i="9" s="1"/>
  <c r="E184" i="9"/>
  <c r="F184" i="9" s="1"/>
  <c r="G184" i="9" s="1" a="1"/>
  <c r="G184" i="9" s="1"/>
  <c r="E185" i="9"/>
  <c r="F185" i="9" s="1"/>
  <c r="G185" i="9" s="1" a="1"/>
  <c r="G185" i="9" s="1"/>
  <c r="E186" i="9"/>
  <c r="F186" i="9" s="1"/>
  <c r="G186" i="9" s="1" a="1"/>
  <c r="G186" i="9" s="1"/>
  <c r="E187" i="9"/>
  <c r="F187" i="9" s="1"/>
  <c r="G187" i="9" s="1" a="1"/>
  <c r="G187" i="9" s="1"/>
  <c r="E188" i="9"/>
  <c r="F188" i="9" s="1"/>
  <c r="G188" i="9" s="1" a="1"/>
  <c r="G188" i="9" s="1"/>
  <c r="E189" i="9"/>
  <c r="F189" i="9" s="1"/>
  <c r="G189" i="9" s="1" a="1"/>
  <c r="G189" i="9" s="1"/>
  <c r="E190" i="9"/>
  <c r="F190" i="9" s="1"/>
  <c r="G190" i="9" s="1" a="1"/>
  <c r="G190" i="9" s="1"/>
  <c r="E191" i="9"/>
  <c r="F191" i="9" s="1"/>
  <c r="G191" i="9" s="1" a="1"/>
  <c r="G191" i="9" s="1"/>
  <c r="E192" i="9"/>
  <c r="F192" i="9" s="1"/>
  <c r="G192" i="9" s="1" a="1"/>
  <c r="G192" i="9" s="1"/>
  <c r="E193" i="9"/>
  <c r="F193" i="9" s="1"/>
  <c r="G193" i="9" s="1" a="1"/>
  <c r="G193" i="9" s="1"/>
  <c r="E194" i="9"/>
  <c r="F194" i="9" s="1"/>
  <c r="G194" i="9" s="1" a="1"/>
  <c r="G194" i="9" s="1"/>
  <c r="E195" i="9"/>
  <c r="F195" i="9" s="1"/>
  <c r="G195" i="9" s="1" a="1"/>
  <c r="G195" i="9" s="1"/>
  <c r="E196" i="9"/>
  <c r="F196" i="9" s="1"/>
  <c r="G196" i="9" s="1" a="1"/>
  <c r="G196" i="9" s="1"/>
  <c r="E197" i="9"/>
  <c r="F197" i="9" s="1"/>
  <c r="G197" i="9" s="1" a="1"/>
  <c r="G197" i="9" s="1"/>
  <c r="E198" i="9"/>
  <c r="F198" i="9" s="1"/>
  <c r="G198" i="9" s="1" a="1"/>
  <c r="G198" i="9" s="1"/>
  <c r="E199" i="9"/>
  <c r="F199" i="9" s="1"/>
  <c r="G199" i="9" s="1" a="1"/>
  <c r="G199" i="9" s="1"/>
  <c r="E200" i="9"/>
  <c r="F200" i="9" s="1"/>
  <c r="G200" i="9" s="1" a="1"/>
  <c r="G200" i="9" s="1"/>
  <c r="E201" i="9"/>
  <c r="F201" i="9" s="1"/>
  <c r="G201" i="9" s="1" a="1"/>
  <c r="G201" i="9" s="1"/>
  <c r="E202" i="9"/>
  <c r="F202" i="9" s="1"/>
  <c r="G202" i="9" s="1" a="1"/>
  <c r="G202" i="9" s="1"/>
  <c r="E203" i="9"/>
  <c r="F203" i="9" s="1"/>
  <c r="G203" i="9" s="1" a="1"/>
  <c r="G203" i="9" s="1"/>
  <c r="E204" i="9"/>
  <c r="F204" i="9" s="1"/>
  <c r="G204" i="9" s="1" a="1"/>
  <c r="G204" i="9" s="1"/>
  <c r="E205" i="9"/>
  <c r="F205" i="9" s="1"/>
  <c r="G205" i="9" s="1" a="1"/>
  <c r="G205" i="9" s="1"/>
  <c r="E206" i="9"/>
  <c r="F206" i="9" s="1"/>
  <c r="G206" i="9" s="1" a="1"/>
  <c r="G206" i="9" s="1"/>
  <c r="E207" i="9"/>
  <c r="F207" i="9" s="1"/>
  <c r="G207" i="9" s="1" a="1"/>
  <c r="G207" i="9" s="1"/>
  <c r="E208" i="9"/>
  <c r="F208" i="9" s="1"/>
  <c r="G208" i="9" s="1" a="1"/>
  <c r="G208" i="9" s="1"/>
  <c r="E209" i="9"/>
  <c r="F209" i="9" s="1"/>
  <c r="G209" i="9" s="1" a="1"/>
  <c r="G209" i="9" s="1"/>
  <c r="E210" i="9"/>
  <c r="F210" i="9" s="1"/>
  <c r="G210" i="9" s="1" a="1"/>
  <c r="G210" i="9" s="1"/>
  <c r="E211" i="9"/>
  <c r="F211" i="9" s="1"/>
  <c r="G211" i="9" s="1" a="1"/>
  <c r="G211" i="9" s="1"/>
  <c r="E212" i="9"/>
  <c r="F212" i="9" s="1"/>
  <c r="G212" i="9" s="1" a="1"/>
  <c r="G212" i="9" s="1"/>
  <c r="E213" i="9"/>
  <c r="F213" i="9" s="1"/>
  <c r="G213" i="9" s="1" a="1"/>
  <c r="G213" i="9" s="1"/>
  <c r="E214" i="9"/>
  <c r="F214" i="9" s="1"/>
  <c r="G214" i="9" s="1" a="1"/>
  <c r="G214" i="9" s="1"/>
  <c r="E215" i="9"/>
  <c r="F215" i="9" s="1"/>
  <c r="G215" i="9" s="1" a="1"/>
  <c r="G215" i="9" s="1"/>
  <c r="E216" i="9"/>
  <c r="F216" i="9" s="1"/>
  <c r="G216" i="9" s="1" a="1"/>
  <c r="G216" i="9" s="1"/>
  <c r="E217" i="9"/>
  <c r="F217" i="9" s="1"/>
  <c r="G217" i="9" s="1" a="1"/>
  <c r="G217" i="9" s="1"/>
  <c r="E218" i="9"/>
  <c r="F218" i="9" s="1"/>
  <c r="G218" i="9" s="1" a="1"/>
  <c r="G218" i="9" s="1"/>
  <c r="E219" i="9"/>
  <c r="F219" i="9" s="1"/>
  <c r="G219" i="9" s="1" a="1"/>
  <c r="G219" i="9" s="1"/>
  <c r="E220" i="9"/>
  <c r="F220" i="9" s="1"/>
  <c r="G220" i="9" s="1" a="1"/>
  <c r="G220" i="9" s="1"/>
  <c r="E221" i="9"/>
  <c r="F221" i="9" s="1"/>
  <c r="G221" i="9" s="1" a="1"/>
  <c r="G221" i="9" s="1"/>
  <c r="E222" i="9"/>
  <c r="F222" i="9" s="1"/>
  <c r="G222" i="9" s="1" a="1"/>
  <c r="G222" i="9" s="1"/>
  <c r="E223" i="9"/>
  <c r="F223" i="9" s="1"/>
  <c r="E224" i="9"/>
  <c r="F224" i="9" s="1"/>
  <c r="G224" i="9" s="1" a="1"/>
  <c r="G224" i="9" s="1"/>
  <c r="E225" i="9"/>
  <c r="F225" i="9" s="1"/>
  <c r="G225" i="9" s="1" a="1"/>
  <c r="G225" i="9" s="1"/>
  <c r="E226" i="9"/>
  <c r="F226" i="9" s="1"/>
  <c r="G226" i="9" s="1" a="1"/>
  <c r="G226" i="9" s="1"/>
  <c r="E227" i="9"/>
  <c r="F227" i="9" s="1"/>
  <c r="G227" i="9" s="1" a="1"/>
  <c r="G227" i="9" s="1"/>
  <c r="E228" i="9"/>
  <c r="F228" i="9" s="1"/>
  <c r="G228" i="9" s="1" a="1"/>
  <c r="G228" i="9" s="1"/>
  <c r="E229" i="9"/>
  <c r="F229" i="9" s="1"/>
  <c r="G229" i="9" s="1" a="1"/>
  <c r="G229" i="9" s="1"/>
  <c r="E230" i="9"/>
  <c r="F230" i="9" s="1"/>
  <c r="G230" i="9" s="1" a="1"/>
  <c r="G230" i="9" s="1"/>
  <c r="E231" i="9"/>
  <c r="F231" i="9" s="1"/>
  <c r="G231" i="9" s="1" a="1"/>
  <c r="G231" i="9" s="1"/>
  <c r="E232" i="9"/>
  <c r="F232" i="9" s="1"/>
  <c r="G232" i="9" s="1" a="1"/>
  <c r="G232" i="9" s="1"/>
  <c r="E233" i="9"/>
  <c r="F233" i="9" s="1"/>
  <c r="G233" i="9" s="1" a="1"/>
  <c r="G233" i="9" s="1"/>
  <c r="E234" i="9"/>
  <c r="F234" i="9" s="1"/>
  <c r="G234" i="9" s="1" a="1"/>
  <c r="G234" i="9" s="1"/>
  <c r="E235" i="9"/>
  <c r="F235" i="9" s="1"/>
  <c r="G235" i="9" s="1" a="1"/>
  <c r="G235" i="9" s="1"/>
  <c r="E236" i="9"/>
  <c r="F236" i="9" s="1"/>
  <c r="G236" i="9" s="1" a="1"/>
  <c r="G236" i="9" s="1"/>
  <c r="E237" i="9"/>
  <c r="F237" i="9" s="1"/>
  <c r="G237" i="9" s="1" a="1"/>
  <c r="G237" i="9" s="1"/>
  <c r="E238" i="9"/>
  <c r="F238" i="9" s="1"/>
  <c r="G238" i="9" s="1" a="1"/>
  <c r="G238" i="9" s="1"/>
  <c r="E239" i="9"/>
  <c r="F239" i="9" s="1"/>
  <c r="G239" i="9" s="1" a="1"/>
  <c r="G239" i="9" s="1"/>
  <c r="E240" i="9"/>
  <c r="F240" i="9" s="1"/>
  <c r="G240" i="9" s="1" a="1"/>
  <c r="G240" i="9" s="1"/>
  <c r="E241" i="9"/>
  <c r="F241" i="9" s="1"/>
  <c r="G241" i="9" s="1" a="1"/>
  <c r="G241" i="9" s="1"/>
  <c r="E242" i="9"/>
  <c r="F242" i="9" s="1"/>
  <c r="G242" i="9" s="1" a="1"/>
  <c r="G242" i="9" s="1"/>
  <c r="E243" i="9"/>
  <c r="F243" i="9" s="1"/>
  <c r="G243" i="9" s="1" a="1"/>
  <c r="G243" i="9" s="1"/>
  <c r="E244" i="9"/>
  <c r="F244" i="9" s="1"/>
  <c r="G244" i="9" s="1" a="1"/>
  <c r="G244" i="9" s="1"/>
  <c r="E245" i="9"/>
  <c r="F245" i="9" s="1"/>
  <c r="G245" i="9" s="1" a="1"/>
  <c r="G245" i="9" s="1"/>
  <c r="E246" i="9"/>
  <c r="F246" i="9" s="1"/>
  <c r="G246" i="9" s="1" a="1"/>
  <c r="G246" i="9" s="1"/>
  <c r="E247" i="9"/>
  <c r="F247" i="9" s="1"/>
  <c r="G247" i="9" s="1" a="1"/>
  <c r="G247" i="9" s="1"/>
  <c r="E248" i="9"/>
  <c r="F248" i="9" s="1"/>
  <c r="G248" i="9" s="1" a="1"/>
  <c r="G248" i="9" s="1"/>
  <c r="E249" i="9"/>
  <c r="F249" i="9" s="1"/>
  <c r="G249" i="9" s="1" a="1"/>
  <c r="G249" i="9" s="1"/>
  <c r="E250" i="9"/>
  <c r="F250" i="9" s="1"/>
  <c r="G250" i="9" s="1" a="1"/>
  <c r="G250" i="9" s="1"/>
  <c r="E251" i="9"/>
  <c r="F251" i="9" s="1"/>
  <c r="G251" i="9" s="1" a="1"/>
  <c r="G251" i="9" s="1"/>
  <c r="E252" i="9"/>
  <c r="F252" i="9" s="1"/>
  <c r="G252" i="9" s="1" a="1"/>
  <c r="G252" i="9" s="1"/>
  <c r="E253" i="9"/>
  <c r="F253" i="9" s="1"/>
  <c r="G253" i="9" s="1" a="1"/>
  <c r="G253" i="9" s="1"/>
  <c r="E254" i="9"/>
  <c r="F254" i="9" s="1"/>
  <c r="G254" i="9" s="1" a="1"/>
  <c r="G254" i="9" s="1"/>
  <c r="E255" i="9"/>
  <c r="F255" i="9" s="1"/>
  <c r="G255" i="9" s="1" a="1"/>
  <c r="G255" i="9" s="1"/>
  <c r="E256" i="9"/>
  <c r="F256" i="9" s="1"/>
  <c r="G256" i="9" s="1" a="1"/>
  <c r="G256" i="9" s="1"/>
  <c r="E257" i="9"/>
  <c r="F257" i="9" s="1"/>
  <c r="G257" i="9" s="1" a="1"/>
  <c r="G257" i="9" s="1"/>
  <c r="E258" i="9"/>
  <c r="F258" i="9" s="1"/>
  <c r="G258" i="9" s="1" a="1"/>
  <c r="G258" i="9" s="1"/>
  <c r="E259" i="9"/>
  <c r="F259" i="9" s="1"/>
  <c r="G259" i="9" s="1" a="1"/>
  <c r="G259" i="9" s="1"/>
  <c r="E260" i="9"/>
  <c r="F260" i="9" s="1"/>
  <c r="G260" i="9" s="1" a="1"/>
  <c r="G260" i="9" s="1"/>
  <c r="E261" i="9"/>
  <c r="F261" i="9" s="1"/>
  <c r="G261" i="9" s="1" a="1"/>
  <c r="G261" i="9" s="1"/>
  <c r="E262" i="9"/>
  <c r="F262" i="9" s="1"/>
  <c r="G262" i="9" s="1" a="1"/>
  <c r="G262" i="9" s="1"/>
  <c r="E263" i="9"/>
  <c r="F263" i="9" s="1"/>
  <c r="G263" i="9" s="1" a="1"/>
  <c r="G263" i="9" s="1"/>
  <c r="E264" i="9"/>
  <c r="F264" i="9" s="1"/>
  <c r="G264" i="9" s="1" a="1"/>
  <c r="G264" i="9" s="1"/>
  <c r="E265" i="9"/>
  <c r="F265" i="9" s="1"/>
  <c r="G265" i="9" s="1" a="1"/>
  <c r="G265" i="9" s="1"/>
  <c r="E266" i="9"/>
  <c r="F266" i="9" s="1"/>
  <c r="G266" i="9" s="1" a="1"/>
  <c r="G266" i="9" s="1"/>
  <c r="E267" i="9"/>
  <c r="F267" i="9" s="1"/>
  <c r="G267" i="9" s="1" a="1"/>
  <c r="G267" i="9" s="1"/>
  <c r="E268" i="9"/>
  <c r="F268" i="9" s="1"/>
  <c r="G268" i="9" s="1" a="1"/>
  <c r="G268" i="9" s="1"/>
  <c r="E269" i="9"/>
  <c r="F269" i="9" s="1"/>
  <c r="G269" i="9" s="1" a="1"/>
  <c r="G269" i="9" s="1"/>
  <c r="E270" i="9"/>
  <c r="F270" i="9" s="1"/>
  <c r="G270" i="9" s="1" a="1"/>
  <c r="G270" i="9" s="1"/>
  <c r="E271" i="9"/>
  <c r="F271" i="9" s="1"/>
  <c r="G271" i="9" s="1" a="1"/>
  <c r="G271" i="9" s="1"/>
  <c r="E272" i="9"/>
  <c r="F272" i="9" s="1"/>
  <c r="G272" i="9" s="1" a="1"/>
  <c r="G272" i="9" s="1"/>
  <c r="E273" i="9"/>
  <c r="F273" i="9" s="1"/>
  <c r="E274" i="9"/>
  <c r="F274" i="9" s="1"/>
  <c r="G274" i="9" s="1" a="1"/>
  <c r="G274" i="9" s="1"/>
  <c r="E275" i="9"/>
  <c r="F275" i="9" s="1"/>
  <c r="G275" i="9" s="1" a="1"/>
  <c r="G275" i="9" s="1"/>
  <c r="E276" i="9"/>
  <c r="F276" i="9" s="1"/>
  <c r="G276" i="9" s="1" a="1"/>
  <c r="G276" i="9" s="1"/>
  <c r="E277" i="9"/>
  <c r="F277" i="9" s="1"/>
  <c r="G277" i="9" s="1" a="1"/>
  <c r="G277" i="9" s="1"/>
  <c r="E278" i="9"/>
  <c r="F278" i="9" s="1"/>
  <c r="G278" i="9" s="1" a="1"/>
  <c r="G278" i="9" s="1"/>
  <c r="E279" i="9"/>
  <c r="F279" i="9" s="1"/>
  <c r="G279" i="9" s="1" a="1"/>
  <c r="G279" i="9" s="1"/>
  <c r="E280" i="9"/>
  <c r="F280" i="9" s="1"/>
  <c r="G280" i="9" s="1" a="1"/>
  <c r="G280" i="9" s="1"/>
  <c r="E281" i="9"/>
  <c r="F281" i="9" s="1"/>
  <c r="G281" i="9" s="1" a="1"/>
  <c r="G281" i="9" s="1"/>
  <c r="E282" i="9"/>
  <c r="F282" i="9" s="1"/>
  <c r="G282" i="9" s="1" a="1"/>
  <c r="G282" i="9" s="1"/>
  <c r="E283" i="9"/>
  <c r="F283" i="9" s="1"/>
  <c r="G283" i="9" s="1" a="1"/>
  <c r="G283" i="9" s="1"/>
  <c r="E284" i="9"/>
  <c r="F284" i="9" s="1"/>
  <c r="G284" i="9" s="1" a="1"/>
  <c r="G284" i="9" s="1"/>
  <c r="E285" i="9"/>
  <c r="F285" i="9" s="1"/>
  <c r="G285" i="9" s="1" a="1"/>
  <c r="G285" i="9" s="1"/>
  <c r="E286" i="9"/>
  <c r="F286" i="9" s="1"/>
  <c r="G286" i="9" s="1" a="1"/>
  <c r="G286" i="9" s="1"/>
  <c r="E287" i="9"/>
  <c r="F287" i="9" s="1"/>
  <c r="G287" i="9" s="1" a="1"/>
  <c r="G287" i="9" s="1"/>
  <c r="E288" i="9"/>
  <c r="F288" i="9" s="1"/>
  <c r="G288" i="9" s="1" a="1"/>
  <c r="G288" i="9" s="1"/>
  <c r="E289" i="9"/>
  <c r="F289" i="9" s="1"/>
  <c r="G289" i="9" s="1" a="1"/>
  <c r="G289" i="9" s="1"/>
  <c r="E290" i="9"/>
  <c r="F290" i="9" s="1"/>
  <c r="G290" i="9" s="1" a="1"/>
  <c r="G290" i="9" s="1"/>
  <c r="E291" i="9"/>
  <c r="F291" i="9" s="1"/>
  <c r="G291" i="9" s="1" a="1"/>
  <c r="G291" i="9" s="1"/>
  <c r="E292" i="9"/>
  <c r="F292" i="9" s="1"/>
  <c r="G292" i="9" s="1" a="1"/>
  <c r="G292" i="9" s="1"/>
  <c r="E293" i="9"/>
  <c r="F293" i="9" s="1"/>
  <c r="G293" i="9" s="1" a="1"/>
  <c r="G293" i="9" s="1"/>
  <c r="E294" i="9"/>
  <c r="F294" i="9" s="1"/>
  <c r="G294" i="9" s="1" a="1"/>
  <c r="G294" i="9" s="1"/>
  <c r="E295" i="9"/>
  <c r="F295" i="9" s="1"/>
  <c r="G295" i="9" s="1" a="1"/>
  <c r="G295" i="9" s="1"/>
  <c r="E296" i="9"/>
  <c r="F296" i="9" s="1"/>
  <c r="G296" i="9" s="1" a="1"/>
  <c r="G296" i="9" s="1"/>
  <c r="E297" i="9"/>
  <c r="F297" i="9" s="1"/>
  <c r="G297" i="9" s="1" a="1"/>
  <c r="G297" i="9" s="1"/>
  <c r="E298" i="9"/>
  <c r="F298" i="9" s="1"/>
  <c r="G298" i="9" s="1" a="1"/>
  <c r="G298" i="9" s="1"/>
  <c r="E299" i="9"/>
  <c r="F299" i="9" s="1"/>
  <c r="G299" i="9" s="1" a="1"/>
  <c r="G299" i="9" s="1"/>
  <c r="E300" i="9"/>
  <c r="F300" i="9" s="1"/>
  <c r="G300" i="9" s="1" a="1"/>
  <c r="G300" i="9" s="1"/>
  <c r="E301" i="9"/>
  <c r="F301" i="9" s="1"/>
  <c r="G301" i="9" s="1" a="1"/>
  <c r="G301" i="9" s="1"/>
  <c r="E302" i="9"/>
  <c r="F302" i="9" s="1"/>
  <c r="G302" i="9" s="1" a="1"/>
  <c r="G302" i="9" s="1"/>
  <c r="E303" i="9"/>
  <c r="F303" i="9" s="1"/>
  <c r="G303" i="9" s="1" a="1"/>
  <c r="G303" i="9" s="1"/>
  <c r="E304" i="9"/>
  <c r="F304" i="9" s="1"/>
  <c r="G304" i="9" s="1" a="1"/>
  <c r="G304" i="9" s="1"/>
  <c r="E305" i="9"/>
  <c r="F305" i="9" s="1"/>
  <c r="G305" i="9" s="1" a="1"/>
  <c r="G305" i="9" s="1"/>
  <c r="E306" i="9"/>
  <c r="F306" i="9" s="1"/>
  <c r="G306" i="9" s="1" a="1"/>
  <c r="G306" i="9" s="1"/>
  <c r="E307" i="9"/>
  <c r="F307" i="9" s="1"/>
  <c r="G307" i="9" s="1" a="1"/>
  <c r="G307" i="9" s="1"/>
  <c r="E308" i="9"/>
  <c r="F308" i="9" s="1"/>
  <c r="G308" i="9" s="1" a="1"/>
  <c r="G308" i="9" s="1"/>
  <c r="E309" i="9"/>
  <c r="F309" i="9" s="1"/>
  <c r="G309" i="9" s="1" a="1"/>
  <c r="G309" i="9" s="1"/>
  <c r="E310" i="9"/>
  <c r="F310" i="9" s="1"/>
  <c r="G310" i="9" s="1" a="1"/>
  <c r="G310" i="9" s="1"/>
  <c r="E311" i="9"/>
  <c r="F311" i="9" s="1"/>
  <c r="G311" i="9" s="1" a="1"/>
  <c r="G311" i="9" s="1"/>
  <c r="E312" i="9"/>
  <c r="F312" i="9" s="1"/>
  <c r="G312" i="9" s="1" a="1"/>
  <c r="G312" i="9" s="1"/>
  <c r="E313" i="9"/>
  <c r="F313" i="9" s="1"/>
  <c r="G313" i="9" s="1" a="1"/>
  <c r="G313" i="9" s="1"/>
  <c r="E314" i="9"/>
  <c r="F314" i="9" s="1"/>
  <c r="G314" i="9" s="1" a="1"/>
  <c r="G314" i="9" s="1"/>
  <c r="E315" i="9"/>
  <c r="F315" i="9" s="1"/>
  <c r="G315" i="9" s="1" a="1"/>
  <c r="G315" i="9" s="1"/>
  <c r="E316" i="9"/>
  <c r="F316" i="9" s="1"/>
  <c r="G316" i="9" s="1" a="1"/>
  <c r="G316" i="9" s="1"/>
  <c r="E317" i="9"/>
  <c r="F317" i="9" s="1"/>
  <c r="G317" i="9" s="1" a="1"/>
  <c r="G317" i="9" s="1"/>
  <c r="E318" i="9"/>
  <c r="F318" i="9" s="1"/>
  <c r="G318" i="9" s="1" a="1"/>
  <c r="G318" i="9" s="1"/>
  <c r="E319" i="9"/>
  <c r="F319" i="9" s="1"/>
  <c r="G319" i="9" s="1" a="1"/>
  <c r="G319" i="9" s="1"/>
  <c r="E320" i="9"/>
  <c r="F320" i="9" s="1"/>
  <c r="G320" i="9" s="1" a="1"/>
  <c r="G320" i="9" s="1"/>
  <c r="E321" i="9"/>
  <c r="F321" i="9" s="1"/>
  <c r="G321" i="9" s="1" a="1"/>
  <c r="G321" i="9" s="1"/>
  <c r="E322" i="9"/>
  <c r="F322" i="9" s="1"/>
  <c r="E323" i="9"/>
  <c r="F323" i="9" s="1"/>
  <c r="G323" i="9" s="1" a="1"/>
  <c r="G323" i="9" s="1"/>
  <c r="E324" i="9"/>
  <c r="F324" i="9" s="1"/>
  <c r="G324" i="9" s="1" a="1"/>
  <c r="G324" i="9" s="1"/>
  <c r="E325" i="9"/>
  <c r="F325" i="9" s="1"/>
  <c r="G325" i="9" s="1" a="1"/>
  <c r="G325" i="9" s="1"/>
  <c r="E326" i="9"/>
  <c r="F326" i="9" s="1"/>
  <c r="G326" i="9" s="1" a="1"/>
  <c r="G326" i="9" s="1"/>
  <c r="E327" i="9"/>
  <c r="F327" i="9" s="1"/>
  <c r="G327" i="9" s="1" a="1"/>
  <c r="G327" i="9" s="1"/>
  <c r="E328" i="9"/>
  <c r="F328" i="9" s="1"/>
  <c r="G328" i="9" s="1" a="1"/>
  <c r="G328" i="9" s="1"/>
  <c r="E329" i="9"/>
  <c r="F329" i="9" s="1"/>
  <c r="G329" i="9" s="1" a="1"/>
  <c r="G329" i="9" s="1"/>
  <c r="E330" i="9"/>
  <c r="F330" i="9" s="1"/>
  <c r="G330" i="9" s="1" a="1"/>
  <c r="G330" i="9" s="1"/>
  <c r="E331" i="9"/>
  <c r="F331" i="9" s="1"/>
  <c r="G331" i="9" s="1" a="1"/>
  <c r="G331" i="9" s="1"/>
  <c r="E332" i="9"/>
  <c r="F332" i="9" s="1"/>
  <c r="G332" i="9" s="1" a="1"/>
  <c r="G332" i="9" s="1"/>
  <c r="E333" i="9"/>
  <c r="F333" i="9" s="1"/>
  <c r="G333" i="9" s="1" a="1"/>
  <c r="G333" i="9" s="1"/>
  <c r="E334" i="9"/>
  <c r="F334" i="9" s="1"/>
  <c r="G334" i="9" s="1" a="1"/>
  <c r="G334" i="9" s="1"/>
  <c r="E335" i="9"/>
  <c r="F335" i="9" s="1"/>
  <c r="G335" i="9" s="1" a="1"/>
  <c r="G335" i="9" s="1"/>
  <c r="E336" i="9"/>
  <c r="F336" i="9" s="1"/>
  <c r="G336" i="9" s="1" a="1"/>
  <c r="G336" i="9" s="1"/>
  <c r="E337" i="9"/>
  <c r="F337" i="9" s="1"/>
  <c r="G337" i="9" s="1" a="1"/>
  <c r="G337" i="9" s="1"/>
  <c r="E338" i="9"/>
  <c r="F338" i="9" s="1"/>
  <c r="G338" i="9" s="1" a="1"/>
  <c r="G338" i="9" s="1"/>
  <c r="E339" i="9"/>
  <c r="F339" i="9" s="1"/>
  <c r="G339" i="9" s="1" a="1"/>
  <c r="G339" i="9" s="1"/>
  <c r="E340" i="9"/>
  <c r="F340" i="9" s="1"/>
  <c r="G340" i="9" s="1" a="1"/>
  <c r="G340" i="9" s="1"/>
  <c r="E341" i="9"/>
  <c r="F341" i="9" s="1"/>
  <c r="G341" i="9" s="1" a="1"/>
  <c r="G341" i="9" s="1"/>
  <c r="E342" i="9"/>
  <c r="F342" i="9" s="1"/>
  <c r="G342" i="9" s="1" a="1"/>
  <c r="G342" i="9" s="1"/>
  <c r="E343" i="9"/>
  <c r="F343" i="9" s="1"/>
  <c r="G343" i="9" s="1" a="1"/>
  <c r="G343" i="9" s="1"/>
  <c r="E344" i="9"/>
  <c r="F344" i="9" s="1"/>
  <c r="G344" i="9" s="1" a="1"/>
  <c r="G344" i="9" s="1"/>
  <c r="E345" i="9"/>
  <c r="F345" i="9" s="1"/>
  <c r="G345" i="9" s="1" a="1"/>
  <c r="G345" i="9" s="1"/>
  <c r="E346" i="9"/>
  <c r="F346" i="9" s="1"/>
  <c r="G346" i="9" s="1" a="1"/>
  <c r="G346" i="9" s="1"/>
  <c r="E347" i="9"/>
  <c r="F347" i="9" s="1"/>
  <c r="G347" i="9" s="1" a="1"/>
  <c r="G347" i="9" s="1"/>
  <c r="E348" i="9"/>
  <c r="F348" i="9" s="1"/>
  <c r="G348" i="9" s="1" a="1"/>
  <c r="G348" i="9" s="1"/>
  <c r="E349" i="9"/>
  <c r="F349" i="9" s="1"/>
  <c r="G349" i="9" s="1" a="1"/>
  <c r="G349" i="9" s="1"/>
  <c r="E350" i="9"/>
  <c r="F350" i="9" s="1"/>
  <c r="G350" i="9" s="1" a="1"/>
  <c r="G350" i="9" s="1"/>
  <c r="E351" i="9"/>
  <c r="F351" i="9" s="1"/>
  <c r="G351" i="9" s="1" a="1"/>
  <c r="G351" i="9" s="1"/>
  <c r="E352" i="9"/>
  <c r="F352" i="9" s="1"/>
  <c r="G352" i="9" s="1" a="1"/>
  <c r="G352" i="9" s="1"/>
  <c r="E353" i="9"/>
  <c r="F353" i="9" s="1"/>
  <c r="G353" i="9" s="1" a="1"/>
  <c r="G353" i="9" s="1"/>
  <c r="E354" i="9"/>
  <c r="F354" i="9" s="1"/>
  <c r="G354" i="9" s="1" a="1"/>
  <c r="G354" i="9" s="1"/>
  <c r="E355" i="9"/>
  <c r="F355" i="9" s="1"/>
  <c r="G355" i="9" s="1" a="1"/>
  <c r="G355" i="9" s="1"/>
  <c r="E356" i="9"/>
  <c r="F356" i="9" s="1"/>
  <c r="G356" i="9" s="1" a="1"/>
  <c r="G356" i="9" s="1"/>
  <c r="E357" i="9"/>
  <c r="F357" i="9" s="1"/>
  <c r="G357" i="9" s="1" a="1"/>
  <c r="G357" i="9" s="1"/>
  <c r="E358" i="9"/>
  <c r="F358" i="9" s="1"/>
  <c r="G358" i="9" s="1" a="1"/>
  <c r="G358" i="9" s="1"/>
  <c r="E359" i="9"/>
  <c r="F359" i="9" s="1"/>
  <c r="G359" i="9" s="1" a="1"/>
  <c r="G359" i="9" s="1"/>
  <c r="E360" i="9"/>
  <c r="F360" i="9" s="1"/>
  <c r="G360" i="9" s="1" a="1"/>
  <c r="G360" i="9" s="1"/>
  <c r="E361" i="9"/>
  <c r="F361" i="9" s="1"/>
  <c r="G361" i="9" s="1" a="1"/>
  <c r="G361" i="9" s="1"/>
  <c r="E362" i="9"/>
  <c r="F362" i="9" s="1"/>
  <c r="G362" i="9" s="1" a="1"/>
  <c r="G362" i="9" s="1"/>
  <c r="E363" i="9"/>
  <c r="F363" i="9" s="1"/>
  <c r="G363" i="9" s="1" a="1"/>
  <c r="G363" i="9" s="1"/>
  <c r="E364" i="9"/>
  <c r="F364" i="9" s="1"/>
  <c r="G364" i="9" s="1" a="1"/>
  <c r="G364" i="9" s="1"/>
  <c r="E365" i="9"/>
  <c r="F365" i="9" s="1"/>
  <c r="G365" i="9" s="1" a="1"/>
  <c r="G365" i="9" s="1"/>
  <c r="E366" i="9"/>
  <c r="F366" i="9" s="1"/>
  <c r="G366" i="9" s="1" a="1"/>
  <c r="G366" i="9" s="1"/>
  <c r="E367" i="9"/>
  <c r="F367" i="9" s="1"/>
  <c r="G367" i="9" s="1" a="1"/>
  <c r="G367" i="9" s="1"/>
  <c r="E368" i="9"/>
  <c r="F368" i="9" s="1"/>
  <c r="G368" i="9" s="1" a="1"/>
  <c r="G368" i="9" s="1"/>
  <c r="E369" i="9"/>
  <c r="F369" i="9" s="1"/>
  <c r="G369" i="9" s="1" a="1"/>
  <c r="G369" i="9" s="1"/>
  <c r="E370" i="9"/>
  <c r="F370" i="9" s="1"/>
  <c r="G370" i="9" s="1" a="1"/>
  <c r="G370" i="9" s="1"/>
  <c r="E371" i="9"/>
  <c r="F371" i="9" s="1"/>
  <c r="G371" i="9" s="1" a="1"/>
  <c r="G371" i="9" s="1"/>
  <c r="E372" i="9"/>
  <c r="F372" i="9" s="1"/>
  <c r="G372" i="9" s="1" a="1"/>
  <c r="G372" i="9" s="1"/>
  <c r="E373" i="9"/>
  <c r="F373" i="9" s="1"/>
  <c r="G373" i="9" s="1" a="1"/>
  <c r="G373" i="9" s="1"/>
  <c r="E374" i="9"/>
  <c r="F374" i="9" s="1"/>
  <c r="G374" i="9" s="1" a="1"/>
  <c r="G374" i="9" s="1"/>
  <c r="E375" i="9"/>
  <c r="F375" i="9" s="1"/>
  <c r="G375" i="9" s="1" a="1"/>
  <c r="G375" i="9" s="1"/>
  <c r="E376" i="9"/>
  <c r="F376" i="9" s="1"/>
  <c r="G376" i="9" s="1" a="1"/>
  <c r="G376" i="9" s="1"/>
  <c r="E377" i="9"/>
  <c r="F377" i="9" s="1"/>
  <c r="E378" i="9"/>
  <c r="F378" i="9" s="1"/>
  <c r="G378" i="9" s="1" a="1"/>
  <c r="G378" i="9" s="1"/>
  <c r="E379" i="9"/>
  <c r="F379" i="9" s="1"/>
  <c r="G379" i="9" s="1" a="1"/>
  <c r="G379" i="9" s="1"/>
  <c r="E380" i="9"/>
  <c r="F380" i="9" s="1"/>
  <c r="G380" i="9" s="1" a="1"/>
  <c r="G380" i="9" s="1"/>
  <c r="E381" i="9"/>
  <c r="F381" i="9" s="1"/>
  <c r="G381" i="9" s="1" a="1"/>
  <c r="G381" i="9" s="1"/>
  <c r="E382" i="9"/>
  <c r="F382" i="9" s="1"/>
  <c r="G382" i="9" s="1" a="1"/>
  <c r="G382" i="9" s="1"/>
  <c r="E383" i="9"/>
  <c r="F383" i="9" s="1"/>
  <c r="G383" i="9" s="1" a="1"/>
  <c r="G383" i="9" s="1"/>
  <c r="E384" i="9"/>
  <c r="F384" i="9" s="1"/>
  <c r="G384" i="9" s="1" a="1"/>
  <c r="G384" i="9" s="1"/>
  <c r="E385" i="9"/>
  <c r="F385" i="9" s="1"/>
  <c r="G385" i="9" s="1" a="1"/>
  <c r="G385" i="9" s="1"/>
  <c r="E386" i="9"/>
  <c r="F386" i="9" s="1"/>
  <c r="G386" i="9" s="1" a="1"/>
  <c r="G386" i="9" s="1"/>
  <c r="E387" i="9"/>
  <c r="F387" i="9" s="1"/>
  <c r="G387" i="9" s="1" a="1"/>
  <c r="G387" i="9" s="1"/>
  <c r="E388" i="9"/>
  <c r="F388" i="9" s="1"/>
  <c r="G388" i="9" s="1" a="1"/>
  <c r="G388" i="9" s="1"/>
  <c r="E389" i="9"/>
  <c r="F389" i="9" s="1"/>
  <c r="G389" i="9" s="1" a="1"/>
  <c r="G389" i="9" s="1"/>
  <c r="E390" i="9"/>
  <c r="F390" i="9" s="1"/>
  <c r="G390" i="9" s="1" a="1"/>
  <c r="G390" i="9" s="1"/>
  <c r="E391" i="9"/>
  <c r="F391" i="9" s="1"/>
  <c r="G391" i="9" s="1" a="1"/>
  <c r="G391" i="9" s="1"/>
  <c r="E392" i="9"/>
  <c r="F392" i="9" s="1"/>
  <c r="G392" i="9" s="1" a="1"/>
  <c r="G392" i="9" s="1"/>
  <c r="E393" i="9"/>
  <c r="F393" i="9" s="1"/>
  <c r="G393" i="9" s="1" a="1"/>
  <c r="G393" i="9" s="1"/>
  <c r="E394" i="9"/>
  <c r="F394" i="9" s="1"/>
  <c r="G394" i="9" s="1" a="1"/>
  <c r="G394" i="9" s="1"/>
  <c r="E395" i="9"/>
  <c r="F395" i="9" s="1"/>
  <c r="G395" i="9" s="1" a="1"/>
  <c r="G395" i="9" s="1"/>
  <c r="E396" i="9"/>
  <c r="F396" i="9" s="1"/>
  <c r="G396" i="9" s="1" a="1"/>
  <c r="G396" i="9" s="1"/>
  <c r="E397" i="9"/>
  <c r="F397" i="9" s="1"/>
  <c r="G397" i="9" s="1" a="1"/>
  <c r="G397" i="9" s="1"/>
  <c r="E398" i="9"/>
  <c r="F398" i="9" s="1"/>
  <c r="G398" i="9" s="1" a="1"/>
  <c r="G398" i="9" s="1"/>
  <c r="E399" i="9"/>
  <c r="F399" i="9" s="1"/>
  <c r="G399" i="9" s="1" a="1"/>
  <c r="G399" i="9" s="1"/>
  <c r="E400" i="9"/>
  <c r="F400" i="9" s="1"/>
  <c r="G400" i="9" s="1" a="1"/>
  <c r="G400" i="9" s="1"/>
  <c r="E401" i="9"/>
  <c r="F401" i="9" s="1"/>
  <c r="G401" i="9" s="1" a="1"/>
  <c r="G401" i="9" s="1"/>
  <c r="E402" i="9"/>
  <c r="F402" i="9" s="1"/>
  <c r="G402" i="9" s="1" a="1"/>
  <c r="G402" i="9" s="1"/>
  <c r="E403" i="9"/>
  <c r="F403" i="9" s="1"/>
  <c r="G403" i="9" s="1" a="1"/>
  <c r="G403" i="9" s="1"/>
  <c r="E404" i="9"/>
  <c r="F404" i="9" s="1"/>
  <c r="G404" i="9" s="1" a="1"/>
  <c r="G404" i="9" s="1"/>
  <c r="E405" i="9"/>
  <c r="F405" i="9" s="1"/>
  <c r="G405" i="9" s="1" a="1"/>
  <c r="G405" i="9" s="1"/>
  <c r="E406" i="9"/>
  <c r="F406" i="9" s="1"/>
  <c r="G406" i="9" s="1" a="1"/>
  <c r="G406" i="9" s="1"/>
  <c r="E407" i="9"/>
  <c r="F407" i="9" s="1"/>
  <c r="G407" i="9" s="1" a="1"/>
  <c r="G407" i="9" s="1"/>
  <c r="E408" i="9"/>
  <c r="F408" i="9" s="1"/>
  <c r="G408" i="9" s="1" a="1"/>
  <c r="G408" i="9" s="1"/>
  <c r="E409" i="9"/>
  <c r="F409" i="9" s="1"/>
  <c r="G409" i="9" s="1" a="1"/>
  <c r="G409" i="9" s="1"/>
  <c r="E410" i="9"/>
  <c r="F410" i="9" s="1"/>
  <c r="G410" i="9" s="1" a="1"/>
  <c r="G410" i="9" s="1"/>
  <c r="E411" i="9"/>
  <c r="F411" i="9" s="1"/>
  <c r="G411" i="9" s="1" a="1"/>
  <c r="G411" i="9" s="1"/>
  <c r="E412" i="9"/>
  <c r="F412" i="9" s="1"/>
  <c r="G412" i="9" s="1" a="1"/>
  <c r="G412" i="9" s="1"/>
  <c r="E413" i="9"/>
  <c r="F413" i="9" s="1"/>
  <c r="G413" i="9" s="1" a="1"/>
  <c r="G413" i="9" s="1"/>
  <c r="E414" i="9"/>
  <c r="F414" i="9" s="1"/>
  <c r="G414" i="9" s="1" a="1"/>
  <c r="G414" i="9" s="1"/>
  <c r="E415" i="9"/>
  <c r="F415" i="9" s="1"/>
  <c r="G415" i="9" s="1" a="1"/>
  <c r="G415" i="9" s="1"/>
  <c r="E416" i="9"/>
  <c r="F416" i="9" s="1"/>
  <c r="G416" i="9" s="1" a="1"/>
  <c r="G416" i="9" s="1"/>
  <c r="E417" i="9"/>
  <c r="F417" i="9" s="1"/>
  <c r="G417" i="9" s="1" a="1"/>
  <c r="G417" i="9" s="1"/>
  <c r="E418" i="9"/>
  <c r="F418" i="9" s="1"/>
  <c r="G418" i="9" s="1" a="1"/>
  <c r="G418" i="9" s="1"/>
  <c r="E419" i="9"/>
  <c r="F419" i="9" s="1"/>
  <c r="G419" i="9" s="1" a="1"/>
  <c r="G419" i="9" s="1"/>
  <c r="E420" i="9"/>
  <c r="F420" i="9" s="1"/>
  <c r="G420" i="9" s="1" a="1"/>
  <c r="G420" i="9" s="1"/>
  <c r="E421" i="9"/>
  <c r="F421" i="9" s="1"/>
  <c r="G421" i="9" s="1" a="1"/>
  <c r="G421" i="9" s="1"/>
  <c r="E422" i="9"/>
  <c r="F422" i="9" s="1"/>
  <c r="G422" i="9" s="1" a="1"/>
  <c r="G422" i="9" s="1"/>
  <c r="E423" i="9"/>
  <c r="F423" i="9" s="1"/>
  <c r="G423" i="9" s="1" a="1"/>
  <c r="G423" i="9" s="1"/>
  <c r="E424" i="9"/>
  <c r="F424" i="9" s="1"/>
  <c r="G424" i="9" s="1" a="1"/>
  <c r="G424" i="9" s="1"/>
  <c r="E425" i="9"/>
  <c r="F425" i="9" s="1"/>
  <c r="G425" i="9" s="1" a="1"/>
  <c r="G425" i="9" s="1"/>
  <c r="E426" i="9"/>
  <c r="F426" i="9" s="1"/>
  <c r="G426" i="9" s="1" a="1"/>
  <c r="G426" i="9" s="1"/>
  <c r="E427" i="9"/>
  <c r="F427" i="9" s="1"/>
  <c r="G427" i="9" s="1" a="1"/>
  <c r="G427" i="9" s="1"/>
  <c r="E428" i="9"/>
  <c r="F428" i="9" s="1"/>
  <c r="G428" i="9" s="1" a="1"/>
  <c r="G428" i="9" s="1"/>
  <c r="E429" i="9"/>
  <c r="F429" i="9" s="1"/>
  <c r="G429" i="9" s="1" a="1"/>
  <c r="G429" i="9" s="1"/>
  <c r="E430" i="9"/>
  <c r="F430" i="9" s="1"/>
  <c r="G430" i="9" s="1" a="1"/>
  <c r="G430" i="9" s="1"/>
  <c r="E431" i="9"/>
  <c r="F431" i="9" s="1"/>
  <c r="G431" i="9" s="1" a="1"/>
  <c r="G431" i="9" s="1"/>
  <c r="E432" i="9"/>
  <c r="F432" i="9" s="1"/>
  <c r="G432" i="9" s="1" a="1"/>
  <c r="G432" i="9" s="1"/>
  <c r="E433" i="9"/>
  <c r="F433" i="9" s="1"/>
  <c r="G433" i="9" s="1" a="1"/>
  <c r="G433" i="9" s="1"/>
  <c r="E434" i="9"/>
  <c r="F434" i="9" s="1"/>
  <c r="G434" i="9" s="1" a="1"/>
  <c r="G434" i="9" s="1"/>
  <c r="E435" i="9"/>
  <c r="F435" i="9" s="1"/>
  <c r="G435" i="9" s="1" a="1"/>
  <c r="G435" i="9" s="1"/>
  <c r="E436" i="9"/>
  <c r="F436" i="9" s="1"/>
  <c r="G436" i="9" s="1" a="1"/>
  <c r="G436" i="9" s="1"/>
  <c r="E437" i="9"/>
  <c r="F437" i="9" s="1"/>
  <c r="G437" i="9" s="1" a="1"/>
  <c r="G437" i="9" s="1"/>
  <c r="E438" i="9"/>
  <c r="F438" i="9" s="1"/>
  <c r="G438" i="9" s="1" a="1"/>
  <c r="G438" i="9" s="1"/>
  <c r="E439" i="9"/>
  <c r="F439" i="9" s="1"/>
  <c r="G439" i="9" s="1" a="1"/>
  <c r="G439" i="9" s="1"/>
  <c r="E440" i="9"/>
  <c r="F440" i="9" s="1"/>
  <c r="G440" i="9" s="1" a="1"/>
  <c r="G440" i="9" s="1"/>
  <c r="E441" i="9"/>
  <c r="F441" i="9" s="1"/>
  <c r="G441" i="9" s="1" a="1"/>
  <c r="G441" i="9" s="1"/>
  <c r="E442" i="9"/>
  <c r="F442" i="9" s="1"/>
  <c r="G442" i="9" s="1" a="1"/>
  <c r="G442" i="9" s="1"/>
  <c r="E443" i="9"/>
  <c r="F443" i="9" s="1"/>
  <c r="G443" i="9" s="1" a="1"/>
  <c r="G443" i="9" s="1"/>
  <c r="E444" i="9"/>
  <c r="F444" i="9" s="1"/>
  <c r="G444" i="9" s="1" a="1"/>
  <c r="G444" i="9" s="1"/>
  <c r="E445" i="9"/>
  <c r="F445" i="9" s="1"/>
  <c r="G445" i="9" s="1" a="1"/>
  <c r="G445" i="9" s="1"/>
  <c r="E446" i="9"/>
  <c r="F446" i="9" s="1"/>
  <c r="G446" i="9" s="1" a="1"/>
  <c r="G446" i="9" s="1"/>
  <c r="E447" i="9"/>
  <c r="F447" i="9" s="1"/>
  <c r="G447" i="9" s="1" a="1"/>
  <c r="G447" i="9" s="1"/>
  <c r="E448" i="9"/>
  <c r="F448" i="9" s="1"/>
  <c r="G448" i="9" s="1" a="1"/>
  <c r="G448" i="9" s="1"/>
  <c r="E449" i="9"/>
  <c r="F449" i="9" s="1"/>
  <c r="G449" i="9" s="1" a="1"/>
  <c r="G449" i="9" s="1"/>
  <c r="E450" i="9"/>
  <c r="F450" i="9" s="1"/>
  <c r="G450" i="9" s="1" a="1"/>
  <c r="G450" i="9" s="1"/>
  <c r="E451" i="9"/>
  <c r="F451" i="9" s="1"/>
  <c r="G451" i="9" s="1" a="1"/>
  <c r="G451" i="9" s="1"/>
  <c r="E452" i="9"/>
  <c r="F452" i="9" s="1"/>
  <c r="G452" i="9" s="1" a="1"/>
  <c r="G452" i="9" s="1"/>
  <c r="E453" i="9"/>
  <c r="F453" i="9" s="1"/>
  <c r="G453" i="9" s="1" a="1"/>
  <c r="G453" i="9" s="1"/>
  <c r="E454" i="9"/>
  <c r="F454" i="9" s="1"/>
  <c r="G454" i="9" s="1" a="1"/>
  <c r="G454" i="9" s="1"/>
  <c r="E455" i="9"/>
  <c r="F455" i="9" s="1"/>
  <c r="G455" i="9" s="1" a="1"/>
  <c r="G455" i="9" s="1"/>
  <c r="E456" i="9"/>
  <c r="F456" i="9" s="1"/>
  <c r="G456" i="9" s="1" a="1"/>
  <c r="G456" i="9" s="1"/>
  <c r="E457" i="9"/>
  <c r="F457" i="9" s="1"/>
  <c r="G457" i="9" s="1" a="1"/>
  <c r="G457" i="9" s="1"/>
  <c r="E458" i="9"/>
  <c r="F458" i="9" s="1"/>
  <c r="G458" i="9" s="1" a="1"/>
  <c r="G458" i="9" s="1"/>
  <c r="E459" i="9"/>
  <c r="F459" i="9" s="1"/>
  <c r="G459" i="9" s="1" a="1"/>
  <c r="G459" i="9" s="1"/>
  <c r="E460" i="9"/>
  <c r="F460" i="9" s="1"/>
  <c r="G460" i="9" s="1" a="1"/>
  <c r="G460" i="9" s="1"/>
  <c r="E461" i="9"/>
  <c r="F461" i="9" s="1"/>
  <c r="G461" i="9" s="1" a="1"/>
  <c r="G461" i="9" s="1"/>
  <c r="E462" i="9"/>
  <c r="F462" i="9" s="1"/>
  <c r="G462" i="9" s="1" a="1"/>
  <c r="G462" i="9" s="1"/>
  <c r="E463" i="9"/>
  <c r="F463" i="9" s="1"/>
  <c r="G463" i="9" s="1" a="1"/>
  <c r="G463" i="9" s="1"/>
  <c r="E464" i="9"/>
  <c r="F464" i="9" s="1"/>
  <c r="G464" i="9" s="1" a="1"/>
  <c r="G464" i="9" s="1"/>
  <c r="E465" i="9"/>
  <c r="F465" i="9" s="1"/>
  <c r="G465" i="9" s="1" a="1"/>
  <c r="G465" i="9" s="1"/>
  <c r="E466" i="9"/>
  <c r="F466" i="9" s="1"/>
  <c r="G466" i="9" s="1" a="1"/>
  <c r="G466" i="9" s="1"/>
  <c r="E467" i="9"/>
  <c r="F467" i="9" s="1"/>
  <c r="G467" i="9" s="1" a="1"/>
  <c r="G467" i="9" s="1"/>
  <c r="E468" i="9"/>
  <c r="F468" i="9" s="1"/>
  <c r="G468" i="9" s="1" a="1"/>
  <c r="G468" i="9" s="1"/>
  <c r="E469" i="9"/>
  <c r="F469" i="9" s="1"/>
  <c r="G469" i="9" s="1" a="1"/>
  <c r="G469" i="9" s="1"/>
  <c r="E470" i="9"/>
  <c r="F470" i="9" s="1"/>
  <c r="G470" i="9" s="1" a="1"/>
  <c r="G470" i="9" s="1"/>
  <c r="E471" i="9"/>
  <c r="F471" i="9" s="1"/>
  <c r="G471" i="9" s="1" a="1"/>
  <c r="G471" i="9" s="1"/>
  <c r="E472" i="9"/>
  <c r="F472" i="9" s="1"/>
  <c r="G472" i="9" s="1" a="1"/>
  <c r="G472" i="9" s="1"/>
  <c r="E473" i="9"/>
  <c r="F473" i="9" s="1"/>
  <c r="G473" i="9" s="1" a="1"/>
  <c r="G473" i="9" s="1"/>
  <c r="E474" i="9"/>
  <c r="F474" i="9" s="1"/>
  <c r="G474" i="9" s="1" a="1"/>
  <c r="G474" i="9" s="1"/>
  <c r="E475" i="9"/>
  <c r="F475" i="9" s="1"/>
  <c r="G475" i="9" s="1" a="1"/>
  <c r="G475" i="9" s="1"/>
  <c r="E476" i="9"/>
  <c r="F476" i="9" s="1"/>
  <c r="G476" i="9" s="1" a="1"/>
  <c r="G476" i="9" s="1"/>
  <c r="E477" i="9"/>
  <c r="F477" i="9" s="1"/>
  <c r="E478" i="9"/>
  <c r="F478" i="9" s="1"/>
  <c r="G478" i="9" s="1" a="1"/>
  <c r="G478" i="9" s="1"/>
  <c r="E479" i="9"/>
  <c r="F479" i="9" s="1"/>
  <c r="G479" i="9" s="1" a="1"/>
  <c r="G479" i="9" s="1"/>
  <c r="E480" i="9"/>
  <c r="F480" i="9" s="1"/>
  <c r="G480" i="9" s="1" a="1"/>
  <c r="G480" i="9" s="1"/>
  <c r="E481" i="9"/>
  <c r="F481" i="9" s="1"/>
  <c r="G481" i="9" s="1" a="1"/>
  <c r="G481" i="9" s="1"/>
  <c r="E482" i="9"/>
  <c r="F482" i="9" s="1"/>
  <c r="G482" i="9" s="1" a="1"/>
  <c r="G482" i="9" s="1"/>
  <c r="E483" i="9"/>
  <c r="F483" i="9" s="1"/>
  <c r="G483" i="9" s="1" a="1"/>
  <c r="G483" i="9" s="1"/>
  <c r="E484" i="9"/>
  <c r="F484" i="9" s="1"/>
  <c r="G484" i="9" s="1" a="1"/>
  <c r="G484" i="9" s="1"/>
  <c r="E485" i="9"/>
  <c r="F485" i="9" s="1"/>
  <c r="G485" i="9" s="1" a="1"/>
  <c r="G485" i="9" s="1"/>
  <c r="E486" i="9"/>
  <c r="F486" i="9" s="1"/>
  <c r="G486" i="9" s="1" a="1"/>
  <c r="G486" i="9" s="1"/>
  <c r="E487" i="9"/>
  <c r="F487" i="9" s="1"/>
  <c r="G487" i="9" s="1" a="1"/>
  <c r="G487" i="9" s="1"/>
  <c r="E488" i="9"/>
  <c r="F488" i="9" s="1"/>
  <c r="G488" i="9" s="1" a="1"/>
  <c r="G488" i="9" s="1"/>
  <c r="E489" i="9"/>
  <c r="F489" i="9" s="1"/>
  <c r="G489" i="9" s="1" a="1"/>
  <c r="G489" i="9" s="1"/>
  <c r="E490" i="9"/>
  <c r="F490" i="9" s="1"/>
  <c r="G490" i="9" s="1" a="1"/>
  <c r="G490" i="9" s="1"/>
  <c r="E491" i="9"/>
  <c r="F491" i="9" s="1"/>
  <c r="G491" i="9" s="1" a="1"/>
  <c r="G491" i="9" s="1"/>
  <c r="E492" i="9"/>
  <c r="F492" i="9" s="1"/>
  <c r="G492" i="9" s="1" a="1"/>
  <c r="G492" i="9" s="1"/>
  <c r="E493" i="9"/>
  <c r="F493" i="9" s="1"/>
  <c r="G493" i="9" s="1" a="1"/>
  <c r="G493" i="9" s="1"/>
  <c r="E494" i="9"/>
  <c r="F494" i="9" s="1"/>
  <c r="G494" i="9" s="1" a="1"/>
  <c r="G494" i="9" s="1"/>
  <c r="E495" i="9"/>
  <c r="F495" i="9" s="1"/>
  <c r="G495" i="9" s="1" a="1"/>
  <c r="G495" i="9" s="1"/>
  <c r="E496" i="9"/>
  <c r="F496" i="9" s="1"/>
  <c r="G496" i="9" s="1" a="1"/>
  <c r="G496" i="9" s="1"/>
  <c r="E497" i="9"/>
  <c r="F497" i="9" s="1"/>
  <c r="G497" i="9" s="1" a="1"/>
  <c r="G497" i="9" s="1"/>
  <c r="E498" i="9"/>
  <c r="F498" i="9" s="1"/>
  <c r="G498" i="9" s="1" a="1"/>
  <c r="G498" i="9" s="1"/>
  <c r="E499" i="9"/>
  <c r="F499" i="9" s="1"/>
  <c r="G499" i="9" s="1" a="1"/>
  <c r="G499" i="9" s="1"/>
  <c r="E500" i="9"/>
  <c r="F500" i="9" s="1"/>
  <c r="G500" i="9" s="1" a="1"/>
  <c r="G500" i="9" s="1"/>
  <c r="E501" i="9"/>
  <c r="F501" i="9" s="1"/>
  <c r="G501" i="9" s="1" a="1"/>
  <c r="G501" i="9" s="1"/>
  <c r="E502" i="9"/>
  <c r="F502" i="9" s="1"/>
  <c r="G502" i="9" s="1" a="1"/>
  <c r="G502" i="9" s="1"/>
  <c r="E503" i="9"/>
  <c r="F503" i="9" s="1"/>
  <c r="G503" i="9" s="1" a="1"/>
  <c r="G503" i="9" s="1"/>
  <c r="E504" i="9"/>
  <c r="F504" i="9" s="1"/>
  <c r="G504" i="9" s="1" a="1"/>
  <c r="G504" i="9" s="1"/>
  <c r="E505" i="9"/>
  <c r="F505" i="9" s="1"/>
  <c r="G505" i="9" s="1" a="1"/>
  <c r="G505" i="9" s="1"/>
  <c r="E506" i="9"/>
  <c r="F506" i="9" s="1"/>
  <c r="G506" i="9" s="1" a="1"/>
  <c r="G506" i="9" s="1"/>
  <c r="E507" i="9"/>
  <c r="F507" i="9" s="1"/>
  <c r="G507" i="9" s="1" a="1"/>
  <c r="G507" i="9" s="1"/>
  <c r="E508" i="9"/>
  <c r="F508" i="9" s="1"/>
  <c r="E509" i="9"/>
  <c r="F509" i="9" s="1"/>
  <c r="G509" i="9" s="1" a="1"/>
  <c r="G509" i="9" s="1"/>
  <c r="E510" i="9"/>
  <c r="F510" i="9" s="1"/>
  <c r="G510" i="9" s="1" a="1"/>
  <c r="G510" i="9" s="1"/>
  <c r="E511" i="9"/>
  <c r="F511" i="9" s="1"/>
  <c r="G511" i="9" s="1" a="1"/>
  <c r="G511" i="9" s="1"/>
  <c r="E512" i="9"/>
  <c r="F512" i="9" s="1"/>
  <c r="G512" i="9" s="1" a="1"/>
  <c r="G512" i="9" s="1"/>
  <c r="E513" i="9"/>
  <c r="F513" i="9" s="1"/>
  <c r="G513" i="9" s="1" a="1"/>
  <c r="G513" i="9" s="1"/>
  <c r="E514" i="9"/>
  <c r="F514" i="9" s="1"/>
  <c r="G514" i="9" s="1" a="1"/>
  <c r="G514" i="9" s="1"/>
  <c r="E515" i="9"/>
  <c r="F515" i="9" s="1"/>
  <c r="G515" i="9" s="1" a="1"/>
  <c r="G515" i="9" s="1"/>
  <c r="E516" i="9"/>
  <c r="F516" i="9" s="1"/>
  <c r="G516" i="9" s="1" a="1"/>
  <c r="G516" i="9" s="1"/>
  <c r="E517" i="9"/>
  <c r="F517" i="9" s="1"/>
  <c r="G517" i="9" s="1" a="1"/>
  <c r="G517" i="9" s="1"/>
  <c r="E518" i="9"/>
  <c r="F518" i="9" s="1"/>
  <c r="G518" i="9" s="1" a="1"/>
  <c r="G518" i="9" s="1"/>
  <c r="E519" i="9"/>
  <c r="F519" i="9" s="1"/>
  <c r="G519" i="9" s="1" a="1"/>
  <c r="G519" i="9" s="1"/>
  <c r="E520" i="9"/>
  <c r="F520" i="9" s="1"/>
  <c r="G520" i="9" s="1" a="1"/>
  <c r="G520" i="9" s="1"/>
  <c r="E521" i="9"/>
  <c r="F521" i="9" s="1"/>
  <c r="G521" i="9" s="1" a="1"/>
  <c r="G521" i="9" s="1"/>
  <c r="E522" i="9"/>
  <c r="F522" i="9" s="1"/>
  <c r="G522" i="9" s="1" a="1"/>
  <c r="G522" i="9" s="1"/>
  <c r="E523" i="9"/>
  <c r="F523" i="9" s="1"/>
  <c r="G523" i="9" s="1" a="1"/>
  <c r="G523" i="9" s="1"/>
  <c r="E524" i="9"/>
  <c r="F524" i="9" s="1"/>
  <c r="G524" i="9" s="1" a="1"/>
  <c r="G524" i="9" s="1"/>
  <c r="E525" i="9"/>
  <c r="F525" i="9" s="1"/>
  <c r="G525" i="9" s="1" a="1"/>
  <c r="G525" i="9" s="1"/>
  <c r="E526" i="9"/>
  <c r="F526" i="9" s="1"/>
  <c r="G526" i="9" s="1" a="1"/>
  <c r="G526" i="9" s="1"/>
  <c r="E527" i="9"/>
  <c r="F527" i="9" s="1"/>
  <c r="G527" i="9" s="1" a="1"/>
  <c r="G527" i="9" s="1"/>
  <c r="E528" i="9"/>
  <c r="F528" i="9" s="1"/>
  <c r="G528" i="9" s="1" a="1"/>
  <c r="G528" i="9" s="1"/>
  <c r="E529" i="9"/>
  <c r="F529" i="9" s="1"/>
  <c r="G529" i="9" s="1" a="1"/>
  <c r="G529" i="9" s="1"/>
  <c r="E530" i="9"/>
  <c r="F530" i="9" s="1"/>
  <c r="G530" i="9" s="1" a="1"/>
  <c r="G530" i="9" s="1"/>
  <c r="E531" i="9"/>
  <c r="F531" i="9" s="1"/>
  <c r="G531" i="9" s="1" a="1"/>
  <c r="G531" i="9" s="1"/>
  <c r="E532" i="9"/>
  <c r="F532" i="9" s="1"/>
  <c r="G532" i="9" s="1" a="1"/>
  <c r="G532" i="9" s="1"/>
  <c r="E533" i="9"/>
  <c r="F533" i="9" s="1"/>
  <c r="G533" i="9" s="1" a="1"/>
  <c r="G533" i="9" s="1"/>
  <c r="E534" i="9"/>
  <c r="F534" i="9" s="1"/>
  <c r="G534" i="9" s="1" a="1"/>
  <c r="G534" i="9" s="1"/>
  <c r="E535" i="9"/>
  <c r="F535" i="9" s="1"/>
  <c r="G535" i="9" s="1" a="1"/>
  <c r="G535" i="9" s="1"/>
  <c r="E536" i="9"/>
  <c r="F536" i="9" s="1"/>
  <c r="G536" i="9" s="1" a="1"/>
  <c r="G536" i="9" s="1"/>
  <c r="E537" i="9"/>
  <c r="F537" i="9" s="1"/>
  <c r="E538" i="9"/>
  <c r="F538" i="9" s="1"/>
  <c r="G538" i="9" s="1" a="1"/>
  <c r="G538" i="9" s="1"/>
  <c r="E539" i="9"/>
  <c r="F539" i="9" s="1"/>
  <c r="G539" i="9" s="1" a="1"/>
  <c r="G539" i="9" s="1"/>
  <c r="E540" i="9"/>
  <c r="F540" i="9" s="1"/>
  <c r="G540" i="9" s="1" a="1"/>
  <c r="G540" i="9" s="1"/>
  <c r="E541" i="9"/>
  <c r="F541" i="9" s="1"/>
  <c r="G541" i="9" s="1" a="1"/>
  <c r="G541" i="9" s="1"/>
  <c r="E542" i="9"/>
  <c r="F542" i="9" s="1"/>
  <c r="G542" i="9" s="1" a="1"/>
  <c r="G542" i="9" s="1"/>
  <c r="E543" i="9"/>
  <c r="F543" i="9" s="1"/>
  <c r="G543" i="9" s="1" a="1"/>
  <c r="G543" i="9" s="1"/>
  <c r="E544" i="9"/>
  <c r="F544" i="9" s="1"/>
  <c r="G544" i="9" s="1" a="1"/>
  <c r="G544" i="9" s="1"/>
  <c r="E545" i="9"/>
  <c r="F545" i="9" s="1"/>
  <c r="G545" i="9" s="1" a="1"/>
  <c r="G545" i="9" s="1"/>
  <c r="E546" i="9"/>
  <c r="F546" i="9" s="1"/>
  <c r="G546" i="9" s="1" a="1"/>
  <c r="G546" i="9" s="1"/>
  <c r="E547" i="9"/>
  <c r="F547" i="9" s="1"/>
  <c r="G547" i="9" s="1" a="1"/>
  <c r="G547" i="9" s="1"/>
  <c r="E548" i="9"/>
  <c r="F548" i="9" s="1"/>
  <c r="G548" i="9" s="1" a="1"/>
  <c r="G548" i="9" s="1"/>
  <c r="E549" i="9"/>
  <c r="F549" i="9" s="1"/>
  <c r="G549" i="9" s="1" a="1"/>
  <c r="G549" i="9" s="1"/>
  <c r="E550" i="9"/>
  <c r="F550" i="9" s="1"/>
  <c r="G550" i="9" s="1" a="1"/>
  <c r="G550" i="9" s="1"/>
  <c r="E551" i="9"/>
  <c r="F551" i="9" s="1"/>
  <c r="G551" i="9" s="1" a="1"/>
  <c r="G551" i="9" s="1"/>
  <c r="E552" i="9"/>
  <c r="F552" i="9" s="1"/>
  <c r="G552" i="9" s="1" a="1"/>
  <c r="G552" i="9" s="1"/>
  <c r="E553" i="9"/>
  <c r="F553" i="9" s="1"/>
  <c r="G553" i="9" s="1" a="1"/>
  <c r="G553" i="9" s="1"/>
  <c r="E554" i="9"/>
  <c r="F554" i="9" s="1"/>
  <c r="G554" i="9" s="1" a="1"/>
  <c r="G554" i="9" s="1"/>
  <c r="E555" i="9"/>
  <c r="F555" i="9" s="1"/>
  <c r="G555" i="9" s="1" a="1"/>
  <c r="G555" i="9" s="1"/>
  <c r="E556" i="9"/>
  <c r="F556" i="9" s="1"/>
  <c r="G556" i="9" s="1" a="1"/>
  <c r="G556" i="9" s="1"/>
  <c r="E557" i="9"/>
  <c r="F557" i="9" s="1"/>
  <c r="G557" i="9" s="1" a="1"/>
  <c r="G557" i="9" s="1"/>
  <c r="E558" i="9"/>
  <c r="F558" i="9" s="1"/>
  <c r="E559" i="9"/>
  <c r="F559" i="9" s="1"/>
  <c r="G559" i="9" s="1" a="1"/>
  <c r="G559" i="9" s="1"/>
  <c r="E560" i="9"/>
  <c r="F560" i="9" s="1"/>
  <c r="G560" i="9" s="1" a="1"/>
  <c r="G560" i="9" s="1"/>
  <c r="E561" i="9"/>
  <c r="F561" i="9" s="1"/>
  <c r="G561" i="9" s="1" a="1"/>
  <c r="G561" i="9" s="1"/>
  <c r="E562" i="9"/>
  <c r="F562" i="9" s="1"/>
  <c r="G562" i="9" s="1" a="1"/>
  <c r="G562" i="9" s="1"/>
  <c r="E563" i="9"/>
  <c r="F563" i="9" s="1"/>
  <c r="G563" i="9" s="1" a="1"/>
  <c r="G563" i="9" s="1"/>
  <c r="E564" i="9"/>
  <c r="F564" i="9" s="1"/>
  <c r="G564" i="9" s="1" a="1"/>
  <c r="G564" i="9" s="1"/>
  <c r="E565" i="9"/>
  <c r="F565" i="9" s="1"/>
  <c r="G565" i="9" s="1" a="1"/>
  <c r="G565" i="9" s="1"/>
  <c r="E566" i="9"/>
  <c r="F566" i="9" s="1"/>
  <c r="G566" i="9" s="1" a="1"/>
  <c r="G566" i="9" s="1"/>
  <c r="E567" i="9"/>
  <c r="F567" i="9" s="1"/>
  <c r="G567" i="9" s="1" a="1"/>
  <c r="G567" i="9" s="1"/>
  <c r="E568" i="9"/>
  <c r="F568" i="9" s="1"/>
  <c r="G568" i="9" s="1" a="1"/>
  <c r="G568" i="9" s="1"/>
  <c r="E569" i="9"/>
  <c r="F569" i="9" s="1"/>
  <c r="G569" i="9" s="1" a="1"/>
  <c r="G569" i="9" s="1"/>
  <c r="E570" i="9"/>
  <c r="F570" i="9" s="1"/>
  <c r="G570" i="9" s="1" a="1"/>
  <c r="G570" i="9" s="1"/>
  <c r="E571" i="9"/>
  <c r="F571" i="9" s="1"/>
  <c r="G571" i="9" s="1" a="1"/>
  <c r="G571" i="9" s="1"/>
  <c r="E572" i="9"/>
  <c r="F572" i="9" s="1"/>
  <c r="G572" i="9" s="1" a="1"/>
  <c r="G572" i="9" s="1"/>
  <c r="E573" i="9"/>
  <c r="F573" i="9" s="1"/>
  <c r="G573" i="9" s="1" a="1"/>
  <c r="G573" i="9" s="1"/>
  <c r="E574" i="9"/>
  <c r="F574" i="9" s="1"/>
  <c r="G574" i="9" s="1" a="1"/>
  <c r="G574" i="9" s="1"/>
  <c r="E575" i="9"/>
  <c r="F575" i="9" s="1"/>
  <c r="G575" i="9" s="1" a="1"/>
  <c r="G575" i="9" s="1"/>
  <c r="E576" i="9"/>
  <c r="F576" i="9" s="1"/>
  <c r="G576" i="9" s="1" a="1"/>
  <c r="G576" i="9" s="1"/>
  <c r="E577" i="9"/>
  <c r="F577" i="9" s="1"/>
  <c r="G577" i="9" s="1" a="1"/>
  <c r="G577" i="9" s="1"/>
  <c r="E578" i="9"/>
  <c r="F578" i="9" s="1"/>
  <c r="G578" i="9" s="1" a="1"/>
  <c r="G578" i="9" s="1"/>
  <c r="E579" i="9"/>
  <c r="F579" i="9" s="1"/>
  <c r="E580" i="9"/>
  <c r="F580" i="9" s="1"/>
  <c r="G580" i="9" s="1" a="1"/>
  <c r="G580" i="9" s="1"/>
  <c r="E581" i="9"/>
  <c r="F581" i="9" s="1"/>
  <c r="G581" i="9" s="1" a="1"/>
  <c r="G581" i="9" s="1"/>
  <c r="E582" i="9"/>
  <c r="F582" i="9" s="1"/>
  <c r="G582" i="9" s="1" a="1"/>
  <c r="G582" i="9" s="1"/>
  <c r="E583" i="9"/>
  <c r="F583" i="9" s="1"/>
  <c r="G583" i="9" s="1" a="1"/>
  <c r="G583" i="9" s="1"/>
  <c r="E584" i="9"/>
  <c r="F584" i="9" s="1"/>
  <c r="G584" i="9" s="1" a="1"/>
  <c r="G584" i="9" s="1"/>
  <c r="E585" i="9"/>
  <c r="F585" i="9" s="1"/>
  <c r="G585" i="9" s="1" a="1"/>
  <c r="G585" i="9" s="1"/>
  <c r="E586" i="9"/>
  <c r="F586" i="9" s="1"/>
  <c r="G586" i="9" s="1" a="1"/>
  <c r="G586" i="9" s="1"/>
  <c r="E587" i="9"/>
  <c r="F587" i="9" s="1"/>
  <c r="G587" i="9" s="1" a="1"/>
  <c r="G587" i="9" s="1"/>
  <c r="E588" i="9"/>
  <c r="F588" i="9" s="1"/>
  <c r="G588" i="9" s="1" a="1"/>
  <c r="G588" i="9" s="1"/>
  <c r="E589" i="9"/>
  <c r="F589" i="9" s="1"/>
  <c r="G589" i="9" s="1" a="1"/>
  <c r="G589" i="9" s="1"/>
  <c r="E590" i="9"/>
  <c r="F590" i="9" s="1"/>
  <c r="G590" i="9" s="1" a="1"/>
  <c r="G590" i="9" s="1"/>
  <c r="E591" i="9"/>
  <c r="F591" i="9" s="1"/>
  <c r="G591" i="9" s="1" a="1"/>
  <c r="G591" i="9" s="1"/>
  <c r="E592" i="9"/>
  <c r="F592" i="9" s="1"/>
  <c r="G592" i="9" s="1" a="1"/>
  <c r="G592" i="9" s="1"/>
  <c r="E593" i="9"/>
  <c r="F593" i="9" s="1"/>
  <c r="G593" i="9" s="1" a="1"/>
  <c r="G593" i="9" s="1"/>
  <c r="E594" i="9"/>
  <c r="F594" i="9" s="1"/>
  <c r="G594" i="9" s="1" a="1"/>
  <c r="G594" i="9" s="1"/>
  <c r="E595" i="9"/>
  <c r="F595" i="9" s="1"/>
  <c r="G595" i="9" s="1" a="1"/>
  <c r="G595" i="9" s="1"/>
  <c r="E596" i="9"/>
  <c r="F596" i="9" s="1"/>
  <c r="G596" i="9" s="1" a="1"/>
  <c r="G596" i="9" s="1"/>
  <c r="E597" i="9"/>
  <c r="F597" i="9" s="1"/>
  <c r="G597" i="9" s="1" a="1"/>
  <c r="G597" i="9" s="1"/>
  <c r="E598" i="9"/>
  <c r="F598" i="9" s="1"/>
  <c r="G598" i="9" s="1" a="1"/>
  <c r="G598" i="9" s="1"/>
  <c r="E599" i="9"/>
  <c r="F599" i="9" s="1"/>
  <c r="G599" i="9" s="1" a="1"/>
  <c r="G599" i="9" s="1"/>
  <c r="E600" i="9"/>
  <c r="F600" i="9" s="1"/>
  <c r="G600" i="9" s="1" a="1"/>
  <c r="G600" i="9" s="1"/>
  <c r="E601" i="9"/>
  <c r="F601" i="9" s="1"/>
  <c r="G601" i="9" s="1" a="1"/>
  <c r="G601" i="9" s="1"/>
  <c r="E602" i="9"/>
  <c r="F602" i="9" s="1"/>
  <c r="G602" i="9" s="1" a="1"/>
  <c r="G602" i="9" s="1"/>
  <c r="E603" i="9"/>
  <c r="F603" i="9" s="1"/>
  <c r="G603" i="9" s="1" a="1"/>
  <c r="G603" i="9" s="1"/>
  <c r="E604" i="9"/>
  <c r="F604" i="9" s="1"/>
  <c r="G604" i="9" s="1" a="1"/>
  <c r="G604" i="9" s="1"/>
  <c r="E605" i="9"/>
  <c r="F605" i="9" s="1"/>
  <c r="G605" i="9" s="1" a="1"/>
  <c r="G605" i="9" s="1"/>
  <c r="E606" i="9"/>
  <c r="F606" i="9" s="1"/>
  <c r="G606" i="9" s="1" a="1"/>
  <c r="G606" i="9" s="1"/>
  <c r="E607" i="9"/>
  <c r="F607" i="9" s="1"/>
  <c r="G607" i="9" s="1" a="1"/>
  <c r="G607" i="9" s="1"/>
  <c r="E608" i="9"/>
  <c r="F608" i="9" s="1"/>
  <c r="G608" i="9" s="1" a="1"/>
  <c r="G608" i="9" s="1"/>
  <c r="E609" i="9"/>
  <c r="F609" i="9" s="1"/>
  <c r="G609" i="9" s="1" a="1"/>
  <c r="G609" i="9" s="1"/>
  <c r="E610" i="9"/>
  <c r="F610" i="9" s="1"/>
  <c r="G610" i="9" s="1" a="1"/>
  <c r="G610" i="9" s="1"/>
  <c r="E611" i="9"/>
  <c r="F611" i="9" s="1"/>
  <c r="G611" i="9" s="1" a="1"/>
  <c r="G611" i="9" s="1"/>
  <c r="E612" i="9"/>
  <c r="F612" i="9" s="1"/>
  <c r="G612" i="9" s="1" a="1"/>
  <c r="G612" i="9" s="1"/>
  <c r="E613" i="9"/>
  <c r="F613" i="9" s="1"/>
  <c r="G613" i="9" s="1" a="1"/>
  <c r="G613" i="9" s="1"/>
  <c r="E614" i="9"/>
  <c r="F614" i="9" s="1"/>
  <c r="G614" i="9" s="1" a="1"/>
  <c r="G614" i="9" s="1"/>
  <c r="E615" i="9"/>
  <c r="F615" i="9" s="1"/>
  <c r="G615" i="9" s="1" a="1"/>
  <c r="G615" i="9" s="1"/>
  <c r="E616" i="9"/>
  <c r="F616" i="9" s="1"/>
  <c r="G616" i="9" s="1" a="1"/>
  <c r="G616" i="9" s="1"/>
  <c r="E617" i="9"/>
  <c r="F617" i="9" s="1"/>
  <c r="G617" i="9" s="1" a="1"/>
  <c r="G617" i="9" s="1"/>
  <c r="E618" i="9"/>
  <c r="F618" i="9" s="1"/>
  <c r="G618" i="9" s="1" a="1"/>
  <c r="G618" i="9" s="1"/>
  <c r="E619" i="9"/>
  <c r="F619" i="9" s="1"/>
  <c r="G619" i="9" s="1" a="1"/>
  <c r="G619" i="9" s="1"/>
  <c r="E620" i="9"/>
  <c r="F620" i="9" s="1"/>
  <c r="G620" i="9" s="1" a="1"/>
  <c r="G620" i="9" s="1"/>
  <c r="E621" i="9"/>
  <c r="F621" i="9" s="1"/>
  <c r="G621" i="9" s="1" a="1"/>
  <c r="G621" i="9" s="1"/>
  <c r="E622" i="9"/>
  <c r="F622" i="9" s="1"/>
  <c r="G622" i="9" s="1" a="1"/>
  <c r="G622" i="9" s="1"/>
  <c r="E623" i="9"/>
  <c r="F623" i="9" s="1"/>
  <c r="G623" i="9" s="1" a="1"/>
  <c r="G623" i="9" s="1"/>
  <c r="E624" i="9"/>
  <c r="F624" i="9" s="1"/>
  <c r="G624" i="9" s="1" a="1"/>
  <c r="G624" i="9" s="1"/>
  <c r="E625" i="9"/>
  <c r="F625" i="9" s="1"/>
  <c r="G625" i="9" s="1" a="1"/>
  <c r="G625" i="9" s="1"/>
  <c r="E626" i="9"/>
  <c r="F626" i="9" s="1"/>
  <c r="G626" i="9" s="1" a="1"/>
  <c r="G626" i="9" s="1"/>
  <c r="E627" i="9"/>
  <c r="F627" i="9" s="1"/>
  <c r="G627" i="9" s="1" a="1"/>
  <c r="G627" i="9" s="1"/>
  <c r="E628" i="9"/>
  <c r="F628" i="9" s="1"/>
  <c r="G628" i="9" s="1" a="1"/>
  <c r="G628" i="9" s="1"/>
  <c r="E629" i="9"/>
  <c r="F629" i="9" s="1"/>
  <c r="G629" i="9" s="1" a="1"/>
  <c r="G629" i="9" s="1"/>
  <c r="E630" i="9"/>
  <c r="F630" i="9" s="1"/>
  <c r="G630" i="9" s="1" a="1"/>
  <c r="G630" i="9" s="1"/>
  <c r="E631" i="9"/>
  <c r="F631" i="9" s="1"/>
  <c r="G631" i="9" s="1" a="1"/>
  <c r="G631" i="9" s="1"/>
  <c r="E632" i="9"/>
  <c r="F632" i="9" s="1"/>
  <c r="G632" i="9" s="1" a="1"/>
  <c r="G632" i="9" s="1"/>
  <c r="E633" i="9"/>
  <c r="F633" i="9" s="1"/>
  <c r="G633" i="9" s="1" a="1"/>
  <c r="G633" i="9" s="1"/>
  <c r="E634" i="9"/>
  <c r="F634" i="9" s="1"/>
  <c r="G634" i="9" s="1" a="1"/>
  <c r="G634" i="9" s="1"/>
  <c r="E635" i="9"/>
  <c r="F635" i="9" s="1"/>
  <c r="G635" i="9" s="1" a="1"/>
  <c r="G635" i="9" s="1"/>
  <c r="E636" i="9"/>
  <c r="F636" i="9" s="1"/>
  <c r="G636" i="9" s="1" a="1"/>
  <c r="G636" i="9" s="1"/>
  <c r="E637" i="9"/>
  <c r="F637" i="9" s="1"/>
  <c r="G637" i="9" s="1" a="1"/>
  <c r="G637" i="9" s="1"/>
  <c r="E638" i="9"/>
  <c r="F638" i="9" s="1"/>
  <c r="G638" i="9" s="1" a="1"/>
  <c r="G638" i="9" s="1"/>
  <c r="E639" i="9"/>
  <c r="F639" i="9" s="1"/>
  <c r="G639" i="9" s="1" a="1"/>
  <c r="G639" i="9" s="1"/>
  <c r="E640" i="9"/>
  <c r="F640" i="9" s="1"/>
  <c r="G640" i="9" s="1" a="1"/>
  <c r="G640" i="9" s="1"/>
  <c r="E641" i="9"/>
  <c r="F641" i="9" s="1"/>
  <c r="G641" i="9" s="1" a="1"/>
  <c r="G641" i="9" s="1"/>
  <c r="E642" i="9"/>
  <c r="F642" i="9" s="1"/>
  <c r="G642" i="9" s="1" a="1"/>
  <c r="G642" i="9" s="1"/>
  <c r="E643" i="9"/>
  <c r="F643" i="9" s="1"/>
  <c r="G643" i="9" s="1" a="1"/>
  <c r="G643" i="9" s="1"/>
  <c r="E644" i="9"/>
  <c r="F644" i="9" s="1"/>
  <c r="G644" i="9" s="1" a="1"/>
  <c r="G644" i="9" s="1"/>
  <c r="E645" i="9"/>
  <c r="F645" i="9" s="1"/>
  <c r="G645" i="9" s="1" a="1"/>
  <c r="G645" i="9" s="1"/>
  <c r="E646" i="9"/>
  <c r="F646" i="9" s="1"/>
  <c r="G646" i="9" s="1" a="1"/>
  <c r="G646" i="9" s="1"/>
  <c r="E647" i="9"/>
  <c r="F647" i="9" s="1"/>
  <c r="G647" i="9" s="1" a="1"/>
  <c r="G647" i="9" s="1"/>
  <c r="E648" i="9"/>
  <c r="F648" i="9" s="1"/>
  <c r="G648" i="9" s="1" a="1"/>
  <c r="G648" i="9" s="1"/>
  <c r="E649" i="9"/>
  <c r="F649" i="9" s="1"/>
  <c r="G649" i="9" s="1" a="1"/>
  <c r="G649" i="9" s="1"/>
  <c r="E650" i="9"/>
  <c r="F650" i="9" s="1"/>
  <c r="G650" i="9" s="1" a="1"/>
  <c r="G650" i="9" s="1"/>
  <c r="E651" i="9"/>
  <c r="F651" i="9" s="1"/>
  <c r="G651" i="9" s="1" a="1"/>
  <c r="G651" i="9" s="1"/>
  <c r="E652" i="9"/>
  <c r="F652" i="9" s="1"/>
  <c r="G652" i="9" s="1" a="1"/>
  <c r="G652" i="9" s="1"/>
  <c r="E653" i="9"/>
  <c r="F653" i="9" s="1"/>
  <c r="G653" i="9" s="1" a="1"/>
  <c r="G653" i="9" s="1"/>
  <c r="E654" i="9"/>
  <c r="F654" i="9" s="1"/>
  <c r="G654" i="9" s="1" a="1"/>
  <c r="G654" i="9" s="1"/>
  <c r="E655" i="9"/>
  <c r="F655" i="9" s="1"/>
  <c r="G655" i="9" s="1" a="1"/>
  <c r="G655" i="9" s="1"/>
  <c r="E656" i="9"/>
  <c r="F656" i="9" s="1"/>
  <c r="G656" i="9" s="1" a="1"/>
  <c r="G656" i="9" s="1"/>
  <c r="E657" i="9"/>
  <c r="F657" i="9" s="1"/>
  <c r="G657" i="9" s="1" a="1"/>
  <c r="G657" i="9" s="1"/>
  <c r="E658" i="9"/>
  <c r="F658" i="9" s="1"/>
  <c r="G658" i="9" s="1" a="1"/>
  <c r="G658" i="9" s="1"/>
  <c r="E659" i="9"/>
  <c r="F659" i="9" s="1"/>
  <c r="G659" i="9" s="1" a="1"/>
  <c r="G659" i="9" s="1"/>
  <c r="E660" i="9"/>
  <c r="F660" i="9" s="1"/>
  <c r="G660" i="9" s="1" a="1"/>
  <c r="G660" i="9" s="1"/>
  <c r="E661" i="9"/>
  <c r="F661" i="9" s="1"/>
  <c r="G661" i="9" s="1" a="1"/>
  <c r="G661" i="9" s="1"/>
  <c r="E662" i="9"/>
  <c r="F662" i="9" s="1"/>
  <c r="G662" i="9" s="1" a="1"/>
  <c r="G662" i="9" s="1"/>
  <c r="E663" i="9"/>
  <c r="F663" i="9" s="1"/>
  <c r="G663" i="9" s="1" a="1"/>
  <c r="G663" i="9" s="1"/>
  <c r="E664" i="9"/>
  <c r="F664" i="9" s="1"/>
  <c r="G664" i="9" s="1" a="1"/>
  <c r="G664" i="9" s="1"/>
  <c r="E665" i="9"/>
  <c r="F665" i="9" s="1"/>
  <c r="G665" i="9" s="1" a="1"/>
  <c r="G665" i="9" s="1"/>
  <c r="E666" i="9"/>
  <c r="F666" i="9" s="1"/>
  <c r="G666" i="9" s="1" a="1"/>
  <c r="G666" i="9" s="1"/>
  <c r="E667" i="9"/>
  <c r="F667" i="9" s="1"/>
  <c r="G667" i="9" s="1" a="1"/>
  <c r="G667" i="9" s="1"/>
  <c r="E668" i="9"/>
  <c r="F668" i="9" s="1"/>
  <c r="G668" i="9" s="1" a="1"/>
  <c r="G668" i="9" s="1"/>
  <c r="E669" i="9"/>
  <c r="F669" i="9" s="1"/>
  <c r="G669" i="9" s="1" a="1"/>
  <c r="G669" i="9" s="1"/>
  <c r="E670" i="9"/>
  <c r="F670" i="9" s="1"/>
  <c r="G670" i="9" s="1" a="1"/>
  <c r="G670" i="9" s="1"/>
  <c r="E671" i="9"/>
  <c r="F671" i="9" s="1"/>
  <c r="G671" i="9" s="1" a="1"/>
  <c r="G671" i="9" s="1"/>
  <c r="E672" i="9"/>
  <c r="F672" i="9" s="1"/>
  <c r="G672" i="9" s="1" a="1"/>
  <c r="G672" i="9" s="1"/>
  <c r="E673" i="9"/>
  <c r="F673" i="9" s="1"/>
  <c r="G673" i="9" s="1" a="1"/>
  <c r="G673" i="9" s="1"/>
  <c r="E674" i="9"/>
  <c r="F674" i="9" s="1"/>
  <c r="G674" i="9" s="1" a="1"/>
  <c r="G674" i="9" s="1"/>
  <c r="E675" i="9"/>
  <c r="F675" i="9" s="1"/>
  <c r="G675" i="9" s="1" a="1"/>
  <c r="G675" i="9" s="1"/>
  <c r="E676" i="9"/>
  <c r="F676" i="9" s="1"/>
  <c r="G676" i="9" s="1" a="1"/>
  <c r="G676" i="9" s="1"/>
  <c r="E677" i="9"/>
  <c r="F677" i="9" s="1"/>
  <c r="G677" i="9" s="1" a="1"/>
  <c r="G677" i="9" s="1"/>
  <c r="E678" i="9"/>
  <c r="F678" i="9" s="1"/>
  <c r="G678" i="9" s="1" a="1"/>
  <c r="G678" i="9" s="1"/>
  <c r="E679" i="9"/>
  <c r="F679" i="9" s="1"/>
  <c r="G679" i="9" s="1" a="1"/>
  <c r="G679" i="9" s="1"/>
  <c r="E680" i="9"/>
  <c r="F680" i="9" s="1"/>
  <c r="G680" i="9" s="1" a="1"/>
  <c r="G680" i="9" s="1"/>
  <c r="E681" i="9"/>
  <c r="F681" i="9" s="1"/>
  <c r="G681" i="9" s="1" a="1"/>
  <c r="G681" i="9" s="1"/>
  <c r="E682" i="9"/>
  <c r="F682" i="9" s="1"/>
  <c r="G682" i="9" s="1" a="1"/>
  <c r="G682" i="9" s="1"/>
  <c r="E683" i="9"/>
  <c r="F683" i="9" s="1"/>
  <c r="G683" i="9" s="1" a="1"/>
  <c r="G683" i="9" s="1"/>
  <c r="E684" i="9"/>
  <c r="F684" i="9" s="1"/>
  <c r="G684" i="9" s="1" a="1"/>
  <c r="G684" i="9" s="1"/>
  <c r="E685" i="9"/>
  <c r="F685" i="9" s="1"/>
  <c r="G685" i="9" s="1" a="1"/>
  <c r="G685" i="9" s="1"/>
  <c r="E686" i="9"/>
  <c r="F686" i="9" s="1"/>
  <c r="G686" i="9" s="1" a="1"/>
  <c r="G686" i="9" s="1"/>
  <c r="E687" i="9"/>
  <c r="F687" i="9" s="1"/>
  <c r="G687" i="9" s="1" a="1"/>
  <c r="G687" i="9" s="1"/>
  <c r="E688" i="9"/>
  <c r="F688" i="9" s="1"/>
  <c r="G688" i="9" s="1" a="1"/>
  <c r="G688" i="9" s="1"/>
  <c r="E689" i="9"/>
  <c r="F689" i="9" s="1"/>
  <c r="G689" i="9" s="1" a="1"/>
  <c r="G689" i="9" s="1"/>
  <c r="E690" i="9"/>
  <c r="F690" i="9" s="1"/>
  <c r="G690" i="9" s="1" a="1"/>
  <c r="G690" i="9" s="1"/>
  <c r="E691" i="9"/>
  <c r="F691" i="9" s="1"/>
  <c r="G691" i="9" s="1" a="1"/>
  <c r="G691" i="9" s="1"/>
  <c r="E692" i="9"/>
  <c r="F692" i="9" s="1"/>
  <c r="G692" i="9" s="1" a="1"/>
  <c r="G692" i="9" s="1"/>
  <c r="E693" i="9"/>
  <c r="F693" i="9" s="1"/>
  <c r="G693" i="9" s="1" a="1"/>
  <c r="G693" i="9" s="1"/>
  <c r="E694" i="9"/>
  <c r="F694" i="9" s="1"/>
  <c r="G694" i="9" s="1" a="1"/>
  <c r="G694" i="9" s="1"/>
  <c r="E695" i="9"/>
  <c r="F695" i="9" s="1"/>
  <c r="G695" i="9" s="1" a="1"/>
  <c r="G695" i="9" s="1"/>
  <c r="E696" i="9"/>
  <c r="F696" i="9" s="1"/>
  <c r="G696" i="9" s="1" a="1"/>
  <c r="G696" i="9" s="1"/>
  <c r="E697" i="9"/>
  <c r="F697" i="9" s="1"/>
  <c r="G697" i="9" s="1" a="1"/>
  <c r="G697" i="9" s="1"/>
  <c r="E698" i="9"/>
  <c r="F698" i="9" s="1"/>
  <c r="G698" i="9" s="1" a="1"/>
  <c r="G698" i="9" s="1"/>
  <c r="E699" i="9"/>
  <c r="F699" i="9" s="1"/>
  <c r="G699" i="9" s="1" a="1"/>
  <c r="G699" i="9" s="1"/>
  <c r="E700" i="9"/>
  <c r="F700" i="9" s="1"/>
  <c r="G700" i="9" s="1" a="1"/>
  <c r="G700" i="9" s="1"/>
  <c r="E701" i="9"/>
  <c r="F701" i="9" s="1"/>
  <c r="G701" i="9" s="1" a="1"/>
  <c r="G701" i="9" s="1"/>
  <c r="E702" i="9"/>
  <c r="F702" i="9" s="1"/>
  <c r="G702" i="9" s="1" a="1"/>
  <c r="G702" i="9" s="1"/>
  <c r="E703" i="9"/>
  <c r="F703" i="9" s="1"/>
  <c r="G703" i="9" s="1" a="1"/>
  <c r="G703" i="9" s="1"/>
  <c r="E704" i="9"/>
  <c r="F704" i="9" s="1"/>
  <c r="G704" i="9" s="1" a="1"/>
  <c r="G704" i="9" s="1"/>
  <c r="E705" i="9"/>
  <c r="F705" i="9" s="1"/>
  <c r="G705" i="9" s="1" a="1"/>
  <c r="G705" i="9" s="1"/>
  <c r="E706" i="9"/>
  <c r="F706" i="9" s="1"/>
  <c r="G706" i="9" s="1" a="1"/>
  <c r="G706" i="9" s="1"/>
  <c r="E707" i="9"/>
  <c r="F707" i="9" s="1"/>
  <c r="G707" i="9" s="1" a="1"/>
  <c r="G707" i="9" s="1"/>
  <c r="E708" i="9"/>
  <c r="F708" i="9" s="1"/>
  <c r="G708" i="9" s="1" a="1"/>
  <c r="G708" i="9" s="1"/>
  <c r="E709" i="9"/>
  <c r="F709" i="9" s="1"/>
  <c r="G709" i="9" s="1" a="1"/>
  <c r="G709" i="9" s="1"/>
  <c r="E710" i="9"/>
  <c r="F710" i="9" s="1"/>
  <c r="G710" i="9" s="1" a="1"/>
  <c r="G710" i="9" s="1"/>
  <c r="E711" i="9"/>
  <c r="F711" i="9" s="1"/>
  <c r="G711" i="9" s="1" a="1"/>
  <c r="G711" i="9" s="1"/>
  <c r="E712" i="9"/>
  <c r="F712" i="9" s="1"/>
  <c r="G712" i="9" s="1" a="1"/>
  <c r="G712" i="9" s="1"/>
  <c r="E713" i="9"/>
  <c r="F713" i="9" s="1"/>
  <c r="G713" i="9" s="1" a="1"/>
  <c r="G713" i="9" s="1"/>
  <c r="E714" i="9"/>
  <c r="F714" i="9" s="1"/>
  <c r="G714" i="9" s="1" a="1"/>
  <c r="G714" i="9" s="1"/>
  <c r="E715" i="9"/>
  <c r="F715" i="9" s="1"/>
  <c r="G715" i="9" s="1" a="1"/>
  <c r="G715" i="9" s="1"/>
  <c r="E716" i="9"/>
  <c r="F716" i="9" s="1"/>
  <c r="G716" i="9" s="1" a="1"/>
  <c r="G716" i="9" s="1"/>
  <c r="E717" i="9"/>
  <c r="F717" i="9" s="1"/>
  <c r="G717" i="9" s="1" a="1"/>
  <c r="G717" i="9" s="1"/>
  <c r="E718" i="9"/>
  <c r="F718" i="9" s="1"/>
  <c r="G718" i="9" s="1" a="1"/>
  <c r="G718" i="9" s="1"/>
  <c r="E719" i="9"/>
  <c r="F719" i="9" s="1"/>
  <c r="G719" i="9" s="1" a="1"/>
  <c r="G719" i="9" s="1"/>
  <c r="E720" i="9"/>
  <c r="F720" i="9" s="1"/>
  <c r="G720" i="9" s="1" a="1"/>
  <c r="G720" i="9" s="1"/>
  <c r="E721" i="9"/>
  <c r="F721" i="9" s="1"/>
  <c r="G721" i="9" s="1" a="1"/>
  <c r="G721" i="9" s="1"/>
  <c r="D2" i="9"/>
  <c r="C2" i="9" s="1"/>
  <c r="D3" i="9"/>
  <c r="C3" i="9" s="1"/>
  <c r="D4" i="9"/>
  <c r="D5" i="9"/>
  <c r="C5" i="9" s="1"/>
  <c r="D6" i="9"/>
  <c r="C6" i="9" s="1"/>
  <c r="D7" i="9"/>
  <c r="C7" i="9" s="1"/>
  <c r="D8" i="9"/>
  <c r="C8" i="9" s="1"/>
  <c r="D9" i="9"/>
  <c r="D10" i="9"/>
  <c r="D11" i="9"/>
  <c r="C11" i="9" s="1"/>
  <c r="D12" i="9"/>
  <c r="C12" i="9" s="1"/>
  <c r="D13" i="9"/>
  <c r="C13" i="9" s="1"/>
  <c r="D14" i="9"/>
  <c r="C14" i="9" s="1"/>
  <c r="D15" i="9"/>
  <c r="D16" i="9"/>
  <c r="C16" i="9" s="1"/>
  <c r="D17" i="9"/>
  <c r="D18" i="9"/>
  <c r="C18" i="9" s="1"/>
  <c r="D19" i="9"/>
  <c r="C19" i="9" s="1"/>
  <c r="D20" i="9"/>
  <c r="C20" i="9" s="1"/>
  <c r="D21" i="9"/>
  <c r="C21" i="9" s="1"/>
  <c r="D22" i="9"/>
  <c r="C22" i="9" s="1"/>
  <c r="D23" i="9"/>
  <c r="C23" i="9" s="1"/>
  <c r="D24" i="9"/>
  <c r="D25" i="9"/>
  <c r="C25" i="9" s="1"/>
  <c r="D26" i="9"/>
  <c r="C26" i="9" s="1"/>
  <c r="D27" i="9"/>
  <c r="C27" i="9" s="1"/>
  <c r="D28" i="9"/>
  <c r="C28" i="9" s="1"/>
  <c r="D29" i="9"/>
  <c r="C29" i="9" s="1"/>
  <c r="D30" i="9"/>
  <c r="C30" i="9" s="1"/>
  <c r="D31" i="9"/>
  <c r="D32" i="9"/>
  <c r="C32" i="9" s="1"/>
  <c r="D33" i="9"/>
  <c r="D34" i="9"/>
  <c r="C34" i="9" s="1"/>
  <c r="D35" i="9"/>
  <c r="C35" i="9" s="1"/>
  <c r="D36" i="9"/>
  <c r="C36" i="9" s="1"/>
  <c r="D37" i="9"/>
  <c r="D38" i="9"/>
  <c r="C38" i="9" s="1"/>
  <c r="D39" i="9"/>
  <c r="C39" i="9" s="1"/>
  <c r="D40" i="9"/>
  <c r="D41" i="9"/>
  <c r="D42" i="9"/>
  <c r="C42" i="9" s="1"/>
  <c r="D43" i="9"/>
  <c r="D44" i="9"/>
  <c r="C44" i="9" s="1"/>
  <c r="D45" i="9"/>
  <c r="D46" i="9"/>
  <c r="C46" i="9" s="1"/>
  <c r="D47" i="9"/>
  <c r="D48" i="9"/>
  <c r="C48" i="9" s="1"/>
  <c r="D49" i="9"/>
  <c r="D50" i="9"/>
  <c r="C50" i="9" s="1"/>
  <c r="D51" i="9"/>
  <c r="C51" i="9" s="1"/>
  <c r="D52" i="9"/>
  <c r="C52" i="9" s="1"/>
  <c r="D53" i="9"/>
  <c r="C53" i="9" s="1"/>
  <c r="D54" i="9"/>
  <c r="D55" i="9"/>
  <c r="C55" i="9" s="1"/>
  <c r="D56" i="9"/>
  <c r="D57" i="9"/>
  <c r="C57" i="9" s="1"/>
  <c r="D58" i="9"/>
  <c r="D59" i="9"/>
  <c r="C59" i="9" s="1"/>
  <c r="D60" i="9"/>
  <c r="C60" i="9" s="1"/>
  <c r="D61" i="9"/>
  <c r="C61" i="9" s="1"/>
  <c r="D62" i="9"/>
  <c r="C62" i="9" s="1"/>
  <c r="D63" i="9"/>
  <c r="D64" i="9"/>
  <c r="C64" i="9" s="1"/>
  <c r="D65" i="9"/>
  <c r="D66" i="9"/>
  <c r="C66" i="9" s="1"/>
  <c r="D67" i="9"/>
  <c r="C67" i="9" s="1"/>
  <c r="D68" i="9"/>
  <c r="C68" i="9" s="1"/>
  <c r="D69" i="9"/>
  <c r="C69" i="9" s="1"/>
  <c r="D70" i="9"/>
  <c r="C70" i="9" s="1"/>
  <c r="D71" i="9"/>
  <c r="D72" i="9"/>
  <c r="C72" i="9" s="1"/>
  <c r="D73" i="9"/>
  <c r="D74" i="9"/>
  <c r="C74" i="9" s="1"/>
  <c r="D75" i="9"/>
  <c r="C75" i="9" s="1"/>
  <c r="D76" i="9"/>
  <c r="C76" i="9" s="1"/>
  <c r="D77" i="9"/>
  <c r="C77" i="9" s="1"/>
  <c r="D78" i="9"/>
  <c r="C78" i="9" s="1"/>
  <c r="D79" i="9"/>
  <c r="D80" i="9"/>
  <c r="C80" i="9" s="1"/>
  <c r="D81" i="9"/>
  <c r="D82" i="9"/>
  <c r="C82" i="9" s="1"/>
  <c r="D83" i="9"/>
  <c r="C83" i="9" s="1"/>
  <c r="D84" i="9"/>
  <c r="C84" i="9" s="1"/>
  <c r="D85" i="9"/>
  <c r="C85" i="9" s="1"/>
  <c r="D86" i="9"/>
  <c r="C86" i="9" s="1"/>
  <c r="D87" i="9"/>
  <c r="C87" i="9" s="1"/>
  <c r="D88" i="9"/>
  <c r="C88" i="9" s="1"/>
  <c r="D89" i="9"/>
  <c r="C89" i="9" s="1"/>
  <c r="D90" i="9"/>
  <c r="C90" i="9" s="1"/>
  <c r="D91" i="9"/>
  <c r="C91" i="9" s="1"/>
  <c r="D92" i="9"/>
  <c r="C92" i="9" s="1"/>
  <c r="D93" i="9"/>
  <c r="C93" i="9" s="1"/>
  <c r="D94" i="9"/>
  <c r="C94" i="9" s="1"/>
  <c r="D95" i="9"/>
  <c r="C95" i="9" s="1"/>
  <c r="D96" i="9"/>
  <c r="C96" i="9" s="1"/>
  <c r="D97" i="9"/>
  <c r="D98" i="9"/>
  <c r="C98" i="9" s="1"/>
  <c r="D99" i="9"/>
  <c r="C99" i="9" s="1"/>
  <c r="D100" i="9"/>
  <c r="C100" i="9" s="1"/>
  <c r="D101" i="9"/>
  <c r="C101" i="9" s="1"/>
  <c r="D102" i="9"/>
  <c r="C102" i="9" s="1"/>
  <c r="D103" i="9"/>
  <c r="C103" i="9" s="1"/>
  <c r="D104" i="9"/>
  <c r="C104" i="9" s="1"/>
  <c r="D105" i="9"/>
  <c r="C105" i="9" s="1"/>
  <c r="D106" i="9"/>
  <c r="C106" i="9" s="1"/>
  <c r="D107" i="9"/>
  <c r="C107" i="9" s="1"/>
  <c r="D108" i="9"/>
  <c r="C108" i="9" s="1"/>
  <c r="D109" i="9"/>
  <c r="C109" i="9" s="1"/>
  <c r="D110" i="9"/>
  <c r="C110" i="9" s="1"/>
  <c r="D111" i="9"/>
  <c r="D112" i="9"/>
  <c r="D113" i="9"/>
  <c r="D114" i="9"/>
  <c r="C114" i="9" s="1"/>
  <c r="D115" i="9"/>
  <c r="C115" i="9" s="1"/>
  <c r="D116" i="9"/>
  <c r="C116" i="9" s="1"/>
  <c r="D117" i="9"/>
  <c r="C117" i="9" s="1"/>
  <c r="D118" i="9"/>
  <c r="C118" i="9" s="1"/>
  <c r="D119" i="9"/>
  <c r="C119" i="9" s="1"/>
  <c r="D120" i="9"/>
  <c r="C120" i="9" s="1"/>
  <c r="D121" i="9"/>
  <c r="D122" i="9"/>
  <c r="D123" i="9"/>
  <c r="D124" i="9"/>
  <c r="C124" i="9" s="1"/>
  <c r="D125" i="9"/>
  <c r="C125" i="9" s="1"/>
  <c r="D126" i="9"/>
  <c r="C126" i="9" s="1"/>
  <c r="D127" i="9"/>
  <c r="D128" i="9"/>
  <c r="C128" i="9" s="1"/>
  <c r="D129" i="9"/>
  <c r="D130" i="9"/>
  <c r="C130" i="9" s="1"/>
  <c r="D131" i="9"/>
  <c r="C131" i="9" s="1"/>
  <c r="D132" i="9"/>
  <c r="C132" i="9" s="1"/>
  <c r="D133" i="9"/>
  <c r="C133" i="9" s="1"/>
  <c r="D134" i="9"/>
  <c r="C134" i="9" s="1"/>
  <c r="D135" i="9"/>
  <c r="C135" i="9" s="1"/>
  <c r="D136" i="9"/>
  <c r="C136" i="9" s="1"/>
  <c r="D137" i="9"/>
  <c r="D138" i="9"/>
  <c r="C138" i="9" s="1"/>
  <c r="D139" i="9"/>
  <c r="C139" i="9" s="1"/>
  <c r="D140" i="9"/>
  <c r="C140" i="9" s="1"/>
  <c r="D141" i="9"/>
  <c r="C141" i="9" s="1"/>
  <c r="D142" i="9"/>
  <c r="C142" i="9" s="1"/>
  <c r="D143" i="9"/>
  <c r="C143" i="9" s="1"/>
  <c r="D144" i="9"/>
  <c r="C144" i="9" s="1"/>
  <c r="D145" i="9"/>
  <c r="D146" i="9"/>
  <c r="C146" i="9" s="1"/>
  <c r="D147" i="9"/>
  <c r="C147" i="9" s="1"/>
  <c r="D148" i="9"/>
  <c r="C148" i="9" s="1"/>
  <c r="D149" i="9"/>
  <c r="C149" i="9" s="1"/>
  <c r="D150" i="9"/>
  <c r="C150" i="9" s="1"/>
  <c r="D151" i="9"/>
  <c r="C151" i="9" s="1"/>
  <c r="D152" i="9"/>
  <c r="C152" i="9" s="1"/>
  <c r="D153" i="9"/>
  <c r="C153" i="9" s="1"/>
  <c r="D154" i="9"/>
  <c r="C154" i="9" s="1"/>
  <c r="D155" i="9"/>
  <c r="C155" i="9" s="1"/>
  <c r="D156" i="9"/>
  <c r="C156" i="9" s="1"/>
  <c r="D157" i="9"/>
  <c r="D158" i="9"/>
  <c r="C158" i="9" s="1"/>
  <c r="D159" i="9"/>
  <c r="C159" i="9" s="1"/>
  <c r="D160" i="9"/>
  <c r="C160" i="9" s="1"/>
  <c r="D161" i="9"/>
  <c r="D162" i="9"/>
  <c r="C162" i="9" s="1"/>
  <c r="D163" i="9"/>
  <c r="C163" i="9" s="1"/>
  <c r="D164" i="9"/>
  <c r="C164" i="9" s="1"/>
  <c r="D165" i="9"/>
  <c r="D166" i="9"/>
  <c r="D167" i="9"/>
  <c r="D168" i="9"/>
  <c r="C168" i="9" s="1"/>
  <c r="D169" i="9"/>
  <c r="C169" i="9" s="1"/>
  <c r="D170" i="9"/>
  <c r="C170" i="9" s="1"/>
  <c r="D171" i="9"/>
  <c r="C171" i="9" s="1"/>
  <c r="D172" i="9"/>
  <c r="C172" i="9" s="1"/>
  <c r="D173" i="9"/>
  <c r="C173" i="9" s="1"/>
  <c r="D174" i="9"/>
  <c r="C174" i="9" s="1"/>
  <c r="D175" i="9"/>
  <c r="C175" i="9" s="1"/>
  <c r="D176" i="9"/>
  <c r="C176" i="9" s="1"/>
  <c r="D177" i="9"/>
  <c r="D178" i="9"/>
  <c r="C178" i="9" s="1"/>
  <c r="D179" i="9"/>
  <c r="C179" i="9" s="1"/>
  <c r="D180" i="9"/>
  <c r="C180" i="9" s="1"/>
  <c r="D181" i="9"/>
  <c r="C181" i="9" s="1"/>
  <c r="D182" i="9"/>
  <c r="C182" i="9" s="1"/>
  <c r="D183" i="9"/>
  <c r="C183" i="9" s="1"/>
  <c r="D184" i="9"/>
  <c r="C184" i="9" s="1"/>
  <c r="D185" i="9"/>
  <c r="D186" i="9"/>
  <c r="C186" i="9" s="1"/>
  <c r="D187" i="9"/>
  <c r="C187" i="9" s="1"/>
  <c r="D188" i="9"/>
  <c r="C188" i="9" s="1"/>
  <c r="D189" i="9"/>
  <c r="C189" i="9" s="1"/>
  <c r="D190" i="9"/>
  <c r="C190" i="9" s="1"/>
  <c r="D191" i="9"/>
  <c r="C191" i="9" s="1"/>
  <c r="D192" i="9"/>
  <c r="C192" i="9" s="1"/>
  <c r="D193" i="9"/>
  <c r="D194" i="9"/>
  <c r="C194" i="9" s="1"/>
  <c r="D195" i="9"/>
  <c r="C195" i="9" s="1"/>
  <c r="D196" i="9"/>
  <c r="C196" i="9" s="1"/>
  <c r="D197" i="9"/>
  <c r="C197" i="9" s="1"/>
  <c r="D198" i="9"/>
  <c r="D199" i="9"/>
  <c r="C199" i="9" s="1"/>
  <c r="D200" i="9"/>
  <c r="D201" i="9"/>
  <c r="C201" i="9" s="1"/>
  <c r="D202" i="9"/>
  <c r="D203" i="9"/>
  <c r="C203" i="9" s="1"/>
  <c r="D204" i="9"/>
  <c r="C204" i="9" s="1"/>
  <c r="D205" i="9"/>
  <c r="C205" i="9" s="1"/>
  <c r="D206" i="9"/>
  <c r="C206" i="9" s="1"/>
  <c r="D207" i="9"/>
  <c r="C207" i="9" s="1"/>
  <c r="D208" i="9"/>
  <c r="C208" i="9" s="1"/>
  <c r="D209" i="9"/>
  <c r="C209" i="9" s="1"/>
  <c r="D210" i="9"/>
  <c r="C210" i="9" s="1"/>
  <c r="D211" i="9"/>
  <c r="C211" i="9" s="1"/>
  <c r="D212" i="9"/>
  <c r="C212" i="9" s="1"/>
  <c r="D213" i="9"/>
  <c r="C213" i="9" s="1"/>
  <c r="D214" i="9"/>
  <c r="C214" i="9" s="1"/>
  <c r="D215" i="9"/>
  <c r="C215" i="9" s="1"/>
  <c r="D216" i="9"/>
  <c r="C216" i="9" s="1"/>
  <c r="D217" i="9"/>
  <c r="C217" i="9" s="1"/>
  <c r="D218" i="9"/>
  <c r="C218" i="9" s="1"/>
  <c r="D219" i="9"/>
  <c r="C219" i="9" s="1"/>
  <c r="D220" i="9"/>
  <c r="C220" i="9" s="1"/>
  <c r="D221" i="9"/>
  <c r="C221" i="9" s="1"/>
  <c r="D222" i="9"/>
  <c r="C222" i="9" s="1"/>
  <c r="D223" i="9"/>
  <c r="C223" i="9" s="1"/>
  <c r="D224" i="9"/>
  <c r="C224" i="9" s="1"/>
  <c r="D225" i="9"/>
  <c r="C225" i="9" s="1"/>
  <c r="D226" i="9"/>
  <c r="C226" i="9" s="1"/>
  <c r="D227" i="9"/>
  <c r="C227" i="9" s="1"/>
  <c r="D228" i="9"/>
  <c r="C228" i="9" s="1"/>
  <c r="D229" i="9"/>
  <c r="C229" i="9" s="1"/>
  <c r="D230" i="9"/>
  <c r="D231" i="9"/>
  <c r="C231" i="9" s="1"/>
  <c r="D232" i="9"/>
  <c r="C232" i="9" s="1"/>
  <c r="D233" i="9"/>
  <c r="D234" i="9"/>
  <c r="D235" i="9"/>
  <c r="C235" i="9" s="1"/>
  <c r="D236" i="9"/>
  <c r="C236" i="9" s="1"/>
  <c r="D237" i="9"/>
  <c r="C237" i="9" s="1"/>
  <c r="D238" i="9"/>
  <c r="C238" i="9" s="1"/>
  <c r="D239" i="9"/>
  <c r="D240" i="9"/>
  <c r="C240" i="9" s="1"/>
  <c r="D241" i="9"/>
  <c r="D242" i="9"/>
  <c r="C242" i="9" s="1"/>
  <c r="D243" i="9"/>
  <c r="C243" i="9" s="1"/>
  <c r="D244" i="9"/>
  <c r="C244" i="9" s="1"/>
  <c r="D245" i="9"/>
  <c r="C245" i="9" s="1"/>
  <c r="D246" i="9"/>
  <c r="C246" i="9" s="1"/>
  <c r="D247" i="9"/>
  <c r="C247" i="9" s="1"/>
  <c r="D248" i="9"/>
  <c r="D249" i="9"/>
  <c r="C249" i="9" s="1"/>
  <c r="D250" i="9"/>
  <c r="C250" i="9" s="1"/>
  <c r="D251" i="9"/>
  <c r="C251" i="9" s="1"/>
  <c r="D252" i="9"/>
  <c r="C252" i="9" s="1"/>
  <c r="D253" i="9"/>
  <c r="C253" i="9" s="1"/>
  <c r="D254" i="9"/>
  <c r="C254" i="9" s="1"/>
  <c r="D255" i="9"/>
  <c r="C255" i="9" s="1"/>
  <c r="D256" i="9"/>
  <c r="C256" i="9" s="1"/>
  <c r="D257" i="9"/>
  <c r="D258" i="9"/>
  <c r="C258" i="9" s="1"/>
  <c r="D259" i="9"/>
  <c r="C259" i="9" s="1"/>
  <c r="D260" i="9"/>
  <c r="C260" i="9" s="1"/>
  <c r="D261" i="9"/>
  <c r="C261" i="9" s="1"/>
  <c r="D262" i="9"/>
  <c r="C262" i="9" s="1"/>
  <c r="D263" i="9"/>
  <c r="C263" i="9" s="1"/>
  <c r="D264" i="9"/>
  <c r="C264" i="9" s="1"/>
  <c r="D265" i="9"/>
  <c r="C265" i="9" s="1"/>
  <c r="D266" i="9"/>
  <c r="C266" i="9" s="1"/>
  <c r="D267" i="9"/>
  <c r="C267" i="9" s="1"/>
  <c r="D268" i="9"/>
  <c r="C268" i="9" s="1"/>
  <c r="D269" i="9"/>
  <c r="C269" i="9" s="1"/>
  <c r="D270" i="9"/>
  <c r="C270" i="9" s="1"/>
  <c r="D271" i="9"/>
  <c r="C271" i="9" s="1"/>
  <c r="D272" i="9"/>
  <c r="C272" i="9" s="1"/>
  <c r="D273" i="9"/>
  <c r="C273" i="9" s="1"/>
  <c r="D274" i="9"/>
  <c r="C274" i="9" s="1"/>
  <c r="D275" i="9"/>
  <c r="C275" i="9" s="1"/>
  <c r="D276" i="9"/>
  <c r="C276" i="9" s="1"/>
  <c r="D277" i="9"/>
  <c r="C277" i="9" s="1"/>
  <c r="D278" i="9"/>
  <c r="C278" i="9" s="1"/>
  <c r="D279" i="9"/>
  <c r="C279" i="9" s="1"/>
  <c r="D280" i="9"/>
  <c r="C280" i="9" s="1"/>
  <c r="D281" i="9"/>
  <c r="C281" i="9" s="1"/>
  <c r="D282" i="9"/>
  <c r="C282" i="9" s="1"/>
  <c r="D283" i="9"/>
  <c r="C283" i="9" s="1"/>
  <c r="D284" i="9"/>
  <c r="C284" i="9" s="1"/>
  <c r="D285" i="9"/>
  <c r="C285" i="9" s="1"/>
  <c r="D286" i="9"/>
  <c r="C286" i="9" s="1"/>
  <c r="D287" i="9"/>
  <c r="C287" i="9" s="1"/>
  <c r="D288" i="9"/>
  <c r="C288" i="9" s="1"/>
  <c r="D289" i="9"/>
  <c r="D290" i="9"/>
  <c r="C290" i="9" s="1"/>
  <c r="D291" i="9"/>
  <c r="D292" i="9"/>
  <c r="C292" i="9" s="1"/>
  <c r="D293" i="9"/>
  <c r="C293" i="9" s="1"/>
  <c r="D294" i="9"/>
  <c r="D295" i="9"/>
  <c r="C295" i="9" s="1"/>
  <c r="D296" i="9"/>
  <c r="C296" i="9" s="1"/>
  <c r="D297" i="9"/>
  <c r="D298" i="9"/>
  <c r="C298" i="9" s="1"/>
  <c r="D299" i="9"/>
  <c r="C299" i="9" s="1"/>
  <c r="D300" i="9"/>
  <c r="C300" i="9" s="1"/>
  <c r="D301" i="9"/>
  <c r="C301" i="9" s="1"/>
  <c r="D302" i="9"/>
  <c r="C302" i="9" s="1"/>
  <c r="D303" i="9"/>
  <c r="C303" i="9" s="1"/>
  <c r="D304" i="9"/>
  <c r="C304" i="9" s="1"/>
  <c r="D305" i="9"/>
  <c r="D306" i="9"/>
  <c r="C306" i="9" s="1"/>
  <c r="D307" i="9"/>
  <c r="C307" i="9" s="1"/>
  <c r="D308" i="9"/>
  <c r="C308" i="9" s="1"/>
  <c r="D309" i="9"/>
  <c r="C309" i="9" s="1"/>
  <c r="D310" i="9"/>
  <c r="C310" i="9" s="1"/>
  <c r="D311" i="9"/>
  <c r="C311" i="9" s="1"/>
  <c r="D312" i="9"/>
  <c r="C312" i="9" s="1"/>
  <c r="D313" i="9"/>
  <c r="D314" i="9"/>
  <c r="C314" i="9" s="1"/>
  <c r="D315" i="9"/>
  <c r="C315" i="9" s="1"/>
  <c r="D316" i="9"/>
  <c r="C316" i="9" s="1"/>
  <c r="D317" i="9"/>
  <c r="C317" i="9" s="1"/>
  <c r="D318" i="9"/>
  <c r="C318" i="9" s="1"/>
  <c r="D319" i="9"/>
  <c r="C319" i="9" s="1"/>
  <c r="D320" i="9"/>
  <c r="C320" i="9" s="1"/>
  <c r="D321" i="9"/>
  <c r="C321" i="9" s="1"/>
  <c r="D322" i="9"/>
  <c r="C322" i="9" s="1"/>
  <c r="D323" i="9"/>
  <c r="C323" i="9" s="1"/>
  <c r="D324" i="9"/>
  <c r="C324" i="9" s="1"/>
  <c r="D325" i="9"/>
  <c r="C325" i="9" s="1"/>
  <c r="D326" i="9"/>
  <c r="C326" i="9" s="1"/>
  <c r="D327" i="9"/>
  <c r="C327" i="9" s="1"/>
  <c r="D328" i="9"/>
  <c r="D329" i="9"/>
  <c r="C329" i="9" s="1"/>
  <c r="D330" i="9"/>
  <c r="C330" i="9" s="1"/>
  <c r="D331" i="9"/>
  <c r="C331" i="9" s="1"/>
  <c r="D332" i="9"/>
  <c r="C332" i="9" s="1"/>
  <c r="D333" i="9"/>
  <c r="C333" i="9" s="1"/>
  <c r="D334" i="9"/>
  <c r="C334" i="9" s="1"/>
  <c r="D335" i="9"/>
  <c r="C335" i="9" s="1"/>
  <c r="D336" i="9"/>
  <c r="C336" i="9" s="1"/>
  <c r="D337" i="9"/>
  <c r="C337" i="9" s="1"/>
  <c r="D338" i="9"/>
  <c r="C338" i="9" s="1"/>
  <c r="D339" i="9"/>
  <c r="C339" i="9" s="1"/>
  <c r="D340" i="9"/>
  <c r="C340" i="9" s="1"/>
  <c r="D341" i="9"/>
  <c r="C341" i="9" s="1"/>
  <c r="D342" i="9"/>
  <c r="D343" i="9"/>
  <c r="C343" i="9" s="1"/>
  <c r="D344" i="9"/>
  <c r="C344" i="9" s="1"/>
  <c r="D345" i="9"/>
  <c r="D346" i="9"/>
  <c r="D347" i="9"/>
  <c r="C347" i="9" s="1"/>
  <c r="D348" i="9"/>
  <c r="C348" i="9" s="1"/>
  <c r="D349" i="9"/>
  <c r="C349" i="9" s="1"/>
  <c r="D350" i="9"/>
  <c r="C350" i="9" s="1"/>
  <c r="D351" i="9"/>
  <c r="C351" i="9" s="1"/>
  <c r="D352" i="9"/>
  <c r="C352" i="9" s="1"/>
  <c r="D353" i="9"/>
  <c r="D354" i="9"/>
  <c r="C354" i="9" s="1"/>
  <c r="D355" i="9"/>
  <c r="C355" i="9" s="1"/>
  <c r="D356" i="9"/>
  <c r="C356" i="9" s="1"/>
  <c r="D357" i="9"/>
  <c r="C357" i="9" s="1"/>
  <c r="D358" i="9"/>
  <c r="D359" i="9"/>
  <c r="C359" i="9" s="1"/>
  <c r="D360" i="9"/>
  <c r="C360" i="9" s="1"/>
  <c r="D361" i="9"/>
  <c r="D362" i="9"/>
  <c r="C362" i="9" s="1"/>
  <c r="D363" i="9"/>
  <c r="C363" i="9" s="1"/>
  <c r="D364" i="9"/>
  <c r="C364" i="9" s="1"/>
  <c r="D365" i="9"/>
  <c r="C365" i="9" s="1"/>
  <c r="D366" i="9"/>
  <c r="C366" i="9" s="1"/>
  <c r="D367" i="9"/>
  <c r="C367" i="9" s="1"/>
  <c r="D368" i="9"/>
  <c r="C368" i="9" s="1"/>
  <c r="D369" i="9"/>
  <c r="D370" i="9"/>
  <c r="C370" i="9" s="1"/>
  <c r="D371" i="9"/>
  <c r="C371" i="9" s="1"/>
  <c r="D372" i="9"/>
  <c r="C372" i="9" s="1"/>
  <c r="D373" i="9"/>
  <c r="C373" i="9" s="1"/>
  <c r="D374" i="9"/>
  <c r="C374" i="9" s="1"/>
  <c r="D375" i="9"/>
  <c r="C375" i="9" s="1"/>
  <c r="D376" i="9"/>
  <c r="C376" i="9" s="1"/>
  <c r="D377" i="9"/>
  <c r="C377" i="9" s="1"/>
  <c r="D378" i="9"/>
  <c r="C378" i="9" s="1"/>
  <c r="D379" i="9"/>
  <c r="C379" i="9" s="1"/>
  <c r="D380" i="9"/>
  <c r="C380" i="9" s="1"/>
  <c r="D381" i="9"/>
  <c r="C381" i="9" s="1"/>
  <c r="D382" i="9"/>
  <c r="C382" i="9" s="1"/>
  <c r="D383" i="9"/>
  <c r="C383" i="9" s="1"/>
  <c r="D384" i="9"/>
  <c r="C384" i="9" s="1"/>
  <c r="D385" i="9"/>
  <c r="C385" i="9" s="1"/>
  <c r="D386" i="9"/>
  <c r="C386" i="9" s="1"/>
  <c r="D387" i="9"/>
  <c r="C387" i="9" s="1"/>
  <c r="D388" i="9"/>
  <c r="C388" i="9" s="1"/>
  <c r="D389" i="9"/>
  <c r="C389" i="9" s="1"/>
  <c r="D390" i="9"/>
  <c r="C390" i="9" s="1"/>
  <c r="D391" i="9"/>
  <c r="C391" i="9" s="1"/>
  <c r="D392" i="9"/>
  <c r="C392" i="9" s="1"/>
  <c r="D393" i="9"/>
  <c r="C393" i="9" s="1"/>
  <c r="D394" i="9"/>
  <c r="C394" i="9" s="1"/>
  <c r="D395" i="9"/>
  <c r="C395" i="9" s="1"/>
  <c r="D396" i="9"/>
  <c r="C396" i="9" s="1"/>
  <c r="D397" i="9"/>
  <c r="C397" i="9" s="1"/>
  <c r="D398" i="9"/>
  <c r="C398" i="9" s="1"/>
  <c r="D399" i="9"/>
  <c r="C399" i="9" s="1"/>
  <c r="D400" i="9"/>
  <c r="C400" i="9" s="1"/>
  <c r="D401" i="9"/>
  <c r="C401" i="9" s="1"/>
  <c r="D402" i="9"/>
  <c r="C402" i="9" s="1"/>
  <c r="D403" i="9"/>
  <c r="C403" i="9" s="1"/>
  <c r="D404" i="9"/>
  <c r="C404" i="9" s="1"/>
  <c r="D405" i="9"/>
  <c r="C405" i="9" s="1"/>
  <c r="D406" i="9"/>
  <c r="C406" i="9" s="1"/>
  <c r="D407" i="9"/>
  <c r="C407" i="9" s="1"/>
  <c r="D408" i="9"/>
  <c r="C408" i="9" s="1"/>
  <c r="D409" i="9"/>
  <c r="C409" i="9" s="1"/>
  <c r="D410" i="9"/>
  <c r="C410" i="9" s="1"/>
  <c r="D411" i="9"/>
  <c r="C411" i="9" s="1"/>
  <c r="D412" i="9"/>
  <c r="C412" i="9" s="1"/>
  <c r="D413" i="9"/>
  <c r="C413" i="9" s="1"/>
  <c r="D414" i="9"/>
  <c r="C414" i="9" s="1"/>
  <c r="D415" i="9"/>
  <c r="C415" i="9" s="1"/>
  <c r="D416" i="9"/>
  <c r="D417" i="9"/>
  <c r="D418" i="9"/>
  <c r="D419" i="9"/>
  <c r="C419" i="9" s="1"/>
  <c r="D420" i="9"/>
  <c r="C420" i="9" s="1"/>
  <c r="D421" i="9"/>
  <c r="C421" i="9" s="1"/>
  <c r="D422" i="9"/>
  <c r="C422" i="9" s="1"/>
  <c r="D423" i="9"/>
  <c r="C423" i="9" s="1"/>
  <c r="D424" i="9"/>
  <c r="C424" i="9" s="1"/>
  <c r="D425" i="9"/>
  <c r="C425" i="9" s="1"/>
  <c r="D426" i="9"/>
  <c r="C426" i="9" s="1"/>
  <c r="D427" i="9"/>
  <c r="C427" i="9" s="1"/>
  <c r="D428" i="9"/>
  <c r="C428" i="9" s="1"/>
  <c r="D429" i="9"/>
  <c r="C429" i="9" s="1"/>
  <c r="D430" i="9"/>
  <c r="C430" i="9" s="1"/>
  <c r="D431" i="9"/>
  <c r="C431" i="9" s="1"/>
  <c r="D432" i="9"/>
  <c r="C432" i="9" s="1"/>
  <c r="D433" i="9"/>
  <c r="C433" i="9" s="1"/>
  <c r="D434" i="9"/>
  <c r="C434" i="9" s="1"/>
  <c r="D435" i="9"/>
  <c r="C435" i="9" s="1"/>
  <c r="D436" i="9"/>
  <c r="C436" i="9" s="1"/>
  <c r="D437" i="9"/>
  <c r="C437" i="9" s="1"/>
  <c r="D438" i="9"/>
  <c r="D439" i="9"/>
  <c r="C439" i="9" s="1"/>
  <c r="D440" i="9"/>
  <c r="C440" i="9" s="1"/>
  <c r="D441" i="9"/>
  <c r="D442" i="9"/>
  <c r="C442" i="9" s="1"/>
  <c r="D443" i="9"/>
  <c r="C443" i="9" s="1"/>
  <c r="D444" i="9"/>
  <c r="C444" i="9" s="1"/>
  <c r="D445" i="9"/>
  <c r="C445" i="9" s="1"/>
  <c r="D446" i="9"/>
  <c r="C446" i="9" s="1"/>
  <c r="D447" i="9"/>
  <c r="C447" i="9" s="1"/>
  <c r="D448" i="9"/>
  <c r="C448" i="9" s="1"/>
  <c r="D449" i="9"/>
  <c r="C449" i="9" s="1"/>
  <c r="D450" i="9"/>
  <c r="C450" i="9" s="1"/>
  <c r="D451" i="9"/>
  <c r="C451" i="9" s="1"/>
  <c r="D452" i="9"/>
  <c r="C452" i="9" s="1"/>
  <c r="D453" i="9"/>
  <c r="C453" i="9" s="1"/>
  <c r="D454" i="9"/>
  <c r="C454" i="9" s="1"/>
  <c r="D455" i="9"/>
  <c r="C455" i="9" s="1"/>
  <c r="D456" i="9"/>
  <c r="C456" i="9" s="1"/>
  <c r="D457" i="9"/>
  <c r="C457" i="9" s="1"/>
  <c r="D458" i="9"/>
  <c r="C458" i="9" s="1"/>
  <c r="D459" i="9"/>
  <c r="C459" i="9" s="1"/>
  <c r="D460" i="9"/>
  <c r="C460" i="9" s="1"/>
  <c r="D461" i="9"/>
  <c r="C461" i="9" s="1"/>
  <c r="D462" i="9"/>
  <c r="C462" i="9" s="1"/>
  <c r="D463" i="9"/>
  <c r="C463" i="9" s="1"/>
  <c r="D464" i="9"/>
  <c r="C464" i="9" s="1"/>
  <c r="D465" i="9"/>
  <c r="C465" i="9" s="1"/>
  <c r="D466" i="9"/>
  <c r="C466" i="9" s="1"/>
  <c r="D467" i="9"/>
  <c r="C467" i="9" s="1"/>
  <c r="D468" i="9"/>
  <c r="C468" i="9" s="1"/>
  <c r="D469" i="9"/>
  <c r="C469" i="9" s="1"/>
  <c r="D470" i="9"/>
  <c r="C470" i="9" s="1"/>
  <c r="D471" i="9"/>
  <c r="C471" i="9" s="1"/>
  <c r="D472" i="9"/>
  <c r="C472" i="9" s="1"/>
  <c r="D473" i="9"/>
  <c r="D474" i="9"/>
  <c r="C474" i="9" s="1"/>
  <c r="D475" i="9"/>
  <c r="C475" i="9" s="1"/>
  <c r="D476" i="9"/>
  <c r="C476" i="9" s="1"/>
  <c r="D477" i="9"/>
  <c r="C477" i="9" s="1"/>
  <c r="D478" i="9"/>
  <c r="C478" i="9" s="1"/>
  <c r="D479" i="9"/>
  <c r="C479" i="9" s="1"/>
  <c r="D480" i="9"/>
  <c r="C480" i="9" s="1"/>
  <c r="D481" i="9"/>
  <c r="C481" i="9" s="1"/>
  <c r="D482" i="9"/>
  <c r="C482" i="9" s="1"/>
  <c r="D483" i="9"/>
  <c r="C483" i="9" s="1"/>
  <c r="D484" i="9"/>
  <c r="C484" i="9" s="1"/>
  <c r="D485" i="9"/>
  <c r="C485" i="9" s="1"/>
  <c r="D486" i="9"/>
  <c r="C486" i="9" s="1"/>
  <c r="D487" i="9"/>
  <c r="C487" i="9" s="1"/>
  <c r="D488" i="9"/>
  <c r="C488" i="9" s="1"/>
  <c r="D489" i="9"/>
  <c r="C489" i="9" s="1"/>
  <c r="D490" i="9"/>
  <c r="C490" i="9" s="1"/>
  <c r="D491" i="9"/>
  <c r="C491" i="9" s="1"/>
  <c r="D492" i="9"/>
  <c r="C492" i="9" s="1"/>
  <c r="D493" i="9"/>
  <c r="C493" i="9" s="1"/>
  <c r="D494" i="9"/>
  <c r="C494" i="9" s="1"/>
  <c r="D495" i="9"/>
  <c r="C495" i="9" s="1"/>
  <c r="D496" i="9"/>
  <c r="C496" i="9" s="1"/>
  <c r="D497" i="9"/>
  <c r="D498" i="9"/>
  <c r="C498" i="9" s="1"/>
  <c r="D499" i="9"/>
  <c r="C499" i="9" s="1"/>
  <c r="D500" i="9"/>
  <c r="C500" i="9" s="1"/>
  <c r="D501" i="9"/>
  <c r="C501" i="9" s="1"/>
  <c r="D502" i="9"/>
  <c r="C502" i="9" s="1"/>
  <c r="D503" i="9"/>
  <c r="C503" i="9" s="1"/>
  <c r="D504" i="9"/>
  <c r="D505" i="9"/>
  <c r="C505" i="9" s="1"/>
  <c r="D506" i="9"/>
  <c r="C506" i="9" s="1"/>
  <c r="D507" i="9"/>
  <c r="C507" i="9" s="1"/>
  <c r="D508" i="9"/>
  <c r="C508" i="9" s="1"/>
  <c r="D509" i="9"/>
  <c r="C509" i="9" s="1"/>
  <c r="D510" i="9"/>
  <c r="C510" i="9" s="1"/>
  <c r="D511" i="9"/>
  <c r="C511" i="9" s="1"/>
  <c r="D512" i="9"/>
  <c r="C512" i="9" s="1"/>
  <c r="D513" i="9"/>
  <c r="D514" i="9"/>
  <c r="C514" i="9" s="1"/>
  <c r="D515" i="9"/>
  <c r="C515" i="9" s="1"/>
  <c r="D516" i="9"/>
  <c r="C516" i="9" s="1"/>
  <c r="D517" i="9"/>
  <c r="C517" i="9" s="1"/>
  <c r="D518" i="9"/>
  <c r="C518" i="9" s="1"/>
  <c r="D519" i="9"/>
  <c r="C519" i="9" s="1"/>
  <c r="D520" i="9"/>
  <c r="C520" i="9" s="1"/>
  <c r="D521" i="9"/>
  <c r="C521" i="9" s="1"/>
  <c r="D522" i="9"/>
  <c r="C522" i="9" s="1"/>
  <c r="D523" i="9"/>
  <c r="C523" i="9" s="1"/>
  <c r="D524" i="9"/>
  <c r="C524" i="9" s="1"/>
  <c r="D525" i="9"/>
  <c r="C525" i="9" s="1"/>
  <c r="D526" i="9"/>
  <c r="C526" i="9" s="1"/>
  <c r="D527" i="9"/>
  <c r="C527" i="9" s="1"/>
  <c r="D528" i="9"/>
  <c r="C528" i="9" s="1"/>
  <c r="D529" i="9"/>
  <c r="D530" i="9"/>
  <c r="C530" i="9" s="1"/>
  <c r="D531" i="9"/>
  <c r="C531" i="9" s="1"/>
  <c r="D532" i="9"/>
  <c r="C532" i="9" s="1"/>
  <c r="D533" i="9"/>
  <c r="C533" i="9" s="1"/>
  <c r="D534" i="9"/>
  <c r="D535" i="9"/>
  <c r="C535" i="9" s="1"/>
  <c r="D536" i="9"/>
  <c r="C536" i="9" s="1"/>
  <c r="D537" i="9"/>
  <c r="C537" i="9" s="1"/>
  <c r="D538" i="9"/>
  <c r="C538" i="9" s="1"/>
  <c r="D539" i="9"/>
  <c r="C539" i="9" s="1"/>
  <c r="D540" i="9"/>
  <c r="C540" i="9" s="1"/>
  <c r="D541" i="9"/>
  <c r="C541" i="9" s="1"/>
  <c r="D542" i="9"/>
  <c r="C542" i="9" s="1"/>
  <c r="D543" i="9"/>
  <c r="C543" i="9" s="1"/>
  <c r="D544" i="9"/>
  <c r="C544" i="9" s="1"/>
  <c r="D545" i="9"/>
  <c r="C545" i="9" s="1"/>
  <c r="D546" i="9"/>
  <c r="C546" i="9" s="1"/>
  <c r="D547" i="9"/>
  <c r="C547" i="9" s="1"/>
  <c r="D548" i="9"/>
  <c r="C548" i="9" s="1"/>
  <c r="D549" i="9"/>
  <c r="C549" i="9" s="1"/>
  <c r="D550" i="9"/>
  <c r="C550" i="9" s="1"/>
  <c r="D551" i="9"/>
  <c r="C551" i="9" s="1"/>
  <c r="D552" i="9"/>
  <c r="C552" i="9" s="1"/>
  <c r="D553" i="9"/>
  <c r="C553" i="9" s="1"/>
  <c r="D554" i="9"/>
  <c r="C554" i="9" s="1"/>
  <c r="D555" i="9"/>
  <c r="C555" i="9" s="1"/>
  <c r="D556" i="9"/>
  <c r="C556" i="9" s="1"/>
  <c r="D557" i="9"/>
  <c r="C557" i="9" s="1"/>
  <c r="D558" i="9"/>
  <c r="C558" i="9" s="1"/>
  <c r="D559" i="9"/>
  <c r="C559" i="9" s="1"/>
  <c r="D560" i="9"/>
  <c r="C560" i="9" s="1"/>
  <c r="D561" i="9"/>
  <c r="C561" i="9" s="1"/>
  <c r="D562" i="9"/>
  <c r="C562" i="9" s="1"/>
  <c r="D563" i="9"/>
  <c r="C563" i="9" s="1"/>
  <c r="D564" i="9"/>
  <c r="C564" i="9" s="1"/>
  <c r="D565" i="9"/>
  <c r="C565" i="9" s="1"/>
  <c r="D566" i="9"/>
  <c r="C566" i="9" s="1"/>
  <c r="D567" i="9"/>
  <c r="C567" i="9" s="1"/>
  <c r="D568" i="9"/>
  <c r="C568" i="9" s="1"/>
  <c r="D569" i="9"/>
  <c r="D570" i="9"/>
  <c r="C570" i="9" s="1"/>
  <c r="D571" i="9"/>
  <c r="C571" i="9" s="1"/>
  <c r="D572" i="9"/>
  <c r="C572" i="9" s="1"/>
  <c r="D573" i="9"/>
  <c r="C573" i="9" s="1"/>
  <c r="D574" i="9"/>
  <c r="C574" i="9" s="1"/>
  <c r="D575" i="9"/>
  <c r="C575" i="9" s="1"/>
  <c r="D576" i="9"/>
  <c r="C576" i="9" s="1"/>
  <c r="D577" i="9"/>
  <c r="C577" i="9" s="1"/>
  <c r="D578" i="9"/>
  <c r="C578" i="9" s="1"/>
  <c r="D579" i="9"/>
  <c r="C579" i="9" s="1"/>
  <c r="D580" i="9"/>
  <c r="C580" i="9" s="1"/>
  <c r="D581" i="9"/>
  <c r="C581" i="9" s="1"/>
  <c r="D582" i="9"/>
  <c r="C582" i="9" s="1"/>
  <c r="D583" i="9"/>
  <c r="C583" i="9" s="1"/>
  <c r="D584" i="9"/>
  <c r="C584" i="9" s="1"/>
  <c r="D585" i="9"/>
  <c r="D586" i="9"/>
  <c r="C586" i="9" s="1"/>
  <c r="D587" i="9"/>
  <c r="C587" i="9" s="1"/>
  <c r="D588" i="9"/>
  <c r="C588" i="9" s="1"/>
  <c r="D589" i="9"/>
  <c r="C589" i="9" s="1"/>
  <c r="D590" i="9"/>
  <c r="C590" i="9" s="1"/>
  <c r="D591" i="9"/>
  <c r="C591" i="9" s="1"/>
  <c r="D592" i="9"/>
  <c r="C592" i="9" s="1"/>
  <c r="D593" i="9"/>
  <c r="C593" i="9" s="1"/>
  <c r="D594" i="9"/>
  <c r="C594" i="9" s="1"/>
  <c r="D595" i="9"/>
  <c r="C595" i="9" s="1"/>
  <c r="D596" i="9"/>
  <c r="C596" i="9" s="1"/>
  <c r="D597" i="9"/>
  <c r="C597" i="9" s="1"/>
  <c r="D598" i="9"/>
  <c r="C598" i="9" s="1"/>
  <c r="D599" i="9"/>
  <c r="C599" i="9" s="1"/>
  <c r="D600" i="9"/>
  <c r="C600" i="9" s="1"/>
  <c r="D601" i="9"/>
  <c r="C601" i="9" s="1"/>
  <c r="D602" i="9"/>
  <c r="C602" i="9" s="1"/>
  <c r="D603" i="9"/>
  <c r="C603" i="9" s="1"/>
  <c r="D604" i="9"/>
  <c r="C604" i="9" s="1"/>
  <c r="D605" i="9"/>
  <c r="C605" i="9" s="1"/>
  <c r="D606" i="9"/>
  <c r="C606" i="9" s="1"/>
  <c r="D607" i="9"/>
  <c r="C607" i="9" s="1"/>
  <c r="D608" i="9"/>
  <c r="C608" i="9" s="1"/>
  <c r="D609" i="9"/>
  <c r="C609" i="9" s="1"/>
  <c r="D610" i="9"/>
  <c r="C610" i="9" s="1"/>
  <c r="D611" i="9"/>
  <c r="C611" i="9" s="1"/>
  <c r="D612" i="9"/>
  <c r="C612" i="9" s="1"/>
  <c r="D613" i="9"/>
  <c r="C613" i="9" s="1"/>
  <c r="D614" i="9"/>
  <c r="C614" i="9" s="1"/>
  <c r="D615" i="9"/>
  <c r="C615" i="9" s="1"/>
  <c r="D616" i="9"/>
  <c r="C616" i="9" s="1"/>
  <c r="D617" i="9"/>
  <c r="D618" i="9"/>
  <c r="C618" i="9" s="1"/>
  <c r="D619" i="9"/>
  <c r="C619" i="9" s="1"/>
  <c r="D620" i="9"/>
  <c r="C620" i="9" s="1"/>
  <c r="D621" i="9"/>
  <c r="C621" i="9" s="1"/>
  <c r="D622" i="9"/>
  <c r="C622" i="9" s="1"/>
  <c r="D623" i="9"/>
  <c r="C623" i="9" s="1"/>
  <c r="D624" i="9"/>
  <c r="C624" i="9" s="1"/>
  <c r="D625" i="9"/>
  <c r="C625" i="9" s="1"/>
  <c r="D626" i="9"/>
  <c r="C626" i="9" s="1"/>
  <c r="D627" i="9"/>
  <c r="C627" i="9" s="1"/>
  <c r="D628" i="9"/>
  <c r="C628" i="9" s="1"/>
  <c r="D629" i="9"/>
  <c r="C629" i="9" s="1"/>
  <c r="D630" i="9"/>
  <c r="C630" i="9" s="1"/>
  <c r="D631" i="9"/>
  <c r="C631" i="9" s="1"/>
  <c r="D632" i="9"/>
  <c r="C632" i="9" s="1"/>
  <c r="D633" i="9"/>
  <c r="C633" i="9" s="1"/>
  <c r="D634" i="9"/>
  <c r="C634" i="9" s="1"/>
  <c r="D635" i="9"/>
  <c r="C635" i="9" s="1"/>
  <c r="D636" i="9"/>
  <c r="C636" i="9" s="1"/>
  <c r="D637" i="9"/>
  <c r="C637" i="9" s="1"/>
  <c r="D638" i="9"/>
  <c r="C638" i="9" s="1"/>
  <c r="D639" i="9"/>
  <c r="C639" i="9" s="1"/>
  <c r="D640" i="9"/>
  <c r="C640" i="9" s="1"/>
  <c r="D641" i="9"/>
  <c r="C641" i="9" s="1"/>
  <c r="D642" i="9"/>
  <c r="C642" i="9" s="1"/>
  <c r="D643" i="9"/>
  <c r="C643" i="9" s="1"/>
  <c r="D644" i="9"/>
  <c r="C644" i="9" s="1"/>
  <c r="D645" i="9"/>
  <c r="C645" i="9" s="1"/>
  <c r="D646" i="9"/>
  <c r="D647" i="9"/>
  <c r="C647" i="9" s="1"/>
  <c r="D648" i="9"/>
  <c r="C648" i="9" s="1"/>
  <c r="D649" i="9"/>
  <c r="C649" i="9" s="1"/>
  <c r="D650" i="9"/>
  <c r="C650" i="9" s="1"/>
  <c r="D651" i="9"/>
  <c r="C651" i="9" s="1"/>
  <c r="D652" i="9"/>
  <c r="C652" i="9" s="1"/>
  <c r="D653" i="9"/>
  <c r="C653" i="9" s="1"/>
  <c r="D654" i="9"/>
  <c r="C654" i="9" s="1"/>
  <c r="D655" i="9"/>
  <c r="C655" i="9" s="1"/>
  <c r="D656" i="9"/>
  <c r="C656" i="9" s="1"/>
  <c r="D657" i="9"/>
  <c r="C657" i="9" s="1"/>
  <c r="D658" i="9"/>
  <c r="C658" i="9" s="1"/>
  <c r="D659" i="9"/>
  <c r="D660" i="9"/>
  <c r="C660" i="9" s="1"/>
  <c r="D661" i="9"/>
  <c r="C661" i="9" s="1"/>
  <c r="D662" i="9"/>
  <c r="C662" i="9" s="1"/>
  <c r="D663" i="9"/>
  <c r="C663" i="9" s="1"/>
  <c r="D664" i="9"/>
  <c r="C664" i="9" s="1"/>
  <c r="D665" i="9"/>
  <c r="C665" i="9" s="1"/>
  <c r="D666" i="9"/>
  <c r="C666" i="9" s="1"/>
  <c r="D667" i="9"/>
  <c r="C667" i="9" s="1"/>
  <c r="D668" i="9"/>
  <c r="C668" i="9" s="1"/>
  <c r="D669" i="9"/>
  <c r="C669" i="9" s="1"/>
  <c r="D670" i="9"/>
  <c r="C670" i="9" s="1"/>
  <c r="D671" i="9"/>
  <c r="C671" i="9" s="1"/>
  <c r="D672" i="9"/>
  <c r="C672" i="9" s="1"/>
  <c r="D673" i="9"/>
  <c r="C673" i="9" s="1"/>
  <c r="D674" i="9"/>
  <c r="C674" i="9" s="1"/>
  <c r="D675" i="9"/>
  <c r="C675" i="9" s="1"/>
  <c r="D676" i="9"/>
  <c r="C676" i="9" s="1"/>
  <c r="D677" i="9"/>
  <c r="C677" i="9" s="1"/>
  <c r="D678" i="9"/>
  <c r="C678" i="9" s="1"/>
  <c r="D679" i="9"/>
  <c r="C679" i="9" s="1"/>
  <c r="D680" i="9"/>
  <c r="C680" i="9" s="1"/>
  <c r="D681" i="9"/>
  <c r="C681" i="9" s="1"/>
  <c r="D682" i="9"/>
  <c r="C682" i="9" s="1"/>
  <c r="D683" i="9"/>
  <c r="C683" i="9" s="1"/>
  <c r="D684" i="9"/>
  <c r="C684" i="9" s="1"/>
  <c r="D685" i="9"/>
  <c r="C685" i="9" s="1"/>
  <c r="D686" i="9"/>
  <c r="C686" i="9" s="1"/>
  <c r="D687" i="9"/>
  <c r="C687" i="9" s="1"/>
  <c r="D688" i="9"/>
  <c r="C688" i="9" s="1"/>
  <c r="D689" i="9"/>
  <c r="C689" i="9" s="1"/>
  <c r="D690" i="9"/>
  <c r="C690" i="9" s="1"/>
  <c r="D691" i="9"/>
  <c r="C691" i="9" s="1"/>
  <c r="D692" i="9"/>
  <c r="C692" i="9" s="1"/>
  <c r="D693" i="9"/>
  <c r="C693" i="9" s="1"/>
  <c r="D694" i="9"/>
  <c r="C694" i="9" s="1"/>
  <c r="D695" i="9"/>
  <c r="C695" i="9" s="1"/>
  <c r="D696" i="9"/>
  <c r="C696" i="9" s="1"/>
  <c r="D697" i="9"/>
  <c r="D698" i="9"/>
  <c r="C698" i="9" s="1"/>
  <c r="D699" i="9"/>
  <c r="C699" i="9" s="1"/>
  <c r="D700" i="9"/>
  <c r="C700" i="9" s="1"/>
  <c r="D701" i="9"/>
  <c r="C701" i="9" s="1"/>
  <c r="D702" i="9"/>
  <c r="C702" i="9" s="1"/>
  <c r="D703" i="9"/>
  <c r="C703" i="9" s="1"/>
  <c r="D704" i="9"/>
  <c r="C704" i="9" s="1"/>
  <c r="D705" i="9"/>
  <c r="C705" i="9" s="1"/>
  <c r="D706" i="9"/>
  <c r="C706" i="9" s="1"/>
  <c r="D707" i="9"/>
  <c r="C707" i="9" s="1"/>
  <c r="D708" i="9"/>
  <c r="C708" i="9" s="1"/>
  <c r="D709" i="9"/>
  <c r="C709" i="9" s="1"/>
  <c r="D710" i="9"/>
  <c r="C710" i="9" s="1"/>
  <c r="D711" i="9"/>
  <c r="C711" i="9" s="1"/>
  <c r="D712" i="9"/>
  <c r="C712" i="9" s="1"/>
  <c r="D713" i="9"/>
  <c r="C713" i="9" s="1"/>
  <c r="D714" i="9"/>
  <c r="C714" i="9" s="1"/>
  <c r="D715" i="9"/>
  <c r="C715" i="9" s="1"/>
  <c r="D716" i="9"/>
  <c r="C716" i="9" s="1"/>
  <c r="D717" i="9"/>
  <c r="C717" i="9" s="1"/>
  <c r="D718" i="9"/>
  <c r="C718" i="9" s="1"/>
  <c r="D719" i="9"/>
  <c r="C719" i="9" s="1"/>
  <c r="D720" i="9"/>
  <c r="C720" i="9" s="1"/>
  <c r="D721" i="9"/>
  <c r="C721" i="9" s="1"/>
  <c r="C24" i="9"/>
  <c r="C37" i="9"/>
  <c r="C49" i="9"/>
  <c r="C63" i="9"/>
  <c r="C65" i="9"/>
  <c r="C71" i="9"/>
  <c r="C79" i="9"/>
  <c r="C111" i="9"/>
  <c r="C113" i="9"/>
  <c r="C127" i="9"/>
  <c r="C129" i="9"/>
  <c r="C165" i="9"/>
  <c r="C166" i="9"/>
  <c r="C167" i="9"/>
  <c r="C177" i="9"/>
  <c r="C193" i="9"/>
  <c r="C230" i="9"/>
  <c r="C239" i="9"/>
  <c r="C241" i="9"/>
  <c r="C257" i="9"/>
  <c r="C294" i="9"/>
  <c r="C305" i="9"/>
  <c r="C345" i="9"/>
  <c r="C358" i="9"/>
  <c r="C369" i="9"/>
  <c r="C441" i="9"/>
  <c r="C473" i="9"/>
  <c r="C497" i="9"/>
  <c r="C513" i="9"/>
  <c r="C529" i="9"/>
  <c r="C569" i="9"/>
  <c r="C585" i="9"/>
  <c r="C617" i="9"/>
  <c r="C697" i="9"/>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C43" i="9"/>
  <c r="C45" i="9"/>
  <c r="C47" i="9"/>
  <c r="C54" i="9"/>
  <c r="C56" i="9"/>
  <c r="C58" i="9"/>
  <c r="C73" i="9"/>
  <c r="C81" i="9"/>
  <c r="C97" i="9"/>
  <c r="C112" i="9"/>
  <c r="C121" i="9"/>
  <c r="C122" i="9"/>
  <c r="C123" i="9"/>
  <c r="C137" i="9"/>
  <c r="C145" i="9"/>
  <c r="C157" i="9"/>
  <c r="C161" i="9"/>
  <c r="C185" i="9"/>
  <c r="C198" i="9"/>
  <c r="C200" i="9"/>
  <c r="C202" i="9"/>
  <c r="C233" i="9"/>
  <c r="C234" i="9"/>
  <c r="C248" i="9"/>
  <c r="C289" i="9"/>
  <c r="C291" i="9"/>
  <c r="C297" i="9"/>
  <c r="C313" i="9"/>
  <c r="C328" i="9"/>
  <c r="C342" i="9"/>
  <c r="C346" i="9"/>
  <c r="C353" i="9"/>
  <c r="C361" i="9"/>
  <c r="C416" i="9"/>
  <c r="C417" i="9"/>
  <c r="C418" i="9"/>
  <c r="C438" i="9"/>
  <c r="C504" i="9"/>
  <c r="C534" i="9"/>
  <c r="C646" i="9"/>
  <c r="C659" i="9"/>
  <c r="C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K464" i="16"/>
  <c r="K463" i="16"/>
  <c r="K462" i="16"/>
  <c r="K461" i="16"/>
  <c r="K460" i="16"/>
  <c r="K459" i="16"/>
  <c r="K458" i="16"/>
  <c r="K457" i="16"/>
  <c r="K456" i="16"/>
  <c r="K455" i="16"/>
  <c r="K454" i="16"/>
  <c r="K453" i="16"/>
  <c r="K452" i="16"/>
  <c r="K451" i="16"/>
  <c r="K450" i="16"/>
  <c r="K449" i="16"/>
  <c r="K448" i="16"/>
  <c r="K447" i="16"/>
  <c r="K446" i="16"/>
  <c r="K445" i="16"/>
  <c r="K444" i="16"/>
  <c r="K443" i="16"/>
  <c r="K442" i="16"/>
  <c r="K441" i="16"/>
  <c r="K440" i="16"/>
  <c r="K439" i="16"/>
  <c r="K438" i="16"/>
  <c r="K437" i="16"/>
  <c r="K436" i="16"/>
  <c r="K435" i="16"/>
  <c r="K434" i="16"/>
  <c r="K433" i="16"/>
  <c r="K432" i="16"/>
  <c r="K431" i="16"/>
  <c r="K430" i="16"/>
  <c r="K429" i="16"/>
  <c r="K428" i="16"/>
  <c r="K427" i="16"/>
  <c r="K426" i="16"/>
  <c r="K425" i="16"/>
  <c r="K424" i="16"/>
  <c r="K423" i="16"/>
  <c r="K422" i="16"/>
  <c r="K421" i="16"/>
  <c r="K420" i="16"/>
  <c r="K419" i="16"/>
  <c r="K418" i="16"/>
  <c r="K417" i="16"/>
  <c r="K416" i="16"/>
  <c r="K415" i="16"/>
  <c r="K414" i="16"/>
  <c r="K413" i="16"/>
  <c r="K412" i="16"/>
  <c r="K411" i="16"/>
  <c r="K410" i="16"/>
  <c r="K409" i="16"/>
  <c r="K408" i="16"/>
  <c r="K407" i="16"/>
  <c r="K406" i="16"/>
  <c r="K405" i="16"/>
  <c r="K404" i="16"/>
  <c r="K403" i="16"/>
  <c r="K402" i="16"/>
  <c r="K401" i="16"/>
  <c r="K400" i="16"/>
  <c r="K399" i="16"/>
  <c r="K398" i="16"/>
  <c r="K397" i="16"/>
  <c r="K396" i="16"/>
  <c r="K395" i="16"/>
  <c r="K394" i="16"/>
  <c r="K393" i="16"/>
  <c r="K392" i="16"/>
  <c r="K391" i="16"/>
  <c r="K390" i="16"/>
  <c r="K389" i="16"/>
  <c r="K388" i="16"/>
  <c r="K387" i="16"/>
  <c r="K386" i="16"/>
  <c r="K385" i="16"/>
  <c r="K384" i="16"/>
  <c r="K383" i="16"/>
  <c r="K382" i="16"/>
  <c r="K381" i="16"/>
  <c r="K380" i="16"/>
  <c r="K379" i="16"/>
  <c r="K378" i="16"/>
  <c r="K377" i="16"/>
  <c r="K376" i="16"/>
  <c r="K375" i="16"/>
  <c r="K374" i="16"/>
  <c r="K373" i="16"/>
  <c r="K372" i="16"/>
  <c r="K371" i="16"/>
  <c r="K370" i="16"/>
  <c r="K369" i="16"/>
  <c r="K368" i="16"/>
  <c r="K367" i="16"/>
  <c r="K366" i="16"/>
  <c r="K365" i="16"/>
  <c r="K364" i="16"/>
  <c r="K363" i="16"/>
  <c r="K362" i="16"/>
  <c r="K361" i="16"/>
  <c r="K360" i="16"/>
  <c r="K359" i="16"/>
  <c r="K358" i="16"/>
  <c r="K357" i="16"/>
  <c r="K356" i="16"/>
  <c r="K355" i="16"/>
  <c r="K354" i="16"/>
  <c r="K353" i="16"/>
  <c r="K352" i="16"/>
  <c r="K351" i="16"/>
  <c r="K350" i="16"/>
  <c r="K349" i="16"/>
  <c r="K348" i="16"/>
  <c r="K347" i="16"/>
  <c r="K346" i="16"/>
  <c r="K345" i="16"/>
  <c r="K344" i="16"/>
  <c r="K343" i="16"/>
  <c r="K342" i="16"/>
  <c r="K341" i="16"/>
  <c r="K340" i="16"/>
  <c r="K339" i="16"/>
  <c r="K338" i="16"/>
  <c r="K337" i="16"/>
  <c r="K336" i="16"/>
  <c r="K335" i="16"/>
  <c r="K334" i="16"/>
  <c r="K333" i="16"/>
  <c r="K332" i="16"/>
  <c r="K331" i="16"/>
  <c r="K330" i="16"/>
  <c r="K329" i="16"/>
  <c r="K328" i="16"/>
  <c r="K327" i="16"/>
  <c r="K326" i="16"/>
  <c r="K325" i="16"/>
  <c r="K324" i="16"/>
  <c r="K323" i="16"/>
  <c r="K322" i="16"/>
  <c r="K321" i="16"/>
  <c r="K320" i="16"/>
  <c r="K319" i="16"/>
  <c r="K318" i="16"/>
  <c r="K317" i="16"/>
  <c r="K316" i="16"/>
  <c r="K315" i="16"/>
  <c r="K314" i="16"/>
  <c r="K313" i="16"/>
  <c r="K312" i="16"/>
  <c r="K311" i="16"/>
  <c r="K310" i="16"/>
  <c r="K309" i="16"/>
  <c r="K308" i="16"/>
  <c r="K307" i="16"/>
  <c r="K306" i="16"/>
  <c r="K305" i="16"/>
  <c r="K304" i="16"/>
  <c r="K303" i="16"/>
  <c r="K302" i="16"/>
  <c r="K301" i="16"/>
  <c r="K300" i="16"/>
  <c r="K299" i="16"/>
  <c r="K298" i="16"/>
  <c r="K297" i="16"/>
  <c r="K296" i="16"/>
  <c r="K295" i="16"/>
  <c r="K294" i="16"/>
  <c r="K293" i="16"/>
  <c r="K292" i="16"/>
  <c r="K291" i="16"/>
  <c r="K290" i="16"/>
  <c r="K289" i="16"/>
  <c r="K288" i="16"/>
  <c r="K287" i="16"/>
  <c r="K286" i="16"/>
  <c r="K285" i="16"/>
  <c r="K284" i="16"/>
  <c r="K283" i="16"/>
  <c r="K282" i="16"/>
  <c r="K281" i="16"/>
  <c r="K280" i="16"/>
  <c r="K279" i="16"/>
  <c r="K278" i="16"/>
  <c r="K277" i="16"/>
  <c r="K276" i="16"/>
  <c r="K275" i="16"/>
  <c r="K274" i="16"/>
  <c r="K273" i="16"/>
  <c r="K272" i="16"/>
  <c r="K271" i="16"/>
  <c r="K270" i="16"/>
  <c r="K269" i="16"/>
  <c r="K268" i="16"/>
  <c r="K267" i="16"/>
  <c r="K266" i="16"/>
  <c r="K265" i="16"/>
  <c r="K264" i="16"/>
  <c r="K263" i="16"/>
  <c r="K262" i="16"/>
  <c r="K261" i="16"/>
  <c r="K260" i="16"/>
  <c r="K259" i="16"/>
  <c r="K258" i="16"/>
  <c r="K257" i="16"/>
  <c r="K256" i="16"/>
  <c r="K255" i="16"/>
  <c r="K254" i="16"/>
  <c r="K253" i="16"/>
  <c r="K252" i="16"/>
  <c r="K251" i="16"/>
  <c r="K250" i="16"/>
  <c r="K249" i="16"/>
  <c r="K248" i="16"/>
  <c r="K247" i="16"/>
  <c r="K246" i="16"/>
  <c r="K245" i="16"/>
  <c r="K244" i="16"/>
  <c r="K243" i="16"/>
  <c r="K242" i="16"/>
  <c r="K241" i="16"/>
  <c r="K240" i="16"/>
  <c r="K239" i="16"/>
  <c r="K238" i="16"/>
  <c r="K237" i="16"/>
  <c r="K236" i="16"/>
  <c r="K235" i="16"/>
  <c r="K234" i="16"/>
  <c r="K233" i="16"/>
  <c r="K232" i="16"/>
  <c r="K231" i="16"/>
  <c r="K230" i="16"/>
  <c r="K229" i="16"/>
  <c r="K228" i="16"/>
  <c r="K227" i="16"/>
  <c r="K226" i="16"/>
  <c r="K225" i="16"/>
  <c r="K224" i="16"/>
  <c r="K223" i="16"/>
  <c r="K222" i="16"/>
  <c r="K221" i="16"/>
  <c r="K220" i="16"/>
  <c r="K219" i="16"/>
  <c r="K218" i="16"/>
  <c r="K217" i="16"/>
  <c r="K216" i="16"/>
  <c r="K215" i="16"/>
  <c r="K214" i="16"/>
  <c r="K213" i="16"/>
  <c r="K212" i="16"/>
  <c r="K211" i="16"/>
  <c r="K210" i="16"/>
  <c r="K209" i="16"/>
  <c r="K208" i="16"/>
  <c r="K207" i="16"/>
  <c r="K206" i="16"/>
  <c r="K205" i="16"/>
  <c r="K204" i="16"/>
  <c r="K203" i="16"/>
  <c r="K202" i="16"/>
  <c r="K201" i="16"/>
  <c r="K200" i="16"/>
  <c r="K199" i="16"/>
  <c r="K198" i="16"/>
  <c r="K197" i="16"/>
  <c r="K196" i="16"/>
  <c r="K195" i="16"/>
  <c r="K194" i="16"/>
  <c r="K193" i="16"/>
  <c r="K192" i="16"/>
  <c r="K191" i="16"/>
  <c r="K190" i="16"/>
  <c r="K189" i="16"/>
  <c r="K188" i="16"/>
  <c r="K187" i="16"/>
  <c r="K186" i="16"/>
  <c r="K185" i="16"/>
  <c r="K184" i="16"/>
  <c r="K183" i="16"/>
  <c r="K182" i="16"/>
  <c r="K181" i="16"/>
  <c r="K180" i="16"/>
  <c r="K179" i="16"/>
  <c r="K178" i="16"/>
  <c r="K177" i="16"/>
  <c r="K176" i="16"/>
  <c r="K175" i="16"/>
  <c r="K174" i="16"/>
  <c r="K173" i="16"/>
  <c r="K172" i="16"/>
  <c r="K171" i="16"/>
  <c r="K170" i="16"/>
  <c r="K169" i="16"/>
  <c r="K168" i="16"/>
  <c r="K167" i="16"/>
  <c r="K166" i="16"/>
  <c r="K165" i="16"/>
  <c r="K164" i="16"/>
  <c r="K163" i="16"/>
  <c r="K162" i="16"/>
  <c r="K161" i="16"/>
  <c r="K160" i="16"/>
  <c r="K159" i="16"/>
  <c r="K158" i="16"/>
  <c r="K157" i="16"/>
  <c r="K156" i="16"/>
  <c r="K155" i="16"/>
  <c r="K154" i="16"/>
  <c r="K153" i="16"/>
  <c r="K152" i="16"/>
  <c r="K151" i="16"/>
  <c r="K150" i="16"/>
  <c r="K149" i="16"/>
  <c r="K148" i="16"/>
  <c r="K147" i="16"/>
  <c r="K146" i="16"/>
  <c r="K145" i="16"/>
  <c r="K144" i="16"/>
  <c r="K143" i="16"/>
  <c r="K142" i="16"/>
  <c r="K141" i="16"/>
  <c r="K140" i="16"/>
  <c r="K139" i="16"/>
  <c r="K138" i="16"/>
  <c r="K137" i="16"/>
  <c r="K136" i="16"/>
  <c r="K135" i="16"/>
  <c r="K134" i="16"/>
  <c r="K133" i="16"/>
  <c r="K132" i="16"/>
  <c r="K131" i="16"/>
  <c r="K130" i="16"/>
  <c r="K129" i="16"/>
  <c r="K128" i="16"/>
  <c r="K127" i="16"/>
  <c r="K126" i="16"/>
  <c r="K125" i="16"/>
  <c r="K124" i="16"/>
  <c r="K123" i="16"/>
  <c r="K122" i="16"/>
  <c r="K121" i="16"/>
  <c r="K120" i="16"/>
  <c r="K119" i="16"/>
  <c r="K118" i="16"/>
  <c r="K117" i="16"/>
  <c r="K116" i="16"/>
  <c r="K115" i="16"/>
  <c r="K114" i="16"/>
  <c r="K113" i="16"/>
  <c r="K112" i="16"/>
  <c r="K111" i="16"/>
  <c r="K110" i="16"/>
  <c r="K109" i="16"/>
  <c r="K108" i="16"/>
  <c r="K107" i="16"/>
  <c r="K106" i="16"/>
  <c r="K105" i="16"/>
  <c r="K104" i="16"/>
  <c r="K103" i="16"/>
  <c r="K102" i="16"/>
  <c r="K101" i="16"/>
  <c r="K100" i="16"/>
  <c r="K99" i="16"/>
  <c r="K98" i="16"/>
  <c r="K97" i="16"/>
  <c r="K96" i="16"/>
  <c r="K95" i="16"/>
  <c r="K94" i="16"/>
  <c r="K93" i="16"/>
  <c r="K92" i="16"/>
  <c r="K91" i="16"/>
  <c r="K90" i="16"/>
  <c r="K89" i="16"/>
  <c r="K88" i="16"/>
  <c r="K87" i="16"/>
  <c r="K86" i="16"/>
  <c r="K85" i="16"/>
  <c r="K84" i="16"/>
  <c r="K83" i="16"/>
  <c r="K82" i="16"/>
  <c r="K81" i="16"/>
  <c r="K80" i="16"/>
  <c r="K79" i="16"/>
  <c r="K78" i="16"/>
  <c r="K77" i="16"/>
  <c r="K76" i="16"/>
  <c r="K75" i="16"/>
  <c r="K74" i="16"/>
  <c r="K73" i="16"/>
  <c r="K72" i="16"/>
  <c r="K71" i="16"/>
  <c r="K70" i="16"/>
  <c r="K69" i="16"/>
  <c r="K68" i="16"/>
  <c r="K67" i="16"/>
  <c r="K66" i="16"/>
  <c r="K65" i="16"/>
  <c r="K64" i="16"/>
  <c r="K63" i="16"/>
  <c r="K62" i="16"/>
  <c r="K61" i="16"/>
  <c r="K60" i="16"/>
  <c r="K59" i="16"/>
  <c r="K58" i="16"/>
  <c r="K57" i="16"/>
  <c r="K56" i="16"/>
  <c r="K55" i="16"/>
  <c r="K54" i="16"/>
  <c r="K53" i="16"/>
  <c r="K52" i="16"/>
  <c r="K51" i="16"/>
  <c r="K50" i="16"/>
  <c r="K49" i="16"/>
  <c r="K48" i="16"/>
  <c r="K47" i="16"/>
  <c r="K46" i="16"/>
  <c r="K45" i="16"/>
  <c r="K44" i="16"/>
  <c r="K43" i="16"/>
  <c r="K42" i="16"/>
  <c r="K41" i="16"/>
  <c r="K40" i="16"/>
  <c r="K39" i="16"/>
  <c r="K38" i="16"/>
  <c r="K37" i="16"/>
  <c r="K36" i="16"/>
  <c r="K35" i="16"/>
  <c r="K34" i="16"/>
  <c r="K33" i="16"/>
  <c r="K32" i="16"/>
  <c r="K31" i="16"/>
  <c r="K30" i="16"/>
  <c r="K29" i="16"/>
  <c r="K28" i="16"/>
  <c r="K27" i="16"/>
  <c r="K26" i="16"/>
  <c r="K25" i="16"/>
  <c r="K24" i="16"/>
  <c r="K23" i="16"/>
  <c r="K22" i="16"/>
  <c r="K21" i="16"/>
  <c r="K20" i="16"/>
  <c r="K19" i="16"/>
  <c r="K18" i="16"/>
  <c r="K17" i="16"/>
  <c r="K16" i="16"/>
  <c r="K15" i="16"/>
  <c r="K14" i="16"/>
  <c r="K13" i="16"/>
  <c r="K12" i="16"/>
  <c r="K11" i="16"/>
  <c r="K10" i="16"/>
  <c r="K9" i="16"/>
  <c r="K8" i="16"/>
  <c r="K7" i="16"/>
  <c r="K6" i="16"/>
  <c r="K5" i="16"/>
  <c r="K4" i="16"/>
  <c r="K3" i="16"/>
  <c r="K2" i="16"/>
  <c r="K56" i="13"/>
  <c r="K57" i="13"/>
  <c r="K58" i="13"/>
  <c r="K59" i="13"/>
  <c r="K60" i="13"/>
  <c r="K61" i="13"/>
  <c r="K62" i="13"/>
  <c r="K63" i="13"/>
  <c r="K64" i="13"/>
  <c r="K65" i="13"/>
  <c r="K66" i="13"/>
  <c r="K67" i="13"/>
  <c r="K68" i="13"/>
  <c r="K69" i="13"/>
  <c r="K70" i="13"/>
  <c r="K71" i="13"/>
  <c r="K72" i="13"/>
  <c r="K73" i="13"/>
  <c r="K74" i="13"/>
  <c r="K572" i="13"/>
  <c r="K571" i="13"/>
  <c r="K570" i="13"/>
  <c r="K569" i="13"/>
  <c r="K568" i="13"/>
  <c r="K567" i="13"/>
  <c r="K566" i="13"/>
  <c r="K565" i="13"/>
  <c r="K564" i="13"/>
  <c r="K563" i="13"/>
  <c r="K562" i="13"/>
  <c r="K561" i="13"/>
  <c r="K560" i="13"/>
  <c r="K559" i="13"/>
  <c r="K558" i="13"/>
  <c r="K557" i="13"/>
  <c r="K556" i="13"/>
  <c r="K555" i="13"/>
  <c r="K554" i="13"/>
  <c r="K553" i="13"/>
  <c r="K552" i="13"/>
  <c r="K551" i="13"/>
  <c r="K550" i="13"/>
  <c r="K549" i="13"/>
  <c r="K548" i="13"/>
  <c r="K547" i="13"/>
  <c r="K546" i="13"/>
  <c r="K545" i="13"/>
  <c r="K544" i="13"/>
  <c r="K543" i="13"/>
  <c r="K542" i="13"/>
  <c r="K541" i="13"/>
  <c r="K540" i="13"/>
  <c r="K539" i="13"/>
  <c r="K538" i="13"/>
  <c r="K537" i="13"/>
  <c r="K536" i="13"/>
  <c r="K535" i="13"/>
  <c r="K534" i="13"/>
  <c r="K533" i="13"/>
  <c r="K532" i="13"/>
  <c r="K531" i="13"/>
  <c r="K530" i="13"/>
  <c r="K529" i="13"/>
  <c r="K528" i="13"/>
  <c r="K527" i="13"/>
  <c r="K526" i="13"/>
  <c r="K525" i="13"/>
  <c r="K524" i="13"/>
  <c r="K523" i="13"/>
  <c r="K522" i="13"/>
  <c r="K521" i="13"/>
  <c r="K520" i="13"/>
  <c r="K519" i="13"/>
  <c r="K518" i="13"/>
  <c r="K517" i="13"/>
  <c r="K516" i="13"/>
  <c r="K515" i="13"/>
  <c r="K514" i="13"/>
  <c r="K513" i="13"/>
  <c r="K512" i="13"/>
  <c r="K511" i="13"/>
  <c r="K510" i="13"/>
  <c r="K509" i="13"/>
  <c r="K508" i="13"/>
  <c r="K507" i="13"/>
  <c r="K506" i="13"/>
  <c r="K505" i="13"/>
  <c r="K504" i="13"/>
  <c r="K503" i="13"/>
  <c r="K502" i="13"/>
  <c r="K501" i="13"/>
  <c r="K500" i="13"/>
  <c r="K499" i="13"/>
  <c r="K498" i="13"/>
  <c r="K497" i="13"/>
  <c r="K496" i="13"/>
  <c r="K495" i="13"/>
  <c r="K494" i="13"/>
  <c r="K493" i="13"/>
  <c r="K492" i="13"/>
  <c r="K491" i="13"/>
  <c r="K490" i="13"/>
  <c r="K489" i="13"/>
  <c r="K488" i="13"/>
  <c r="K487" i="13"/>
  <c r="K486" i="13"/>
  <c r="K485" i="13"/>
  <c r="K484" i="13"/>
  <c r="K483" i="13"/>
  <c r="K482" i="13"/>
  <c r="K481" i="13"/>
  <c r="K480" i="13"/>
  <c r="K479" i="13"/>
  <c r="K478" i="13"/>
  <c r="K477" i="13"/>
  <c r="K476" i="13"/>
  <c r="K475" i="13"/>
  <c r="K474" i="13"/>
  <c r="K473" i="13"/>
  <c r="K472" i="13"/>
  <c r="K471" i="13"/>
  <c r="K470" i="13"/>
  <c r="K469" i="13"/>
  <c r="K468" i="13"/>
  <c r="K467" i="13"/>
  <c r="K466" i="13"/>
  <c r="K465" i="13"/>
  <c r="K464" i="13"/>
  <c r="K463" i="13"/>
  <c r="K462" i="13"/>
  <c r="K461" i="13"/>
  <c r="K460" i="13"/>
  <c r="K459" i="13"/>
  <c r="K458" i="13"/>
  <c r="K457" i="13"/>
  <c r="K456" i="13"/>
  <c r="K455" i="13"/>
  <c r="K454" i="13"/>
  <c r="K453" i="13"/>
  <c r="K452" i="13"/>
  <c r="K451" i="13"/>
  <c r="K450" i="13"/>
  <c r="K449" i="13"/>
  <c r="K448" i="13"/>
  <c r="K447" i="13"/>
  <c r="K446" i="13"/>
  <c r="K445" i="13"/>
  <c r="K444" i="13"/>
  <c r="K443" i="13"/>
  <c r="K442" i="13"/>
  <c r="K441" i="13"/>
  <c r="K440" i="13"/>
  <c r="K439" i="13"/>
  <c r="K438" i="13"/>
  <c r="K437" i="13"/>
  <c r="K436" i="13"/>
  <c r="K435" i="13"/>
  <c r="K434" i="13"/>
  <c r="K433" i="13"/>
  <c r="K432" i="13"/>
  <c r="K431" i="13"/>
  <c r="K430" i="13"/>
  <c r="K429" i="13"/>
  <c r="K428" i="13"/>
  <c r="K427" i="13"/>
  <c r="K426" i="13"/>
  <c r="K425" i="13"/>
  <c r="K424" i="13"/>
  <c r="K423" i="13"/>
  <c r="K422" i="13"/>
  <c r="K421" i="13"/>
  <c r="K420" i="13"/>
  <c r="K419" i="13"/>
  <c r="K418" i="13"/>
  <c r="K417" i="13"/>
  <c r="K416" i="13"/>
  <c r="K415" i="13"/>
  <c r="K414" i="13"/>
  <c r="K413" i="13"/>
  <c r="K412" i="13"/>
  <c r="K411" i="13"/>
  <c r="K410" i="13"/>
  <c r="K409" i="13"/>
  <c r="K408" i="13"/>
  <c r="K407" i="13"/>
  <c r="K406" i="13"/>
  <c r="K405" i="13"/>
  <c r="K404" i="13"/>
  <c r="K403" i="13"/>
  <c r="K402" i="13"/>
  <c r="K401" i="13"/>
  <c r="K400" i="13"/>
  <c r="K399" i="13"/>
  <c r="K398" i="13"/>
  <c r="K397" i="13"/>
  <c r="K396" i="13"/>
  <c r="K395" i="13"/>
  <c r="K394" i="13"/>
  <c r="K393" i="13"/>
  <c r="K392" i="13"/>
  <c r="K391" i="13"/>
  <c r="K390" i="13"/>
  <c r="K389" i="13"/>
  <c r="K388" i="13"/>
  <c r="K387" i="13"/>
  <c r="K386" i="13"/>
  <c r="K385" i="13"/>
  <c r="K384" i="13"/>
  <c r="K383" i="13"/>
  <c r="K382" i="13"/>
  <c r="K381" i="13"/>
  <c r="K380" i="13"/>
  <c r="K379" i="13"/>
  <c r="K378" i="13"/>
  <c r="K377" i="13"/>
  <c r="K376" i="13"/>
  <c r="K375" i="13"/>
  <c r="K374" i="13"/>
  <c r="K373" i="13"/>
  <c r="K372" i="13"/>
  <c r="K371" i="13"/>
  <c r="K370" i="13"/>
  <c r="K369" i="13"/>
  <c r="K368" i="13"/>
  <c r="K367" i="13"/>
  <c r="K366" i="13"/>
  <c r="K365" i="13"/>
  <c r="K364" i="13"/>
  <c r="K363" i="13"/>
  <c r="K362" i="13"/>
  <c r="K361" i="13"/>
  <c r="K360" i="13"/>
  <c r="K359" i="13"/>
  <c r="K358" i="13"/>
  <c r="K357" i="13"/>
  <c r="K356" i="13"/>
  <c r="K355" i="13"/>
  <c r="K354" i="13"/>
  <c r="K353" i="13"/>
  <c r="K352" i="13"/>
  <c r="K351" i="13"/>
  <c r="K350" i="13"/>
  <c r="K349" i="13"/>
  <c r="K348" i="13"/>
  <c r="K347" i="13"/>
  <c r="K346" i="13"/>
  <c r="K345" i="13"/>
  <c r="K344" i="13"/>
  <c r="K343" i="13"/>
  <c r="K342" i="13"/>
  <c r="K341" i="13"/>
  <c r="K340" i="13"/>
  <c r="K339" i="13"/>
  <c r="K338" i="13"/>
  <c r="K337" i="13"/>
  <c r="K336" i="13"/>
  <c r="K335" i="13"/>
  <c r="K334" i="13"/>
  <c r="K333" i="13"/>
  <c r="K332" i="13"/>
  <c r="K331" i="13"/>
  <c r="K330" i="13"/>
  <c r="K329" i="13"/>
  <c r="K328" i="13"/>
  <c r="K327" i="13"/>
  <c r="K326" i="13"/>
  <c r="K325" i="13"/>
  <c r="K324" i="13"/>
  <c r="K323" i="13"/>
  <c r="K322" i="13"/>
  <c r="K321" i="13"/>
  <c r="K320" i="13"/>
  <c r="K319" i="13"/>
  <c r="K318" i="13"/>
  <c r="K317" i="13"/>
  <c r="K316" i="13"/>
  <c r="K315" i="13"/>
  <c r="K314" i="13"/>
  <c r="K313" i="13"/>
  <c r="K312" i="13"/>
  <c r="K311" i="13"/>
  <c r="K310" i="13"/>
  <c r="K309" i="13"/>
  <c r="K308" i="13"/>
  <c r="K307" i="13"/>
  <c r="K306" i="13"/>
  <c r="K305" i="13"/>
  <c r="K304" i="13"/>
  <c r="K303" i="13"/>
  <c r="K302" i="13"/>
  <c r="K301" i="13"/>
  <c r="K300" i="13"/>
  <c r="K299" i="13"/>
  <c r="K298" i="13"/>
  <c r="K297" i="13"/>
  <c r="K296" i="13"/>
  <c r="K295" i="13"/>
  <c r="K294" i="13"/>
  <c r="K293" i="13"/>
  <c r="K292" i="13"/>
  <c r="K291" i="13"/>
  <c r="K290" i="13"/>
  <c r="K289" i="13"/>
  <c r="K288" i="13"/>
  <c r="K287" i="13"/>
  <c r="K286" i="13"/>
  <c r="K285" i="13"/>
  <c r="K284" i="13"/>
  <c r="K283" i="13"/>
  <c r="K282" i="13"/>
  <c r="K281" i="13"/>
  <c r="K280" i="13"/>
  <c r="K279" i="13"/>
  <c r="K278" i="13"/>
  <c r="K277" i="13"/>
  <c r="K276" i="13"/>
  <c r="K275" i="13"/>
  <c r="K274" i="13"/>
  <c r="K273" i="13"/>
  <c r="K272" i="13"/>
  <c r="K271" i="13"/>
  <c r="K270" i="13"/>
  <c r="K269" i="13"/>
  <c r="K268" i="13"/>
  <c r="K267" i="13"/>
  <c r="K266" i="13"/>
  <c r="K265" i="13"/>
  <c r="K264" i="13"/>
  <c r="K263" i="13"/>
  <c r="K262" i="13"/>
  <c r="K261" i="13"/>
  <c r="K260" i="13"/>
  <c r="K259" i="13"/>
  <c r="K258" i="13"/>
  <c r="K257" i="13"/>
  <c r="K256" i="13"/>
  <c r="K255" i="13"/>
  <c r="K254" i="13"/>
  <c r="K253" i="13"/>
  <c r="K252" i="13"/>
  <c r="K251" i="13"/>
  <c r="K250" i="13"/>
  <c r="K249" i="13"/>
  <c r="K248" i="13"/>
  <c r="K247" i="13"/>
  <c r="K246" i="13"/>
  <c r="K245" i="13"/>
  <c r="K244" i="13"/>
  <c r="K243" i="13"/>
  <c r="K242" i="13"/>
  <c r="K241" i="13"/>
  <c r="K240" i="13"/>
  <c r="K239" i="13"/>
  <c r="K238" i="13"/>
  <c r="K237" i="13"/>
  <c r="K236" i="13"/>
  <c r="K235" i="13"/>
  <c r="K234" i="13"/>
  <c r="K233" i="13"/>
  <c r="K232" i="13"/>
  <c r="K231" i="13"/>
  <c r="K230" i="13"/>
  <c r="K229" i="13"/>
  <c r="K228" i="13"/>
  <c r="K227" i="13"/>
  <c r="K226" i="13"/>
  <c r="K225" i="13"/>
  <c r="K224" i="13"/>
  <c r="K223" i="13"/>
  <c r="K222" i="13"/>
  <c r="K221" i="13"/>
  <c r="K220" i="13"/>
  <c r="K219" i="13"/>
  <c r="K218" i="13"/>
  <c r="K217" i="13"/>
  <c r="K216" i="13"/>
  <c r="K215" i="13"/>
  <c r="K214" i="13"/>
  <c r="K213" i="13"/>
  <c r="K212" i="13"/>
  <c r="K211" i="13"/>
  <c r="K210" i="13"/>
  <c r="K209" i="13"/>
  <c r="K208" i="13"/>
  <c r="K207" i="13"/>
  <c r="K206" i="13"/>
  <c r="K205" i="13"/>
  <c r="K204" i="13"/>
  <c r="K203" i="13"/>
  <c r="K202" i="13"/>
  <c r="K201" i="13"/>
  <c r="K200" i="13"/>
  <c r="K199" i="13"/>
  <c r="K198" i="13"/>
  <c r="K197" i="13"/>
  <c r="K196" i="13"/>
  <c r="K195" i="13"/>
  <c r="K194" i="13"/>
  <c r="K193" i="13"/>
  <c r="K192" i="13"/>
  <c r="K191" i="13"/>
  <c r="K190" i="13"/>
  <c r="K189" i="13"/>
  <c r="K188" i="13"/>
  <c r="K187" i="13"/>
  <c r="K186" i="13"/>
  <c r="K185" i="13"/>
  <c r="K184" i="13"/>
  <c r="K183" i="13"/>
  <c r="K182" i="13"/>
  <c r="K181" i="13"/>
  <c r="K180" i="13"/>
  <c r="K179" i="13"/>
  <c r="K178" i="13"/>
  <c r="K177" i="13"/>
  <c r="K176" i="13"/>
  <c r="K175" i="13"/>
  <c r="K174" i="13"/>
  <c r="K173" i="13"/>
  <c r="K172" i="13"/>
  <c r="K171" i="13"/>
  <c r="K170" i="13"/>
  <c r="K169" i="13"/>
  <c r="K168" i="13"/>
  <c r="K167" i="13"/>
  <c r="K166" i="13"/>
  <c r="K165" i="13"/>
  <c r="K164" i="13"/>
  <c r="K163" i="13"/>
  <c r="K162" i="13"/>
  <c r="K161" i="13"/>
  <c r="K160" i="13"/>
  <c r="K159" i="13"/>
  <c r="K158" i="13"/>
  <c r="K157" i="13"/>
  <c r="K156" i="13"/>
  <c r="K155" i="13"/>
  <c r="K154" i="13"/>
  <c r="K153" i="13"/>
  <c r="K152" i="13"/>
  <c r="K151" i="13"/>
  <c r="K150" i="13"/>
  <c r="K149" i="13"/>
  <c r="K148" i="13"/>
  <c r="K147" i="13"/>
  <c r="K146" i="13"/>
  <c r="K145" i="13"/>
  <c r="K144" i="13"/>
  <c r="K143" i="13"/>
  <c r="K142" i="13"/>
  <c r="K141" i="13"/>
  <c r="K140" i="13"/>
  <c r="K139" i="13"/>
  <c r="K138" i="13"/>
  <c r="K137" i="13"/>
  <c r="K136" i="13"/>
  <c r="K135" i="13"/>
  <c r="K134" i="13"/>
  <c r="K133" i="13"/>
  <c r="K132" i="13"/>
  <c r="K131" i="13"/>
  <c r="K130" i="13"/>
  <c r="K129" i="13"/>
  <c r="K128" i="13"/>
  <c r="K127" i="13"/>
  <c r="K126" i="13"/>
  <c r="K125" i="13"/>
  <c r="K124" i="13"/>
  <c r="K123" i="13"/>
  <c r="K122" i="13"/>
  <c r="K121" i="13"/>
  <c r="K120" i="13"/>
  <c r="K119" i="13"/>
  <c r="K118" i="13"/>
  <c r="K117" i="13"/>
  <c r="K116" i="13"/>
  <c r="K115" i="13"/>
  <c r="K114" i="13"/>
  <c r="K113" i="13"/>
  <c r="K112" i="13"/>
  <c r="K111" i="13"/>
  <c r="K110" i="13"/>
  <c r="K109" i="13"/>
  <c r="K108" i="13"/>
  <c r="K107" i="13"/>
  <c r="K106" i="13"/>
  <c r="K105" i="13"/>
  <c r="K104" i="13"/>
  <c r="K103" i="13"/>
  <c r="K102" i="13"/>
  <c r="K101" i="13"/>
  <c r="K100" i="13"/>
  <c r="K99" i="13"/>
  <c r="K98" i="13"/>
  <c r="K97" i="13"/>
  <c r="K96" i="13"/>
  <c r="K95" i="13"/>
  <c r="K94" i="13"/>
  <c r="K93" i="13"/>
  <c r="K92" i="13"/>
  <c r="K91" i="13"/>
  <c r="K90" i="13"/>
  <c r="K89" i="13"/>
  <c r="K88" i="13"/>
  <c r="K87" i="13"/>
  <c r="K86" i="13"/>
  <c r="K85" i="13"/>
  <c r="K84" i="13"/>
  <c r="K83" i="13"/>
  <c r="K82" i="13"/>
  <c r="K81" i="13"/>
  <c r="K80" i="13"/>
  <c r="K79" i="13"/>
  <c r="K78" i="13"/>
  <c r="K77" i="13"/>
  <c r="K76" i="13"/>
  <c r="K75" i="13"/>
  <c r="K55" i="13"/>
  <c r="K54" i="13"/>
  <c r="K53" i="13"/>
  <c r="K52" i="13"/>
  <c r="K51" i="13"/>
  <c r="K50" i="13"/>
  <c r="K49" i="13"/>
  <c r="K48" i="13"/>
  <c r="K47" i="13"/>
  <c r="K46" i="13"/>
  <c r="K45" i="13"/>
  <c r="K44" i="13"/>
  <c r="K43" i="13"/>
  <c r="K42" i="13"/>
  <c r="K41" i="13"/>
  <c r="K40" i="13"/>
  <c r="K39" i="13"/>
  <c r="K38" i="13"/>
  <c r="K37" i="13"/>
  <c r="K36" i="13"/>
  <c r="K35" i="13"/>
  <c r="K34" i="13"/>
  <c r="K33" i="13"/>
  <c r="K32" i="13"/>
  <c r="K31" i="13"/>
  <c r="K30" i="13"/>
  <c r="K29" i="13"/>
  <c r="K28" i="13"/>
  <c r="K27" i="13"/>
  <c r="K26" i="13"/>
  <c r="K25" i="13"/>
  <c r="K24" i="13"/>
  <c r="K23" i="13"/>
  <c r="K22" i="13"/>
  <c r="K21" i="13"/>
  <c r="K20" i="13"/>
  <c r="K19" i="13"/>
  <c r="K18" i="13"/>
  <c r="K17" i="13"/>
  <c r="K16" i="13"/>
  <c r="K15" i="13"/>
  <c r="K14" i="13"/>
  <c r="K13" i="13"/>
  <c r="K12" i="13"/>
  <c r="K11" i="13"/>
  <c r="K10" i="13"/>
  <c r="K9" i="13"/>
  <c r="K8" i="13"/>
  <c r="K7" i="13"/>
  <c r="K6" i="13"/>
  <c r="K5" i="13"/>
  <c r="K4" i="13"/>
  <c r="K3" i="13"/>
  <c r="K2" i="13"/>
  <c r="C4" i="9"/>
  <c r="C9" i="9"/>
  <c r="C10" i="9"/>
  <c r="C15" i="9"/>
  <c r="C17" i="9"/>
  <c r="C31" i="9"/>
  <c r="C33" i="9"/>
  <c r="C40" i="9"/>
  <c r="C41" i="9"/>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H608" i="9" l="1" a="1"/>
  <c r="H608" i="9" s="1"/>
  <c r="H480" i="9" a="1"/>
  <c r="H480" i="9" s="1"/>
  <c r="H352" i="9" a="1"/>
  <c r="H352" i="9" s="1"/>
  <c r="H209" i="9" a="1"/>
  <c r="H209" i="9" s="1"/>
  <c r="H81" i="9" a="1"/>
  <c r="H81" i="9" s="1"/>
  <c r="D33" i="7"/>
  <c r="F33" i="7" s="1"/>
  <c r="D17" i="7"/>
  <c r="F17" i="7" s="1"/>
  <c r="H593" i="9" a="1"/>
  <c r="H593" i="9" s="1"/>
  <c r="H465" i="9" a="1"/>
  <c r="H465" i="9" s="1"/>
  <c r="H337" i="9" a="1"/>
  <c r="H337" i="9" s="1"/>
  <c r="H208" i="9" a="1"/>
  <c r="H208" i="9" s="1"/>
  <c r="H80" i="9" a="1"/>
  <c r="H80" i="9" s="1"/>
  <c r="D32" i="7"/>
  <c r="F32" i="7" s="1"/>
  <c r="D16" i="7"/>
  <c r="F16" i="7" s="1"/>
  <c r="H592" i="9" a="1"/>
  <c r="H592" i="9" s="1"/>
  <c r="H464" i="9" a="1"/>
  <c r="H464" i="9" s="1"/>
  <c r="H336" i="9" a="1"/>
  <c r="H336" i="9" s="1"/>
  <c r="H193" i="9" a="1"/>
  <c r="H193" i="9" s="1"/>
  <c r="H65" i="9" a="1"/>
  <c r="H65" i="9" s="1"/>
  <c r="D31" i="7"/>
  <c r="F31" i="7" s="1"/>
  <c r="D15" i="7"/>
  <c r="F15" i="7" s="1"/>
  <c r="H717" i="9" a="1"/>
  <c r="H717" i="9" s="1"/>
  <c r="H577" i="9" a="1"/>
  <c r="H577" i="9" s="1"/>
  <c r="H449" i="9" a="1"/>
  <c r="H449" i="9" s="1"/>
  <c r="H321" i="9" a="1"/>
  <c r="H321" i="9" s="1"/>
  <c r="H192" i="9" a="1"/>
  <c r="H192" i="9" s="1"/>
  <c r="H64" i="9" a="1"/>
  <c r="H64" i="9" s="1"/>
  <c r="D30" i="7"/>
  <c r="F30" i="7" s="1"/>
  <c r="D14" i="7"/>
  <c r="F14" i="7" s="1"/>
  <c r="H706" i="9" a="1"/>
  <c r="H706" i="9" s="1"/>
  <c r="H576" i="9" a="1"/>
  <c r="H576" i="9" s="1"/>
  <c r="H448" i="9" a="1"/>
  <c r="H448" i="9" s="1"/>
  <c r="H320" i="9" a="1"/>
  <c r="H320" i="9" s="1"/>
  <c r="H177" i="9" a="1"/>
  <c r="H177" i="9" s="1"/>
  <c r="H49" i="9" a="1"/>
  <c r="H49" i="9" s="1"/>
  <c r="D29" i="7"/>
  <c r="F29" i="7" s="1"/>
  <c r="D13" i="7"/>
  <c r="F13" i="7" s="1"/>
  <c r="H705" i="9" a="1"/>
  <c r="H705" i="9" s="1"/>
  <c r="H561" i="9" a="1"/>
  <c r="H561" i="9" s="1"/>
  <c r="H433" i="9" a="1"/>
  <c r="H433" i="9" s="1"/>
  <c r="H305" i="9" a="1"/>
  <c r="H305" i="9" s="1"/>
  <c r="H176" i="9" a="1"/>
  <c r="H176" i="9" s="1"/>
  <c r="H48" i="9" a="1"/>
  <c r="H48" i="9" s="1"/>
  <c r="D28" i="7"/>
  <c r="F28" i="7" s="1"/>
  <c r="D12" i="7"/>
  <c r="F12" i="7" s="1"/>
  <c r="H695" i="9" a="1"/>
  <c r="H695" i="9" s="1"/>
  <c r="H560" i="9" a="1"/>
  <c r="H560" i="9" s="1"/>
  <c r="H432" i="9" a="1"/>
  <c r="H432" i="9" s="1"/>
  <c r="H304" i="9" a="1"/>
  <c r="H304" i="9" s="1"/>
  <c r="H161" i="9" a="1"/>
  <c r="H161" i="9" s="1"/>
  <c r="H33" i="9" a="1"/>
  <c r="H33" i="9" s="1"/>
  <c r="D27" i="7"/>
  <c r="F27" i="7" s="1"/>
  <c r="D11" i="7"/>
  <c r="F11" i="7" s="1"/>
  <c r="H694" i="9" a="1"/>
  <c r="H694" i="9" s="1"/>
  <c r="H545" i="9" a="1"/>
  <c r="H545" i="9" s="1"/>
  <c r="H417" i="9" a="1"/>
  <c r="H417" i="9" s="1"/>
  <c r="H289" i="9" a="1"/>
  <c r="H289" i="9" s="1"/>
  <c r="H160" i="9" a="1"/>
  <c r="H160" i="9" s="1"/>
  <c r="H32" i="9" a="1"/>
  <c r="H32" i="9" s="1"/>
  <c r="D26" i="7"/>
  <c r="F26" i="7" s="1"/>
  <c r="D10" i="7"/>
  <c r="F10" i="7" s="1"/>
  <c r="H669" i="9" a="1"/>
  <c r="H669" i="9" s="1"/>
  <c r="H544" i="9" a="1"/>
  <c r="H544" i="9" s="1"/>
  <c r="H416" i="9" a="1"/>
  <c r="H416" i="9" s="1"/>
  <c r="H288" i="9" a="1"/>
  <c r="H288" i="9" s="1"/>
  <c r="H145" i="9" a="1"/>
  <c r="H145" i="9" s="1"/>
  <c r="H16" i="9" a="1"/>
  <c r="H16" i="9" s="1"/>
  <c r="D41" i="7"/>
  <c r="F41" i="7" s="1"/>
  <c r="D25" i="7"/>
  <c r="F25" i="7" s="1"/>
  <c r="D9" i="7"/>
  <c r="F9" i="7" s="1"/>
  <c r="H654" i="9" a="1"/>
  <c r="H654" i="9" s="1"/>
  <c r="H529" i="9" a="1"/>
  <c r="H529" i="9" s="1"/>
  <c r="H401" i="9" a="1"/>
  <c r="H401" i="9" s="1"/>
  <c r="H272" i="9" a="1"/>
  <c r="H272" i="9" s="1"/>
  <c r="H144" i="9" a="1"/>
  <c r="H144" i="9" s="1"/>
  <c r="D40" i="7"/>
  <c r="F40" i="7" s="1"/>
  <c r="D24" i="7"/>
  <c r="F24" i="7" s="1"/>
  <c r="D8" i="7"/>
  <c r="F8" i="7" s="1"/>
  <c r="H653" i="9" a="1"/>
  <c r="H653" i="9" s="1"/>
  <c r="H528" i="9" a="1"/>
  <c r="H528" i="9" s="1"/>
  <c r="H400" i="9" a="1"/>
  <c r="H400" i="9" s="1"/>
  <c r="H257" i="9" a="1"/>
  <c r="H257" i="9" s="1"/>
  <c r="H129" i="9" a="1"/>
  <c r="H129" i="9" s="1"/>
  <c r="D39" i="7"/>
  <c r="F39" i="7" s="1"/>
  <c r="D23" i="7"/>
  <c r="F23" i="7" s="1"/>
  <c r="D7" i="7"/>
  <c r="F7" i="7" s="1"/>
  <c r="H638" i="9" a="1"/>
  <c r="H638" i="9" s="1"/>
  <c r="H513" i="9" a="1"/>
  <c r="H513" i="9" s="1"/>
  <c r="H385" i="9" a="1"/>
  <c r="H385" i="9" s="1"/>
  <c r="H256" i="9" a="1"/>
  <c r="H256" i="9" s="1"/>
  <c r="H128" i="9" a="1"/>
  <c r="H128" i="9" s="1"/>
  <c r="D38" i="7"/>
  <c r="F38" i="7" s="1"/>
  <c r="D22" i="7"/>
  <c r="F22" i="7" s="1"/>
  <c r="D6" i="7"/>
  <c r="F6" i="7" s="1"/>
  <c r="H637" i="9" a="1"/>
  <c r="H637" i="9" s="1"/>
  <c r="H512" i="9" a="1"/>
  <c r="H512" i="9" s="1"/>
  <c r="H384" i="9" a="1"/>
  <c r="H384" i="9" s="1"/>
  <c r="H241" i="9" a="1"/>
  <c r="H241" i="9" s="1"/>
  <c r="H113" i="9" a="1"/>
  <c r="H113" i="9" s="1"/>
  <c r="D37" i="7"/>
  <c r="F37" i="7" s="1"/>
  <c r="D21" i="7"/>
  <c r="F21" i="7" s="1"/>
  <c r="D5" i="7"/>
  <c r="F5" i="7" s="1"/>
  <c r="H623" i="9" a="1"/>
  <c r="H623" i="9" s="1"/>
  <c r="H497" i="9" a="1"/>
  <c r="H497" i="9" s="1"/>
  <c r="H369" i="9" a="1"/>
  <c r="H369" i="9" s="1"/>
  <c r="H240" i="9" a="1"/>
  <c r="H240" i="9" s="1"/>
  <c r="H112" i="9" a="1"/>
  <c r="H112" i="9" s="1"/>
  <c r="D36" i="7"/>
  <c r="F36" i="7" s="1"/>
  <c r="D20" i="7"/>
  <c r="F20" i="7" s="1"/>
  <c r="D4" i="7"/>
  <c r="F4" i="7" s="1"/>
  <c r="H622" i="9" a="1"/>
  <c r="H622" i="9" s="1"/>
  <c r="H496" i="9" a="1"/>
  <c r="H496" i="9" s="1"/>
  <c r="H368" i="9" a="1"/>
  <c r="H368" i="9" s="1"/>
  <c r="H225" i="9" a="1"/>
  <c r="H225" i="9" s="1"/>
  <c r="H97" i="9" a="1"/>
  <c r="H97" i="9" s="1"/>
  <c r="D35" i="7"/>
  <c r="F35" i="7" s="1"/>
  <c r="D19" i="7"/>
  <c r="F19" i="7" s="1"/>
  <c r="D3" i="7"/>
  <c r="F3" i="7" s="1"/>
  <c r="H609" i="9" a="1"/>
  <c r="H609" i="9" s="1"/>
  <c r="H481" i="9" a="1"/>
  <c r="H481" i="9" s="1"/>
  <c r="H353" i="9" a="1"/>
  <c r="H353" i="9" s="1"/>
  <c r="H224" i="9" a="1"/>
  <c r="H224" i="9" s="1"/>
  <c r="H96" i="9" a="1"/>
  <c r="H96" i="9" s="1"/>
  <c r="D34" i="7"/>
  <c r="F34" i="7" s="1"/>
  <c r="D18" i="7"/>
  <c r="F18" i="7" s="1"/>
  <c r="D2" i="7"/>
  <c r="F2" i="7" s="1"/>
  <c r="G121" i="9" a="1"/>
  <c r="G121" i="9" s="1"/>
  <c r="H121" i="9" a="1"/>
  <c r="H121" i="9" s="1"/>
  <c r="G377" i="9" a="1"/>
  <c r="G377" i="9" s="1"/>
  <c r="H377" i="9" a="1"/>
  <c r="H377" i="9" s="1"/>
  <c r="G579" i="9" a="1"/>
  <c r="G579" i="9" s="1"/>
  <c r="H579" i="9" a="1"/>
  <c r="H579" i="9" s="1"/>
  <c r="G66" i="9" a="1"/>
  <c r="G66" i="9" s="1"/>
  <c r="H66" i="9" a="1"/>
  <c r="H66" i="9" s="1"/>
  <c r="G273" i="9" a="1"/>
  <c r="G273" i="9" s="1"/>
  <c r="H273" i="9" a="1"/>
  <c r="H273" i="9" s="1"/>
  <c r="G17" i="9" a="1"/>
  <c r="G17" i="9" s="1"/>
  <c r="H17" i="9" a="1"/>
  <c r="H17" i="9" s="1"/>
  <c r="G537" i="9" a="1"/>
  <c r="G537" i="9" s="1"/>
  <c r="H537" i="9" a="1"/>
  <c r="H537" i="9" s="1"/>
  <c r="G322" i="9" a="1"/>
  <c r="G322" i="9" s="1"/>
  <c r="H322" i="9" a="1"/>
  <c r="H322" i="9" s="1"/>
  <c r="G223" i="9" a="1"/>
  <c r="G223" i="9" s="1"/>
  <c r="H223" i="9" a="1"/>
  <c r="H223" i="9" s="1"/>
  <c r="G558" i="9" a="1"/>
  <c r="G558" i="9" s="1"/>
  <c r="H558" i="9" a="1"/>
  <c r="H558" i="9" s="1"/>
  <c r="G477" i="9" a="1"/>
  <c r="G477" i="9" s="1"/>
  <c r="H477" i="9" a="1"/>
  <c r="H477" i="9" s="1"/>
  <c r="G508" i="9" a="1"/>
  <c r="G508" i="9" s="1"/>
  <c r="H508" i="9" a="1"/>
  <c r="H508" i="9" s="1"/>
  <c r="G170" i="9" a="1"/>
  <c r="G170" i="9" s="1"/>
  <c r="H170" i="9" a="1"/>
  <c r="H170" i="9" s="1"/>
  <c r="H668" i="9" a="1"/>
  <c r="H668" i="9" s="1"/>
  <c r="H716" i="9" a="1"/>
  <c r="H716" i="9" s="1"/>
  <c r="H683" i="9" a="1"/>
  <c r="H683" i="9" s="1"/>
  <c r="H667" i="9" a="1"/>
  <c r="H667" i="9" s="1"/>
  <c r="H652" i="9" a="1"/>
  <c r="H652" i="9" s="1"/>
  <c r="H636" i="9" a="1"/>
  <c r="H636" i="9" s="1"/>
  <c r="H621" i="9" a="1"/>
  <c r="H621" i="9" s="1"/>
  <c r="H607" i="9" a="1"/>
  <c r="H607" i="9" s="1"/>
  <c r="H591" i="9" a="1"/>
  <c r="H591" i="9" s="1"/>
  <c r="H575" i="9" a="1"/>
  <c r="H575" i="9" s="1"/>
  <c r="H559" i="9" a="1"/>
  <c r="H559" i="9" s="1"/>
  <c r="H543" i="9" a="1"/>
  <c r="H543" i="9" s="1"/>
  <c r="H527" i="9" a="1"/>
  <c r="H527" i="9" s="1"/>
  <c r="H511" i="9" a="1"/>
  <c r="H511" i="9" s="1"/>
  <c r="H495" i="9" a="1"/>
  <c r="H495" i="9" s="1"/>
  <c r="H479" i="9" a="1"/>
  <c r="H479" i="9" s="1"/>
  <c r="H463" i="9" a="1"/>
  <c r="H463" i="9" s="1"/>
  <c r="H447" i="9" a="1"/>
  <c r="H447" i="9" s="1"/>
  <c r="H431" i="9" a="1"/>
  <c r="H431" i="9" s="1"/>
  <c r="H415" i="9" a="1"/>
  <c r="H415" i="9" s="1"/>
  <c r="H399" i="9" a="1"/>
  <c r="H399" i="9" s="1"/>
  <c r="H383" i="9" a="1"/>
  <c r="H383" i="9" s="1"/>
  <c r="H367" i="9" a="1"/>
  <c r="H367" i="9" s="1"/>
  <c r="H351" i="9" a="1"/>
  <c r="H351" i="9" s="1"/>
  <c r="H335" i="9" a="1"/>
  <c r="H335" i="9" s="1"/>
  <c r="H319" i="9" a="1"/>
  <c r="H319" i="9" s="1"/>
  <c r="H303" i="9" a="1"/>
  <c r="H303" i="9" s="1"/>
  <c r="H287" i="9" a="1"/>
  <c r="H287" i="9" s="1"/>
  <c r="H271" i="9" a="1"/>
  <c r="H271" i="9" s="1"/>
  <c r="H255" i="9" a="1"/>
  <c r="H255" i="9" s="1"/>
  <c r="H239" i="9" a="1"/>
  <c r="H239" i="9" s="1"/>
  <c r="H207" i="9" a="1"/>
  <c r="H207" i="9" s="1"/>
  <c r="H191" i="9" a="1"/>
  <c r="H191" i="9" s="1"/>
  <c r="H175" i="9" a="1"/>
  <c r="H175" i="9" s="1"/>
  <c r="H159" i="9" a="1"/>
  <c r="H159" i="9" s="1"/>
  <c r="H143" i="9" a="1"/>
  <c r="H143" i="9" s="1"/>
  <c r="H127" i="9" a="1"/>
  <c r="H127" i="9" s="1"/>
  <c r="H111" i="9" a="1"/>
  <c r="H111" i="9" s="1"/>
  <c r="H95" i="9" a="1"/>
  <c r="H95" i="9" s="1"/>
  <c r="H79" i="9" a="1"/>
  <c r="H79" i="9" s="1"/>
  <c r="H63" i="9" a="1"/>
  <c r="H63" i="9" s="1"/>
  <c r="H47" i="9" a="1"/>
  <c r="H47" i="9" s="1"/>
  <c r="H31" i="9" a="1"/>
  <c r="H31" i="9" s="1"/>
  <c r="H15" i="9" a="1"/>
  <c r="H15" i="9" s="1"/>
  <c r="H704" i="9" a="1"/>
  <c r="H704" i="9" s="1"/>
  <c r="H693" i="9" a="1"/>
  <c r="H693" i="9" s="1"/>
  <c r="H682" i="9" a="1"/>
  <c r="H682" i="9" s="1"/>
  <c r="H666" i="9" a="1"/>
  <c r="H666" i="9" s="1"/>
  <c r="H651" i="9" a="1"/>
  <c r="H651" i="9" s="1"/>
  <c r="H635" i="9" a="1"/>
  <c r="H635" i="9" s="1"/>
  <c r="H620" i="9" a="1"/>
  <c r="H620" i="9" s="1"/>
  <c r="H606" i="9" a="1"/>
  <c r="H606" i="9" s="1"/>
  <c r="H590" i="9" a="1"/>
  <c r="H590" i="9" s="1"/>
  <c r="H574" i="9" a="1"/>
  <c r="H574" i="9" s="1"/>
  <c r="H542" i="9" a="1"/>
  <c r="H542" i="9" s="1"/>
  <c r="H526" i="9" a="1"/>
  <c r="H526" i="9" s="1"/>
  <c r="H510" i="9" a="1"/>
  <c r="H510" i="9" s="1"/>
  <c r="H494" i="9" a="1"/>
  <c r="H494" i="9" s="1"/>
  <c r="H478" i="9" a="1"/>
  <c r="H478" i="9" s="1"/>
  <c r="H462" i="9" a="1"/>
  <c r="H462" i="9" s="1"/>
  <c r="H446" i="9" a="1"/>
  <c r="H446" i="9" s="1"/>
  <c r="H430" i="9" a="1"/>
  <c r="H430" i="9" s="1"/>
  <c r="H414" i="9" a="1"/>
  <c r="H414" i="9" s="1"/>
  <c r="H398" i="9" a="1"/>
  <c r="H398" i="9" s="1"/>
  <c r="H382" i="9" a="1"/>
  <c r="H382" i="9" s="1"/>
  <c r="H366" i="9" a="1"/>
  <c r="H366" i="9" s="1"/>
  <c r="H350" i="9" a="1"/>
  <c r="H350" i="9" s="1"/>
  <c r="H334" i="9" a="1"/>
  <c r="H334" i="9" s="1"/>
  <c r="H318" i="9" a="1"/>
  <c r="H318" i="9" s="1"/>
  <c r="H302" i="9" a="1"/>
  <c r="H302" i="9" s="1"/>
  <c r="H286" i="9" a="1"/>
  <c r="H286" i="9" s="1"/>
  <c r="H270" i="9" a="1"/>
  <c r="H270" i="9" s="1"/>
  <c r="H254" i="9" a="1"/>
  <c r="H254" i="9" s="1"/>
  <c r="H238" i="9" a="1"/>
  <c r="H238" i="9" s="1"/>
  <c r="H222" i="9" a="1"/>
  <c r="H222" i="9" s="1"/>
  <c r="H206" i="9" a="1"/>
  <c r="H206" i="9" s="1"/>
  <c r="H190" i="9" a="1"/>
  <c r="H190" i="9" s="1"/>
  <c r="H174" i="9" a="1"/>
  <c r="H174" i="9" s="1"/>
  <c r="H158" i="9" a="1"/>
  <c r="H158" i="9" s="1"/>
  <c r="H142" i="9" a="1"/>
  <c r="H142" i="9" s="1"/>
  <c r="H126" i="9" a="1"/>
  <c r="H126" i="9" s="1"/>
  <c r="H110" i="9" a="1"/>
  <c r="H110" i="9" s="1"/>
  <c r="H94" i="9" a="1"/>
  <c r="H94" i="9" s="1"/>
  <c r="H78" i="9" a="1"/>
  <c r="H78" i="9" s="1"/>
  <c r="H62" i="9" a="1"/>
  <c r="H62" i="9" s="1"/>
  <c r="H46" i="9" a="1"/>
  <c r="H46" i="9" s="1"/>
  <c r="H30" i="9" a="1"/>
  <c r="H30" i="9" s="1"/>
  <c r="H14" i="9" a="1"/>
  <c r="H14" i="9" s="1"/>
  <c r="H715" i="9" a="1"/>
  <c r="H715" i="9" s="1"/>
  <c r="H703" i="9" a="1"/>
  <c r="H703" i="9" s="1"/>
  <c r="H681" i="9" a="1"/>
  <c r="H681" i="9" s="1"/>
  <c r="H650" i="9" a="1"/>
  <c r="H650" i="9" s="1"/>
  <c r="H634" i="9" a="1"/>
  <c r="H634" i="9" s="1"/>
  <c r="H619" i="9" a="1"/>
  <c r="H619" i="9" s="1"/>
  <c r="H605" i="9" a="1"/>
  <c r="H605" i="9" s="1"/>
  <c r="H589" i="9" a="1"/>
  <c r="H589" i="9" s="1"/>
  <c r="H573" i="9" a="1"/>
  <c r="H573" i="9" s="1"/>
  <c r="H557" i="9" a="1"/>
  <c r="H557" i="9" s="1"/>
  <c r="H541" i="9" a="1"/>
  <c r="H541" i="9" s="1"/>
  <c r="H525" i="9" a="1"/>
  <c r="H525" i="9" s="1"/>
  <c r="H509" i="9" a="1"/>
  <c r="H509" i="9" s="1"/>
  <c r="H493" i="9" a="1"/>
  <c r="H493" i="9" s="1"/>
  <c r="H461" i="9" a="1"/>
  <c r="H461" i="9" s="1"/>
  <c r="H445" i="9" a="1"/>
  <c r="H445" i="9" s="1"/>
  <c r="H429" i="9" a="1"/>
  <c r="H429" i="9" s="1"/>
  <c r="H413" i="9" a="1"/>
  <c r="H413" i="9" s="1"/>
  <c r="H397" i="9" a="1"/>
  <c r="H397" i="9" s="1"/>
  <c r="H381" i="9" a="1"/>
  <c r="H381" i="9" s="1"/>
  <c r="H365" i="9" a="1"/>
  <c r="H365" i="9" s="1"/>
  <c r="H349" i="9" a="1"/>
  <c r="H349" i="9" s="1"/>
  <c r="H333" i="9" a="1"/>
  <c r="H333" i="9" s="1"/>
  <c r="H317" i="9" a="1"/>
  <c r="H317" i="9" s="1"/>
  <c r="H301" i="9" a="1"/>
  <c r="H301" i="9" s="1"/>
  <c r="H285" i="9" a="1"/>
  <c r="H285" i="9" s="1"/>
  <c r="H269" i="9" a="1"/>
  <c r="H269" i="9" s="1"/>
  <c r="H253" i="9" a="1"/>
  <c r="H253" i="9" s="1"/>
  <c r="H237" i="9" a="1"/>
  <c r="H237" i="9" s="1"/>
  <c r="H221" i="9" a="1"/>
  <c r="H221" i="9" s="1"/>
  <c r="H205" i="9" a="1"/>
  <c r="H205" i="9" s="1"/>
  <c r="H189" i="9" a="1"/>
  <c r="H189" i="9" s="1"/>
  <c r="H173" i="9" a="1"/>
  <c r="H173" i="9" s="1"/>
  <c r="H157" i="9" a="1"/>
  <c r="H157" i="9" s="1"/>
  <c r="H141" i="9" a="1"/>
  <c r="H141" i="9" s="1"/>
  <c r="H125" i="9" a="1"/>
  <c r="H125" i="9" s="1"/>
  <c r="H109" i="9" a="1"/>
  <c r="H109" i="9" s="1"/>
  <c r="H93" i="9" a="1"/>
  <c r="H93" i="9" s="1"/>
  <c r="H77" i="9" a="1"/>
  <c r="H77" i="9" s="1"/>
  <c r="H61" i="9" a="1"/>
  <c r="H61" i="9" s="1"/>
  <c r="H45" i="9" a="1"/>
  <c r="H45" i="9" s="1"/>
  <c r="H29" i="9" a="1"/>
  <c r="H29" i="9" s="1"/>
  <c r="H13" i="9" a="1"/>
  <c r="H13" i="9" s="1"/>
  <c r="H714" i="9" a="1"/>
  <c r="H714" i="9" s="1"/>
  <c r="H702" i="9" a="1"/>
  <c r="H702" i="9" s="1"/>
  <c r="H692" i="9" a="1"/>
  <c r="H692" i="9" s="1"/>
  <c r="H680" i="9" a="1"/>
  <c r="H680" i="9" s="1"/>
  <c r="H665" i="9" a="1"/>
  <c r="H665" i="9" s="1"/>
  <c r="H649" i="9" a="1"/>
  <c r="H649" i="9" s="1"/>
  <c r="H633" i="9" a="1"/>
  <c r="H633" i="9" s="1"/>
  <c r="H618" i="9" a="1"/>
  <c r="H618" i="9" s="1"/>
  <c r="H604" i="9" a="1"/>
  <c r="H604" i="9" s="1"/>
  <c r="H588" i="9" a="1"/>
  <c r="H588" i="9" s="1"/>
  <c r="H572" i="9" a="1"/>
  <c r="H572" i="9" s="1"/>
  <c r="H556" i="9" a="1"/>
  <c r="H556" i="9" s="1"/>
  <c r="H540" i="9" a="1"/>
  <c r="H540" i="9" s="1"/>
  <c r="H524" i="9" a="1"/>
  <c r="H524" i="9" s="1"/>
  <c r="H492" i="9" a="1"/>
  <c r="H492" i="9" s="1"/>
  <c r="H476" i="9" a="1"/>
  <c r="H476" i="9" s="1"/>
  <c r="H460" i="9" a="1"/>
  <c r="H460" i="9" s="1"/>
  <c r="H444" i="9" a="1"/>
  <c r="H444" i="9" s="1"/>
  <c r="H428" i="9" a="1"/>
  <c r="H428" i="9" s="1"/>
  <c r="H412" i="9" a="1"/>
  <c r="H412" i="9" s="1"/>
  <c r="H396" i="9" a="1"/>
  <c r="H396" i="9" s="1"/>
  <c r="H380" i="9" a="1"/>
  <c r="H380" i="9" s="1"/>
  <c r="H364" i="9" a="1"/>
  <c r="H364" i="9" s="1"/>
  <c r="H348" i="9" a="1"/>
  <c r="H348" i="9" s="1"/>
  <c r="H332" i="9" a="1"/>
  <c r="H332" i="9" s="1"/>
  <c r="H316" i="9" a="1"/>
  <c r="H316" i="9" s="1"/>
  <c r="H300" i="9" a="1"/>
  <c r="H300" i="9" s="1"/>
  <c r="H284" i="9" a="1"/>
  <c r="H284" i="9" s="1"/>
  <c r="H268" i="9" a="1"/>
  <c r="H268" i="9" s="1"/>
  <c r="H252" i="9" a="1"/>
  <c r="H252" i="9" s="1"/>
  <c r="H236" i="9" a="1"/>
  <c r="H236" i="9" s="1"/>
  <c r="H220" i="9" a="1"/>
  <c r="H220" i="9" s="1"/>
  <c r="H204" i="9" a="1"/>
  <c r="H204" i="9" s="1"/>
  <c r="H188" i="9" a="1"/>
  <c r="H188" i="9" s="1"/>
  <c r="H172" i="9" a="1"/>
  <c r="H172" i="9" s="1"/>
  <c r="H156" i="9" a="1"/>
  <c r="H156" i="9" s="1"/>
  <c r="H140" i="9" a="1"/>
  <c r="H140" i="9" s="1"/>
  <c r="H124" i="9" a="1"/>
  <c r="H124" i="9" s="1"/>
  <c r="H108" i="9" a="1"/>
  <c r="H108" i="9" s="1"/>
  <c r="H92" i="9" a="1"/>
  <c r="H92" i="9" s="1"/>
  <c r="H76" i="9" a="1"/>
  <c r="H76" i="9" s="1"/>
  <c r="H60" i="9" a="1"/>
  <c r="H60" i="9" s="1"/>
  <c r="H44" i="9" a="1"/>
  <c r="H44" i="9" s="1"/>
  <c r="H28" i="9" a="1"/>
  <c r="H28" i="9" s="1"/>
  <c r="H12" i="9" a="1"/>
  <c r="H12" i="9" s="1"/>
  <c r="H713" i="9" a="1"/>
  <c r="H713" i="9" s="1"/>
  <c r="H679" i="9" a="1"/>
  <c r="H679" i="9" s="1"/>
  <c r="H664" i="9" a="1"/>
  <c r="H664" i="9" s="1"/>
  <c r="H648" i="9" a="1"/>
  <c r="H648" i="9" s="1"/>
  <c r="H632" i="9" a="1"/>
  <c r="H632" i="9" s="1"/>
  <c r="H603" i="9" a="1"/>
  <c r="H603" i="9" s="1"/>
  <c r="H587" i="9" a="1"/>
  <c r="H587" i="9" s="1"/>
  <c r="H571" i="9" a="1"/>
  <c r="H571" i="9" s="1"/>
  <c r="H555" i="9" a="1"/>
  <c r="H555" i="9" s="1"/>
  <c r="H539" i="9" a="1"/>
  <c r="H539" i="9" s="1"/>
  <c r="H523" i="9" a="1"/>
  <c r="H523" i="9" s="1"/>
  <c r="H507" i="9" a="1"/>
  <c r="H507" i="9" s="1"/>
  <c r="H491" i="9" a="1"/>
  <c r="H491" i="9" s="1"/>
  <c r="H475" i="9" a="1"/>
  <c r="H475" i="9" s="1"/>
  <c r="H459" i="9" a="1"/>
  <c r="H459" i="9" s="1"/>
  <c r="H443" i="9" a="1"/>
  <c r="H443" i="9" s="1"/>
  <c r="H427" i="9" a="1"/>
  <c r="H427" i="9" s="1"/>
  <c r="H411" i="9" a="1"/>
  <c r="H411" i="9" s="1"/>
  <c r="H395" i="9" a="1"/>
  <c r="H395" i="9" s="1"/>
  <c r="H379" i="9" a="1"/>
  <c r="H379" i="9" s="1"/>
  <c r="H363" i="9" a="1"/>
  <c r="H363" i="9" s="1"/>
  <c r="H347" i="9" a="1"/>
  <c r="H347" i="9" s="1"/>
  <c r="H331" i="9" a="1"/>
  <c r="H331" i="9" s="1"/>
  <c r="H315" i="9" a="1"/>
  <c r="H315" i="9" s="1"/>
  <c r="H299" i="9" a="1"/>
  <c r="H299" i="9" s="1"/>
  <c r="H283" i="9" a="1"/>
  <c r="H283" i="9" s="1"/>
  <c r="H267" i="9" a="1"/>
  <c r="H267" i="9" s="1"/>
  <c r="H251" i="9" a="1"/>
  <c r="H251" i="9" s="1"/>
  <c r="H235" i="9" a="1"/>
  <c r="H235" i="9" s="1"/>
  <c r="H219" i="9" a="1"/>
  <c r="H219" i="9" s="1"/>
  <c r="H203" i="9" a="1"/>
  <c r="H203" i="9" s="1"/>
  <c r="H187" i="9" a="1"/>
  <c r="H187" i="9" s="1"/>
  <c r="H171" i="9" a="1"/>
  <c r="H171" i="9" s="1"/>
  <c r="H155" i="9" a="1"/>
  <c r="H155" i="9" s="1"/>
  <c r="H139" i="9" a="1"/>
  <c r="H139" i="9" s="1"/>
  <c r="H123" i="9" a="1"/>
  <c r="H123" i="9" s="1"/>
  <c r="H107" i="9" a="1"/>
  <c r="H107" i="9" s="1"/>
  <c r="H91" i="9" a="1"/>
  <c r="H91" i="9" s="1"/>
  <c r="H75" i="9" a="1"/>
  <c r="H75" i="9" s="1"/>
  <c r="H59" i="9" a="1"/>
  <c r="H59" i="9" s="1"/>
  <c r="H43" i="9" a="1"/>
  <c r="H43" i="9" s="1"/>
  <c r="H27" i="9" a="1"/>
  <c r="H27" i="9" s="1"/>
  <c r="H11" i="9" a="1"/>
  <c r="H11" i="9" s="1"/>
  <c r="H701" i="9" a="1"/>
  <c r="H701" i="9" s="1"/>
  <c r="H691" i="9" a="1"/>
  <c r="H691" i="9" s="1"/>
  <c r="H678" i="9" a="1"/>
  <c r="H678" i="9" s="1"/>
  <c r="H663" i="9" a="1"/>
  <c r="H663" i="9" s="1"/>
  <c r="H647" i="9" a="1"/>
  <c r="H647" i="9" s="1"/>
  <c r="H631" i="9" a="1"/>
  <c r="H631" i="9" s="1"/>
  <c r="H617" i="9" a="1"/>
  <c r="H617" i="9" s="1"/>
  <c r="H602" i="9" a="1"/>
  <c r="H602" i="9" s="1"/>
  <c r="H586" i="9" a="1"/>
  <c r="H586" i="9" s="1"/>
  <c r="H570" i="9" a="1"/>
  <c r="H570" i="9" s="1"/>
  <c r="H554" i="9" a="1"/>
  <c r="H554" i="9" s="1"/>
  <c r="H538" i="9" a="1"/>
  <c r="H538" i="9" s="1"/>
  <c r="H522" i="9" a="1"/>
  <c r="H522" i="9" s="1"/>
  <c r="H506" i="9" a="1"/>
  <c r="H506" i="9" s="1"/>
  <c r="H490" i="9" a="1"/>
  <c r="H490" i="9" s="1"/>
  <c r="H474" i="9" a="1"/>
  <c r="H474" i="9" s="1"/>
  <c r="H458" i="9" a="1"/>
  <c r="H458" i="9" s="1"/>
  <c r="H442" i="9" a="1"/>
  <c r="H442" i="9" s="1"/>
  <c r="H426" i="9" a="1"/>
  <c r="H426" i="9" s="1"/>
  <c r="H410" i="9" a="1"/>
  <c r="H410" i="9" s="1"/>
  <c r="H394" i="9" a="1"/>
  <c r="H394" i="9" s="1"/>
  <c r="H378" i="9" a="1"/>
  <c r="H378" i="9" s="1"/>
  <c r="H362" i="9" a="1"/>
  <c r="H362" i="9" s="1"/>
  <c r="H346" i="9" a="1"/>
  <c r="H346" i="9" s="1"/>
  <c r="H330" i="9" a="1"/>
  <c r="H330" i="9" s="1"/>
  <c r="H314" i="9" a="1"/>
  <c r="H314" i="9" s="1"/>
  <c r="H298" i="9" a="1"/>
  <c r="H298" i="9" s="1"/>
  <c r="H282" i="9" a="1"/>
  <c r="H282" i="9" s="1"/>
  <c r="H266" i="9" a="1"/>
  <c r="H266" i="9" s="1"/>
  <c r="H250" i="9" a="1"/>
  <c r="H250" i="9" s="1"/>
  <c r="H234" i="9" a="1"/>
  <c r="H234" i="9" s="1"/>
  <c r="H218" i="9" a="1"/>
  <c r="H218" i="9" s="1"/>
  <c r="H202" i="9" a="1"/>
  <c r="H202" i="9" s="1"/>
  <c r="H186" i="9" a="1"/>
  <c r="H186" i="9" s="1"/>
  <c r="H154" i="9" a="1"/>
  <c r="H154" i="9" s="1"/>
  <c r="H138" i="9" a="1"/>
  <c r="H138" i="9" s="1"/>
  <c r="H122" i="9" a="1"/>
  <c r="H122" i="9" s="1"/>
  <c r="H106" i="9" a="1"/>
  <c r="H106" i="9" s="1"/>
  <c r="H90" i="9" a="1"/>
  <c r="H90" i="9" s="1"/>
  <c r="H74" i="9" a="1"/>
  <c r="H74" i="9" s="1"/>
  <c r="H58" i="9" a="1"/>
  <c r="H58" i="9" s="1"/>
  <c r="H42" i="9" a="1"/>
  <c r="H42" i="9" s="1"/>
  <c r="H26" i="9" a="1"/>
  <c r="H26" i="9" s="1"/>
  <c r="H10" i="9" a="1"/>
  <c r="H10" i="9" s="1"/>
  <c r="H712" i="9" a="1"/>
  <c r="H712" i="9" s="1"/>
  <c r="H690" i="9" a="1"/>
  <c r="H690" i="9" s="1"/>
  <c r="H677" i="9" a="1"/>
  <c r="H677" i="9" s="1"/>
  <c r="H662" i="9" a="1"/>
  <c r="H662" i="9" s="1"/>
  <c r="H646" i="9" a="1"/>
  <c r="H646" i="9" s="1"/>
  <c r="H630" i="9" a="1"/>
  <c r="H630" i="9" s="1"/>
  <c r="H616" i="9" a="1"/>
  <c r="H616" i="9" s="1"/>
  <c r="H601" i="9" a="1"/>
  <c r="H601" i="9" s="1"/>
  <c r="H585" i="9" a="1"/>
  <c r="H585" i="9" s="1"/>
  <c r="H569" i="9" a="1"/>
  <c r="H569" i="9" s="1"/>
  <c r="H553" i="9" a="1"/>
  <c r="H553" i="9" s="1"/>
  <c r="H521" i="9" a="1"/>
  <c r="H521" i="9" s="1"/>
  <c r="H505" i="9" a="1"/>
  <c r="H505" i="9" s="1"/>
  <c r="H489" i="9" a="1"/>
  <c r="H489" i="9" s="1"/>
  <c r="H473" i="9" a="1"/>
  <c r="H473" i="9" s="1"/>
  <c r="H457" i="9" a="1"/>
  <c r="H457" i="9" s="1"/>
  <c r="H441" i="9" a="1"/>
  <c r="H441" i="9" s="1"/>
  <c r="H425" i="9" a="1"/>
  <c r="H425" i="9" s="1"/>
  <c r="H409" i="9" a="1"/>
  <c r="H409" i="9" s="1"/>
  <c r="H393" i="9" a="1"/>
  <c r="H393" i="9" s="1"/>
  <c r="H361" i="9" a="1"/>
  <c r="H361" i="9" s="1"/>
  <c r="H345" i="9" a="1"/>
  <c r="H345" i="9" s="1"/>
  <c r="H329" i="9" a="1"/>
  <c r="H329" i="9" s="1"/>
  <c r="H313" i="9" a="1"/>
  <c r="H313" i="9" s="1"/>
  <c r="H297" i="9" a="1"/>
  <c r="H297" i="9" s="1"/>
  <c r="H281" i="9" a="1"/>
  <c r="H281" i="9" s="1"/>
  <c r="H265" i="9" a="1"/>
  <c r="H265" i="9" s="1"/>
  <c r="H249" i="9" a="1"/>
  <c r="H249" i="9" s="1"/>
  <c r="H233" i="9" a="1"/>
  <c r="H233" i="9" s="1"/>
  <c r="H217" i="9" a="1"/>
  <c r="H217" i="9" s="1"/>
  <c r="H201" i="9" a="1"/>
  <c r="H201" i="9" s="1"/>
  <c r="H185" i="9" a="1"/>
  <c r="H185" i="9" s="1"/>
  <c r="H169" i="9" a="1"/>
  <c r="H169" i="9" s="1"/>
  <c r="H153" i="9" a="1"/>
  <c r="H153" i="9" s="1"/>
  <c r="H137" i="9" a="1"/>
  <c r="H137" i="9" s="1"/>
  <c r="H105" i="9" a="1"/>
  <c r="H105" i="9" s="1"/>
  <c r="H89" i="9" a="1"/>
  <c r="H89" i="9" s="1"/>
  <c r="H73" i="9" a="1"/>
  <c r="H73" i="9" s="1"/>
  <c r="H57" i="9" a="1"/>
  <c r="H57" i="9" s="1"/>
  <c r="H41" i="9" a="1"/>
  <c r="H41" i="9" s="1"/>
  <c r="H25" i="9" a="1"/>
  <c r="H25" i="9" s="1"/>
  <c r="H9" i="9" a="1"/>
  <c r="H9" i="9" s="1"/>
  <c r="H684" i="9" a="1"/>
  <c r="H684" i="9" s="1"/>
  <c r="H711" i="9" a="1"/>
  <c r="H711" i="9" s="1"/>
  <c r="H700" i="9" a="1"/>
  <c r="H700" i="9" s="1"/>
  <c r="H689" i="9" a="1"/>
  <c r="H689" i="9" s="1"/>
  <c r="H676" i="9" a="1"/>
  <c r="H676" i="9" s="1"/>
  <c r="H661" i="9" a="1"/>
  <c r="H661" i="9" s="1"/>
  <c r="H645" i="9" a="1"/>
  <c r="H645" i="9" s="1"/>
  <c r="H629" i="9" a="1"/>
  <c r="H629" i="9" s="1"/>
  <c r="H615" i="9" a="1"/>
  <c r="H615" i="9" s="1"/>
  <c r="H600" i="9" a="1"/>
  <c r="H600" i="9" s="1"/>
  <c r="H584" i="9" a="1"/>
  <c r="H584" i="9" s="1"/>
  <c r="H568" i="9" a="1"/>
  <c r="H568" i="9" s="1"/>
  <c r="H552" i="9" a="1"/>
  <c r="H552" i="9" s="1"/>
  <c r="H536" i="9" a="1"/>
  <c r="H536" i="9" s="1"/>
  <c r="H520" i="9" a="1"/>
  <c r="H520" i="9" s="1"/>
  <c r="H504" i="9" a="1"/>
  <c r="H504" i="9" s="1"/>
  <c r="H488" i="9" a="1"/>
  <c r="H488" i="9" s="1"/>
  <c r="H472" i="9" a="1"/>
  <c r="H472" i="9" s="1"/>
  <c r="H456" i="9" a="1"/>
  <c r="H456" i="9" s="1"/>
  <c r="H440" i="9" a="1"/>
  <c r="H440" i="9" s="1"/>
  <c r="H424" i="9" a="1"/>
  <c r="H424" i="9" s="1"/>
  <c r="H408" i="9" a="1"/>
  <c r="H408" i="9" s="1"/>
  <c r="H392" i="9" a="1"/>
  <c r="H392" i="9" s="1"/>
  <c r="H376" i="9" a="1"/>
  <c r="H376" i="9" s="1"/>
  <c r="H360" i="9" a="1"/>
  <c r="H360" i="9" s="1"/>
  <c r="H344" i="9" a="1"/>
  <c r="H344" i="9" s="1"/>
  <c r="H328" i="9" a="1"/>
  <c r="H328" i="9" s="1"/>
  <c r="H312" i="9" a="1"/>
  <c r="H312" i="9" s="1"/>
  <c r="H296" i="9" a="1"/>
  <c r="H296" i="9" s="1"/>
  <c r="H280" i="9" a="1"/>
  <c r="H280" i="9" s="1"/>
  <c r="H264" i="9" a="1"/>
  <c r="H264" i="9" s="1"/>
  <c r="H248" i="9" a="1"/>
  <c r="H248" i="9" s="1"/>
  <c r="H232" i="9" a="1"/>
  <c r="H232" i="9" s="1"/>
  <c r="H216" i="9" a="1"/>
  <c r="H216" i="9" s="1"/>
  <c r="H200" i="9" a="1"/>
  <c r="H200" i="9" s="1"/>
  <c r="H184" i="9" a="1"/>
  <c r="H184" i="9" s="1"/>
  <c r="H168" i="9" a="1"/>
  <c r="H168" i="9" s="1"/>
  <c r="H152" i="9" a="1"/>
  <c r="H152" i="9" s="1"/>
  <c r="H136" i="9" a="1"/>
  <c r="H136" i="9" s="1"/>
  <c r="H120" i="9" a="1"/>
  <c r="H120" i="9" s="1"/>
  <c r="H104" i="9" a="1"/>
  <c r="H104" i="9" s="1"/>
  <c r="H88" i="9" a="1"/>
  <c r="H88" i="9" s="1"/>
  <c r="H72" i="9" a="1"/>
  <c r="H72" i="9" s="1"/>
  <c r="H56" i="9" a="1"/>
  <c r="H56" i="9" s="1"/>
  <c r="H40" i="9" a="1"/>
  <c r="H40" i="9" s="1"/>
  <c r="H24" i="9" a="1"/>
  <c r="H24" i="9" s="1"/>
  <c r="H8" i="9" a="1"/>
  <c r="H8" i="9" s="1"/>
  <c r="H710" i="9" a="1"/>
  <c r="H710" i="9" s="1"/>
  <c r="H675" i="9" a="1"/>
  <c r="H675" i="9" s="1"/>
  <c r="H660" i="9" a="1"/>
  <c r="H660" i="9" s="1"/>
  <c r="H644" i="9" a="1"/>
  <c r="H644" i="9" s="1"/>
  <c r="H628" i="9" a="1"/>
  <c r="H628" i="9" s="1"/>
  <c r="H614" i="9" a="1"/>
  <c r="H614" i="9" s="1"/>
  <c r="H599" i="9" a="1"/>
  <c r="H599" i="9" s="1"/>
  <c r="H583" i="9" a="1"/>
  <c r="H583" i="9" s="1"/>
  <c r="H567" i="9" a="1"/>
  <c r="H567" i="9" s="1"/>
  <c r="H551" i="9" a="1"/>
  <c r="H551" i="9" s="1"/>
  <c r="H535" i="9" a="1"/>
  <c r="H535" i="9" s="1"/>
  <c r="H519" i="9" a="1"/>
  <c r="H519" i="9" s="1"/>
  <c r="H503" i="9" a="1"/>
  <c r="H503" i="9" s="1"/>
  <c r="H487" i="9" a="1"/>
  <c r="H487" i="9" s="1"/>
  <c r="H471" i="9" a="1"/>
  <c r="H471" i="9" s="1"/>
  <c r="H455" i="9" a="1"/>
  <c r="H455" i="9" s="1"/>
  <c r="H439" i="9" a="1"/>
  <c r="H439" i="9" s="1"/>
  <c r="H423" i="9" a="1"/>
  <c r="H423" i="9" s="1"/>
  <c r="H407" i="9" a="1"/>
  <c r="H407" i="9" s="1"/>
  <c r="H391" i="9" a="1"/>
  <c r="H391" i="9" s="1"/>
  <c r="H375" i="9" a="1"/>
  <c r="H375" i="9" s="1"/>
  <c r="H359" i="9" a="1"/>
  <c r="H359" i="9" s="1"/>
  <c r="H343" i="9" a="1"/>
  <c r="H343" i="9" s="1"/>
  <c r="H327" i="9" a="1"/>
  <c r="H327" i="9" s="1"/>
  <c r="H311" i="9" a="1"/>
  <c r="H311" i="9" s="1"/>
  <c r="H295" i="9" a="1"/>
  <c r="H295" i="9" s="1"/>
  <c r="H279" i="9" a="1"/>
  <c r="H279" i="9" s="1"/>
  <c r="H263" i="9" a="1"/>
  <c r="H263" i="9" s="1"/>
  <c r="H247" i="9" a="1"/>
  <c r="H247" i="9" s="1"/>
  <c r="H231" i="9" a="1"/>
  <c r="H231" i="9" s="1"/>
  <c r="H215" i="9" a="1"/>
  <c r="H215" i="9" s="1"/>
  <c r="H199" i="9" a="1"/>
  <c r="H199" i="9" s="1"/>
  <c r="H183" i="9" a="1"/>
  <c r="H183" i="9" s="1"/>
  <c r="H167" i="9" a="1"/>
  <c r="H167" i="9" s="1"/>
  <c r="H151" i="9" a="1"/>
  <c r="H151" i="9" s="1"/>
  <c r="H135" i="9" a="1"/>
  <c r="H135" i="9" s="1"/>
  <c r="H119" i="9" a="1"/>
  <c r="H119" i="9" s="1"/>
  <c r="H103" i="9" a="1"/>
  <c r="H103" i="9" s="1"/>
  <c r="H87" i="9" a="1"/>
  <c r="H87" i="9" s="1"/>
  <c r="H71" i="9" a="1"/>
  <c r="H71" i="9" s="1"/>
  <c r="H55" i="9" a="1"/>
  <c r="H55" i="9" s="1"/>
  <c r="H39" i="9" a="1"/>
  <c r="H39" i="9" s="1"/>
  <c r="H23" i="9" a="1"/>
  <c r="H23" i="9" s="1"/>
  <c r="H7" i="9" a="1"/>
  <c r="H7" i="9" s="1"/>
  <c r="H721" i="9" a="1"/>
  <c r="H721" i="9" s="1"/>
  <c r="H709" i="9" a="1"/>
  <c r="H709" i="9" s="1"/>
  <c r="H699" i="9" a="1"/>
  <c r="H699" i="9" s="1"/>
  <c r="H688" i="9" a="1"/>
  <c r="H688" i="9" s="1"/>
  <c r="H674" i="9" a="1"/>
  <c r="H674" i="9" s="1"/>
  <c r="H659" i="9" a="1"/>
  <c r="H659" i="9" s="1"/>
  <c r="H643" i="9" a="1"/>
  <c r="H643" i="9" s="1"/>
  <c r="H627" i="9" a="1"/>
  <c r="H627" i="9" s="1"/>
  <c r="H613" i="9" a="1"/>
  <c r="H613" i="9" s="1"/>
  <c r="H598" i="9" a="1"/>
  <c r="H598" i="9" s="1"/>
  <c r="H582" i="9" a="1"/>
  <c r="H582" i="9" s="1"/>
  <c r="H566" i="9" a="1"/>
  <c r="H566" i="9" s="1"/>
  <c r="H550" i="9" a="1"/>
  <c r="H550" i="9" s="1"/>
  <c r="H534" i="9" a="1"/>
  <c r="H534" i="9" s="1"/>
  <c r="H518" i="9" a="1"/>
  <c r="H518" i="9" s="1"/>
  <c r="H502" i="9" a="1"/>
  <c r="H502" i="9" s="1"/>
  <c r="H486" i="9" a="1"/>
  <c r="H486" i="9" s="1"/>
  <c r="H470" i="9" a="1"/>
  <c r="H470" i="9" s="1"/>
  <c r="H454" i="9" a="1"/>
  <c r="H454" i="9" s="1"/>
  <c r="H438" i="9" a="1"/>
  <c r="H438" i="9" s="1"/>
  <c r="H422" i="9" a="1"/>
  <c r="H422" i="9" s="1"/>
  <c r="H406" i="9" a="1"/>
  <c r="H406" i="9" s="1"/>
  <c r="H390" i="9" a="1"/>
  <c r="H390" i="9" s="1"/>
  <c r="H374" i="9" a="1"/>
  <c r="H374" i="9" s="1"/>
  <c r="H358" i="9" a="1"/>
  <c r="H358" i="9" s="1"/>
  <c r="H342" i="9" a="1"/>
  <c r="H342" i="9" s="1"/>
  <c r="H326" i="9" a="1"/>
  <c r="H326" i="9" s="1"/>
  <c r="H310" i="9" a="1"/>
  <c r="H310" i="9" s="1"/>
  <c r="H294" i="9" a="1"/>
  <c r="H294" i="9" s="1"/>
  <c r="H278" i="9" a="1"/>
  <c r="H278" i="9" s="1"/>
  <c r="H262" i="9" a="1"/>
  <c r="H262" i="9" s="1"/>
  <c r="H246" i="9" a="1"/>
  <c r="H246" i="9" s="1"/>
  <c r="H230" i="9" a="1"/>
  <c r="H230" i="9" s="1"/>
  <c r="H214" i="9" a="1"/>
  <c r="H214" i="9" s="1"/>
  <c r="H198" i="9" a="1"/>
  <c r="H198" i="9" s="1"/>
  <c r="H182" i="9" a="1"/>
  <c r="H182" i="9" s="1"/>
  <c r="H166" i="9" a="1"/>
  <c r="H166" i="9" s="1"/>
  <c r="H150" i="9" a="1"/>
  <c r="H150" i="9" s="1"/>
  <c r="H134" i="9" a="1"/>
  <c r="H134" i="9" s="1"/>
  <c r="H118" i="9" a="1"/>
  <c r="H118" i="9" s="1"/>
  <c r="H102" i="9" a="1"/>
  <c r="H102" i="9" s="1"/>
  <c r="H86" i="9" a="1"/>
  <c r="H86" i="9" s="1"/>
  <c r="H70" i="9" a="1"/>
  <c r="H70" i="9" s="1"/>
  <c r="H54" i="9" a="1"/>
  <c r="H54" i="9" s="1"/>
  <c r="H38" i="9" a="1"/>
  <c r="H38" i="9" s="1"/>
  <c r="H22" i="9" a="1"/>
  <c r="H22" i="9" s="1"/>
  <c r="H6" i="9" a="1"/>
  <c r="H6" i="9" s="1"/>
  <c r="H698" i="9" a="1"/>
  <c r="H698" i="9" s="1"/>
  <c r="H687" i="9" a="1"/>
  <c r="H687" i="9" s="1"/>
  <c r="H673" i="9" a="1"/>
  <c r="H673" i="9" s="1"/>
  <c r="H658" i="9" a="1"/>
  <c r="H658" i="9" s="1"/>
  <c r="H642" i="9" a="1"/>
  <c r="H642" i="9" s="1"/>
  <c r="H626" i="9" a="1"/>
  <c r="H626" i="9" s="1"/>
  <c r="H612" i="9" a="1"/>
  <c r="H612" i="9" s="1"/>
  <c r="H597" i="9" a="1"/>
  <c r="H597" i="9" s="1"/>
  <c r="H581" i="9" a="1"/>
  <c r="H581" i="9" s="1"/>
  <c r="H565" i="9" a="1"/>
  <c r="H565" i="9" s="1"/>
  <c r="H549" i="9" a="1"/>
  <c r="H549" i="9" s="1"/>
  <c r="H533" i="9" a="1"/>
  <c r="H533" i="9" s="1"/>
  <c r="H517" i="9" a="1"/>
  <c r="H517" i="9" s="1"/>
  <c r="H501" i="9" a="1"/>
  <c r="H501" i="9" s="1"/>
  <c r="H485" i="9" a="1"/>
  <c r="H485" i="9" s="1"/>
  <c r="H469" i="9" a="1"/>
  <c r="H469" i="9" s="1"/>
  <c r="H453" i="9" a="1"/>
  <c r="H453" i="9" s="1"/>
  <c r="H437" i="9" a="1"/>
  <c r="H437" i="9" s="1"/>
  <c r="H421" i="9" a="1"/>
  <c r="H421" i="9" s="1"/>
  <c r="H405" i="9" a="1"/>
  <c r="H405" i="9" s="1"/>
  <c r="H389" i="9" a="1"/>
  <c r="H389" i="9" s="1"/>
  <c r="H373" i="9" a="1"/>
  <c r="H373" i="9" s="1"/>
  <c r="H357" i="9" a="1"/>
  <c r="H357" i="9" s="1"/>
  <c r="H341" i="9" a="1"/>
  <c r="H341" i="9" s="1"/>
  <c r="H325" i="9" a="1"/>
  <c r="H325" i="9" s="1"/>
  <c r="H309" i="9" a="1"/>
  <c r="H309" i="9" s="1"/>
  <c r="H293" i="9" a="1"/>
  <c r="H293" i="9" s="1"/>
  <c r="H277" i="9" a="1"/>
  <c r="H277" i="9" s="1"/>
  <c r="H261" i="9" a="1"/>
  <c r="H261" i="9" s="1"/>
  <c r="H245" i="9" a="1"/>
  <c r="H245" i="9" s="1"/>
  <c r="H229" i="9" a="1"/>
  <c r="H229" i="9" s="1"/>
  <c r="H213" i="9" a="1"/>
  <c r="H213" i="9" s="1"/>
  <c r="H197" i="9" a="1"/>
  <c r="H197" i="9" s="1"/>
  <c r="H181" i="9" a="1"/>
  <c r="H181" i="9" s="1"/>
  <c r="H165" i="9" a="1"/>
  <c r="H165" i="9" s="1"/>
  <c r="H149" i="9" a="1"/>
  <c r="H149" i="9" s="1"/>
  <c r="H133" i="9" a="1"/>
  <c r="H133" i="9" s="1"/>
  <c r="H117" i="9" a="1"/>
  <c r="H117" i="9" s="1"/>
  <c r="H101" i="9" a="1"/>
  <c r="H101" i="9" s="1"/>
  <c r="H85" i="9" a="1"/>
  <c r="H85" i="9" s="1"/>
  <c r="H69" i="9" a="1"/>
  <c r="H69" i="9" s="1"/>
  <c r="H53" i="9" a="1"/>
  <c r="H53" i="9" s="1"/>
  <c r="H37" i="9" a="1"/>
  <c r="H37" i="9" s="1"/>
  <c r="H21" i="9" a="1"/>
  <c r="H21" i="9" s="1"/>
  <c r="H5" i="9" a="1"/>
  <c r="H5" i="9" s="1"/>
  <c r="H720" i="9" a="1"/>
  <c r="H720" i="9" s="1"/>
  <c r="H708" i="9" a="1"/>
  <c r="H708" i="9" s="1"/>
  <c r="H697" i="9" a="1"/>
  <c r="H697" i="9" s="1"/>
  <c r="H686" i="9" a="1"/>
  <c r="H686" i="9" s="1"/>
  <c r="H672" i="9" a="1"/>
  <c r="H672" i="9" s="1"/>
  <c r="H657" i="9" a="1"/>
  <c r="H657" i="9" s="1"/>
  <c r="H641" i="9" a="1"/>
  <c r="H641" i="9" s="1"/>
  <c r="H611" i="9" a="1"/>
  <c r="H611" i="9" s="1"/>
  <c r="H596" i="9" a="1"/>
  <c r="H596" i="9" s="1"/>
  <c r="H580" i="9" a="1"/>
  <c r="H580" i="9" s="1"/>
  <c r="H564" i="9" a="1"/>
  <c r="H564" i="9" s="1"/>
  <c r="H548" i="9" a="1"/>
  <c r="H548" i="9" s="1"/>
  <c r="H532" i="9" a="1"/>
  <c r="H532" i="9" s="1"/>
  <c r="H516" i="9" a="1"/>
  <c r="H516" i="9" s="1"/>
  <c r="H500" i="9" a="1"/>
  <c r="H500" i="9" s="1"/>
  <c r="H484" i="9" a="1"/>
  <c r="H484" i="9" s="1"/>
  <c r="H468" i="9" a="1"/>
  <c r="H468" i="9" s="1"/>
  <c r="H452" i="9" a="1"/>
  <c r="H452" i="9" s="1"/>
  <c r="H436" i="9" a="1"/>
  <c r="H436" i="9" s="1"/>
  <c r="H420" i="9" a="1"/>
  <c r="H420" i="9" s="1"/>
  <c r="H404" i="9" a="1"/>
  <c r="H404" i="9" s="1"/>
  <c r="H388" i="9" a="1"/>
  <c r="H388" i="9" s="1"/>
  <c r="H372" i="9" a="1"/>
  <c r="H372" i="9" s="1"/>
  <c r="H356" i="9" a="1"/>
  <c r="H356" i="9" s="1"/>
  <c r="H340" i="9" a="1"/>
  <c r="H340" i="9" s="1"/>
  <c r="H324" i="9" a="1"/>
  <c r="H324" i="9" s="1"/>
  <c r="H308" i="9" a="1"/>
  <c r="H308" i="9" s="1"/>
  <c r="H292" i="9" a="1"/>
  <c r="H292" i="9" s="1"/>
  <c r="H276" i="9" a="1"/>
  <c r="H276" i="9" s="1"/>
  <c r="H260" i="9" a="1"/>
  <c r="H260" i="9" s="1"/>
  <c r="H244" i="9" a="1"/>
  <c r="H244" i="9" s="1"/>
  <c r="H228" i="9" a="1"/>
  <c r="H228" i="9" s="1"/>
  <c r="H212" i="9" a="1"/>
  <c r="H212" i="9" s="1"/>
  <c r="H196" i="9" a="1"/>
  <c r="H196" i="9" s="1"/>
  <c r="H180" i="9" a="1"/>
  <c r="H180" i="9" s="1"/>
  <c r="H164" i="9" a="1"/>
  <c r="H164" i="9" s="1"/>
  <c r="H148" i="9" a="1"/>
  <c r="H148" i="9" s="1"/>
  <c r="H132" i="9" a="1"/>
  <c r="H132" i="9" s="1"/>
  <c r="H116" i="9" a="1"/>
  <c r="H116" i="9" s="1"/>
  <c r="H100" i="9" a="1"/>
  <c r="H100" i="9" s="1"/>
  <c r="H84" i="9" a="1"/>
  <c r="H84" i="9" s="1"/>
  <c r="H68" i="9" a="1"/>
  <c r="H68" i="9" s="1"/>
  <c r="H52" i="9" a="1"/>
  <c r="H52" i="9" s="1"/>
  <c r="H36" i="9" a="1"/>
  <c r="H36" i="9" s="1"/>
  <c r="H20" i="9" a="1"/>
  <c r="H20" i="9" s="1"/>
  <c r="H4" i="9" a="1"/>
  <c r="H4" i="9" s="1"/>
  <c r="H719" i="9" a="1"/>
  <c r="H719" i="9" s="1"/>
  <c r="H685" i="9" a="1"/>
  <c r="H685" i="9" s="1"/>
  <c r="H671" i="9" a="1"/>
  <c r="H671" i="9" s="1"/>
  <c r="H656" i="9" a="1"/>
  <c r="H656" i="9" s="1"/>
  <c r="H640" i="9" a="1"/>
  <c r="H640" i="9" s="1"/>
  <c r="H625" i="9" a="1"/>
  <c r="H625" i="9" s="1"/>
  <c r="H610" i="9" a="1"/>
  <c r="H610" i="9" s="1"/>
  <c r="H595" i="9" a="1"/>
  <c r="H595" i="9" s="1"/>
  <c r="H563" i="9" a="1"/>
  <c r="H563" i="9" s="1"/>
  <c r="H547" i="9" a="1"/>
  <c r="H547" i="9" s="1"/>
  <c r="H531" i="9" a="1"/>
  <c r="H531" i="9" s="1"/>
  <c r="H515" i="9" a="1"/>
  <c r="H515" i="9" s="1"/>
  <c r="H499" i="9" a="1"/>
  <c r="H499" i="9" s="1"/>
  <c r="H483" i="9" a="1"/>
  <c r="H483" i="9" s="1"/>
  <c r="H467" i="9" a="1"/>
  <c r="H467" i="9" s="1"/>
  <c r="H451" i="9" a="1"/>
  <c r="H451" i="9" s="1"/>
  <c r="H435" i="9" a="1"/>
  <c r="H435" i="9" s="1"/>
  <c r="H419" i="9" a="1"/>
  <c r="H419" i="9" s="1"/>
  <c r="H403" i="9" a="1"/>
  <c r="H403" i="9" s="1"/>
  <c r="H387" i="9" a="1"/>
  <c r="H387" i="9" s="1"/>
  <c r="H371" i="9" a="1"/>
  <c r="H371" i="9" s="1"/>
  <c r="H355" i="9" a="1"/>
  <c r="H355" i="9" s="1"/>
  <c r="H339" i="9" a="1"/>
  <c r="H339" i="9" s="1"/>
  <c r="H323" i="9" a="1"/>
  <c r="H323" i="9" s="1"/>
  <c r="H307" i="9" a="1"/>
  <c r="H307" i="9" s="1"/>
  <c r="H291" i="9" a="1"/>
  <c r="H291" i="9" s="1"/>
  <c r="H275" i="9" a="1"/>
  <c r="H275" i="9" s="1"/>
  <c r="H259" i="9" a="1"/>
  <c r="H259" i="9" s="1"/>
  <c r="H243" i="9" a="1"/>
  <c r="H243" i="9" s="1"/>
  <c r="H227" i="9" a="1"/>
  <c r="H227" i="9" s="1"/>
  <c r="H211" i="9" a="1"/>
  <c r="H211" i="9" s="1"/>
  <c r="H195" i="9" a="1"/>
  <c r="H195" i="9" s="1"/>
  <c r="H179" i="9" a="1"/>
  <c r="H179" i="9" s="1"/>
  <c r="H163" i="9" a="1"/>
  <c r="H163" i="9" s="1"/>
  <c r="H147" i="9" a="1"/>
  <c r="H147" i="9" s="1"/>
  <c r="H131" i="9" a="1"/>
  <c r="H131" i="9" s="1"/>
  <c r="H115" i="9" a="1"/>
  <c r="H115" i="9" s="1"/>
  <c r="H99" i="9" a="1"/>
  <c r="H99" i="9" s="1"/>
  <c r="H83" i="9" a="1"/>
  <c r="H83" i="9" s="1"/>
  <c r="H67" i="9" a="1"/>
  <c r="H67" i="9" s="1"/>
  <c r="H51" i="9" a="1"/>
  <c r="H51" i="9" s="1"/>
  <c r="H35" i="9" a="1"/>
  <c r="H35" i="9" s="1"/>
  <c r="H19" i="9" a="1"/>
  <c r="H19" i="9" s="1"/>
  <c r="H3" i="9" a="1"/>
  <c r="H3" i="9" s="1"/>
  <c r="H718" i="9" a="1"/>
  <c r="H718" i="9" s="1"/>
  <c r="H707" i="9" a="1"/>
  <c r="H707" i="9" s="1"/>
  <c r="H696" i="9" a="1"/>
  <c r="H696" i="9" s="1"/>
  <c r="H670" i="9" a="1"/>
  <c r="H670" i="9" s="1"/>
  <c r="H655" i="9" a="1"/>
  <c r="H655" i="9" s="1"/>
  <c r="H639" i="9" a="1"/>
  <c r="H639" i="9" s="1"/>
  <c r="H624" i="9" a="1"/>
  <c r="H624" i="9" s="1"/>
  <c r="H594" i="9" a="1"/>
  <c r="H594" i="9" s="1"/>
  <c r="H578" i="9" a="1"/>
  <c r="H578" i="9" s="1"/>
  <c r="H562" i="9" a="1"/>
  <c r="H562" i="9" s="1"/>
  <c r="H546" i="9" a="1"/>
  <c r="H546" i="9" s="1"/>
  <c r="H530" i="9" a="1"/>
  <c r="H530" i="9" s="1"/>
  <c r="H514" i="9" a="1"/>
  <c r="H514" i="9" s="1"/>
  <c r="H498" i="9" a="1"/>
  <c r="H498" i="9" s="1"/>
  <c r="H482" i="9" a="1"/>
  <c r="H482" i="9" s="1"/>
  <c r="H466" i="9" a="1"/>
  <c r="H466" i="9" s="1"/>
  <c r="H450" i="9" a="1"/>
  <c r="H450" i="9" s="1"/>
  <c r="H434" i="9" a="1"/>
  <c r="H434" i="9" s="1"/>
  <c r="H418" i="9" a="1"/>
  <c r="H418" i="9" s="1"/>
  <c r="H402" i="9" a="1"/>
  <c r="H402" i="9" s="1"/>
  <c r="H386" i="9" a="1"/>
  <c r="H386" i="9" s="1"/>
  <c r="H370" i="9" a="1"/>
  <c r="H370" i="9" s="1"/>
  <c r="H354" i="9" a="1"/>
  <c r="H354" i="9" s="1"/>
  <c r="H338" i="9" a="1"/>
  <c r="H338" i="9" s="1"/>
  <c r="H306" i="9" a="1"/>
  <c r="H306" i="9" s="1"/>
  <c r="H290" i="9" a="1"/>
  <c r="H290" i="9" s="1"/>
  <c r="H274" i="9" a="1"/>
  <c r="H274" i="9" s="1"/>
  <c r="H258" i="9" a="1"/>
  <c r="H258" i="9" s="1"/>
  <c r="H242" i="9" a="1"/>
  <c r="H242" i="9" s="1"/>
  <c r="H226" i="9" a="1"/>
  <c r="H226" i="9" s="1"/>
  <c r="H210" i="9" a="1"/>
  <c r="H210" i="9" s="1"/>
  <c r="H194" i="9" a="1"/>
  <c r="H194" i="9" s="1"/>
  <c r="H178" i="9" a="1"/>
  <c r="H178" i="9" s="1"/>
  <c r="H162" i="9" a="1"/>
  <c r="H162" i="9" s="1"/>
  <c r="H146" i="9" a="1"/>
  <c r="H146" i="9" s="1"/>
  <c r="H130" i="9" a="1"/>
  <c r="H130" i="9" s="1"/>
  <c r="H114" i="9" a="1"/>
  <c r="H114" i="9" s="1"/>
  <c r="H98" i="9" a="1"/>
  <c r="H98" i="9" s="1"/>
  <c r="H82" i="9" a="1"/>
  <c r="H82" i="9" s="1"/>
  <c r="H50" i="9" a="1"/>
  <c r="H50" i="9" s="1"/>
  <c r="H34" i="9" a="1"/>
  <c r="H34" i="9" s="1"/>
  <c r="H18" i="9" a="1"/>
  <c r="H18" i="9" s="1"/>
  <c r="H2" i="9" a="1"/>
  <c r="H2"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<sst xmlns="http://schemas.openxmlformats.org/spreadsheetml/2006/main" count="21973" uniqueCount="6692">
  <si>
    <t>company_id</t>
  </si>
  <si>
    <t>company_name_official</t>
  </si>
  <si>
    <t>brand_short</t>
  </si>
  <si>
    <t>sector_cluster</t>
  </si>
  <si>
    <t>industry_detail</t>
  </si>
  <si>
    <t>hq_country</t>
  </si>
  <si>
    <t>dax_member_as_of_date</t>
  </si>
  <si>
    <t>notes_sampling</t>
  </si>
  <si>
    <t>doc_id</t>
  </si>
  <si>
    <t>doc_title</t>
  </si>
  <si>
    <t>doc_type</t>
  </si>
  <si>
    <t>publisher</t>
  </si>
  <si>
    <t>publication_date</t>
  </si>
  <si>
    <t>version</t>
  </si>
  <si>
    <t>language</t>
  </si>
  <si>
    <t>url</t>
  </si>
  <si>
    <t>access_date</t>
  </si>
  <si>
    <t>file_name_local</t>
  </si>
  <si>
    <t>inclusion_status</t>
  </si>
  <si>
    <t>exclusion_reason</t>
  </si>
  <si>
    <t>relevance_notes</t>
  </si>
  <si>
    <t>value_id</t>
  </si>
  <si>
    <t>value_name</t>
  </si>
  <si>
    <t>definition_short</t>
  </si>
  <si>
    <t>include_rules</t>
  </si>
  <si>
    <t>exclude_rules</t>
  </si>
  <si>
    <t>synonyms_terms</t>
  </si>
  <si>
    <t>example_phrases</t>
  </si>
  <si>
    <t>notes_boundary_cases</t>
  </si>
  <si>
    <t>value_present</t>
  </si>
  <si>
    <t>binding_level</t>
  </si>
  <si>
    <t>binding_justification</t>
  </si>
  <si>
    <t>evidence_quote</t>
  </si>
  <si>
    <t>evidence_location</t>
  </si>
  <si>
    <t>coder_confidence</t>
  </si>
  <si>
    <t>notes</t>
  </si>
  <si>
    <t>value_points</t>
  </si>
  <si>
    <t>gov_crit_id</t>
  </si>
  <si>
    <t>criterion_name</t>
  </si>
  <si>
    <t>score_0_definition</t>
  </si>
  <si>
    <t>score_1_definition</t>
  </si>
  <si>
    <t>score_2_definition</t>
  </si>
  <si>
    <t>score_3_definition</t>
  </si>
  <si>
    <t>evidence_minimum</t>
  </si>
  <si>
    <t>typical_evidence_terms</t>
  </si>
  <si>
    <t>doc_id_primary_evidence</t>
  </si>
  <si>
    <t>score_0_3</t>
  </si>
  <si>
    <t>why_not_higher</t>
  </si>
  <si>
    <t>values_raw_points</t>
  </si>
  <si>
    <t>values_max_points</t>
  </si>
  <si>
    <t>convergence_index_0_1</t>
  </si>
  <si>
    <t>gov_points_sum</t>
  </si>
  <si>
    <t>gov_index_0_100</t>
  </si>
  <si>
    <t>VAL_01</t>
  </si>
  <si>
    <t>Human Agency &amp; Oversight</t>
  </si>
  <si>
    <t>Menschen behalten Kontrolle/Überwachung über KI</t>
  </si>
  <si>
    <t>Wenn menschliche Kontrolle/Override/Review explizit gefordert</t>
  </si>
  <si>
    <t>Reine Floskel „human-centered“ ohne Mechanik</t>
  </si>
  <si>
    <t>human oversight; human-in-the-loop; human control; override; review</t>
  </si>
  <si>
    <t>human review; override; escalation to humans</t>
  </si>
  <si>
    <t>Unterscheide Wert vs Governance-Kriterium 'Eskalationswege'</t>
  </si>
  <si>
    <t>VAL_02</t>
  </si>
  <si>
    <t>Accountability &amp; Responsibility</t>
  </si>
  <si>
    <t>Zuständigkeit/Verantwortung für KI-Entscheidungen/Outcomes</t>
  </si>
  <si>
    <t>Wenn Verantwortliche Rollen/Verantwortungsprinzip genannt</t>
  </si>
  <si>
    <t>Reines „we take responsibility“ ohne Bezug zu KI</t>
  </si>
  <si>
    <t>responsibility; accountability; ownership; governance</t>
  </si>
  <si>
    <t>clear accountability; responsible for AI</t>
  </si>
  <si>
    <t>Kann mit GOV_01 (Zuständigkeiten) kollidieren – hier nur als Wert codieren</t>
  </si>
  <si>
    <t>VAL_03</t>
  </si>
  <si>
    <t>Transparency</t>
  </si>
  <si>
    <t>Nachvollziehbarkeit über Einsatz/Zweck/Entscheidungslogik</t>
  </si>
  <si>
    <t>Wenn Transparenzpflichten oder Offenlegung zu KI erwähnt</t>
  </si>
  <si>
    <t>Transparenz nur im Sinne von „Kommunikation“ ohne KI-Bezug</t>
  </si>
  <si>
    <t>transparency; disclosure; openness</t>
  </si>
  <si>
    <t>transparent use of AI; disclose AI involvement</t>
  </si>
  <si>
    <t>VAL_04</t>
  </si>
  <si>
    <t>Explainability</t>
  </si>
  <si>
    <t>Erklärbarkeit von KI-Entscheidungen/Outputs</t>
  </si>
  <si>
    <t>„transparent“ ohne Erklärkomponente</t>
  </si>
  <si>
    <t>explainability; interpretability; explanation</t>
  </si>
  <si>
    <t>provide explanations; explain model outputs</t>
  </si>
  <si>
    <t>Technisch vs kommunikativ – beide zählen</t>
  </si>
  <si>
    <t>VAL_05</t>
  </si>
  <si>
    <t>Fairness &amp; Non-Discrimination</t>
  </si>
  <si>
    <t>Vermeidung unfairer Benachteiligung/Bias</t>
  </si>
  <si>
    <t>Wenn Bias/Benachteiligung/Anti-Diskriminierung bei KI genannt</t>
  </si>
  <si>
    <t>Allgemeine Diversity-Statements ohne KI-Bezug</t>
  </si>
  <si>
    <t>fairness; bias mitigation; non-discrimination; equity</t>
  </si>
  <si>
    <t>avoid bias; non-discriminatory outcomes</t>
  </si>
  <si>
    <t>VAL_06</t>
  </si>
  <si>
    <t>Privacy &amp; Data Protection</t>
  </si>
  <si>
    <t>Schutz personenbezogener Daten/Datensparsamkeit</t>
  </si>
  <si>
    <t>Wenn Datenschutz bei KI/Training/Use erwähnt</t>
  </si>
  <si>
    <t>Datenschutz rein allgemein ohne KI-Kontext</t>
  </si>
  <si>
    <t>privacy; data protection; GDPR; data minimization</t>
  </si>
  <si>
    <t>privacy by design; data minimization</t>
  </si>
  <si>
    <t>Kann auch als Governance (Tools/Checks) auftauchen – hier Wert</t>
  </si>
  <si>
    <t>VAL_07</t>
  </si>
  <si>
    <t>Security &amp; Cybersecurity</t>
  </si>
  <si>
    <t>Schutz vor Angriffen/Manipulation/Leakage</t>
  </si>
  <si>
    <t>Wenn Security für KI-Systeme oder Daten betont</t>
  </si>
  <si>
    <t>Allgemeine IT-Security ohne KI-Kontext (Grenzfall)</t>
  </si>
  <si>
    <t>security; cybersecurity; adversarial; secure-by-design</t>
  </si>
  <si>
    <t>protect against attacks; secure systems</t>
  </si>
  <si>
    <t>Grenzfall: Wenn nur IT allgemein -&gt; evtl. nicht codieren</t>
  </si>
  <si>
    <t>VAL_08</t>
  </si>
  <si>
    <t>Safety &amp; Harm Prevention</t>
  </si>
  <si>
    <t>Wenn Risiko/Schadensvermeidung durch KI erwähnt</t>
  </si>
  <si>
    <t>Nur „safe“ als Marketingwort</t>
  </si>
  <si>
    <t>safety; harm prevention; risk reduction</t>
  </si>
  <si>
    <t>avoid harm; safe AI</t>
  </si>
  <si>
    <t>VAL_09</t>
  </si>
  <si>
    <t>Technical Robustness &amp; Reliability</t>
  </si>
  <si>
    <t>Reine Qualitätsfloskel ohne Bezug</t>
  </si>
  <si>
    <t>robustness; reliability; resilience; testing</t>
  </si>
  <si>
    <t>robust and reliable; tested systems</t>
  </si>
  <si>
    <t>Kann in GOV_03 (Tools/Checks) konkret werden</t>
  </si>
  <si>
    <t>VAL_10</t>
  </si>
  <si>
    <t>Contestability &amp; Redress</t>
  </si>
  <si>
    <t>Wenn Betroffene Einspruch/Review/Redress bei KI-Entscheidungen haben</t>
  </si>
  <si>
    <t>Reine Customer-Service Aussagen ohne KI</t>
  </si>
  <si>
    <t>appeal; contest; redress; complaint</t>
  </si>
  <si>
    <t>right to contest; grievance mechanism</t>
  </si>
  <si>
    <t>Stark verwandt mit GOV_06 (Eskalation) – hier Wert</t>
  </si>
  <si>
    <t>VAL_11</t>
  </si>
  <si>
    <t>Inclusiveness &amp; Accessibility</t>
  </si>
  <si>
    <t>Einbezug/Barrierefreiheit/Teilhabe</t>
  </si>
  <si>
    <t>Wenn KI inklusiv/zugänglich gestaltet werden soll</t>
  </si>
  <si>
    <t>accessibility; inclusiveness; participation</t>
  </si>
  <si>
    <t>inclusive design; accessible AI</t>
  </si>
  <si>
    <t>Wenn nur HR-DEI -&gt; eher raus</t>
  </si>
  <si>
    <t>VAL_12</t>
  </si>
  <si>
    <t>Sustainability &amp; Environmental Well-being</t>
  </si>
  <si>
    <t>Ökologische Verantwortung (Energie/CO2) bei KI</t>
  </si>
  <si>
    <t>Wenn Umweltwirkung/Green AI/ESG im KI-Kontext genannt</t>
  </si>
  <si>
    <t>Nachhaltigkeit allgemein ohne KI</t>
  </si>
  <si>
    <t>sustainability; environmental impact; green AI</t>
  </si>
  <si>
    <t>reduce environmental footprint of AI</t>
  </si>
  <si>
    <t>DAX-Docs erwähnen oft ESG – KI-Bezug prüfen</t>
  </si>
  <si>
    <t>VAL_13</t>
  </si>
  <si>
    <t>Social Benefit &amp; Human Well-being</t>
  </si>
  <si>
    <t>KI soll gesellschaftlichen Nutzen stiften</t>
  </si>
  <si>
    <t>Nur „innovation“ ohne Nutzenbezug</t>
  </si>
  <si>
    <t>societal benefit; well-being; public good</t>
  </si>
  <si>
    <t>benefit society; improve well-being</t>
  </si>
  <si>
    <t>Breit – im Pilot schärfen</t>
  </si>
  <si>
    <t>VAL_14</t>
  </si>
  <si>
    <t>Lawfulness &amp; Compliance</t>
  </si>
  <si>
    <t>Rechtskonformität (inkl. Regulierung)</t>
  </si>
  <si>
    <t>Wenn Einhaltung von Gesetzen/Regeln für KI betont</t>
  </si>
  <si>
    <t>Reines „we comply with laws“ ohne KI</t>
  </si>
  <si>
    <t>compliance; lawful; regulation; AI Act</t>
  </si>
  <si>
    <t>comply with AI regulations; lawful AI</t>
  </si>
  <si>
    <t>VAL_15</t>
  </si>
  <si>
    <t>Ethical Use &amp; Integrity</t>
  </si>
  <si>
    <t>Moralische Integrität/ethische Grenzen für KI</t>
  </si>
  <si>
    <t>Wenn ethische Leitplanken/„do not“/Grenzen genannt</t>
  </si>
  <si>
    <t>integrity; ethical use; principles</t>
  </si>
  <si>
    <t>ethical boundaries; responsible use</t>
  </si>
  <si>
    <t>Gut für „Ethics-Washing“-Diskussion später</t>
  </si>
  <si>
    <t>VAL_16</t>
  </si>
  <si>
    <t>Data Quality &amp; Governance</t>
  </si>
  <si>
    <t>data governance; data quality; lineage; stewardship</t>
  </si>
  <si>
    <t>high-quality data; governed data</t>
  </si>
  <si>
    <t>Überschneidung zu VAL_06 – hier Fokus Qualität/Stewardship</t>
  </si>
  <si>
    <t>VAL_17</t>
  </si>
  <si>
    <t>IP &amp; Confidentiality</t>
  </si>
  <si>
    <t>Schutz geistigen Eigentums/Vertraulichkeit bei KI</t>
  </si>
  <si>
    <t>Wenn IP/Secrets/Confidentiality im KI-Kontext vorkommt</t>
  </si>
  <si>
    <t>Allgemeine IP-Policy ohne KI</t>
  </si>
  <si>
    <t>IP; intellectual property; confidentiality; trade secrets</t>
  </si>
  <si>
    <t>protect IP; confidentiality in AI</t>
  </si>
  <si>
    <t>Je nach Branche relevant (Pharma/Industrie)</t>
  </si>
  <si>
    <t>VAL_18</t>
  </si>
  <si>
    <t>Human Rights</t>
  </si>
  <si>
    <t>Menschenrechte als Rahmen (UNGP etc.)</t>
  </si>
  <si>
    <t>Allgemeine Werte ohne Human-Rights-Bezug</t>
  </si>
  <si>
    <t>human rights; dignity; UNGP</t>
  </si>
  <si>
    <t>respect human rights; protect dignity</t>
  </si>
  <si>
    <t>Nicht jedes Doc wird das haben – ok</t>
  </si>
  <si>
    <t>Vermeidung von Schäden (physisch, psychisch, sozial)</t>
  </si>
  <si>
    <t xml:space="preserve">Zuverlässigkeit, Stabilität, Fehlerresistenz </t>
  </si>
  <si>
    <t>Anfechtbarkeit, Beschwerde, Wiedergutmachung</t>
  </si>
  <si>
    <t>Datenqualität, Herkunft, Stewardship</t>
  </si>
  <si>
    <t>Achtung: Legal Compliance ist VAL_14, nicht hier</t>
  </si>
  <si>
    <t>GOV_01</t>
  </si>
  <si>
    <t>Zuständigkeiten</t>
  </si>
  <si>
    <t>Keine Rollen/Zuständigkeiten genannt</t>
  </si>
  <si>
    <t>Implementiert: Verantwortlichkeiten mit Reporting/Regelterminen/Belegen</t>
  </si>
  <si>
    <t>Rollentitel + klarer Bezug zu KI/AI-Governance</t>
  </si>
  <si>
    <t>owner; accountability; committee; board; RACI</t>
  </si>
  <si>
    <t>GOV_02</t>
  </si>
  <si>
    <t>Prozesse</t>
  </si>
  <si>
    <t>Kein Prozess erwähnt</t>
  </si>
  <si>
    <t>Prozessabsicht erwähnt (z.B. 'we review AI')</t>
  </si>
  <si>
    <t>Mind. ein Prozessschritt + Trigger + Verantwortliche</t>
  </si>
  <si>
    <t>AI lifecycle; approval; review; gating; SOP</t>
  </si>
  <si>
    <t>GOV_03</t>
  </si>
  <si>
    <t>Tools/Checks</t>
  </si>
  <si>
    <t>Keine Checks/Tools</t>
  </si>
  <si>
    <t>Checks allgemein erwähnt (z.B. 'risk assessment')</t>
  </si>
  <si>
    <t>Implementiert: Tooling im Betrieb + Pflicht/Protokoll + Ergebnisse berichtet</t>
  </si>
  <si>
    <t>bias test; model card; DPIA; validation; monitoring</t>
  </si>
  <si>
    <t>GOV_04</t>
  </si>
  <si>
    <t>Audits</t>
  </si>
  <si>
    <t>Keine Audits</t>
  </si>
  <si>
    <t>Implementiert: Auditberichte/KPIs/Review-Zyklen nachweisbar</t>
  </si>
  <si>
    <t>Auditart + Frequenz oder Verantwortliche</t>
  </si>
  <si>
    <t>audit; assurance; internal control; external review</t>
  </si>
  <si>
    <t>GOV_05</t>
  </si>
  <si>
    <t>Schulungen</t>
  </si>
  <si>
    <t>Keine Trainings</t>
  </si>
  <si>
    <t>Mind. Zielgruppe + Pflicht/Regelmäßigkeit</t>
  </si>
  <si>
    <t>training; awareness; mandatory; LMS; certification</t>
  </si>
  <si>
    <t>GOV_06</t>
  </si>
  <si>
    <t>Eskalationswege</t>
  </si>
  <si>
    <t>Keine Eskalation</t>
  </si>
  <si>
    <t>Kontakt/Ansprechpartner genannt</t>
  </si>
  <si>
    <t>Implementiert: geübter Prozess/Case-Handling/Reporting</t>
  </si>
  <si>
    <t>escalation; grievance; hotline; incident; ticket</t>
  </si>
  <si>
    <t>GOV_07</t>
  </si>
  <si>
    <t>Reporting</t>
  </si>
  <si>
    <t>Kein Reporting</t>
  </si>
  <si>
    <t>Implementiert: regelmäßige Reports/KPIs öffentlich oder intern belegt</t>
  </si>
  <si>
    <t>KPI/Reportgegenstand + Empfänger + Frequenz</t>
  </si>
  <si>
    <t>reporting; KPI; dashboard; disclosure; metrics</t>
  </si>
  <si>
    <t>Konkrete Rollen+Aufgaben beschrieben (Owner, Approver, RACI)</t>
  </si>
  <si>
    <t>Prozessschritte beschrieben (Lifecycle, Gateways, Freigaben)</t>
  </si>
  <si>
    <t>Audit-Mechanik beschrieben (intern/extern, Frequenz)</t>
  </si>
  <si>
    <t>Implementiert: Prozess mit Nachweisen (KPIs, regelmäßige Reviews, Prozessdokumente)</t>
  </si>
  <si>
    <t>Trainingsprogramm beschrieben (Zielgruppe, Inhalte, Pflichtgrad)</t>
  </si>
  <si>
    <t>Implementiert: Pflichttrainings + Nachweis (Completion, LMS, KPIs)</t>
  </si>
  <si>
    <t>Konkreter Eskalationsprozess beschrieben (Stufen, Fristen)</t>
  </si>
  <si>
    <t>Stufenlogik oder Mechanik (Ticket, Hotline, Committee)</t>
  </si>
  <si>
    <t>Reporting-Struktur beschrieben (Was, an wen, wie oft)</t>
  </si>
  <si>
    <t>Industrie</t>
  </si>
  <si>
    <t>Finance</t>
  </si>
  <si>
    <t>Tech</t>
  </si>
  <si>
    <t>Health</t>
  </si>
  <si>
    <t>Consumer</t>
  </si>
  <si>
    <t>Utilities</t>
  </si>
  <si>
    <t>Materials/Chemicals</t>
  </si>
  <si>
    <t>Other/Hybrid</t>
  </si>
  <si>
    <t>Sektoren</t>
  </si>
  <si>
    <t>Dokumententyp</t>
  </si>
  <si>
    <t>AI Principles</t>
  </si>
  <si>
    <t>AI Policy</t>
  </si>
  <si>
    <t>Responsible AI / Ethics</t>
  </si>
  <si>
    <t>Code of Conduct</t>
  </si>
  <si>
    <t>ESG/CSR Report</t>
  </si>
  <si>
    <t>Sustainability Report</t>
  </si>
  <si>
    <t>Annual Report</t>
  </si>
  <si>
    <t>Website Page</t>
  </si>
  <si>
    <t>Press Release</t>
  </si>
  <si>
    <t>Other</t>
  </si>
  <si>
    <t>Sprache</t>
  </si>
  <si>
    <t>DE</t>
  </si>
  <si>
    <t>EN</t>
  </si>
  <si>
    <t>DE/EN</t>
  </si>
  <si>
    <t>Andere</t>
  </si>
  <si>
    <t>Inkludierungsstatus</t>
  </si>
  <si>
    <t>Inkludiert</t>
  </si>
  <si>
    <t>Nicht inkudiert</t>
  </si>
  <si>
    <t>Nicht gefunden</t>
  </si>
  <si>
    <t>Ausschlussgrund</t>
  </si>
  <si>
    <t>Keine KI Relevanz</t>
  </si>
  <si>
    <t>Duplikat / Veraltete Version</t>
  </si>
  <si>
    <t>Paywalled / kein Zugriff</t>
  </si>
  <si>
    <t>Zu Vage (keine Kriterien, Regeln)</t>
  </si>
  <si>
    <t>PR ohne normative Substanz</t>
  </si>
  <si>
    <t>Kodierungskonfidenz</t>
  </si>
  <si>
    <t>Hoch</t>
  </si>
  <si>
    <t>Mittel</t>
  </si>
  <si>
    <t>Niedrig</t>
  </si>
  <si>
    <t>Bindigkeitsniveau</t>
  </si>
  <si>
    <t>Value_present</t>
  </si>
  <si>
    <t>Score_0_3</t>
  </si>
  <si>
    <t>value_present_company</t>
  </si>
  <si>
    <t>binding_level_company</t>
  </si>
  <si>
    <t>value_points_company</t>
  </si>
  <si>
    <t>doc_id_strongest</t>
  </si>
  <si>
    <t>evidence_location_strongest</t>
  </si>
  <si>
    <t>case_id</t>
  </si>
  <si>
    <t>date</t>
  </si>
  <si>
    <t>dimension(values/governance)</t>
  </si>
  <si>
    <t>value_id_or_gov_crit_id</t>
  </si>
  <si>
    <t>problem_description</t>
  </si>
  <si>
    <t>decision</t>
  </si>
  <si>
    <t>rule_added_to_codebook</t>
  </si>
  <si>
    <t>codebook_version</t>
  </si>
  <si>
    <t>change_type(add/modify/remove)</t>
  </si>
  <si>
    <t>item_id(value_id/gov_crit_id)</t>
  </si>
  <si>
    <t>what_changed</t>
  </si>
  <si>
    <t>why_changed</t>
  </si>
  <si>
    <t>impact_on_previous_coding(recode_needed yes/no)</t>
  </si>
  <si>
    <t>V0</t>
  </si>
  <si>
    <t>04.01.2026</t>
  </si>
  <si>
    <t>Initial Setup</t>
  </si>
  <si>
    <t>overall_notes</t>
  </si>
  <si>
    <t>key_documents_used</t>
  </si>
  <si>
    <t>areas_of_uncertainty</t>
  </si>
  <si>
    <t>follow_up_needed</t>
  </si>
  <si>
    <t>Adidas</t>
  </si>
  <si>
    <t>ADS</t>
  </si>
  <si>
    <t>Sportartikel</t>
  </si>
  <si>
    <t>Airbus</t>
  </si>
  <si>
    <t>22. Juni 1998</t>
  </si>
  <si>
    <t>AIR</t>
  </si>
  <si>
    <t>Luftfahrt, Raumfahrt, Rüstung</t>
  </si>
  <si>
    <t>20. Sep. 2021</t>
  </si>
  <si>
    <t>Allianz</t>
  </si>
  <si>
    <t>ALV</t>
  </si>
  <si>
    <t>Versicherungen</t>
  </si>
  <si>
    <t>1. Juli 1988</t>
  </si>
  <si>
    <t>BASF</t>
  </si>
  <si>
    <t>BAS</t>
  </si>
  <si>
    <t>Chemie</t>
  </si>
  <si>
    <t>Bayer</t>
  </si>
  <si>
    <t>BAYN</t>
  </si>
  <si>
    <t>Chemie, Pharma</t>
  </si>
  <si>
    <t>Beiersdorf</t>
  </si>
  <si>
    <t>BEI</t>
  </si>
  <si>
    <t>Konsumgüter (Produktion)</t>
  </si>
  <si>
    <t>20. Juni 2022</t>
  </si>
  <si>
    <t>BMW</t>
  </si>
  <si>
    <t>Automobil (Produktion)</t>
  </si>
  <si>
    <t>Brenntag</t>
  </si>
  <si>
    <t>BNR</t>
  </si>
  <si>
    <t>Chemie (Handel)</t>
  </si>
  <si>
    <t>Commerzbank</t>
  </si>
  <si>
    <t>CBK</t>
  </si>
  <si>
    <t>Banken</t>
  </si>
  <si>
    <t>27. Feb. 2023</t>
  </si>
  <si>
    <t>Continental</t>
  </si>
  <si>
    <t>CON</t>
  </si>
  <si>
    <t>Automobil (Zulieferer)</t>
  </si>
  <si>
    <t>24. Sep. 2012</t>
  </si>
  <si>
    <t>Daimler Truck</t>
  </si>
  <si>
    <t>DTG</t>
  </si>
  <si>
    <t>Nutzfahrzeuge (Produktion)</t>
  </si>
  <si>
    <t>21. März 2022</t>
  </si>
  <si>
    <t>Deutsche Bank</t>
  </si>
  <si>
    <t>DBK</t>
  </si>
  <si>
    <t>Deutsche Börse</t>
  </si>
  <si>
    <t>DB1</t>
  </si>
  <si>
    <t>Börsen</t>
  </si>
  <si>
    <t>23. Dez. 2002</t>
  </si>
  <si>
    <t>Deutsche Post</t>
  </si>
  <si>
    <t>DHL</t>
  </si>
  <si>
    <t>Logistik</t>
  </si>
  <si>
    <t>19. März 2001</t>
  </si>
  <si>
    <t>Deutsche Telekom</t>
  </si>
  <si>
    <t>DTE</t>
  </si>
  <si>
    <t>Telekommunikation</t>
  </si>
  <si>
    <t>18. Nov. 1996</t>
  </si>
  <si>
    <t>E.ON</t>
  </si>
  <si>
    <t>EOAN</t>
  </si>
  <si>
    <t>Energie (Versorgung)</t>
  </si>
  <si>
    <t>Fresenius</t>
  </si>
  <si>
    <t>FRE</t>
  </si>
  <si>
    <t>Medizintechnik, Kliniken</t>
  </si>
  <si>
    <t>23. März 2009</t>
  </si>
  <si>
    <t>Fresenius Medical Care</t>
  </si>
  <si>
    <t>FME</t>
  </si>
  <si>
    <t>Medizintechnik</t>
  </si>
  <si>
    <t>27. Dez. 2024</t>
  </si>
  <si>
    <t>GEA Group</t>
  </si>
  <si>
    <t>G1A</t>
  </si>
  <si>
    <t>Maschinenbau</t>
  </si>
  <si>
    <t>22. Sep. 2025</t>
  </si>
  <si>
    <t>Hannover Rück</t>
  </si>
  <si>
    <t>HNR1</t>
  </si>
  <si>
    <t>Heidelberg Materials</t>
  </si>
  <si>
    <t>HEI</t>
  </si>
  <si>
    <t>Baustoffe</t>
  </si>
  <si>
    <t>21. Juni 2010</t>
  </si>
  <si>
    <t>Henkel</t>
  </si>
  <si>
    <t>HEN3</t>
  </si>
  <si>
    <t>Konsumgüter, Chemie</t>
  </si>
  <si>
    <t>Infineon</t>
  </si>
  <si>
    <t>IFX</t>
  </si>
  <si>
    <t>Halbleiter</t>
  </si>
  <si>
    <t>21. Sep. 2009</t>
  </si>
  <si>
    <t>Mercedes-Benz Group</t>
  </si>
  <si>
    <t>MBG</t>
  </si>
  <si>
    <t>Merck</t>
  </si>
  <si>
    <t>MRK</t>
  </si>
  <si>
    <t>18. Juni 2007</t>
  </si>
  <si>
    <t>MTU Aero Engines</t>
  </si>
  <si>
    <t>MTX</t>
  </si>
  <si>
    <t>Luftfahrt</t>
  </si>
  <si>
    <t>23. Sep. 2019</t>
  </si>
  <si>
    <t>Münchener Rück</t>
  </si>
  <si>
    <t>MUV2</t>
  </si>
  <si>
    <t>23. Sep. 1996</t>
  </si>
  <si>
    <t>Porsche Automobil Holding</t>
  </si>
  <si>
    <t>PAH3</t>
  </si>
  <si>
    <t>Holding</t>
  </si>
  <si>
    <t>Qiagen</t>
  </si>
  <si>
    <t>QIA</t>
  </si>
  <si>
    <t>Biotechnologie</t>
  </si>
  <si>
    <t>Rheinmetall</t>
  </si>
  <si>
    <t>RHM</t>
  </si>
  <si>
    <t>Wehrtechnik, Automobil (Zulieferer)</t>
  </si>
  <si>
    <t>20. März 2023</t>
  </si>
  <si>
    <t>RWE</t>
  </si>
  <si>
    <t>SAP</t>
  </si>
  <si>
    <t>Software</t>
  </si>
  <si>
    <t>18. Sep. 1995</t>
  </si>
  <si>
    <t>Scout24</t>
  </si>
  <si>
    <t>G24</t>
  </si>
  <si>
    <t>Online-Marktplätze</t>
  </si>
  <si>
    <t>Siemens</t>
  </si>
  <si>
    <t>SIE</t>
  </si>
  <si>
    <t>Elektrotechnik</t>
  </si>
  <si>
    <t>Siemens Energy</t>
  </si>
  <si>
    <t>ENR</t>
  </si>
  <si>
    <t>Elektrotechnik, Energietechnik</t>
  </si>
  <si>
    <t>19. Sep. 2022</t>
  </si>
  <si>
    <t>Siemens Healthineers</t>
  </si>
  <si>
    <t>SHL</t>
  </si>
  <si>
    <t>Symrise</t>
  </si>
  <si>
    <t>SY1</t>
  </si>
  <si>
    <t>Lebensmittel, Chemie, Kosmetik, Konsumgüter, Duftstoffe, Aromen</t>
  </si>
  <si>
    <t>Volkswagen</t>
  </si>
  <si>
    <t>VOW3</t>
  </si>
  <si>
    <t>Vonovia</t>
  </si>
  <si>
    <t>VNA</t>
  </si>
  <si>
    <t>Immobilien</t>
  </si>
  <si>
    <t>21. Sep. 2015</t>
  </si>
  <si>
    <t>Zalando</t>
  </si>
  <si>
    <t>ZAL</t>
  </si>
  <si>
    <t>Versandhandel (Mode)</t>
  </si>
  <si>
    <r>
      <t> </t>
    </r>
    <r>
      <rPr>
        <sz val="11"/>
        <color theme="1"/>
        <rFont val="Arial"/>
        <family val="2"/>
      </rPr>
      <t>Bayern</t>
    </r>
  </si>
  <si>
    <r>
      <t> </t>
    </r>
    <r>
      <rPr>
        <sz val="11"/>
        <color theme="1"/>
        <rFont val="Arial"/>
        <family val="2"/>
      </rPr>
      <t>Niederlande</t>
    </r>
  </si>
  <si>
    <r>
      <t> </t>
    </r>
    <r>
      <rPr>
        <sz val="11"/>
        <color theme="1"/>
        <rFont val="Arial"/>
        <family val="2"/>
      </rPr>
      <t>Rheinland-Pfalz</t>
    </r>
  </si>
  <si>
    <r>
      <t> </t>
    </r>
    <r>
      <rPr>
        <sz val="11"/>
        <color theme="1"/>
        <rFont val="Arial"/>
        <family val="2"/>
      </rPr>
      <t>Nordrhein-Westfalen</t>
    </r>
  </si>
  <si>
    <r>
      <t> </t>
    </r>
    <r>
      <rPr>
        <sz val="11"/>
        <color theme="1"/>
        <rFont val="Arial"/>
        <family val="2"/>
      </rPr>
      <t>Hamburg</t>
    </r>
  </si>
  <si>
    <r>
      <t> </t>
    </r>
    <r>
      <rPr>
        <sz val="11"/>
        <color theme="1"/>
        <rFont val="Arial"/>
        <family val="2"/>
      </rPr>
      <t>Hessen</t>
    </r>
  </si>
  <si>
    <r>
      <t> </t>
    </r>
    <r>
      <rPr>
        <sz val="11"/>
        <color theme="1"/>
        <rFont val="Arial"/>
        <family val="2"/>
      </rPr>
      <t>Niedersachsen</t>
    </r>
  </si>
  <si>
    <r>
      <t> </t>
    </r>
    <r>
      <rPr>
        <sz val="11"/>
        <color theme="1"/>
        <rFont val="Arial"/>
        <family val="2"/>
      </rPr>
      <t>Baden-Württemberg</t>
    </r>
  </si>
  <si>
    <r>
      <t> </t>
    </r>
    <r>
      <rPr>
        <sz val="11"/>
        <color theme="1"/>
        <rFont val="Arial"/>
        <family val="2"/>
      </rPr>
      <t>Berlin und  Bayern</t>
    </r>
  </si>
  <si>
    <r>
      <t> </t>
    </r>
    <r>
      <rPr>
        <sz val="11"/>
        <color theme="1"/>
        <rFont val="Arial"/>
        <family val="2"/>
      </rPr>
      <t>Berlin</t>
    </r>
  </si>
  <si>
    <t>19. Juni 20001</t>
  </si>
  <si>
    <t>21. Dez. 19981</t>
  </si>
  <si>
    <t>Trotz intensiver Recherche auf offiziellen Konzernquellen und in Berichten gibt es keine öffentlich zugängliche KI‑Ethik‑ oder Responsible‑AI‑Policy von adidas</t>
  </si>
  <si>
    <t>Fair Play Code of Conduct</t>
  </si>
  <si>
    <t>adidas AG</t>
  </si>
  <si>
    <t>n.n.</t>
  </si>
  <si>
    <t>https://www.adidas-group.com/en/investors/corporate-governance/adidas-fair-play-code-of-conduct</t>
  </si>
  <si>
    <t>001_01_FairPlayCode_1602026.pdf</t>
  </si>
  <si>
    <t>Stellt umfassend die ethischen Erwartungen an alle adidas‑Mitarbeitenden dar (Antikorruption, Datenschutz, Verhalten), enthält Governance‑Mechanismen wie Schulungen und Berichtswege. Trotz fehlendem KI‑Bezug ist es das stärkste normative Dokument.</t>
  </si>
  <si>
    <t>Compliance Policy</t>
  </si>
  <si>
    <t>16.02.2026</t>
  </si>
  <si>
    <t>Erläutert konkret die Regeln zu Bestechung, Geschenken, Betrug, Wettbewerbsrecht und Interessenkonflikten sowie die Pflichten und Verfahren bei Verstößen. Wichtiges Governance‑Rahmenwerk, obwohl keine KI‑Themen adressiert werden.</t>
  </si>
  <si>
    <t>Human Rights Policy</t>
  </si>
  <si>
    <t>01.02.2024</t>
  </si>
  <si>
    <t>https://www.adidas-group.com/en/sustainability/transparency/policies</t>
  </si>
  <si>
    <t>ETHICAL COMMUNICATION GUIDELINES</t>
  </si>
  <si>
    <t>Adidas Foundation</t>
  </si>
  <si>
    <t>https://www.adidasfoundation.org/about/policies-and-guidelines</t>
  </si>
  <si>
    <t>004_01_Ethical_comms_guide_160226.pdf</t>
  </si>
  <si>
    <t>003_01_Human_Rights_Policy_160226.pdf</t>
  </si>
  <si>
    <t>Safeguarding Policy</t>
  </si>
  <si>
    <t>https://report.adidas-group.com/2024/en/to-our-shareholders/supervisory-board-report.html</t>
  </si>
  <si>
    <t>Supervisory Board Report 2024</t>
  </si>
  <si>
    <t>Adidas Group</t>
  </si>
  <si>
    <t>01.03.2025</t>
  </si>
  <si>
    <t>Integrated Management System Global Policy</t>
  </si>
  <si>
    <t xml:space="preserve">Adidas AG </t>
  </si>
  <si>
    <t>01.01.2026</t>
  </si>
  <si>
    <t xml:space="preserve">n.n </t>
  </si>
  <si>
    <t>https://www.adidas-group.com/de/nachhaltigkeit/transparenz/richtlinien?tag=Eigene+Standorte</t>
  </si>
  <si>
    <t>007_01_IMSGP_160226.pdf</t>
  </si>
  <si>
    <t>002_01_compliance_policy_160226.pdf</t>
  </si>
  <si>
    <t>005_SafeguardingPolicy_160226.pdf</t>
  </si>
  <si>
    <t>006_01_Supervisory_Report_2024_160226.pdf</t>
  </si>
  <si>
    <t>Keine öffentlichen, dedizierten „Responsible AI Policies“ im Sinne eines separaten Dokuments gefunden; die wichtigsten Aussagen sind in der Human‑rights‑Seite und im Digital‑Ethics‑Kapitel des Verhaltenskodex integriert.</t>
  </si>
  <si>
    <t>Airbus SE</t>
  </si>
  <si>
    <t>Our approach to Artificial Intelligence (AI)</t>
  </si>
  <si>
    <t>Airbus Code of Conduct – 2025 Edition</t>
  </si>
  <si>
    <t>Airbus Supplier Code of Conduct</t>
  </si>
  <si>
    <t>Airbus Ethics &amp; Compliance Anti‑Corruption Policy</t>
  </si>
  <si>
    <t>Pioneering sustainable aerospace (Sustainability publication 2025)</t>
  </si>
  <si>
    <t>Airbus Summit 2025 – Harnessing the power of responsible AI</t>
  </si>
  <si>
    <t>Information Notice of the 2025 Annual General Meeting</t>
  </si>
  <si>
    <t>008_02_AI_Approach_160226</t>
  </si>
  <si>
    <t>https://www.airbus.com/en/sustainability-draft/our-approach-to-sustainability/human-rights</t>
  </si>
  <si>
    <t>https://www.airbus.com/sites/g/files/jlcbta136/files/2025-04/2025-Airbus-Code-of-Conduct-EN.pdf</t>
  </si>
  <si>
    <t>009_02_Code-of-Conduct_160226.pdf</t>
  </si>
  <si>
    <t>https://www.airbus.com/en/innovation/digital-transformation/artificial-intelligence</t>
  </si>
  <si>
    <t>Artificial Intelligence</t>
  </si>
  <si>
    <t>015_02_AI_Website_160226</t>
  </si>
  <si>
    <t>Kein Bezug zur KI Ethikrichtlinien; beschreibt nur technischen/ wirtschaftlichen Einsatz von KI</t>
  </si>
  <si>
    <t>https://www.airbus.com/sites/g/files/jlcbta136/files/2021-07/Airbus-Supplier-Code-of-Conduct.pdf</t>
  </si>
  <si>
    <t>010_02_Supplier-Code-of-Conduct_160226.pdf</t>
  </si>
  <si>
    <t>https://www.airbus.com/sites/g/files/jlcbta136/files/2021-10/Airbus-Ethics-and-Compliance-Anti-Corruption-Policy.pdf</t>
  </si>
  <si>
    <t>011_02_Ethics-and-Compliance-Anti-Corruption-Policy_160226.pdf</t>
  </si>
  <si>
    <t>https://www.airbus.com/sites/g/files/jlcbta136/files/2025-04/2025_Airbus_Pioneering_sustainable_aerospace_publication.pdf</t>
  </si>
  <si>
    <t>012_02_Pioneering_sustainable_aerospace_publication_160226.pdf</t>
  </si>
  <si>
    <t>https://www.airbus.com/en/airbus-summit-2025/harnessing-the-power-of-responsible-ai</t>
  </si>
  <si>
    <t>25.03.2025</t>
  </si>
  <si>
    <t>013_02_Harnessing the power of responsible AI _160226pdf</t>
  </si>
  <si>
    <t>https://www.airbus.com/sites/g/files/jlcbta136/files/2025-03/information_notice.pdf</t>
  </si>
  <si>
    <t>014_02_Annual_General_Meeting_2025_160226.pdf</t>
  </si>
  <si>
    <t>15.04.2025</t>
  </si>
  <si>
    <t>Keine dedizierten öffentlichen „Allianz Standard for Responsible AI“‑Dokumente gefunden; der Standard wird nur intern erwähnt.</t>
  </si>
  <si>
    <t>Responsible Use of Artificial Intelligence (AI)</t>
  </si>
  <si>
    <t>Allianz Code of Conduct </t>
  </si>
  <si>
    <t>Privacy Statement – Data Ethics section</t>
  </si>
  <si>
    <t>Allianz Privacy Standard – Public Version</t>
  </si>
  <si>
    <t>Allianz Group Sustainability Report 2023 – Data ethics/AI governance sections</t>
  </si>
  <si>
    <t>Responsible AI: a sustainable approach to transformative technology</t>
  </si>
  <si>
    <t>Allianz SE</t>
  </si>
  <si>
    <t>Allianz Global Investors (subsidiary)</t>
  </si>
  <si>
    <t>https://www.allianz.com/en/about-us/strategy-values/responsible-use-of-artificial-intelligence.html</t>
  </si>
  <si>
    <t>016_03_Responsible Use of Artificial Intelligence_160226.pdf</t>
  </si>
  <si>
    <t>https://www.allianz.com/content/dam/onemarketing/azcom/Allianz_com/about-us/strategy-values/compliance/code-of-conduct/code-of-conduct-accessible.pdf</t>
  </si>
  <si>
    <t>017_03_code-of-conduct_160226.pdf</t>
  </si>
  <si>
    <t>https://www.allianz.com/en/privacy-statement.html</t>
  </si>
  <si>
    <t>018_03_Privacy Statement_160226.pdf</t>
  </si>
  <si>
    <t>https://www.allianzgloballife.com/content/dam/onemarketing/azgl/allianzgloballife/doc/31122019/en_gb/Allianz-Privacy-Standard_PUBLIC_EN.pdf</t>
  </si>
  <si>
    <t>1.0</t>
  </si>
  <si>
    <t>019_03_Privacy-Standard_PUBLIC_EN_160226.pdf</t>
  </si>
  <si>
    <t>https://www.allianz.com/content/dam/onemarketing/azcom/Allianz_com/sustainability/documents/Allianz_Group_Sustainability_Report_2023-web.pdf</t>
  </si>
  <si>
    <t>020_03_Sustainability_Report_2023_160226.pdf</t>
  </si>
  <si>
    <t>https://www.allianzgi.com/documents/Responsible-AI-a-sustainable-approach-to-transformative-technology</t>
  </si>
  <si>
    <t>021_03_Responsible_AI_160226.pdf</t>
  </si>
  <si>
    <t>Tochtergesellschaft der Allianz SE</t>
  </si>
  <si>
    <t>Es wurde keine öffentlich zugängliche, eigenständige „Data &amp; AI Policy“ von BASF gefunden. Hinweise auf eine interne Data‑&amp;‑AI‑Policy erscheinen im Responsible‑AI‑Text, sind aber nicht öffentlich abrufbar.</t>
  </si>
  <si>
    <t>Responsible AI at BASF</t>
  </si>
  <si>
    <t>BASF Code of Conduct</t>
  </si>
  <si>
    <t>Data protection @ BASF – Data processing in the BASF Group</t>
  </si>
  <si>
    <t>BASF Group’s Policy Statement on Human Rights</t>
  </si>
  <si>
    <t>Supplier Code of Conduct (Version 2024)</t>
  </si>
  <si>
    <t>BASF SE</t>
  </si>
  <si>
    <t>https://www.basf.com/global/en/who-we-are/digitalization/artificial-intelligence/Responsible-AI-at-BASF</t>
  </si>
  <si>
    <t>022_04_Responsible_AI_160226.pdf</t>
  </si>
  <si>
    <t>https://www.basf.com/dam/jcr:0304db1d-bcbb-3015-a965-62627c1b61d2/basf/www/global/documents/en/investor-relations/calendar-and-publications/reports/2025/BASF_Code-of-Conduct.pdf</t>
  </si>
  <si>
    <t>023_04_Code-of-Conduct_160226.pdf</t>
  </si>
  <si>
    <t>https://www.basf.com/global/en/legal/data-protection-at-basf</t>
  </si>
  <si>
    <t>024_04_Data protection_160226.pdf</t>
  </si>
  <si>
    <t>https://www.basf.com/dam/jcr:4944a24f-defc-4987-9dd6-d38dba24efd9/basf/www/global/documents/en/sustainability/we-value-people-and-treat-them-with-respect/human-rights/Human-Rights-Policy-Statement-BASF-Group.pdf</t>
  </si>
  <si>
    <t>025_04_Human-Rights-Policy-Statement_160226.pdf</t>
  </si>
  <si>
    <t>https://www.basf.com/dam/jcr:83c0af8a-4e46-37c0-945f-3fd15ff4fca3/basf/www/global/documents/en/about-us/suppliers-and-partners/supplier-code-of-conduct/Supplier_Code_of_conduct_Version%202024%20-%20English.pdf</t>
  </si>
  <si>
    <t>025_04_Supplier_Code_of_conduct_160226.pdf</t>
  </si>
  <si>
    <t>Bayer AG</t>
  </si>
  <si>
    <t>https://www.bayer.com/en/sustainability/bioethical-principles</t>
  </si>
  <si>
    <t>027_05_Bioethical Principles_160226.pdf</t>
  </si>
  <si>
    <t>Bioethical Principles – AI in the context of human healthcare</t>
  </si>
  <si>
    <t>Generative Artificial Intelligence (GenAI) Guidance and Rules – version 3</t>
  </si>
  <si>
    <t>Our Code of Conduct – Responsible use of Artificial Intelligence section</t>
  </si>
  <si>
    <t>Unleashing the Potential of AI – AI Ethics and Responsibility section</t>
  </si>
  <si>
    <t>Bioethics Council: Responsible innovation with ethical AI</t>
  </si>
  <si>
    <t>https://idnet.bayer.com/sites/idnet/files/final-en-genai-guidelines-and-rules-v3.pdf</t>
  </si>
  <si>
    <t>028_05_genai-guidelines_160226.pdf</t>
  </si>
  <si>
    <t>V3</t>
  </si>
  <si>
    <t>17.10.2024</t>
  </si>
  <si>
    <t>https://www.bayer.com/en/commitments/code-of-conduct</t>
  </si>
  <si>
    <t>029_05_Code of Conduct_160226.pdf</t>
  </si>
  <si>
    <t>https://www.bayer.com/en/innovation/unleashing-the-potential-of-ai</t>
  </si>
  <si>
    <t>030_05_Unleashing the Potential of AI_160226.pdf</t>
  </si>
  <si>
    <t>https://www.bayer.com/sites/default/files/interview-bioethics-council-meeting-ethics-of-generative-ai-2023.pdf</t>
  </si>
  <si>
    <t xml:space="preserve">Interview </t>
  </si>
  <si>
    <t>31_05_interview-bioethics-council-meeting_160226.pdf</t>
  </si>
  <si>
    <t>Mehrere relevante Dokumente gefunden.</t>
  </si>
  <si>
    <t>Verankert adidas’ Verpflichtung zu internationalen Menschenrechtsstandards und beschreibt Due‑Diligence‑Prozesse zur Identifizierung und Vermeidung negativer Auswirkungen. Relevante Werte wie Fairness, Gleichheit und Schutz vulnerabler Gruppen können später als Kontext für KI‑Ethik dienen.</t>
  </si>
  <si>
    <t>No public AI/Responsible AI guideline, policy or principles found (as of 2026‑02‑16)</t>
  </si>
  <si>
    <t>No public AI/Responsible AI guideline or principles found (as of 2026‑02‑16)</t>
  </si>
  <si>
    <t>No public AI policy or principles found (as of 2026‑02‑16)</t>
  </si>
  <si>
    <t>Die einzige explizite AI‑Policy‑Aussage stammt aus dem Annual Report 2024. Die Code‑of‑Conduct‑Dokumente und die Human‑Rights‑Policy enthalten relevante Leitplanken zu digitaler Verantwortung, Daten‑ und Menschenrechtsschutz, aber keine spezifischen KI‑Prinzipien</t>
  </si>
  <si>
    <t>Beiersdorf Code of Conduct 2024</t>
  </si>
  <si>
    <t>Declaration of Principles on Upholding Human Rights</t>
  </si>
  <si>
    <t>Beiersdorf Annual Report 2024 (Combined Management Report – digitalisation and AI section)</t>
  </si>
  <si>
    <t>Beiersdorf driving AI innovations – interview with Dirk Ploss (Hamburg News)</t>
  </si>
  <si>
    <t>Beiersdorf AG</t>
  </si>
  <si>
    <t>https://www.beiersdorf.com/-/media/Beiersdorf/landingpages/code-of-conduct/Beiersdorf-Code-of-Conduct-2024-EN.pdf</t>
  </si>
  <si>
    <t>032_06_Code-of-Conduct_160226.pdf</t>
  </si>
  <si>
    <t>https://www.beiersdorf.com/-/media/Beiersdorf/stories/news-and-stories/news/BW_Declaration_of_Principles_on_Upholding_Human_Rights.pdf</t>
  </si>
  <si>
    <t>033_06_Declaration of Principles on Upholding Human Rights_160226.pdf</t>
  </si>
  <si>
    <t>https://www.beiersdorf.com/~/media/Beiersdorf/investors/financial-publication/2025/annual-report/Beiersdorf-Annual-Report-2024.pdf</t>
  </si>
  <si>
    <t>https://hamburg-business.com/en/news/beiersdorf-driving-ai-innovations</t>
  </si>
  <si>
    <t>12.02.2025</t>
  </si>
  <si>
    <t>034_06_Annual-Report-2024_160226.pdf</t>
  </si>
  <si>
    <t>Marktkapitalisierung in Mio. € (Stand: 04.01.2026)</t>
  </si>
  <si>
    <t>BMW Group code of ethics for artificial intelligence</t>
  </si>
  <si>
    <t>BMW Group digital identity: Five guiding principles for dealing with digital technology</t>
  </si>
  <si>
    <t>We Are Compliance – BMW Group Code of Conduct (2025 edition)</t>
  </si>
  <si>
    <t>BMW Group Code on Human Rights and Working Conditions (2025)</t>
  </si>
  <si>
    <t>BMW Group Report 2024 – Sustainability Statement (selected sections)</t>
  </si>
  <si>
    <t>BMW Group</t>
  </si>
  <si>
    <t>12.10.2020</t>
  </si>
  <si>
    <t>https://www.press.bmwgroup.com/global/article/detail/T0318411EN/seven-principles-for-ai:-bmw-group-sets-out-code-of-ethics-for-the-use-of-artificial-intelligence?language=en</t>
  </si>
  <si>
    <t>037_07_Code_of_ethics_for_AI_160226.PDF</t>
  </si>
  <si>
    <t>https://www.bmwgroup.com/content/dam/grpw/websites/bmwgroup_com/innovation/downloadds/en/2024/Digitales_Selbstverstaendnis_EN.pdf</t>
  </si>
  <si>
    <t>Juni 2024</t>
  </si>
  <si>
    <t>038_07_Digitales_Selbstverstaendnis_160226.pdf</t>
  </si>
  <si>
    <t>https://www.bmwgroup.com/content/dam/grpw/websites/bmwgroup_com/company/downloads/en/2025/BMW_Group_Compliance_Code_of_Conduct_EN.pdf</t>
  </si>
  <si>
    <t>Dezember 2025</t>
  </si>
  <si>
    <t>039_07_Compliance_Code_of_Conduct_160226.pdf</t>
  </si>
  <si>
    <t>https://www.bmwgroup-werke.com/content/dam/grpw/websites/bmwgroup_com/company/downloads/en/2025/BMW_Group_Compliance_HumanRights_Code_EN.pdf</t>
  </si>
  <si>
    <t>040_07_Compliance_HumanRights_Code_160226.pdf</t>
  </si>
  <si>
    <t>https://www.bmwgroup.com/en/report/2024/downloads/BMW-Group-Report-2024-en.pdf</t>
  </si>
  <si>
    <t>041_07_ESG-Report-2024_160226.pdf</t>
  </si>
  <si>
    <t>No public AI policy found (as of 2026‑02‑16)</t>
  </si>
  <si>
    <t>Es konnten keine spezifischen öffentlichen KI‑Leitlinien oder Responsible‑AI‑Policies von Brenntag SE gefunden werden</t>
  </si>
  <si>
    <t>Brenntag SE</t>
  </si>
  <si>
    <t>17.02.2026</t>
  </si>
  <si>
    <t>Code of Business Conduct and Ethics</t>
  </si>
  <si>
    <t>Supplier Code of Conduct</t>
  </si>
  <si>
    <t>Group Sustainability Statement (FY 2024)</t>
  </si>
  <si>
    <t>Press Release: “Brenntag implements autonomous AI agents on its Salesforce platform as first customer in Germany”</t>
  </si>
  <si>
    <t>https://brenntagprod-media.e-spirit.cloud/06432017-be1f-41ce-8d1d-564e2a66d213/documents/global/compliance/brenntag_code-of-conduct_en.pdf</t>
  </si>
  <si>
    <t>042_08_code-of-conduct_170226.pdf</t>
  </si>
  <si>
    <t>https://brenntagprod-media.e-spirit.cloud/06432017-be1f-41ce-8d1d-564e2a66d213/documents/global/compliance/global_brenntag-supplier-code-of-conduct-2023_en.pdf</t>
  </si>
  <si>
    <t>https://brenntagprod-media.e-spirit.cloud/06432017-be1f-41ce-8d1d-564e2a66d213/documents/corporate/investor-relations/2024/annual-report-2024/brenntag_ar2024_group-sustainability-statement_en.pdf</t>
  </si>
  <si>
    <t>043_08_supplier-code-of-conduct_170226.pdf</t>
  </si>
  <si>
    <t>044_08_sustainability-statement_170226.pdf</t>
  </si>
  <si>
    <t>https://corporate.brenntag.com/en/media/news/brenntag-implements-autonomous-ai-agents-on-its-salesforce-platform-as-first-customer-in-germany.html</t>
  </si>
  <si>
    <t>05.11.2024</t>
  </si>
  <si>
    <t>045_08_Salesforce_Brenntag_170226.pdf</t>
  </si>
  <si>
    <t>Obwohl keine KI‑spezifischen Prinzipien erwähnt werden, legt der Verhaltenskodex den ethischen Rahmen und die organisatorischen Mechanismen (Compliance‑Management, Trainings, Whistleblowing) fest, die auch für KI‑Governance relevant sind.</t>
  </si>
  <si>
    <t>Die Richtlinie ist zwar nicht KI‑spezifisch, bildet aber einen wichtigen Governance‑Baustein für verantwortungsvolle Beschaffung und könnte im Kontext von Datenlieferanten und KI‑Systemen relevant sein.</t>
  </si>
  <si>
    <t>Obwohl keine expliziten AI‑Richtlinien vorhanden sind, liefert der Bericht Kontext zu Compliance, Datenschutz und Business‑Conduct‑Strategien, die als Umfeld für KI‑Regeln dienen können.</t>
  </si>
  <si>
    <t>No public AI/Responsible AI guideline, policy or principles found (as of 2026‑02‑17)</t>
  </si>
  <si>
    <t>Die zentrale AI-Quelle ist das Dokument „KI-Grundsätze im Commerzbank-Konzern“</t>
  </si>
  <si>
    <t>„KI‑Grundsätze im Commerzbank‑Konzern“ (Artificial Intelligence Principles)</t>
  </si>
  <si>
    <t>Artikel „AI principles – principle agreement will strengthen trust in AI“</t>
  </si>
  <si>
    <t>Whitepaper „Risk‑based approach to AI and Machine Learning“</t>
  </si>
  <si>
    <t>Code of Conduct („Yellow Compass“) – Version 2024</t>
  </si>
  <si>
    <t>ESG Framework – Acting responsibly, growing sustainably</t>
  </si>
  <si>
    <t xml:space="preserve">Commerzbank AG </t>
  </si>
  <si>
    <t>19.10.2023</t>
  </si>
  <si>
    <t>046_09_ki-grundsaetze_170226.pdf</t>
  </si>
  <si>
    <t>https://www.commerzbank.de/group/what-moves-us/2024-article-media/24-03/ki-grundsaetze.pdf</t>
  </si>
  <si>
    <t>08.05.2025</t>
  </si>
  <si>
    <t>https://www.commerzbank.de/group/what-drives-us/innovation-digital-transformation/2024-ai-principles.html</t>
  </si>
  <si>
    <t>047_09_Principle agreement_170226.pdf</t>
  </si>
  <si>
    <t>15.03.2023</t>
  </si>
  <si>
    <t>https://www.commerzbank.de/group/newsroom/publications/2023/position-paper-ai-act.pdf</t>
  </si>
  <si>
    <t>048_09_whitepaper-ai-act_170226.pdf</t>
  </si>
  <si>
    <t>https://core-p-001.sitecorecontenthub.cloud/api/public/content/8008521917234a78a40d4f10b91c2806?v=c4b71f08</t>
  </si>
  <si>
    <t>V2024</t>
  </si>
  <si>
    <t>049_09_Code of Conduct_170226.pdf</t>
  </si>
  <si>
    <t>https://www.commerzbank.de/ms/documents/en/esg-framework-pdf.pdf</t>
  </si>
  <si>
    <t>050_09_esg-framework_170226.pdf</t>
  </si>
  <si>
    <t>Also includes Responsible AI / Ethics</t>
  </si>
  <si>
    <t>Ethics regulations for artificial intelligence (press release)</t>
  </si>
  <si>
    <t>Continental AG</t>
  </si>
  <si>
    <t>Continental Code of Conduct</t>
  </si>
  <si>
    <t>Continental Business Partner Code of Conduct</t>
  </si>
  <si>
    <t>Turn Change Into Opportunity – Embrace Sustainability: Integrated Sustainability Report 2022</t>
  </si>
  <si>
    <t>Survey: Germans fear job losses due to artificial intelligence (press release)</t>
  </si>
  <si>
    <t>08.06.2020</t>
  </si>
  <si>
    <t>Version 01/01/2026</t>
  </si>
  <si>
    <t>Veersion Juli 2023</t>
  </si>
  <si>
    <t>Mehrere semi-relevante Dokumente gefunden.</t>
  </si>
  <si>
    <t>https://www.continental.com/en/press/press-releases/ai-code-of-ethics/</t>
  </si>
  <si>
    <t>051_10_Ethics Regulations for Artificial Intelligence_170226.pdf</t>
  </si>
  <si>
    <t>https://cdn.continental.com/fileadmin/__imported/sites/corporate/_international/english/hubpages/60_20company/20_20corporate_20governance/50_20compliance/coc_en.pdf</t>
  </si>
  <si>
    <t>052_10_coc_170226.pdf</t>
  </si>
  <si>
    <t>https://cdn.continental.com/fileadmin/__imported/sites/corporate/_international/german/hubpages/60_20unternehmen/20_20corporate_20governance/50_20compliance/brochure_bpcoc_en_with_signature.pdf</t>
  </si>
  <si>
    <t>053_10_bpcoc_170226.pdf</t>
  </si>
  <si>
    <t>Hat eine kleine AI Sektion</t>
  </si>
  <si>
    <t>https://www.continental.com/en/press/press-releases/germans-fear-job-losses-due-to-artificial-intelligence/</t>
  </si>
  <si>
    <t>28.03.2023</t>
  </si>
  <si>
    <t>054_10_Survey_170226.pdf</t>
  </si>
  <si>
    <t>https://www.continental.com/fileadmin/__imported/sites/corporate/_international/german/hubpages/10_20presse/studien_und_publikationen/continental_sustainability_report_2022.pdf</t>
  </si>
  <si>
    <t>055_10_sustainability_report_170226.pdf</t>
  </si>
  <si>
    <t>Referenzieren nur die AI Code of Ethics, aber geben selbst keine Inhalte über die Themen des CoE hinaus wieder: › Compliance with laws, regulations, Continental’s rules, standards and instructions › Workplace and fair working conditions › Health, safety, the environment, and product integrity › Employee diversity, anti-discrimination, fairness in the use of AI › Data protection and cybersecurity when using AI › Confidential information, intellectual property</t>
  </si>
  <si>
    <t xml:space="preserve">n.n. </t>
  </si>
  <si>
    <t>Keine eigenständigen, konzernweiten „Responsible AI Policy“ oder „AI Principles“ separat vom Code of Conduct/Integrity Code identifiziert</t>
  </si>
  <si>
    <t>Daimler Truck Code of Conduct – Guideline to doing the right thing</t>
  </si>
  <si>
    <t>Our Integrity Code (IC 0.2)</t>
  </si>
  <si>
    <t>Declaration of Principles on Social Responsibility and Human Rights at Daimler Truck</t>
  </si>
  <si>
    <t>Business Partner Standards – Doing the Right Thing Together</t>
  </si>
  <si>
    <t>Data Compliance Management System – Our commitment to data responsibility</t>
  </si>
  <si>
    <t>Daimler Truck Sustainability Report 2021 – Selected sections (automated driving &amp; AI)</t>
  </si>
  <si>
    <t>Daimler Truck Holding AG</t>
  </si>
  <si>
    <t>https://www.daimlertruck.com/fileadmin/user_upload/documents/company/compliance/Daimler-Truck-Code-of-Conduct-english.pdf</t>
  </si>
  <si>
    <t>https://dtsa.daimlertruck.com/assets/files/king_vi/Our%20Integrity%20Code_1%20April%202022.pdf</t>
  </si>
  <si>
    <t>https://www.daimlertruck.com/fileadmin/user_upload/documents/sustainability/social/2022_12_07_Broschuere_Grundsatzerklaerung-Menschenrechte-EN.pdf</t>
  </si>
  <si>
    <t>https://www.daimlertruck.com/fileadmin/user_upload/dokumente/unternehmen/compliance/Business_Partner_Standards.pdf</t>
  </si>
  <si>
    <t>https://www.daimlertruck.com/en/company/compliance/data-compliance</t>
  </si>
  <si>
    <t>056_11_Code-of-Conduct_170226.pdf</t>
  </si>
  <si>
    <t>1.4.2022</t>
  </si>
  <si>
    <t>057_11_Our Integrity Code_170226.pdf</t>
  </si>
  <si>
    <t>058_11_Grundsatzerklaerung-Menschenrechte_170226.pdf</t>
  </si>
  <si>
    <t>059_11_Business_Partner_Standards_170226.pdf</t>
  </si>
  <si>
    <t>060_11_Data Compliance Management System _170226.pdf</t>
  </si>
  <si>
    <t>https://www.daimlertruck.com/en/sustainability/reportings</t>
  </si>
  <si>
    <t>061_11_annual report-incl-esg_170226.pdf</t>
  </si>
  <si>
    <t>Dieses zentrale Compliance‑Dokument enthält ein eigenes Kapitel zu künstlicher Intelligenz. Es verpflichtet alle Beschäftigten zur verantwortungsvollen Nutzung von AI und formuliert konkrete Prinzipien wie Erklärbarkeit, Datenschutz, Sicherheit, Fairness und den Schutz von Beschäftigtenrechten. Die breite Verbindlichkeit und klare Verpflichtungen machen dieses Dokument zur wichtigsten Quelle</t>
  </si>
  <si>
    <t>Der Integritätskodex gilt konzernweit und erläutert in Abschnitt 3.5.3 „Artificial intelligence“ die AI‑Grundsätze. Er betont die Umsetzung „fordernder AI‑Prinzipien“ für verantwortungsvolle Entwicklung und Nutzung von AI, einschliesslich Erklärbarkeit, Datenschutz, Sicherheit und Verlässlichkeit</t>
  </si>
  <si>
    <t>No public AI policy or ethics found (as of 2026‑02‑17)</t>
  </si>
  <si>
    <t>Deutsche Bank Group Supplier Code of Conduct</t>
  </si>
  <si>
    <t>Deutsche Bank AG</t>
  </si>
  <si>
    <t>Deutsche Bank Code of Conduct – Our duty for a long‑term success</t>
  </si>
  <si>
    <t>Non‑Financial Report 2023 (Deutsche Bank Group)</t>
  </si>
  <si>
    <t>Statement on Human Rights</t>
  </si>
  <si>
    <t>Artificial Intelligence: seizing opportunities and recognizing risks</t>
  </si>
  <si>
    <t>How Artificial Intelligence is changing banking</t>
  </si>
  <si>
    <t>The responsible use of AI in financial services – From principles to practice (News article)</t>
  </si>
  <si>
    <t>Unleashing the potential of AI in securities services</t>
  </si>
  <si>
    <t>Adopting generative AI in banking (white paper with Kodex AI)</t>
  </si>
  <si>
    <t>Die konkretesten AI-Prinzipien lagen öffentlich am klarsten im Supplier Code of Conduct (AI &amp; Data Ethics Principles) sowie Governance-Hinweise (z. B. „AI Oversight Forum“) in ESG/IR-Reports vor; darüber hinaus keine weiteren belastbaren Policy-Dokumente.</t>
  </si>
  <si>
    <t>https://vendor-portal.db.com/Files/Documents1/SupplierCodeofConductMay2025.pdf</t>
  </si>
  <si>
    <t>https://investor-relations.db.com/files/documents/annual-reports/2024/Non-Financial-Report-2023.pdf</t>
  </si>
  <si>
    <t>https://investor-relations.db.com/files/documents/documents/code-of-business-conduct-and-ethics-for-deutsche-bank-group.pdf?language_id=1</t>
  </si>
  <si>
    <t>https://security.db.com/knowledge-bases/artificial-intelligence</t>
  </si>
  <si>
    <t>https://www.db.com/what-we-do/responsibility/sustainability/documents/2025-06-june/DB-Statement-on-Human-Rights-EN.pdf</t>
  </si>
  <si>
    <t>https://www.db.com/what-next/digital-disruption/better-than-humans/how-artificial-intelligence-is-changing-banking/index?language_id=1</t>
  </si>
  <si>
    <t>https://www.db.com/news/detail/20191112-the-responsible-use-of-ai-in-financial-services-from-principles-to-practice?language_id=1</t>
  </si>
  <si>
    <t>https://flow.db.com/files/documents/more/publications/white-papers-guides/Unleashing-the-potential-of-AI-in-securities-services.pdf</t>
  </si>
  <si>
    <t>https://flow.db.com/files/documents/more/publications/white-papers-guides/whitepaper-Adopting-Generative-AI-in-Banking.pdf</t>
  </si>
  <si>
    <t>062_12_SupplierCodeofConduct_170226.pdf</t>
  </si>
  <si>
    <t>Includes Responsible AI / AI Principles</t>
  </si>
  <si>
    <t>063_12_code-of-business-conduct-and-ethics-_170226.pdf</t>
  </si>
  <si>
    <t>064_12_Non-Financial-Report_170226.pdf</t>
  </si>
  <si>
    <t xml:space="preserve">Short Section on AI Oversight Forum </t>
  </si>
  <si>
    <t>065_12_Statement-on-Human-Rights_170226.pdf</t>
  </si>
  <si>
    <t>066_12_Artificial Intelligence Overview_170226.pdf</t>
  </si>
  <si>
    <t>Nur technische Erklärung, was KI eigentlich ist</t>
  </si>
  <si>
    <t>067_12_How Artificial Intelligence is changing banking_170226.pdf</t>
  </si>
  <si>
    <t>Kein Bezug zur Ethik oÄ</t>
  </si>
  <si>
    <t>12.11.2029</t>
  </si>
  <si>
    <t>068_12_The responsible use of AI in Financial services_170226.pdf</t>
  </si>
  <si>
    <t>069_12_Unleashing-the-potential-of-AI-in-securities-services_170226.pdf</t>
  </si>
  <si>
    <t>070_12_whitepaper-Adopting-Generative-AI-in-Banking_170226.pdf</t>
  </si>
  <si>
    <t>Es konnten keine eigenständigen Responsible‑AI‑Policies oder AI‑Ethics‑Guidelines für die Deutsche‑Börse‑Gruppe identifiziert werden</t>
  </si>
  <si>
    <t>Response to European Commission’s White Paper on artificial intelligence</t>
  </si>
  <si>
    <t>Deutsche Börse Group</t>
  </si>
  <si>
    <t>Response to IOSCO consultation on AI in capital markets</t>
  </si>
  <si>
    <t>Targeted consultation on artificial intelligence in the financial sector – contribution by Deutsche Börse Group</t>
  </si>
  <si>
    <t>Market Data Policy Guidelines and FAQ – Section 10: Use of DBAG information in AI solutions (Version 2_8)</t>
  </si>
  <si>
    <t>V2.8</t>
  </si>
  <si>
    <t>Code of Business Conduct</t>
  </si>
  <si>
    <t>Code of Conduct for Suppliers</t>
  </si>
  <si>
    <t>Human Rights Strategy Policy Statement</t>
  </si>
  <si>
    <t>Digital Finance – Deutsche Börse Group</t>
  </si>
  <si>
    <t>Press release: More than two-thirds of investment managers use AI</t>
  </si>
  <si>
    <t>https://www.deutsche-boerse.com/resource/blob/2095828/1649f1a7f54a924a0fb99f1b9bdd1694/data/20200610-db-response_en.pdf</t>
  </si>
  <si>
    <t>https://www.deutsche-boerse.com/resource/blob/4300280/dc0bd81c97cf978b924e43234f56f03d/data/20240426_DBG_response_IOSCO_AI_consultation.pdf</t>
  </si>
  <si>
    <t>https://www.deutsche-boerse.com/dbg-en/media/news-stories/press-releases/More-than-Two-thirds-of-Investment-Managers-Prominently-Using-AI-to-Support-Front-Office-SimCorp-Study-Reveals-4910704</t>
  </si>
  <si>
    <t>10.04.2025</t>
  </si>
  <si>
    <t>072_13_DBG_response_IOSCO Consultation_170226.pdf</t>
  </si>
  <si>
    <t>071_13_db-response_170226.pdf</t>
  </si>
  <si>
    <t>https://www.deutsche-boerse.com/resource/blob/4344538/c7fb1c04440815b6ea29f17d9d7d62f1/data/20240912_DBG_response_EC%20Targeted%20consultation%20on%20artificial%20intelligence%20in%20the%20financial%20sector.pdf</t>
  </si>
  <si>
    <t>13.09.2024</t>
  </si>
  <si>
    <t>073_13_DBG_response_EC_170226.pdf</t>
  </si>
  <si>
    <t>https://www.mds.deutsche-boerse.com/resource/blob/4028410/ee46a8181b463a0f413d0faa695c0001/data/Market%20Data%20Policy%20Guidelines%20and%20FAQ_V2_7.pdf</t>
  </si>
  <si>
    <t>24.09.2025</t>
  </si>
  <si>
    <t>074_13_Market Data Policy Guidelines_170226.pdf</t>
  </si>
  <si>
    <t>https://www.deutsche-boerse.com/resource/blob/45222/a244f5d7ff9f341689489b58f65a1dc0/data/code-of-business-conduct_en.pdf</t>
  </si>
  <si>
    <t>075_13_code-of-business-conduct_170226.pdf</t>
  </si>
  <si>
    <t>https://www.deutsche-boerse.com/resource/blob/160140/f940243aedc8611ac81e5c012777c7bd/data/code-of-coduct-suppliers_en.pdf</t>
  </si>
  <si>
    <t>12.11.2025</t>
  </si>
  <si>
    <t>076_13_code-of-coduct-suppliers_170226.pdf</t>
  </si>
  <si>
    <t>https://www.deutsche-boerse.com/resource/blob/3800562/9f347e74f9934e23edda9ecb28c85bc7/data/dbg-menschenrechtserklaerung_en.pdf</t>
  </si>
  <si>
    <t>09.12.2025</t>
  </si>
  <si>
    <t>077_13_dbg-menschenrechtserklaerung_170226.pdf</t>
  </si>
  <si>
    <t>https://www.deutsche-boerse.com/dbg-de/ueber-uns/regulierung/regulation-df</t>
  </si>
  <si>
    <t>078_13_Digital Finance_170226.pdf</t>
  </si>
  <si>
    <t>19.01.2026</t>
  </si>
  <si>
    <t>079_13_SimCorp Study_170226.pdf</t>
  </si>
  <si>
    <t>ieses Regelwerk ist das einzige formale Dokument der Deutsche‑Börse‑Gruppe, das den Einsatz von KI explizit adressiert. Abschnitt 10 definiert, was als „AI Solution“ gilt (z. B. Deep‑Learning‑Modelle, generative KI und LLMs) und verpflichtet Kunden, eine passende Non‑Display‑Data‑Usage‑Lizenz zu erwerben und robuste interne Kontrollsysteme zur Nachverfolgung der Datennutzung über alle Nutzungsebenen hinweg zu unterhalten</t>
  </si>
  <si>
    <t>Die Deutsche Börse beschreibt ihren Ansatz, AI graduell und in getesteten Proof‑of‑Concept‑Phasen einzuführen, um Transparenz, Stabilität und Anlegerschutz zu gewährleisten. Sie benennt konkrete Risiken (Bias, Black‑Box‑Eigenschaften, Halluzinationen) und betont die Bedeutung solider Daten‑Governance und eines eigenen AI‑Governance‑Rahmens. Diese Aussagen liefern Hinweise für verantwortungsvolle KI‑Einführung, auch wenn das Dokument keine formale Policy darstellt.</t>
  </si>
  <si>
    <t>19.02.2026</t>
  </si>
  <si>
    <t>DHL Group</t>
  </si>
  <si>
    <t>DHL Group Data Privacy Policy (Binding Corporate Rules)</t>
  </si>
  <si>
    <t>DHL Group Information Security Code of Practice for Partners</t>
  </si>
  <si>
    <t>DHL Group Code of Conduct</t>
  </si>
  <si>
    <t>DHL Group Supplier Code of Conduct</t>
  </si>
  <si>
    <t>Cyber Security (web page)</t>
  </si>
  <si>
    <t>DHL Group ESG Progress Report 2024 (Sustainability Report)</t>
  </si>
  <si>
    <t>No public AI/Responsible AI guideline, policy or principles found (as of 2026‑02‑19)</t>
  </si>
  <si>
    <t>V4</t>
  </si>
  <si>
    <t>https://group.dhl.com/en/data-protection.html#parsysPath_experiencefragment_879389856</t>
  </si>
  <si>
    <t>https://group.dhl.com/en/about-us/code-of-conduct.html</t>
  </si>
  <si>
    <t>https://group.dhl.com/content/dam/deutschepostdhl/en/media-center/responsibility/dhl-group-information-security-code-of-practice.pdf</t>
  </si>
  <si>
    <t>https://group.dhl.com/content/dam/deutschepostdhl/en/media-center/responsibility/DHL-Group-Supplier-Code-of-Conduct-v2020-5.pdf</t>
  </si>
  <si>
    <t>https://group.dhl.com/en/sustainability/governance/cyber-security.html</t>
  </si>
  <si>
    <t>https://reporting-hub.group.dhl.com/ecomaXL/files/DHL-Group_2024-Progress-Report-on-Sustainability.pdf</t>
  </si>
  <si>
    <t>080_14_Data protection_190226.pdf</t>
  </si>
  <si>
    <t>081_14_security-code-of-practice_190226.pdf</t>
  </si>
  <si>
    <t>V5</t>
  </si>
  <si>
    <t>083_14_Supplier-Code-of-Conduct-v2020-5.pdf</t>
  </si>
  <si>
    <t>082_code-of-conduct_190226.pdf</t>
  </si>
  <si>
    <t>084_14_Cyber security_190226.pdf</t>
  </si>
  <si>
    <t>085_14_Progress-Report-on-Sustainability_190226.pdf</t>
  </si>
  <si>
    <t>Trotz intensiver Recherche auf offiziellen Konzernquellen und in Berichten gibt es keine öffentlich zugängliche KI‑Ethik‑ oder Responsible‑AI‑Policy von der DHL Gruppe / Deutschen Post AG</t>
  </si>
  <si>
    <t>Alle relevanten AI‑Ethik‑Dokumente wurden gefunden</t>
  </si>
  <si>
    <t>Deutsche Telekom AG</t>
  </si>
  <si>
    <t>AI Guidelines – short version</t>
  </si>
  <si>
    <t>https://www.telekom.com/resource/blob/532446/f32ea4f5726ff3ed3902e97dd945fa14/dl-180710-ki-leitlinien-en-data.pdf</t>
  </si>
  <si>
    <t>Edition 2018</t>
  </si>
  <si>
    <t>Guidelines for Artificial Intelligence (article)</t>
  </si>
  <si>
    <t>https://www.telekom.com/en/company/digital-responsibility/details/artificial-intelligence-ai-guideline-524366</t>
  </si>
  <si>
    <t>Principles for Green Artificial Intelligence</t>
  </si>
  <si>
    <t>https://www.telekom.com/en/company/details/principles-for-green-artificial-intelligence-1077104</t>
  </si>
  <si>
    <t>Code of Conduct (Group)</t>
  </si>
  <si>
    <t>https://www.telekom.com/resource/blob/497150/54e0bd88d87bc50f70a523002ffcf208/dl-code-of-conduct-en-data.pdf</t>
  </si>
  <si>
    <t>Supplier Code of Conduct – Version 2024</t>
  </si>
  <si>
    <t>https://www.telekom.com/resource/blob/498830/7d0f6ce8b7f56c0664c262c3efdf3fe1/dl-240320-supplier-code-of-conduct-data.pdf</t>
  </si>
  <si>
    <t>Version 2024</t>
  </si>
  <si>
    <t>Digital Ethics – Our fields of action</t>
  </si>
  <si>
    <t>https://www.telekom.com/en/company/digital-responsibility/details/our-action-areas-digital-ethics-1008324</t>
  </si>
  <si>
    <t>The EU AI Act at Deutsche Telekom – Implementation article</t>
  </si>
  <si>
    <t>https://www.telekom.com/en/company/digital-responsibility/details/the-eu-ai-act-at-deutsche-telekom--1090710</t>
  </si>
  <si>
    <t>AI Manifesto – Works Council agreement</t>
  </si>
  <si>
    <t>https://www.telekom.com/en/company/digital-responsibility/details/artificial-intelligence-at-deutsche-telekom-1055154</t>
  </si>
  <si>
    <t>Professional Ethics for AI Engineering and Usage</t>
  </si>
  <si>
    <t>https://www.telekom.com/resource/blob/630952/37534d39c5184b251c235d93edfd6f91/dl-210702-professionsethik-data.pdf</t>
  </si>
  <si>
    <t>Edition 2021</t>
  </si>
  <si>
    <t>Privacy and Security Assessment (PSA) booklet</t>
  </si>
  <si>
    <t>https://www.telekom.com/resource/blob/622936/97f1cec97d290690f9aac921f8c5fa9e/dl-psa-booklet-en-data.pdf</t>
  </si>
  <si>
    <t>Corporate Responsibility Report 2024</t>
  </si>
  <si>
    <t>https://report.telekom.com/cr-report/2024/_assets/downloads/entire-dtag-cr24.pdf</t>
  </si>
  <si>
    <t>CR Report 2024</t>
  </si>
  <si>
    <t xml:space="preserve">2018‑04‑24 </t>
  </si>
  <si>
    <t>2018‑05‑11</t>
  </si>
  <si>
    <t>2024‑03‑20</t>
  </si>
  <si>
    <t xml:space="preserve">2026‑02‑19 </t>
  </si>
  <si>
    <t>2025‑</t>
  </si>
  <si>
    <t>2021‑07‑02</t>
  </si>
  <si>
    <t>086_15_ki-leitlinien-en_190226.pdf</t>
  </si>
  <si>
    <t>087_15_Guidelines for Artificial Intelligence_190226.pdf</t>
  </si>
  <si>
    <t>088_15_Principles for green artificial intelligence_190226.pdf</t>
  </si>
  <si>
    <t>089_15_code-of-conduct-en_190226.pdf</t>
  </si>
  <si>
    <t>090_15_supplier-code-of-conduct_190226.pdf</t>
  </si>
  <si>
    <t>092_15_The EU AI Act at Deutsche Telekom_190226.pdf</t>
  </si>
  <si>
    <t>095_15_psa-booklet-en_190226.pdf</t>
  </si>
  <si>
    <t>094_15_professionsethik_190226.pdf</t>
  </si>
  <si>
    <t>AI not without privacy-by-strategy</t>
  </si>
  <si>
    <t>097_15_AI not without privacy-by-strategy_190226.pdf</t>
  </si>
  <si>
    <t>https://www.telekom.com/en/company/management-unplugged/details/ai-not-without-privacy-by-strategy-1058604</t>
  </si>
  <si>
    <t>093_15_AI Manifesto_190226pdf</t>
  </si>
  <si>
    <t>096_15_entire-dtag-cr24_190226.pdf</t>
  </si>
  <si>
    <t>Trotz breit angelegter Suche wurden keine öffentlich zugänglichen Responsible‑AI‑Policies oder detaillierten AI‑Ethics‑Guidelines der E.ON SE identifiziert</t>
  </si>
  <si>
    <t>Code of Conduct – Acting responsibly at E.ON</t>
  </si>
  <si>
    <t>Supplier Code of Conduct (2023)</t>
  </si>
  <si>
    <t>Integrated Annual Report 2024 – Sustainability Statement</t>
  </si>
  <si>
    <t>20.02.2026</t>
  </si>
  <si>
    <t>No public AI/Responsible AI guideline, policy or principles found (as of 2026‑02‑20)</t>
  </si>
  <si>
    <t>E.ON SE</t>
  </si>
  <si>
    <t>https://www.eon.com/en/about-us/media/press-release/2025/eon-sets-standards-for-the-responsible-use-of-artificial-intelligence.html</t>
  </si>
  <si>
    <t>15.1.2025</t>
  </si>
  <si>
    <t>E.ON sets standards for the responsible use of artificial intelligence</t>
  </si>
  <si>
    <t>098_16_E.ON sets standards for the responsible use of artificial intelligence_200226.pdf</t>
  </si>
  <si>
    <t>Hier wird nur referenziert, dass es Leitlinien für KI gibt, aber nicht welche es sind. Das Originaldokument für die Leitlinien ist öffentlich nicht einsehbar.</t>
  </si>
  <si>
    <t>https://www.eon.se/content/dam/eon-se/swe-documents/swe-code-of-conduct-eng.pdf</t>
  </si>
  <si>
    <t>099_16_code-of-conduct_200226.pdf</t>
  </si>
  <si>
    <t>https://www.eon.hu/content/dam/eon/eon-hungary/documents/lablec/Beszallitok/supplier-code-of-conduct-2023.pdf</t>
  </si>
  <si>
    <t>100_16_supplier-code-of-conduct_200226.pdf</t>
  </si>
  <si>
    <t>101_16_GB24-gesamt_200226.pdf</t>
  </si>
  <si>
    <t>https://annualreport.eon.com/content/dam/eon-annualreport/documents/en/GB24-gesamt-EN_final.pdf</t>
  </si>
  <si>
    <t>Es konnten keine weiteren eigenständigen, öffentlich zugänglichen Responsible‑AI‑Policies oder KI‑Ethik‑Richtlinien ausser der AI‑Guidelines selbst gefunden werden. Interne Richtlinien werden zwar im ESG‑Bericht erwähnt, sind jedoch nicht öffentlich zugänglich.</t>
  </si>
  <si>
    <t>AI‑Guidelines: Responsible Use of Artificial Intelligence</t>
  </si>
  <si>
    <t>Fresenius Group Code of Conduct</t>
  </si>
  <si>
    <t>Non‑Financial Report 2023 – Digital Transformation section</t>
  </si>
  <si>
    <t>Ethical Foundation page</t>
  </si>
  <si>
    <t>Press Release: AI in Healthcare – SAP and Fresenius Accelerate Digital Healthcare Delivery</t>
  </si>
  <si>
    <t>Also Responsible Ai / Ethics, and AI Principles</t>
  </si>
  <si>
    <t>https://www.fresenius.com/sites/default/files/2025-07/05092025_AI_Guidelines_v2_EN_0.pdf</t>
  </si>
  <si>
    <t>https://www.fresenius.com/sites/default/files/2025-04/Fresenius_Group_Code_of_Conduct_EN_202502_0.pdf</t>
  </si>
  <si>
    <t>https://annualreport.fresenius.com/2023/non-financial-report/digital-transformation/</t>
  </si>
  <si>
    <t>https://www.fresenius.com/ethical-foundation</t>
  </si>
  <si>
    <t>https://www.fresenius.com/sites/default/files/2026-01/20260119_fse_pressrelease_cooperation_sap_0.pdf</t>
  </si>
  <si>
    <t>https://freseniusmedicalcare.com/en/about-us/compliance/our-code-of-ethics-and-business-conduct/</t>
  </si>
  <si>
    <t>05.09.2025</t>
  </si>
  <si>
    <t>102_17_AI_Guidelines_200226.pdf</t>
  </si>
  <si>
    <t>Ai Section ist nur Zusammenfassung der AI-Guidelines</t>
  </si>
  <si>
    <t>103_17_Group_Code_of_Conduct_200226.pdf</t>
  </si>
  <si>
    <t>104_17_Digital transformation_200226.pdf</t>
  </si>
  <si>
    <t>Kündigt nur die Erstellung der AI Guidelines an.</t>
  </si>
  <si>
    <t>105_17_Ethical Foundation_200226.pdf</t>
  </si>
  <si>
    <t>106_17_pressrelease_cooperation_sap_200226.pdf</t>
  </si>
  <si>
    <t xml:space="preserve">Trotz umfassender Recherche konnten keine öffentlich zugänglichen Responsible‑AI‑Policies oder KI‑Ethics‑Guidelines für Fresenius Medical Care identifiziert werden. </t>
  </si>
  <si>
    <t>Code of Ethics &amp; Business Conduct</t>
  </si>
  <si>
    <t>Compliance Overview – Global Compliance Program</t>
  </si>
  <si>
    <t>Compliance Brochure for Business Partners</t>
  </si>
  <si>
    <t>The Challenges and Benefits of Generative AI in Kidney Care</t>
  </si>
  <si>
    <t>Using Artificial Intelligence to Predict Patient Outcomes – Q&amp;A with Len Usvyat</t>
  </si>
  <si>
    <t>Press Release: Fresenius Medical Care Achieves Key AI Milestone with Apollo Database</t>
  </si>
  <si>
    <t>https://freseniusmedicalcare.com/en/about-us/compliance/compliance-overview</t>
  </si>
  <si>
    <t>https://freseniusmedicalcare.com/en/media/newsroom/fresenius-medical-care-achieves-key-ai-milestone-with-first-phase-completion-of-largest-global-dialysis-clinical-dataset/</t>
  </si>
  <si>
    <t>https://freseniusmedicalcare.com/en-us/insights/articles/using-artificial-intelligence-to-predict-patient-outcomes-qa-with-len-usvyat/</t>
  </si>
  <si>
    <t>https://freseniusmedicalcare.com/en/media/multimedia/publications/amr/amr-24-artificial-intelligence/</t>
  </si>
  <si>
    <t>107_18_FME_CoC_200226.pdf</t>
  </si>
  <si>
    <t>108_18_Compliance Overview_200226.pdf</t>
  </si>
  <si>
    <t>109_18_Business_Partner_Brochure_200226.pdf</t>
  </si>
  <si>
    <t>110_18_The Challenges and Benefits of Generative AI in Kidney Care_200226.pdf</t>
  </si>
  <si>
    <t>111_18_Using Artificial Intelligence to Predict Patient Outcomes_ Q&amp;A with Len Usvyat_200226.pdf</t>
  </si>
  <si>
    <t>26.10.2023</t>
  </si>
  <si>
    <t>112_18_Fresenius Medical Care Achieves Key AI Milestone_200226.pdf</t>
  </si>
  <si>
    <t>Es konnte keine separate Responsible‑AI‑Richtlinie gefunden werden. Die einzige explizite AI‑Governance‑Quelle ist die Corporate Digital Responsibility Policy</t>
  </si>
  <si>
    <t>Corporate Digital Responsibility Policy</t>
  </si>
  <si>
    <t>Information Security Policy</t>
  </si>
  <si>
    <t>Information Classification and Handling Policy (Confidentiality)</t>
  </si>
  <si>
    <t>Human Rights Policy / Human Rights Incident Management Policy</t>
  </si>
  <si>
    <t>GEA Code of Conduct for Suppliers and Subcontractors</t>
  </si>
  <si>
    <t>V 4.1</t>
  </si>
  <si>
    <t>Press release: GEA launches AI solution for more efficient engineer‑to‑order processes</t>
  </si>
  <si>
    <t>13.3.2025</t>
  </si>
  <si>
    <t>GEA accelerates digital transformation – new Software Excellence Initiative advances open‑source software development</t>
  </si>
  <si>
    <t>4.6.2025</t>
  </si>
  <si>
    <t>No public AI/Responsible AI guideline or principles found (as of 2026‑02‑20)</t>
  </si>
  <si>
    <t>https://cdn.gea.com/-/media/company/about-us/gea-digital/corporate-digital-responsibility-policy/gea-corporate-digital-responsibility-policy-en.pdf</t>
  </si>
  <si>
    <t>https://cdn.gea.com/-/media/company/about-us/information-security/information_security_policy.pdf</t>
  </si>
  <si>
    <t>https://cdn.gea.com/-/media/company/about-us/information-security/information_cassification_and_handling_policy_confidentiality.pdf</t>
  </si>
  <si>
    <t>https://cdn.gea.com/-/media/sustainability/human-rights-policy-en.pdf</t>
  </si>
  <si>
    <t>https://cdn.gea.com/-/media/suppliers/code-of-conduct/gea-code-of-conduct-for-suppliers-and-subcontractors-en.pdf</t>
  </si>
  <si>
    <t>https://www.gea.com/en/news/trade-press/2025/ai-solution-for-engineer-to-order-processes/</t>
  </si>
  <si>
    <t>https://www.gea.com/en/news/corporate/2025/gea-steps-up-digital-transformation/</t>
  </si>
  <si>
    <t>113_19_corporate-digital-responsibility-policy_200226.pdf</t>
  </si>
  <si>
    <t>20.03.2025</t>
  </si>
  <si>
    <t>114_19_information_security_policy_200226.pdf</t>
  </si>
  <si>
    <t>1.6.2024</t>
  </si>
  <si>
    <t>115_19_information_cassification_and_handling_policy_200226.pdf</t>
  </si>
  <si>
    <t>6.6.2025</t>
  </si>
  <si>
    <t>116_19_human-rights-policy_200226.pdf</t>
  </si>
  <si>
    <t>117_19_code-of-conduct-for-suppliers-and-subcontractors_200226.pdf</t>
  </si>
  <si>
    <t>118_19_GEA Introduces AI Solution_200226.pdf</t>
  </si>
  <si>
    <t>119_19_GEA accelerates digital transformation_200226.pdf</t>
  </si>
  <si>
    <t>Hannover Rück SE</t>
  </si>
  <si>
    <t>Kein eigenständiger Responsible‑AI‑Policy oder explizite AI‑Ethics‑Guideline auf Konzern‑Ebene gefunden.</t>
  </si>
  <si>
    <t>Diese Erklärung erwähnt ausdrücklich den Einsatz von KI zur Analyse unstrukturierter Daten und verpflichtet sich zu Transparenz, Sicherheit und verantwortungsvoller Nutzung. Sie enthält auch Hinweise zur teilautomatisierten Entscheidungsfindung und zum Schutz der Rechte der Betroffenen. Obwohl es keine umfassende AI‑Governance darstellt, ist es die einzige Quelle mit explizitem Bezug zu KI und sollte daher vorrangig kodiert werden.</t>
  </si>
  <si>
    <t>Code of Conduct: “Connected – outside, inside, and all‑around”</t>
  </si>
  <si>
    <t>Third‑Party Code of Conduct</t>
  </si>
  <si>
    <t>General Data Privacy Statement (GDPR)</t>
  </si>
  <si>
    <t>Solvency and Financial Condition Report 2023</t>
  </si>
  <si>
    <t>Sustainability Report 2023</t>
  </si>
  <si>
    <t>Human Rights and Supply Chain Policy Statement</t>
  </si>
  <si>
    <t>Artificial intelligence – a disruptive technology for the (re)insurance industry</t>
  </si>
  <si>
    <t>Data‑driven insurance – From data delusion to data solution (part 2)</t>
  </si>
  <si>
    <t>https://assets.hannover-re.com/asset/533267266226/document_phjain3i4t7t9aupp8710b861n/HNR_Code-of-Conduct_EN.pdf</t>
  </si>
  <si>
    <t>https://assets.hannover-re.com/asset/533267266226/document_1lgsfft8g55lhdv2sktd20td6o/third_party_code_of_conduct.pdf</t>
  </si>
  <si>
    <t>https://www.hannover-re.com/en/data-privacy/general-data-privacy-statement-pursuant-to-art-13-and-14-eu-general-data-protection-regulation-gdpr/</t>
  </si>
  <si>
    <t>https://d1qnw94usouwub.cloudfront.net/asset/533267266226/document_488r6iln1p44f2tqfh4ht1ri0i</t>
  </si>
  <si>
    <t>https://www.unepfi.org/wordpress/wp-content/uploads/2024/07/Sustainability-Report_2023_Hannover-Re.pdf</t>
  </si>
  <si>
    <t>https://d1qnw94usouwub.cloudfront.net/asset/533267266226/document_okp5h41pip36b6ovv17iadd013</t>
  </si>
  <si>
    <t>https://www.hannover-re.com/en/property-and-casualty/emerging-risks-insights/artificial-intelligence/</t>
  </si>
  <si>
    <t>https://assets.hannover-re.com/asset/533267266226/document_q1mkc0gt951rd2dfusioe7177a/2020_05_LH_ReCent_Medical_Data-Driven-Insurance_Part2_en.pdf</t>
  </si>
  <si>
    <t>120_20_Code-of-Conduct_200226.pdf</t>
  </si>
  <si>
    <t>121_20_third_party_code_of_conduct_200226.pdf</t>
  </si>
  <si>
    <t>122_20_General Data Privacy Statement_200226.pdf</t>
  </si>
  <si>
    <t>123_20_SFCR_HRG_200226.pdf</t>
  </si>
  <si>
    <t>124_20_Sustainability-Report_200226.pdf</t>
  </si>
  <si>
    <t>125_20_Human Rights Policy Statement_200226.pdf</t>
  </si>
  <si>
    <t>126_20_Artificial Intelligence in the Insurance Industry_200226.pdf</t>
  </si>
  <si>
    <t>127_20_Medical_Data-Driven-Insurance_200226.pdf</t>
  </si>
  <si>
    <t>21.02.2026</t>
  </si>
  <si>
    <t xml:space="preserve">Es wurde keine öffentlich zugängliche KI‑Ethik‑Leitlinie oder Responsible‑AI‑Policy gefunden. </t>
  </si>
  <si>
    <t>Heidelberg Materials AG</t>
  </si>
  <si>
    <t>No public AI/Responsible AI guideline, policy or principles found (as of 2026‑02‑21)</t>
  </si>
  <si>
    <t>Code of Business Conduct</t>
  </si>
  <si>
    <t>Policy Statement on Human Rights</t>
  </si>
  <si>
    <t>Frontrunner in digital and AI – Unlocking commercial value (CMD 2025 presentation)</t>
  </si>
  <si>
    <t>28.05.2025</t>
  </si>
  <si>
    <t>„Making a Material Difference“: Heidelberg Materials beschleunigt profitables Wachstum mit Strategie 2030</t>
  </si>
  <si>
    <t>131_21_Strategie 2030_210226.pdf</t>
  </si>
  <si>
    <t>https://www.heidelbergmaterials.com/de/pi-2025-05-28</t>
  </si>
  <si>
    <t>https://www.heidelbergmaterials.com/sites/default/files/2025-03/Code-of-Conduct_2023_en.pdf</t>
  </si>
  <si>
    <t>https://www.heidelbergmaterials.com/sites/default/files/2024-03/Policy_Statement_on_Human_Rights.pdf</t>
  </si>
  <si>
    <t>https://www.heidelbergmaterials.com/system/files/2025-05/Frontrunner_in_digital_and_AI.pdf</t>
  </si>
  <si>
    <t>128_21_Code-of-Conduct_210226.pdf</t>
  </si>
  <si>
    <t>129_21_Policy_Statement_on_Human_Rights_210226.pdf</t>
  </si>
  <si>
    <t>130_21_Frontrunner_in_digital_and_AI_210226.pdf</t>
  </si>
  <si>
    <t>Henkel AG &amp; Co. KGaA</t>
  </si>
  <si>
    <t>Die einzigen klaren AI‑Ethik‑Hinweise befinden sich im Abschnitt „Digital Safety &amp; Ethics“ des Code of Conduct.</t>
  </si>
  <si>
    <t>Our Code of Conduct</t>
  </si>
  <si>
    <t>Henkel’s Compliance Management System (CMS)</t>
  </si>
  <si>
    <t>Social Standards</t>
  </si>
  <si>
    <t>Code of Sustainability</t>
  </si>
  <si>
    <t>Responsible Sourcing Policy</t>
  </si>
  <si>
    <t>German Act on Corporate Due Diligence in Supply Chains – Policy Statement</t>
  </si>
  <si>
    <t>Safety, Health &amp; Environment (SHE) Standards – Revision 2.02</t>
  </si>
  <si>
    <t>Responsible Consumer Communication (position page)</t>
  </si>
  <si>
    <t>Whistleblower Process and Compliance Hotline (North America)</t>
  </si>
  <si>
    <t>Press Release – “Henkel Expands Partnership with Adobe to Deliver Personalization at Scale Through Generative AI”</t>
  </si>
  <si>
    <t>https://www.henkel.com/resource/blob/1649598/4376272ddbd1ba8336737ed9285707ab/data/code-of-conduct-english.pdf</t>
  </si>
  <si>
    <t>https://www.henkel.com/resource/blob/28792/2633cc61ff779043951bb9ab2161df9e/data/compliance-management-system-at-henkel-august-2022.pdf</t>
  </si>
  <si>
    <t>https://www.henkel.com/resource/blob/20078/a298ee9d1092205060a263454a7d4a17/data/henkel-social-standards-aug-2023.pdf</t>
  </si>
  <si>
    <t>https://www.henkel.com/resource/blob/20068/f89f59e5873f3bacf9ed34610520f4d5/data/code-of-sustainability-2025-1.pdf</t>
  </si>
  <si>
    <t>https://www.henkel.com/resource/blob/638576/58f5962df41e31e43b5904c39e319d3f/data/responsible-sourcing-policy.pdf</t>
  </si>
  <si>
    <t>https://www.henkel.com/resource/blob/1790206/170c78a53852adadd67c81bd7fbd0eac/data/20240301-policy-statement-english.pdf</t>
  </si>
  <si>
    <t>https://www.henkel.com/resource/blob/20072/4d5b42c28c49d868a4860043decc0c9b/data/she-standards.pdf</t>
  </si>
  <si>
    <t>https://www.henkel.com/sustainability/positions/consumer-communications</t>
  </si>
  <si>
    <t>https://www.henkel-northamerica.com/company/governance-and-compliance/compliance-hotline</t>
  </si>
  <si>
    <t>https://www.henkel.com/press-and-media/press-releases-and-kits/2024-03-25-henkel-expands-partnership-with-adobe-to-deliver-personalization-at-scale-through-generative-ai-1941482</t>
  </si>
  <si>
    <t>132_22_code-of-conduct_210226.pdf</t>
  </si>
  <si>
    <t>133_22_compliance-management-system_210226.pdf</t>
  </si>
  <si>
    <t>134_22_henkel-social-standards_210226.pdf</t>
  </si>
  <si>
    <t>V0.1</t>
  </si>
  <si>
    <t>Deleted Columns "Version" &amp; "Publishing Date"</t>
  </si>
  <si>
    <t>Often times hard to acquire -&gt; slows down research progress without adding substandtial information</t>
  </si>
  <si>
    <t>135_22_code-of-sustainability_210226.pdf</t>
  </si>
  <si>
    <t>136_22_responsible-sourcing-policy_210226.pdf</t>
  </si>
  <si>
    <t>137_22_policy-statement_210226.pdf</t>
  </si>
  <si>
    <t>138_22_she-standards_210226.pdf</t>
  </si>
  <si>
    <t>139_22_Responsible Consumer Communication_210226.pdf</t>
  </si>
  <si>
    <t>140_22_Whistleblower Process and Compliance_210226.pdf</t>
  </si>
  <si>
    <t>141_22_Partnership with Adobe_210226.pdf</t>
  </si>
  <si>
    <t>Responsible Artificial Intelligence (AI) at Infineon – Manifest</t>
  </si>
  <si>
    <t>Infineon Technologies AG</t>
  </si>
  <si>
    <t>Corporate Social Responsibility (CSR) Policy</t>
  </si>
  <si>
    <t>Data Protection Management System (DPMS)</t>
  </si>
  <si>
    <t>Business Conduct Guidelines (BCG) – Code of Ethics 2024</t>
  </si>
  <si>
    <t>Supplier Code of Conduct</t>
  </si>
  <si>
    <t>Company Rules and Regulations</t>
  </si>
  <si>
    <t>https://www.infineon.com/row/public/documents/corporate/our-stories/infineon-responsible-artificial-intelligence-manifest-en.pdf</t>
  </si>
  <si>
    <t>https://www.infineon.com/assets/row/public/documents/corporate/company/sustainability/infineon-csr-policy-brochure-v01-00-en.pdf</t>
  </si>
  <si>
    <t>https://www.infineon.com/about/company/sustainability/dpms</t>
  </si>
  <si>
    <t>https://www.infineon.com/assets/row/public/documents/corporate/company/sustainability/business-conduct-guidelines-2024.pdf</t>
  </si>
  <si>
    <t>https://www.infineon.com/content/dam/infineon/row/public/documents/corporate/investors/corporate-governance/2023/2023-supplier-code-of-conduct-v01-00-en.pdf</t>
  </si>
  <si>
    <t>https://www.infineon.com/assets/row/public/documents/hr/contract-assets/company-rules-and-regulations-mem-en.pdf</t>
  </si>
  <si>
    <t>Zählt aufgrund des Umfangs auch als AI Policy / AI Principles</t>
  </si>
  <si>
    <t>142_23_responsible-artificial-intelligence-manifest_210226.pdf</t>
  </si>
  <si>
    <t>143_23_infineon-csr-policy-brochure_210226.pdf</t>
  </si>
  <si>
    <t>Redundant zum AI Manifest</t>
  </si>
  <si>
    <t>144_23_Privacy_210226.pdf</t>
  </si>
  <si>
    <t>145_23_business-conduct-guidelines_210226.pdf</t>
  </si>
  <si>
    <t>146_23_supplier-code-of-conduct_210226.pdf</t>
  </si>
  <si>
    <t>147_23_company-rules-and-regulation_210226.pdf</t>
  </si>
  <si>
    <t xml:space="preserve">KI Manifest als umfangreiches Dokument gefunden. Leider keine weitergehenden Governance-Dokumente gefunden. </t>
  </si>
  <si>
    <t>Mercedes‑Benz Group</t>
  </si>
  <si>
    <t>Mercedes‑Benz Principles for Artificial Intelligence</t>
  </si>
  <si>
    <t>Our Integrity Code – Making the Right Decisions</t>
  </si>
  <si>
    <t>Data Compliance Management – Our Data Vision and Data Compliance System</t>
  </si>
  <si>
    <t>Data Protection Policy EU (Binding Corporate Rules)</t>
  </si>
  <si>
    <t>Principles of Social Responsibility and Human Rights</t>
  </si>
  <si>
    <t>https://group.mercedes-benz.com/sustainability/digital-trust/ai/ai-guidelines.html</t>
  </si>
  <si>
    <t>https://group.mercedes-benz.com/documents/company/compliance/mercedes-benz-group-ag-integrity-code.pdf</t>
  </si>
  <si>
    <t>https://group.mercedes-benz.com/sustainability/digital-trust/data/data-compliance-management.html</t>
  </si>
  <si>
    <t>https://group.mercedes-benz.com/documents/company/other/mercedes-benz-dataprotectionpolicy-en.pdf</t>
  </si>
  <si>
    <t>https://group.mercedes-benz.com/dokumente/nachhaltigkeit/gesellschaft/mercedes-benz-principles-of-social-responsibility-and-human-rights-en.pdf</t>
  </si>
  <si>
    <t>148_24_Principles for Artificial Intelligence_210226.pdf</t>
  </si>
  <si>
    <t>149_24_integrity-code_210226.pdf</t>
  </si>
  <si>
    <t>150_24_Data Responsibility_210226.pdf</t>
  </si>
  <si>
    <t>Redundant zu AI Principles.</t>
  </si>
  <si>
    <t>Zählt aufgrund des Umfangs auch als AI Ethics / AI Policy.</t>
  </si>
  <si>
    <t>151_24_dataprotectionpolicy_210226.pdf</t>
  </si>
  <si>
    <t>152_24_principles-of-social-responsibility-and-human-rights_210226.pdf</t>
  </si>
  <si>
    <t>Es gibt keine separat veröffentlichten KI‑Leitlinien über die CoDE hinaus</t>
  </si>
  <si>
    <t>Digital Ethics – Merck</t>
  </si>
  <si>
    <t>Code of Digital Ethics (CoDE)</t>
  </si>
  <si>
    <t>CoDE One‑Pager</t>
  </si>
  <si>
    <t>Sustainability Report 2023 – Digital ethics</t>
  </si>
  <si>
    <t>Merck Code of Conduct</t>
  </si>
  <si>
    <t>Humanizing artificial intelligence – Blog</t>
  </si>
  <si>
    <t>https://www.merckgroup.com/en/sustainability/business-ethics/digital-ethics.html</t>
  </si>
  <si>
    <t>https://www.emdgroup.com/content/dam/web/corporate/non-images/digital-ethics/downloads/us/CoDE-of-Digital-Ethics-NA.pdf</t>
  </si>
  <si>
    <t>https://www.merckgroup.com/company/responsibility/us/products-businesses/onepager_code_US.pdf</t>
  </si>
  <si>
    <t>https://www.reports.emdgroup.com/en/sustainability-report/2023/business-ethics/digital-ethics.html</t>
  </si>
  <si>
    <t>https://www.merckgroup.com/company/responsibility/en/regulations-and-guidelines/code-of-conduct.pdf</t>
  </si>
  <si>
    <t>https://www.merckgroup.com/en/the-future-transformation/humanize-ai.html</t>
  </si>
  <si>
    <t>Merck KGaA</t>
  </si>
  <si>
    <t>Zählt aufgrund des Umfangs auch als AI Policy.</t>
  </si>
  <si>
    <t>153_25_Digital Ethics_210226.pdf</t>
  </si>
  <si>
    <t>Zählt aufgrund des Umfangs auch als AI Principles.</t>
  </si>
  <si>
    <t>154_25_CoDE-of-Digital-Ethics_210226.pdf</t>
  </si>
  <si>
    <t>Redundant zum CoDE</t>
  </si>
  <si>
    <t>155_25_onepager_code_210226.pdf</t>
  </si>
  <si>
    <t>156_25_Sustainability Report_210226.pdf</t>
  </si>
  <si>
    <t>157_25_code-of-conduct_210226.pdf</t>
  </si>
  <si>
    <t>158_25_Humanizing artificial intelligence_210226.pdf</t>
  </si>
  <si>
    <t xml:space="preserve">Keine expliziten AI‑/Responsible‑AI‑Leitlinien oder Digital‑Ethik‑Policies gefunden. </t>
  </si>
  <si>
    <t>Code of Conduct of MTU Aero Engines</t>
  </si>
  <si>
    <t>Policy Statement on the Protection of Human Rights at MTU Aero Engines</t>
  </si>
  <si>
    <t>Code of Conduct for MTU Suppliers</t>
  </si>
  <si>
    <t>MTU Aero Engines AG</t>
  </si>
  <si>
    <t>https://www.cf.mtu.bgm%E2%80%91hosting.de/fileadmin/EN/10_Responsibility/Reports_Documentation/MTU_Verhaltensgrundsaetze_en_2604_150.pdf</t>
  </si>
  <si>
    <t>https://www.cf.mtu.bgm%E2%80%91hosting.de/fileadmin/EN/10_Responsibility/Reports_Documentation/Grundsatzerklaerung_Menschenrechte_V2_final_EN.pdf</t>
  </si>
  <si>
    <t>https://www.cf.mtu.bgm%E2%80%91hosting.de/fileadmin/EN/10_Responsibility/Reports_Documentation/06_Code_of_Conduct_Lieferanten_EN.pdf</t>
  </si>
  <si>
    <t>159_26_Verhaltensgrundsaetze_210226.pdf</t>
  </si>
  <si>
    <t>160_26_Grundsatzerklaerung_Menschenrechte_210226.pdf</t>
  </si>
  <si>
    <t>161_26_Code_of_Conduct_Lieferanten_210226.pdf</t>
  </si>
  <si>
    <t>Münchener Rückversicherungs‑Gesellschaft</t>
  </si>
  <si>
    <t>Außer den in den Jahres- und Nachhaltigkeitsberichten integrierten Aussagen zu verantwortungsvoller KI wurden keine dedizierten Responsible AI Policies, AI Principles oder digitalen Ethikrichtlinien auf Konzernebene gefunden</t>
  </si>
  <si>
    <t>Combined Non‑Financial Statement 2019 (part of Annual Report)</t>
  </si>
  <si>
    <t>Group Annual Report 2023 – Combined Non‑Financial Statement</t>
  </si>
  <si>
    <t>Code of Conduct (Munich Re Group)</t>
  </si>
  <si>
    <t>AI Act Insight Article – “New EU Act regulates AI in insurance”</t>
  </si>
  <si>
    <t>Letter of Intent with Munich Re – Institute for Ethics in Artificial Intelligence</t>
  </si>
  <si>
    <t>Group Annual Report 2022 – Combined Non‑Financial Statement</t>
  </si>
  <si>
    <t>Similar to the 2023 report but with slightly less regulatory context, this document details Munich Re’s responsible AI framework, emphasises staff training, privacy impact assessments and fairness/anti‑discrimination checks, and highlights the goal of making algorithms transparent</t>
  </si>
  <si>
    <t>https://www.munichre.com/content/dam/munichre/mrwebsiteslaunches/2019-annual-report/MunichRe-Combined-non-financial-statement-en.pdf</t>
  </si>
  <si>
    <t>https://www.munichre.com/content/dam/munichre/mrwebsiteslaunches/2022-annual-report/MunichRe-Group-Annual-Report-2022-en.pdf</t>
  </si>
  <si>
    <t>https://www.munichre.com/content/dam/munichre/mrwebsiteslaunches/2023-annual-report/MunichRe-Group-Annual-Report-2023-en.pdf</t>
  </si>
  <si>
    <t>https://www.munichre.com/content/dam/munichre/contentlounge/website-pieces/documents/MunichRe-Code-of-Conduct-en.pdf</t>
  </si>
  <si>
    <t>https://www.munichre.com/automation-solutions/en/resources/insights/ai/new-eu-act-regulates-ai-in-insurance.html</t>
  </si>
  <si>
    <t>https://www.ieai.sot.tum.de/letter-of-intent-with-munich-re/</t>
  </si>
  <si>
    <t>166_27_Letter of Intent_210226.pdf</t>
  </si>
  <si>
    <t>165_27_New EU Act Regulates AI in Insurance_210226.pdf</t>
  </si>
  <si>
    <t>164_27_Code-of-Conduct_210226.pdf</t>
  </si>
  <si>
    <t>162_27_Combined-non-financial-statement_210226.pdf</t>
  </si>
  <si>
    <t>167_27_Annual-Report-2022_210226.pdf</t>
  </si>
  <si>
    <t>163_27_Annual-Report-2023_210226.pdf</t>
  </si>
  <si>
    <t>Digitalization, data protection and corporate digital responsibility</t>
  </si>
  <si>
    <t>Human Rights in the Porsche Group – Policy Statement</t>
  </si>
  <si>
    <t>https://www.porsche-se.com/fileadmin/downloads/investor_relations/annual-report/PorscheSE_GB_2023_EN.pdf</t>
  </si>
  <si>
    <t>https://newsroom.porsche.com/en/sustainability/governance-transparency/porsche-digitalization-data-protection-and-corporate-digital-responsibility.html</t>
  </si>
  <si>
    <t>https://www.porsche-holding.com/PorscheHolding/files/en/Code_of_Conduct.pdf</t>
  </si>
  <si>
    <t>https://newsroom.porsche.com/en/sustainability/human-rights-in-the-porsche-group.html</t>
  </si>
  <si>
    <t>Annual Report 2024 – Consolidated and separate financial statements (English)</t>
  </si>
  <si>
    <t>168_28_Geschaeftsbericht_210226.pdf</t>
  </si>
  <si>
    <t>169_28_Digitalization, data protection and corporate digital responsibility_210226.pdf</t>
  </si>
  <si>
    <t>Verweist darauf, dass es eine Corporate Digital Responsibility gibt. Diese ist durch öffentliche Suche jedoch nicht findbar / zugänglich.</t>
  </si>
  <si>
    <t>170_28_Compliance and Integrity_210226.pdf</t>
  </si>
  <si>
    <t>171_28_Porsche_Policy-Statement_210226.pdf</t>
  </si>
  <si>
    <t>Porsche Automobil Holding SE</t>
  </si>
  <si>
    <t>Code of Conduct of the Rheinmetall Group</t>
  </si>
  <si>
    <t>Code of Conduct for Sales &amp; Cooperation Partners (Business Partner Code of Conduct)</t>
  </si>
  <si>
    <t>Declaration of Principle on Human Rights and Environmental Due Diligence (LkSG)</t>
  </si>
  <si>
    <t>Digitization – Overview</t>
  </si>
  <si>
    <t>Rheinmetall AG</t>
  </si>
  <si>
    <t>https://www.rheinmetall.com/Rheinmetall%20Group/Unternehmen/Corporate_Governance/PDFs/Rheinmetall-AG-Code-of-Conduct-en-2022.pdf</t>
  </si>
  <si>
    <t>https://www.rheinmetall.com/Rheinmetall%20Group/Unternehmen/Einkauf/Download/Supplier-Code-Of-Conduct/EN/Rheinmetall_Supplier-Code-of-Conduct-en.pdf</t>
  </si>
  <si>
    <t>https://www.rheinmetall.com/Rheinmetall%20Group/Unternehmen/Compliance/rheinmetall-business-partner-code-of-conduct-GPRL-V2-annex-2d.pdf</t>
  </si>
  <si>
    <t>https://www.rheinmetall.com/Rheinmetall%20Group/Verantwortung/Grundsatzerkl%C3%A4rung/Rheinmetall-Declaration-of-principle-LkSG-2025.pdf</t>
  </si>
  <si>
    <t>https://www.rheinmetall.com/en/products/digitization/overview</t>
  </si>
  <si>
    <t>QIA Agent – Terms of Use</t>
  </si>
  <si>
    <t>QIAGEN Digital Insights – Product Terms &amp; Conditions (Biomedical KB‑AI)</t>
  </si>
  <si>
    <t>Corporate Code of Conduct and Ethics</t>
  </si>
  <si>
    <t>Business with Integrity – Cyber Security Initiatives</t>
  </si>
  <si>
    <t>2024 IFRS Annual Report – Risks Related to Artificial Intelligence Adoption and Compliance</t>
  </si>
  <si>
    <t>2023 Sustainability Report – Data and Cyber Security</t>
  </si>
  <si>
    <t>Human Rights Policy Statement</t>
  </si>
  <si>
    <t>QIAGEN N.V.</t>
  </si>
  <si>
    <t>https://www.qiagen.com/-/media/Project/Qiagen/Qiagen-Home/Documents/QIA-Agent-Terms-of-Use.pdf</t>
  </si>
  <si>
    <t>https://www.qiagen.com/us/resources/download.aspx?id=2f490060-5df3-4a03-be4e-dbcf2f76a8c2&amp;lang=en</t>
  </si>
  <si>
    <t>https://www.qiagen.com/us/sustainability/business-with-integrity</t>
  </si>
  <si>
    <t>172_29_QIA Agent Terms of Use_210226.pdf</t>
  </si>
  <si>
    <t>173_29_Digital Insights BKB-AI Product_210226.pdf</t>
  </si>
  <si>
    <t>https://s28.q4cdn.com/125951340/files/doc_downloads/2021/05/2021-QIAGEN-Corporate-Code-of-Conduct-and-Ethics.pdf</t>
  </si>
  <si>
    <t>174_29_Corporate-Code-of-Conduct-and-Ethics_210226.pdf</t>
  </si>
  <si>
    <t>175_29_Business with integrity_210226.pdf</t>
  </si>
  <si>
    <t>https://s28.q4cdn.com/125951340/files/doc_financials/2024/ar/2024-IFRS-Annual-Report.pdf</t>
  </si>
  <si>
    <t>176_29_IFRS-Annual-Report_210226.pdf</t>
  </si>
  <si>
    <t>Listet KI nur als Risikofaktoren.</t>
  </si>
  <si>
    <t>https://s28.q4cdn.com/125951340/files/doc_financials/2024/sr/QIAGEN-2023-Sustainability-Report_120624.pdf</t>
  </si>
  <si>
    <t>177_29_Sustainability-Report_220226.pdf</t>
  </si>
  <si>
    <t>https://www.qiagen.com/us/about-us/compliance/human-rights</t>
  </si>
  <si>
    <t>178_29_Human Rights_210226.pdf</t>
  </si>
  <si>
    <t>179_30_Code-of-Conduct_210226.pdf</t>
  </si>
  <si>
    <t>180_30_Supplier-Code-of-Conduct_210226.pdf</t>
  </si>
  <si>
    <t>181_30_business-partner-code-of-conduct_210226.pdf</t>
  </si>
  <si>
    <t>182_30_Declaration-of-principle_210226.pdf</t>
  </si>
  <si>
    <t>183_30_Overview_210226.pdf</t>
  </si>
  <si>
    <t>RWE AG</t>
  </si>
  <si>
    <t xml:space="preserve">SAP SE </t>
  </si>
  <si>
    <t>Global AI Ethics Policy</t>
  </si>
  <si>
    <t>Global Code of Ethics &amp; Business Conduct for Employees</t>
  </si>
  <si>
    <t>Global Human Rights Commitment Statement</t>
  </si>
  <si>
    <t>Partner Code of Conduct</t>
  </si>
  <si>
    <t>Global AI Ethics Guiding Principles &amp; Governance Bodies</t>
  </si>
  <si>
    <t>Policies, Ethics &amp; Compliance – Speak Out &amp; Codes</t>
  </si>
  <si>
    <t>AI Ethics Handbook V2024</t>
  </si>
  <si>
    <t>https://www.sap.com/documents/2022/01/a8431b91-117e-0010-bca6-c68f7e60039b.html</t>
  </si>
  <si>
    <t>https://news.sap.com/sea/files/2024/01/11/SAP-AI-Ethics-Handbook.pdf</t>
  </si>
  <si>
    <t>https://www.sap.com/documents/2021/12/eed75d58-507e-0010-bca6-c68f7e60039b.html</t>
  </si>
  <si>
    <t>https://www.sap.com/documents/2016/01/a8c6d366-577c-0010-82c7-eda71af511fa.html</t>
  </si>
  <si>
    <t>https://www.sap.com/docs/download/agreements/supplier-portal/sap-supplier-code-of-conduct/sap-supplier-code-of-conduct-englishglobal.pdf</t>
  </si>
  <si>
    <t>https://www.sap.com/documents/2023/07/02b2d2b7-7e7e-0010-bca6-c68f7e60039b.html</t>
  </si>
  <si>
    <t>https://d.dam.sap.com/m/zKaSxze/59552_GB_59552_enUS.pdf</t>
  </si>
  <si>
    <t>https://www.sap.com/products/sustainability/our-approach/reporting-and-policies.html</t>
  </si>
  <si>
    <t>Redundant zur AI Ethics Policy</t>
  </si>
  <si>
    <t>Eine „AI Guidelines“‑Seite als die zentrale Quelle für normative KI‑Prinzipien identifiziert.</t>
  </si>
  <si>
    <t>AI Guidelines and Innovation at RWE (Shaping Tomorrow’s Energy: The Power of Responsible AI)</t>
  </si>
  <si>
    <t>RWE Code of Conduct</t>
  </si>
  <si>
    <t>RWE AI Research Laboratory</t>
  </si>
  <si>
    <t>Annual Report 2024 (Combined management report and sustainability statement)</t>
  </si>
  <si>
    <t>https://www.rwe.com/en/research-and-development/digitalisation-at-rwe/digital-guidelines/</t>
  </si>
  <si>
    <t>https://www.rwe.com/-/media/RWE/documents/09-verantwortung-nachhaltigkeit/rwe-code-of-conduct.pdf</t>
  </si>
  <si>
    <t>https://www.rwe.com/en/research-and-development/digitalisation-at-rwe/rwe-ai-research-laboratory/</t>
  </si>
  <si>
    <t>https://www.rwe.com/-/media/RWE/documents/05-investor-relations/finanzkalendar-und-veroeffentlichungen/2024-gj/2025-03-20-rwe-annual-report-2024.pdf</t>
  </si>
  <si>
    <t>184_31_AI Guidelines and Innovation_210226.pdf</t>
  </si>
  <si>
    <t>185_31_code-of-conduct_210226.pdf</t>
  </si>
  <si>
    <t>186_31_AI Research Laboratory_210226.pdf</t>
  </si>
  <si>
    <t>187_31_annual-report_210226.pdf</t>
  </si>
  <si>
    <t>188_32_Global AI Ethics Policy_210226.pdf</t>
  </si>
  <si>
    <t>189_32_SAP-AI-Ethics-Handbook_210226.pdf</t>
  </si>
  <si>
    <t>190_32_Global Code of Ethics and Business Conduct for Employees_210226.pdf</t>
  </si>
  <si>
    <t>191_32_Global Human Rights Commitment_210226.pdf</t>
  </si>
  <si>
    <t>192_32_supplier-code-of-conduct_210226.pdf</t>
  </si>
  <si>
    <t>193_32_Partner Code of Conduct_210226.pdf</t>
  </si>
  <si>
    <t>194_32_Branded Governance Deck_210226.pdf</t>
  </si>
  <si>
    <t>195_32_Policies, Ethics, &amp; Compliance _ Sustainability_210226.pdf</t>
  </si>
  <si>
    <t>22.02.2026</t>
  </si>
  <si>
    <t>Trotz intensiver Suche wurde keine öffentlich verfügbare AI‑Ethics‑Policy oder Responsible‑AI‑Richtlinie für Scout24 entdeckt</t>
  </si>
  <si>
    <t>Scout24 Code of Conduct</t>
  </si>
  <si>
    <t>https://www.scout24.com/media/scout24/Investor_Relations/Corporate_Governance/Verhaltenskodex/Scout24_Code_of_Conduct_EN.pdf</t>
  </si>
  <si>
    <t>Data Protection Code of Conduct</t>
  </si>
  <si>
    <t>https://www.scout24.com/media/scout24/Investor_Relations/Corporate_Governance/Verhaltenskodex/Scout24_Code_of_Conduct_Data_Protection_EN.pdf</t>
  </si>
  <si>
    <t>Policy statement on respect for human rights</t>
  </si>
  <si>
    <t>https://www.scout24.com/media/scout24/Investor_Relations/Corporate_Governance/Grundsatzerklaerung_Menschenrechte/Scout24_SE_Policy_Statement_on_respect_of_human_rights_EN_2025.pdf</t>
  </si>
  <si>
    <t>Corporate governance statement 2024</t>
  </si>
  <si>
    <t>https://www.scout24.com/media/scout24/Investor_Relations/Corporate_Governance/UEbersicht_Corporate_Governance/Scout24_Corporate_Governance_Statement_2024_EN.pdf</t>
  </si>
  <si>
    <t>Annual report and annual financial report 2024</t>
  </si>
  <si>
    <t>https://www.scout24.com/media/scout24/Investor_Relations/Berichte_und_Praesentationen/2024_EN/Scout24_Annual_Report_2024_EN.pdf</t>
  </si>
  <si>
    <t>Scout24 SE</t>
  </si>
  <si>
    <t>No public AI/Responsible AI guideline, policy or principles found (as of 2026‑02‑22)</t>
  </si>
  <si>
    <t>196_33_Code_of_Conduct_220226.pdf</t>
  </si>
  <si>
    <t>197_33_Code_of_Conduct_Data_Protection_220226.pdf</t>
  </si>
  <si>
    <t>198_33_Policy_Statement_on_respect_of_human_rights_220226.pdf</t>
  </si>
  <si>
    <t>199_33_Corporate_Governance_Statement_220226.pdf</t>
  </si>
  <si>
    <t>200_33_Annual_Report_220226.pdf</t>
  </si>
  <si>
    <t>Keine eigenständigen „AI Ethics Guidelines“ außerhalb des Nachhaltigkeitsberichts gefunden.</t>
  </si>
  <si>
    <t>Siemens AG</t>
  </si>
  <si>
    <t>Siemens Sustainability Report 2024 – Responsible AI Principles &amp; Generative AI Guardrails</t>
  </si>
  <si>
    <t>Sustainability at Siemens Limited India 2025 – Generative AI Guardrails</t>
  </si>
  <si>
    <t>Business Conduct Guidelines (BCG) 2024</t>
  </si>
  <si>
    <t>Group Code of Conduct for Suppliers &amp; Third‑Party Intermediaries v4.0 (Oct 2019)</t>
  </si>
  <si>
    <t>Policy Statement on Respect for Human Rights (LkSG Policy Statement)</t>
  </si>
  <si>
    <t>Impact 2025 – Responsible AI for smarter industry</t>
  </si>
  <si>
    <t>„The Transformative Power of AI“ – Blogartikel mit AI‑Ethics‑Prinzipien</t>
  </si>
  <si>
    <t>https://assets.new.siemens.com/siemens/assets/api/uuid:32a7154d-edba-47bc-8e9b-9761617ba774/sustainability-report.pdf</t>
  </si>
  <si>
    <t>201_34_sustainability-report_220226.pdf</t>
  </si>
  <si>
    <t>https://assets.new.siemens.com/siemens/assets/api/uuid:fef381c9-edc9-4e48-897e-4f62a42769b0/250514-SUS-at-Siemens-Limited.pdf</t>
  </si>
  <si>
    <t xml:space="preserve">Redundant zum Siemens Sustainability Report 2024 </t>
  </si>
  <si>
    <t>202_34_SUS-at-Siemens-Limited_220226.pdf</t>
  </si>
  <si>
    <t>https://assets.new.siemens.com/siemens/assets/api/uuid:1a9f4d65-bf1d-4c67-ba45-840436b85e00/BCG-English-2024.pdf</t>
  </si>
  <si>
    <t>203_34_BCG_220226.pdf</t>
  </si>
  <si>
    <t>https://assets.new.siemens.com/siemens/assets/api/uuid:13aa5995-6456-4a11-91c1-e32c408d7ba4/code-of-conduct-v4-0-incl--supplier-declaration-english.pdf</t>
  </si>
  <si>
    <t>204_34_code-of-conduct-incl--supplier-declaration_220226.pdf</t>
  </si>
  <si>
    <t>https://assets.new.siemens.com/siemens/assets/api/uuid:f1f93085-dd53-4e72-88ce-140713c3ced5/SAG-LkSG-Policy-Statement.pdf</t>
  </si>
  <si>
    <t>205_34_SAG-LkSG-Policy-Statement_220226.pdf</t>
  </si>
  <si>
    <t>https://www.siemens.com/de-ch/campaigns/artificial-intelligence-china/</t>
  </si>
  <si>
    <t>AI Creates Real Value, Reshaping Industrial Future!</t>
  </si>
  <si>
    <t>206_34_Artificial Intelligence_220226.pdf</t>
  </si>
  <si>
    <t>A Framework for Digital Transformation</t>
  </si>
  <si>
    <t>210_34_framework-for-the-digital-transformation_220226.pdf</t>
  </si>
  <si>
    <t>https://assets.new.siemens.com/siemens/assets/api/uuid:75bbf44d-7e79-42be-84a5-285d456d95f2/di-pa-framework-for-the-digital-transformation.pdf</t>
  </si>
  <si>
    <t>No public AI policy or principles found (as of 2026‑02‑22)</t>
  </si>
  <si>
    <t>https://assets.new.siemens.com/siemens/assets/api/uuid:00095b96-4712-4cd1-b045-19d5df704358/sustainability-report-fy2023.pdf</t>
  </si>
  <si>
    <t>207_34_sustainability-report_220226.pdf</t>
  </si>
  <si>
    <t>https://press.siemens.com/global/en/pressrelease/siemens-achieves-strong-progress-sustainability-targets</t>
  </si>
  <si>
    <t>Siemens achieves strong progress on sustainability targets</t>
  </si>
  <si>
    <t>208_34_Siemens achieves strong progress on sustainability targets_220226.pdf</t>
  </si>
  <si>
    <t>https://blog.siemens.com/2025/01/the-transformative-power-of-ai-ensuring-ethical-and-beneficial-use/</t>
  </si>
  <si>
    <t>209_34_The Transformative Power of AI_220226.pdf</t>
  </si>
  <si>
    <t>Es wurde kein öffentliches Responsible‑AI‑Policy‑Dokument gefunden; AI‑Referenzen beschränkten sich auf Blog‑Stories, die Cybersecurity betonen</t>
  </si>
  <si>
    <t>Business Conduct Guidelines</t>
  </si>
  <si>
    <t>Code of Conduct for Suppliers and Third‑Party Intermediaries (Version 2.0)</t>
  </si>
  <si>
    <t>Respect for Human Rights and Environmental Protection – Policy Statement</t>
  </si>
  <si>
    <t>Group Sustainability Statement (Annual Report 2025)</t>
  </si>
  <si>
    <t>How AI is powering the future of energy – Cybersecurity built into every AI solution</t>
  </si>
  <si>
    <t>https://www.siemens-energy.com/global/en/home/stories/ai-power-generation.html</t>
  </si>
  <si>
    <t>Siemens Energy AG</t>
  </si>
  <si>
    <t>https://p3.aprimocdn.net/siemensenergy/8e648225-57ab-4566-b6f0-b03c011e91ad/Siemens-Energy-BCG-English_original-pdf_Original%20file.pdf</t>
  </si>
  <si>
    <t>210_35_BCG_220226.pdf</t>
  </si>
  <si>
    <t>https://p3.aprimocdn.net/siemensenergy/07d2a9a3-edde-492b-8942-b077008c2961/code-of-conduct-english-pdf_Original%20file.pdf</t>
  </si>
  <si>
    <t>https://p3.aprimocdn.net/siemensenergy/29fcba73-c5dd-4c28-be93-b07a00ed0a39/Human-Rights-Policy-Statement-pdf_Original%20file.pdf</t>
  </si>
  <si>
    <t>212_35_Human-Rights-Policy-Statement_220226.pdf</t>
  </si>
  <si>
    <t>211_35_code-of-conduct_220226.pdf</t>
  </si>
  <si>
    <t>https://p3.aprimocdn.net/siemensenergy/43565cdd-c8c3-4dcf-b727-b3b000809a5d/H-Group_Sustainability_Statement-pdf_Original%20file.pdf</t>
  </si>
  <si>
    <t>213_35_Sustainability_Statement_220226.pdf</t>
  </si>
  <si>
    <t>214_35_How AI is powering the future of energy_220226.pdf</t>
  </si>
  <si>
    <t>Siemens Healthineers AG</t>
  </si>
  <si>
    <t>AI Principles wurden gefunden.</t>
  </si>
  <si>
    <t>Advancing medicine with artificial intelligence</t>
  </si>
  <si>
    <t>Business Conduct Guidelines</t>
  </si>
  <si>
    <t>Your security, our priority: Cybersecurity program</t>
  </si>
  <si>
    <t>Policy statement – Act on Corporate Due Diligence Obligations in Supply Chains</t>
  </si>
  <si>
    <t>Rules of procedure for the handling of complaints</t>
  </si>
  <si>
    <t>Annual Report 2025 (with integrated Sustainability Report)</t>
  </si>
  <si>
    <t>Artificial intelligence – Advancing medicine with high‑impact AI solutions (Whitepaper)</t>
  </si>
  <si>
    <t>No public AI/Responsible AI guideline or policy found (as of 2026‑02‑22)</t>
  </si>
  <si>
    <t>https://www.siemens-healthineers.com/innovations/artificial-intelligence</t>
  </si>
  <si>
    <t>215_36_Advancing medicine with artificial intelligence_220226.pdf</t>
  </si>
  <si>
    <t>Das Whitepaper wird aufgrund besserer Lesbarkeit bevorzugt</t>
  </si>
  <si>
    <t>https://corporate.webassets.siemens-healthineers.com/0ad4a0708922d951/b0b62f5107c7/Business-Conduct-Guidelines_en.pdf</t>
  </si>
  <si>
    <t>https://marketing.webassets.siemens-healthineers.com/25ff9bc0acc21fbb/0ec5a3bb09d1/siemens-healthineers-cybersecurity-customer-facing-document.pdf</t>
  </si>
  <si>
    <t>https://corporate.webassets.siemens-healthineers.com/2093bf6d276a7775/23215821554e/siemens-healthineers_policy-statement.pdf</t>
  </si>
  <si>
    <t>https://corporate.webassets.siemens-healthineers.com/f315a7d4c7f8444e/4ca6840a4d7b/siemens-healthineers_rules-of-procedure-for-the-handling-of-complaints.pdf</t>
  </si>
  <si>
    <t>https://corporate.webassets.siemens-healthineers.com/a364b935102e7df5/d7fdacda458e/siemens-healthineers-ir-annual-report-2025.pdf</t>
  </si>
  <si>
    <t>220_36_annual-report_220226.pdf</t>
  </si>
  <si>
    <t>216_36_Business-Conduct-Guidelines_220226.pdf</t>
  </si>
  <si>
    <t>217_36_cybersecurity_220226.pdf</t>
  </si>
  <si>
    <t>218_36_policy-statement_220226.pdf</t>
  </si>
  <si>
    <t>219_36_rules-of-procedure-for-the-handling-of-complaints_220226.pdf</t>
  </si>
  <si>
    <t>https://corporate.webassets.siemens-healthineers.com/d261c6859d36ab55/be289e71ff82/15599-TE_MSC_Advancing_medicine_with_high_impact_AI_solutions_Whitepaper_eng_K3.pdf</t>
  </si>
  <si>
    <t>221_36_Advancing_medicine_with_high_impact_AI_solutions_Whitepaper_220226.pdf</t>
  </si>
  <si>
    <t>Symrise Code of Conduct</t>
  </si>
  <si>
    <t>Corporate Governance Statement and Report (2021)</t>
  </si>
  <si>
    <t>Responsible Sourcing Policy and Supplier Code of Conduct</t>
  </si>
  <si>
    <t>Non‑Financial Group Report 2024 (Sustainability Statements)</t>
  </si>
  <si>
    <t>“Pioneering AI in Fragrance and Flavor” – Our Stories article</t>
  </si>
  <si>
    <t>Symrise AG</t>
  </si>
  <si>
    <t>https://www.symrise.com/code-of-conduct/</t>
  </si>
  <si>
    <t>https://symrise.com/corporatereport/2021/downloads/SYM_corporategovernance_2021_EN.pdf</t>
  </si>
  <si>
    <t>223_37_corporategovernance_220226.pdf</t>
  </si>
  <si>
    <t>https://www.symrise.com/fileadmin/symrise/Corporate/Sustainability/Sourcing/Symrise-Responsible-Sourcing-Policy.pdf</t>
  </si>
  <si>
    <t>224_37_Responsible-Sourcing-Policy_220226.pdf</t>
  </si>
  <si>
    <t>https://symrise.com/corporatereport/2024/home/Symrise_GB24_Nichtfinanzielle_Konzernerklaerung_EN_geschuetzt.pdf</t>
  </si>
  <si>
    <t>225_37_GB24_Nichtfinanzielle_Konzernerklaerung_220226.pdf</t>
  </si>
  <si>
    <t>https://www.symrise.com/our-stories/150-shades-of-innovation/artificialintelligence/</t>
  </si>
  <si>
    <t>226_37_Artificial Intelligence_220226.pdf</t>
  </si>
  <si>
    <t>222_37_Code_of_Conducts_220226.pdf</t>
  </si>
  <si>
    <t>Volkswagen Group Ethical Principles for Artificial Intelligence</t>
  </si>
  <si>
    <t>Code of Conduct of the Volkswagen Group</t>
  </si>
  <si>
    <t>Group Sustainability Report 2023</t>
  </si>
  <si>
    <t>Volkswagen: AI and ethics – a question of hardware (interview on etami initiative)</t>
  </si>
  <si>
    <t>Volkswagen Group</t>
  </si>
  <si>
    <t>https://www.volkswagen-group.com/en/publications/more/ethical-principles-for-artificial-intelligence-2720/download?disposition=attachment</t>
  </si>
  <si>
    <t>https://www.vwfs.com/content/dam/bluelabel/valid/www-vwfs-com/verantwortung/Code_of_Conduct_Group_En.pdf</t>
  </si>
  <si>
    <t>https://blogs.sas.com/content/hiddeninsights/2021/03/23/patrick-van-der-smagt-volkswagen/</t>
  </si>
  <si>
    <t>https://www.volkswagen-group.com/en/publications/more/group-sustainability-report-2023-2674</t>
  </si>
  <si>
    <t>230_38_ AI and ethics a question of hardware_220226.pdf</t>
  </si>
  <si>
    <t>227_38_Ethics_AI_220226.pdf</t>
  </si>
  <si>
    <t>228_38_Code_of_Conduct_220226.pdf</t>
  </si>
  <si>
    <t>229_38_Sustainability_Report_220226.pdf</t>
  </si>
  <si>
    <t>Annual Report 2024 (Sustainability Statement)</t>
  </si>
  <si>
    <t>Business Partner Code of Conduc</t>
  </si>
  <si>
    <t>ESG Factbook 2024</t>
  </si>
  <si>
    <t>Declaration of Respect for Human Rights</t>
  </si>
  <si>
    <t>Website: Digitalisierung und Datensicherheit</t>
  </si>
  <si>
    <t>Vonovia SE</t>
  </si>
  <si>
    <t>https://www.vonovia.com/en/content/download/61154/6246263?version=3</t>
  </si>
  <si>
    <t>https://report.vonovia.com/2024/q4/app/uploads/Vonovia-SE_Annual-Report-2024.pdf</t>
  </si>
  <si>
    <t>https://www.vonovia.com/en/content/download/61130/7424860?version=6</t>
  </si>
  <si>
    <t>https://report.vonovia.com/2024/esg-factbook/en/</t>
  </si>
  <si>
    <t>https://www.vonovia.com/nachhaltigkeit/handlungsfelder/nachhaltige-unternehmensfuehrung/digitalisierung-und-datensicherheit</t>
  </si>
  <si>
    <t>232_39_Annual-Report_220226.pdf</t>
  </si>
  <si>
    <t>KI nur als strategischer Katalysator beschrieben. Kein Bezug zur KI Ethik</t>
  </si>
  <si>
    <t>234_39_ESG Factbook_220226.pdf</t>
  </si>
  <si>
    <t>https://www.vonovia.com/content/download/61163/4268153?version=7</t>
  </si>
  <si>
    <t>236_39_Datenschutz &amp; Digitalisierung_220226.pdf</t>
  </si>
  <si>
    <t>231_39_code_of_conduct_220226.pdf</t>
  </si>
  <si>
    <t>233_39_Supplier-CoC_220226.pdf</t>
  </si>
  <si>
    <t>235_39_grundsatzerklaerung_lksg_220226.pdf</t>
  </si>
  <si>
    <t>Zalando SE</t>
  </si>
  <si>
    <t>relevante Inhalte zu KI-/Algorithmus-Werten und Governance sind über CDR-Report, Code of Ethics, ESG- und D&amp;I-Dokumente sowie Tech-Blog-Artikel verteilt.</t>
  </si>
  <si>
    <t>Zalando Code of Ethics</t>
  </si>
  <si>
    <t>https://corporate.zalando.com/en/about-us/zalando-code-ethics</t>
  </si>
  <si>
    <t>Code of Conduct (Business Partner Code</t>
  </si>
  <si>
    <t>https://corporate.zalando.com/sites/default/files/media-download/Zalando-SE_Code-of-conduct_2021.pdf</t>
  </si>
  <si>
    <t>CDR-Kodex – Corporate Digital Responsibility Report Zalando 2023</t>
  </si>
  <si>
    <t>https://cdr-initiative.de/uploads/files/Berichte/Zalando-Report-2023.pdf</t>
  </si>
  <si>
    <t>Sustainability Progress Report 2023</t>
  </si>
  <si>
    <t>https://corporate.zalando.com/en/people-planet/sustainability/sustainability-reports/sustainability-progress-report-2023</t>
  </si>
  <si>
    <t>CSRD Digest 2024</t>
  </si>
  <si>
    <t>https://corporate.zalando.com/en/people-planet/sustainability/sustainability-reports/csrd-digest-2024</t>
  </si>
  <si>
    <t>do.BETTER – Diversity &amp; Inclusion Report 2022</t>
  </si>
  <si>
    <t>https://corporate.zalando.com/en/dobetter-diversity-inclusion-report-2022</t>
  </si>
  <si>
    <t>Attitude-Behavior Gap Report</t>
  </si>
  <si>
    <t>https://corporate.zalando.com/en/our-impact/sustainability/sustainability-reports/attitude-behavior-gap-report</t>
  </si>
  <si>
    <t>Collaborating for Responsible AI: Insights from Kasra Hosseini</t>
  </si>
  <si>
    <t>https://jobs.zalando.com/en/blog/tech-collaborating-for-responsible-ai-insights-from-kasra-hosseini</t>
  </si>
  <si>
    <t>Inspiring and empowering customers with AI-powered experiences</t>
  </si>
  <si>
    <t>https://corporate.zalando.com/en/technology/inspiring-and-empowering-customers-ai-powered-experiences</t>
  </si>
  <si>
    <t>238_40_Code-of-conduct_220226.pdf</t>
  </si>
  <si>
    <t>239_40_Zalando-Report_220226.pdf</t>
  </si>
  <si>
    <t>244_40_Collaborating for Responsible AI_220226.pdf</t>
  </si>
  <si>
    <t>245_40_Inspiring and empowering customers with AI-powered experiences_220226.pdf</t>
  </si>
  <si>
    <t>237_40_Code_of_Ethics_220226.pdf</t>
  </si>
  <si>
    <t>241_40_Sustainability_CSRD_Digest_220226.pdf</t>
  </si>
  <si>
    <t>243_40_Attitude-Behavior_Gap_Report_220226.pdf</t>
  </si>
  <si>
    <t>242_40_D&amp;I Report_220226.pdf</t>
  </si>
  <si>
    <t>240_40_Sustainability_Progress_Report_220226.pdf</t>
  </si>
  <si>
    <t>036_06_Hamburg Business_120626.pdf</t>
  </si>
  <si>
    <t xml:space="preserve">Inkludiert in Pilot? </t>
  </si>
  <si>
    <t>X</t>
  </si>
  <si>
    <t>KI-Nutzung muss Kundenautonomie respektieren, Risikobasierte menschliche Kontrolle wird zugesichert</t>
  </si>
  <si>
    <t>“Each usage of AI systems must respect customers’ autonomy and decision-making.”; “We ensure an appropriate, risk-based level of human control.”</t>
  </si>
  <si>
    <t>S. 5, 8</t>
  </si>
  <si>
    <t>Deontisch („must respect…“) + human control.</t>
  </si>
  <si>
    <t xml:space="preserve"> </t>
  </si>
  <si>
    <t xml:space="preserve">S. 3 </t>
  </si>
  <si>
    <t>AI-Systeme werden in Produktion überwacht, inkl. Feedback</t>
  </si>
  <si>
    <t>“We monitor AI systems in production… integrating user feedback.”</t>
  </si>
  <si>
    <t>Monitoring/Feedback als Accountability-Indiz.</t>
  </si>
  <si>
    <t>Kunden werden bei direkter KI-Interaktion informiert</t>
  </si>
  <si>
    <t>“We inform customers whenever they interact directly with an AI system, such as a chatbot.”</t>
  </si>
  <si>
    <t>Kunden-Disclosure bei KI-Interaktion</t>
  </si>
  <si>
    <t>Interpretierbarkeit wird risikobasiert angestrebt</t>
  </si>
  <si>
    <t>“We follow a risk-based approach to attain suitable levels of interpretability.”</t>
  </si>
  <si>
    <t>Interpretability explizit (risk-based).</t>
  </si>
  <si>
    <t>Vermeidung direkter/indirekter Diskriminierung; Bias wird in Daten und Modellen adressiert</t>
  </si>
  <si>
    <t>“We commit to avoiding… discrimination… in line with applicable non-discrimination law.”; “We mitigate potential bias both in the data itself… as well as… in each individual model.”</t>
  </si>
  <si>
    <t>S. 4, 5</t>
  </si>
  <si>
    <t>Anti-Discrimination + Bias-Mitigation.</t>
  </si>
  <si>
    <t>KI-Nutzung nur im Rahmen von Privacy Laws/Standards;Privacy Risk Assessment als Pflicht-Check bei Personal Data</t>
  </si>
  <si>
    <t>“AI systems may only be used… including the Allianz Privacy Standard.”; “perform a dedicated privacy risk assessment whenever personal data are utilised in an AI system.”</t>
  </si>
  <si>
    <t>S. 4, 6</t>
  </si>
  <si>
    <t>Privacy + konkreter Pflicht-Check (Risk Assessment).</t>
  </si>
  <si>
    <t>S. 4</t>
  </si>
  <si>
    <t>Cybersecurity &amp; Resilience über den KI-Lifecycle</t>
  </si>
  <si>
    <t>“We ensure… cybersecurity and resilience measures… throughout the life-cycle of an AI System.”</t>
  </si>
  <si>
    <t>Nicht nachweisbar.</t>
  </si>
  <si>
    <t>Monitoring zur Sicherstellung beabsichtigter Outcomes (Reliability)</t>
  </si>
  <si>
    <t>“We monitor AI systems in production… [to] match the intended outcome…”</t>
  </si>
  <si>
    <t>Reliability/Accuracy über Monitoring, ohne Test-/Robustness-Details.</t>
  </si>
  <si>
    <t>AI-Use Cases an Gesetze/Standards gebunden; Illegale KI-Systeme werden nicht entwickelt/genutzt</t>
  </si>
  <si>
    <t>“AI systems and use cases may only be used in line with applicable laws and Allianz standards.”; “We do not develop or use AI Systems, which are in violation of the law.”</t>
  </si>
  <si>
    <t xml:space="preserve">S. 1,3 </t>
  </si>
  <si>
    <t>„may only“ + Verbot illegaler KI.</t>
  </si>
  <si>
    <t>Datenqualität wird als Voraussetzung für Training/Use gefordert</t>
  </si>
  <si>
    <t>“data quality has to be ensured when training and using AI Systems… through… data governance.”</t>
  </si>
  <si>
    <t>S. 5</t>
  </si>
  <si>
    <t>Data Quality/Governance explizit für KI.</t>
  </si>
  <si>
    <t>„Prohibited AI“ wird hier nur als Gesetzesverstoß formuliert (keine expliziten ethischen Leitplanken jenseits Compliance).</t>
  </si>
  <si>
    <t>S. 5-6</t>
  </si>
  <si>
    <t>S. 6</t>
  </si>
  <si>
    <t>“Allianz has established… (DAITAB)… provides recommendations to the Board of Management…”;“The RAI Governance establishes the new role of an AI Trust Officer at both Group and local level.”; “The Group AI Office… providing… AI literacy, and oversight for AI…”</t>
  </si>
  <si>
    <t>Rollen/Gremien + Aufgaben beschrieben. Kein Implementierungsnachweis</t>
  </si>
  <si>
    <t>“Working cross-functionally, we consult relevant stakeholders… to ensure implementation of… Privacy and Ethics by Design.”; “The Allianz Standard… [and] Functional Rule… establish the… framework… [and] are currently being rolled out.”</t>
  </si>
  <si>
    <t>S. 2, 6</t>
  </si>
  <si>
    <t>Prozessabsicht/Framework erwähnt, keine vollständige Prozesskette.</t>
  </si>
  <si>
    <t>Konkrete Checks + Einsatzkontext (Trigger/Verortung).</t>
  </si>
  <si>
    <t>“perform a dedicated privacy risk assessment whenever personal data are utilised in an AI system.”;“conduct RAI-assessments with the CDO”</t>
  </si>
  <si>
    <t>“The Group AI Office… providing… AI literacy, and oversight for AI…”</t>
  </si>
  <si>
    <t>Literacy erwähnt, aber keine Pflicht/Programm-Details.</t>
  </si>
  <si>
    <t>Eskalationsmechanik benannt, kein Nachweis geübter Abläufe.</t>
  </si>
  <si>
    <t>“…escalate unresolved risk disagreements to the DAITAB.”</t>
  </si>
  <si>
    <t>C1</t>
  </si>
  <si>
    <t>C2</t>
  </si>
  <si>
    <t>C3</t>
  </si>
  <si>
    <t>C4</t>
  </si>
  <si>
    <t>C5</t>
  </si>
  <si>
    <t>02.03.26</t>
  </si>
  <si>
    <t>C6</t>
  </si>
  <si>
    <t>VAL_06 (BIND)</t>
  </si>
  <si>
    <t xml:space="preserve">multiple </t>
  </si>
  <si>
    <t>Reicht „privacy risk assessment whenever…“ als Standard/Prozessvorgabe (BIND=3) oder bleibt es Policy-Regel (BIND=2)?</t>
  </si>
  <si>
    <t>Ist „monitor… ensure decisions match intended outcome“ ausreichend spezifisch für Technical Robustness &amp; Reliability oder nur Accountability?</t>
  </si>
  <si>
    <t>Sind Stakeholder-Consultation + Corporate Rules bereits „dokumentierte Prozesse“ (Score=2) oder nur „benannt“ (Score=1)?</t>
  </si>
  <si>
    <t>Zählt „provides recommendations to the Board“ als Reporting?</t>
  </si>
  <si>
    <t>Ist „Prohibited AI“ als ethische Leitplanke (VAL_15) zu werten, obwohl es nur als Gesetzesverstoß formuliert ist?</t>
  </si>
  <si>
    <t>Q&amp;A enthält nur Fragen; mögliche Evidenz in (nicht sichtbaren) Antworten fehlt in der PDF.</t>
  </si>
  <si>
    <t>nein</t>
  </si>
  <si>
    <t>ja</t>
  </si>
  <si>
    <t>V00.1</t>
  </si>
  <si>
    <t>A: BIND=2 (deontisch „may only…“) B: BIND=3 (konkreter Pflicht-Check + Trigger). Gewählt: B, weil Check+Trigger explizit.</t>
  </si>
  <si>
    <t>A: VAL_09=1 (Reliability/Accuracy via Monitoring) B: VAL_09=0 (zu unspezifisch, eher VAL_02). Gewählt: A, aber konservativ mit BIND=1 und Confidence=mittel.</t>
  </si>
  <si>
    <t>A: Score=2 (Prozess-/Rahmen beschrieben) B: Score=1 (keine klare Prozesskette mit Trigger+Owner). Gewählt: B (konservativ).</t>
  </si>
  <si>
    <t>A: Score=1/2 (Reporting-Struktur) B: Score=0 (keine KPI/Reportgegenstand+Frequenz). Gewählt: B, da Evidenzminimum für Reporting nicht erfüllt.</t>
  </si>
  <si>
    <t>A: VAL_15=1 (Guardrail/„do not“) B: VAL_15=0 (nur Compliance → VAL_14). Gewählt: B (konservativ).</t>
  </si>
  <si>
    <t>A: Codes evtl. aus Fragen ableiten B: Nur sichtbaren Text werten (Evidence-first). Gewählt: B.</t>
  </si>
  <si>
    <t>Human oversight + Accountability-Mechanismen;Keine autonomen KI-Entscheidungen mit materiellem Impact auf Mitarbeitende</t>
  </si>
  <si>
    <t>“...subject to human oversight and accountability mechanisms.”; “AI is not used to make autonomous decisions that have a material impact on employees.”</t>
  </si>
  <si>
    <t>Human oversight + Verbot autonomer Entscheidungen mit materiellem Impact (Employees).</t>
  </si>
  <si>
    <t>Verantwortung für Impact der KI-Anwendungen</t>
  </si>
  <si>
    <t>“We take responsibility for the impact of our AI applications…”</t>
  </si>
  <si>
    <t>Verantwortung für Impact explizit.</t>
  </si>
  <si>
    <t>Transparenz + nachvollziehbare Entscheidungsprozesse</t>
  </si>
  <si>
    <t>“We ensure that our AI applications are transparent…”</t>
  </si>
  <si>
    <t>„transparent“ für AI applications.</t>
  </si>
  <si>
    <t>Entscheidungsprozesse sollen für Stakeholder „comprehensible“ sein</t>
  </si>
  <si>
    <t>“...decision-making processes that are comprehensible to stakeholders.”</t>
  </si>
  <si>
    <t>Fairness, Equal opportunity, Anti-Discrimination</t>
  </si>
  <si>
    <t>“...reject discrimination.”</t>
  </si>
  <si>
    <t>Privacy als „essential human right“ über gesamten Lifecycle</t>
  </si>
  <si>
    <t>“...protect the essential human right of an individual’s privacy throughout the entire life cycle…”</t>
  </si>
  <si>
    <t>Privacy über gesamten Lifecycle.</t>
  </si>
  <si>
    <t>hoch</t>
  </si>
  <si>
    <t>mittel</t>
  </si>
  <si>
    <t>„comprehensible decision-making processes“ → interpretierbar/erklärnah (Grenzfall zu VAL_03).</t>
  </si>
  <si>
    <t>Anti-Discrimination klar.</t>
  </si>
  <si>
    <t>Schutzziele inkl. confidentiality/authenticity.</t>
  </si>
  <si>
    <t>„safety“ (well-being/safety; robust &amp; safe) vorhanden, aber ohne konkrete Harm-Controls.</t>
  </si>
  <si>
    <t>reliability/accuracy explizit.</t>
  </si>
  <si>
    <t>„create value“ zu allgemein; keine wert-/KI-spezifische Evidenz.</t>
  </si>
  <si>
    <t>Laws (EU AI Act/GDPR) + „strictly prohibiting“; Inventory/Assessments als mögliche Prozess-Operationalisierung (Grenzfall BIND 2 vs 3).</t>
  </si>
  <si>
    <t>„ethically“ + Werte/CoC-Verweis.</t>
  </si>
  <si>
    <t>„data and AI governance“ genannt, aber ohne konkrete Data-Quality-Mechanik.</t>
  </si>
  <si>
    <t>„confidentiality“ erscheint im Security-Kontext (VAL_07); kein IP/Trade-secret/IPR-Bezug.</t>
  </si>
  <si>
    <t>Human Rights Policy + „essential human right“ (privacy) explizit.</t>
  </si>
  <si>
    <t>S.2 – Prinzip 3 „Accountable“</t>
  </si>
  <si>
    <t>S.2 – Prinzip 2 „Transparent“</t>
  </si>
  <si>
    <t>S.2 – Prinzip 4 „Fair and Unbiased“</t>
  </si>
  <si>
    <t>S.2 – Prinzip 6 „Privacy Preserving“</t>
  </si>
  <si>
    <t>S.2 – Prinzip 5 „Secure“</t>
  </si>
  <si>
    <t>S.2 – Prinzip 1 &amp; 7</t>
  </si>
  <si>
    <t>S.2 – Prinzip 7 „Robust &amp; Safe“</t>
  </si>
  <si>
    <t>S.1 – Intro &amp; „Commitment…“</t>
  </si>
  <si>
    <t>S.1 – Definition;S.2 – Prinzip 1</t>
  </si>
  <si>
    <t>S.1 – Intro</t>
  </si>
  <si>
    <t>S.2 – Prinzip 1 &amp; 6</t>
  </si>
  <si>
    <t>Security: Integrität/Vertraulichkeit/Verfügbarkeit/Authentizität</t>
  </si>
  <si>
    <t>“...maintaining the integrity, confidentiality, availability and authenticity…”</t>
  </si>
  <si>
    <t>Wohlbefinden &amp; Sicherheit von Individuen/Communities priorisiert; Robust &amp; Safe: reliability, accuracy, safety</t>
  </si>
  <si>
    <t>“...prioritizing the well-being and safety of individuals and communities.”; “...focus on reliability, accuracy, and safety.”</t>
  </si>
  <si>
    <t>“...focus on reliability, accuracy, and safety.”</t>
  </si>
  <si>
    <t>Robust &amp; Safe: reliability, accuracy, safety</t>
  </si>
  <si>
    <t>Responsible AI an EU AI Act/GDPR und Werte gebunden; KI für „Prohibited Practices“ wird strikt verboten (Policy-Verweis); Zentrales Inventar + Assessments zur Compliance/Risikosteuerung</t>
  </si>
  <si>
    <t>“...following laws like the EU AI Act and GDPR...”; “...strictly prohibiting AI in applications related to ‘Prohibited Practices’...”; “BASF maintains a central inventory and conducts necessary assessments to ensure compliance…”</t>
  </si>
  <si>
    <t>Responsible AI als ethisch &amp; accountable definiert; KI-Nutzung an Code of Conduct &amp; Human Rights Policy gekoppelt</t>
  </si>
  <si>
    <t>“Responsible AI means developing, deploying, and using AI systems ethically and accountably.”; “...in accordance with our company’s values and ethical standards as described in our Code of Conduct…”</t>
  </si>
  <si>
    <t>Fokus auf Data &amp; AI Governance (Daten als Schlüsselressource)</t>
  </si>
  <si>
    <t>“Our data is crucial for AI solutions, so we focus on strong data and AI governance.”</t>
  </si>
  <si>
    <t>Human Rights Management Policy als Bezugspunkt; Privacy als „essential human right“ über gesamten Lifecycle</t>
  </si>
  <si>
    <t>“...protect the essential human right of an individual’s privacy throughout the entire life cycle…”; “...set forth in BASF’s Human Rights Management Policy…”</t>
  </si>
  <si>
    <t>„Data &amp; AI office“ als Einheit genannt, aber ohne Aufgaben/RACI.</t>
  </si>
  <si>
    <t>Inventory + „assessments“ erwähnt, jedoch ohne Trigger/Owner/Schrittfolge.</t>
  </si>
  <si>
    <t>„central inventory“ + „necessary assessments“ (Checks allgemein, nicht spezifiziert).</t>
  </si>
  <si>
    <t>S.3 – Contact</t>
  </si>
  <si>
    <t>S.1 – „Commitment…“</t>
  </si>
  <si>
    <t>“...please contact our Data &amp; AI office.”</t>
  </si>
  <si>
    <t>“BASF maintains a central inventory and conducts necessary assessments to ensure compliance…”</t>
  </si>
  <si>
    <t>C7</t>
  </si>
  <si>
    <t>C8</t>
  </si>
  <si>
    <t>C9</t>
  </si>
  <si>
    <t>C10</t>
  </si>
  <si>
    <t>C11</t>
  </si>
  <si>
    <t>C12</t>
  </si>
  <si>
    <t>VAL_04 vs VAL_03</t>
  </si>
  <si>
    <t>Ist „comprehensible decision-making processes“ Explainability (VAL_04) oder nur Transparenz (VAL_03)?</t>
  </si>
  <si>
    <t>A: VAL_04=0 (nur Transparenz) B: VAL_04=1 (Erklär-/Interpretierkomponente). Gewählt: B (konservativ BIND=1, Confidence=mittel), da „decision-making… comprehensible“ über reines Disclosure hinausgeht.</t>
  </si>
  <si>
    <t>VAL_14 (BIND)</t>
  </si>
  <si>
    <t>Erhöht „central inventory + assessments“ die Bindigkeit für Compliance auf BIND=3 (Prozessvorgabe) oder bleibt BIND=2 (Policy-Regel/Verbot)?</t>
  </si>
  <si>
    <t>A: BIND=2 (starkes Verbot, aber Prozess unkonkret) B: BIND=3 (Operationalisierung via Inventory/Assessments). Gewählt: A, weil Assessments nicht spezifiziert (keine definierten Kontrollschritte).</t>
  </si>
  <si>
    <t>GOV_02 / GOV_03</t>
  </si>
  <si>
    <t>Sind Inventory/Assessments bereits „dokumentiert“ (Score=2) oder nur „benannt“ (Score=1)?</t>
  </si>
  <si>
    <t>A: Score=2 (konkretes Tool/Prozess genannt) B: Score=1 (ohne Trigger/Owner/Details). Gewählt: B (konservativ).</t>
  </si>
  <si>
    <t>Reicht „focus on strong data and AI governance“ für VAL_16 oder ist es zu allgemein?</t>
  </si>
  <si>
    <t>A: VAL_16=1 (Data Governance explizit im KI-Kontext) B: VAL_16=0 (zu unspezifisch, keine Mechanik). Gewählt: A (BIND=1, Confidence=mittel) wegen explizitem Governance-Bezug.</t>
  </si>
  <si>
    <t>Ist „well-being and safety“/„Robust &amp; Safe“ ausreichend für VAL_08 (Safety &amp; Harm Prevention) oder nur Robustness (VAL_09)?</t>
  </si>
  <si>
    <t>A: VAL_08=1 (Safety explizit) B: VAL_08=0 (keine Harm-Controls). Gewählt: A mit Confidence=mittel, da „safety“ wörtlich genannt.</t>
  </si>
  <si>
    <t>Zählt Privacy als „essential human right“ bereits als Human Rights (VAL_18) oder bleibt es nur VAL_06?</t>
  </si>
  <si>
    <t>A: VAL_18=1 (human right explizit + HR policy) B: VAL_18=0 (nur Datenschutzwert). Gewählt: A (Confidence=mittel) wegen HR policy + „human right“-Formulierung.</t>
  </si>
  <si>
    <t>KI soll transparent genutzt werden (Commitment)</t>
  </si>
  <si>
    <t>“At Bayer, we commit to use AI transparently and responsibly.”</t>
  </si>
  <si>
    <t>Autonomie wird respektiert; Harm Prevention/Wellbeing als Ziel</t>
  </si>
  <si>
    <t>“We respect personal autonomy, strive to promote individual and collective wellbeing and preventing harm.”</t>
  </si>
  <si>
    <t>Inklusion (Datensätze), Fairness und Accountability werden angestrebt</t>
  </si>
  <si>
    <t>“...striving for inclusion in our data sets, fairness and accountability.”</t>
  </si>
  <si>
    <t>Recht/Regeln werden im AI-Kontext immer eingehalten</t>
  </si>
  <si>
    <t>“We always comply with all applicable laws, regulations, and professional codes of conduct.”</t>
  </si>
  <si>
    <t>Verbot schlechter/unverifizierter Daten zur Vermeidung falscher/bias Ergebnisse</t>
  </si>
  <si>
    <t>“We do not use poor, incomplete or non-verified data… incorrect or biased results… AI applications.”</t>
  </si>
  <si>
    <t>“...put into practice… safeguards… internal oversight, inspections, and maintenance of AI solutions.”</t>
  </si>
  <si>
    <t>“...seek advice… including our independent Bioethics Council members.”</t>
  </si>
  <si>
    <t>Autonomie explizit („respect/protect human autonomy“).</t>
  </si>
  <si>
    <t>„accountability“ genannt (ohne Rollen/Mechanik).</t>
  </si>
  <si>
    <t>„commit to use AI transparently“.</t>
  </si>
  <si>
    <t>Keine Explainability/Interpretability nachweisbar.</t>
  </si>
  <si>
    <t>„fairness“ + „inclusion in our data sets“ (kein Anti-Discrimination-Detail).</t>
  </si>
  <si>
    <t>Keine AI-bezogene Privacy-Evidenz im Text.</t>
  </si>
  <si>
    <t>„preventing harm“ explizit.</t>
  </si>
  <si>
    <t>niedrig</t>
  </si>
  <si>
    <t>Indirekt über „incorrect results“/Datenverifikation; keine Tests/Robustness-Terms.</t>
  </si>
  <si>
    <t>„inclusion in our data sets“ eher Fairness/Data Governance; keine Accessibility.</t>
  </si>
  <si>
    <t>„promote… wellbeing“ im AI-Kontext.</t>
  </si>
  <si>
    <t>„always comply… laws, regulations…“ deontisch.</t>
  </si>
  <si>
    <t>„responsibly“ im direkten AI-Commitment; keine weiterführenden Guardrails im AI-Abschnitt.</t>
  </si>
  <si>
    <t>Konkrete Datenanforderungen + Verifikations-/Verbotssatz („do not use…“).</t>
  </si>
  <si>
    <t>Keine AI-bezogene Human-Rights-Nennung (außer allgemeine Bioethik-Teile).</t>
  </si>
  <si>
    <t>S.8 – AI (Guiding Principles)</t>
  </si>
  <si>
    <t>Autonomie wird respektiert; Harm Prevention/Wellbeing als Ziel; Schutz menschlicher Autonomie in entwickelten/verkauften/genutzten AI-Lösungen</t>
  </si>
  <si>
    <t>“We respect personal autonomy, strive to promote individual and collective wellbeing and preventing harm.”; “We will protect human autonomy in AI solutions that we develop, sell or use.</t>
  </si>
  <si>
    <t>Anforderungen an Datenquellen (Provenance/Diversity/Quality); Check: Trainingsdaten-Repräsentativität wird verifiziert; Verbot schlechter/unverifizierter Daten zur Vermeidung falscher/bias Ergebnisse</t>
  </si>
  <si>
    <t>“We strive for clear relevance, provenance, diversity, and sufficient quality in data sources.”;“We verify the data sets used for AI training are representative…”; “We do not use poor, incomplete or non-verified data… incorrect or biased results… AI applications.”</t>
  </si>
  <si>
    <t>Bioethics Council erwähnt (Beratung), aber keine AI-spezifischen Rollen/RACI.</t>
  </si>
  <si>
    <t>„regularly cooperate…“ + Partnerstandard (Prozessabsicht, keine Schrittfolge/Trigger/Owner).</t>
  </si>
  <si>
    <t>Konkrete Checks: Representativeness-Verifikation; Datenverifikation/„do not use“ (ohne Toolname).</t>
  </si>
  <si>
    <t>„inspections“ erwähnt, aber ohne Audit-Mechanik/Frequenz/Verantwortliche.</t>
  </si>
  <si>
    <t>S.2 – Our commitments</t>
  </si>
  <si>
    <t>“We regularly cooperate with researchers, regulatory bodies… to jointly develop trustworthy AI-enabled solutions.”; “We hold companies that Bayer partners with… or… procured to the same standard.”</t>
  </si>
  <si>
    <t>“We verify the data sets used for AI training are representative…”; “We do not use poor, incomplete or non-verified data… incorrect or biased results… AI applications.”</t>
  </si>
  <si>
    <t>Reicht „verify… representative“ als Score 2 (konkreter Check) oder nur Score 1 (allgemeiner Check ohne Toolname)?</t>
  </si>
  <si>
    <t>A: Score=1 (zu generisch) B: Score=2 (Check+Einsatzkontext „AI training“). Gewählt: B, da Check + „wann“ klar.</t>
  </si>
  <si>
    <t>Ist „inspections“ gleichzusetzen mit „Audit/Assessment“ (Score=1) oder zu unpräzise (Score=0)?</t>
  </si>
  <si>
    <t>A: Score=0 (Audit nicht explizit) B: Score=1 (Inspection als audit-nah). Gewählt: B mit niedriger Confidence, da Begriff nur indirekt.</t>
  </si>
  <si>
    <t>Zählt der Bioethics Council als AI-Governance-Zuständigkeit, obwohl nicht AI-spezifisch formuliert?</t>
  </si>
  <si>
    <t>A: Score=0 (zu allgemein) B: Score=1 (Prinzipien gelten company-wide inkl. AI-Fokusbereich). Gewählt: B (konservativ niedrig).</t>
  </si>
  <si>
    <t>VAL_11 vs VAL_05/VAL_16</t>
  </si>
  <si>
    <t>Ist „inclusion in our data sets“ ein eigener Wert Inclusiveness &amp; Accessibility (VAL_11) oder eher Fairness/Data Governance?</t>
  </si>
  <si>
    <t>A: VAL_11=1 B: VAL_11=0 (stattdessen VAL_05/VAL_16). Gewählt: B, da keine Accessibility/Inklusions-Design-Themen.</t>
  </si>
  <si>
    <t>Bedeutet „incorrect results“ bereits Technical Robustness &amp; Reliability oder bleibt es reiner Datenqualitäts-/Bias-Aspekt (VAL_16/VAL_05)?</t>
  </si>
  <si>
    <t>A: VAL_09=0 B: VAL_09=1 (indirekter Accuracy/Reliability-Bezug). Gewählt: B mit niedriger Confidence.</t>
  </si>
  <si>
    <t>Ist „always comply“ BIND=2 (Policy-Regel) oder BIND=1 (Statement)?</t>
  </si>
  <si>
    <t>A: BIND=1 B: BIND=2. Gewählt: B, da deontisch/regelhaft formuliert („always comply“).</t>
  </si>
  <si>
    <t>C13</t>
  </si>
  <si>
    <t>C14</t>
  </si>
  <si>
    <t>C15</t>
  </si>
  <si>
    <t>C16</t>
  </si>
  <si>
    <t>C17</t>
  </si>
  <si>
    <t>C18</t>
  </si>
  <si>
    <t>Kein KI-Kontext im Dokument nachweisbar.</t>
  </si>
  <si>
    <t>Fairness-Themen nur arbeitsrechtlich/allgemein, ohne KI-Bezug.</t>
  </si>
  <si>
    <t>Datenschutz nur allgemein, ohne KI-Bezug.</t>
  </si>
  <si>
    <t>IT-/Security nur allgemein, ohne KI-Bezug.</t>
  </si>
  <si>
    <t>Safety nur Arbeitsplatz, ohne KI-Bezug.</t>
  </si>
  <si>
    <t>Keine KI/Modelle/Robustness-Themen.</t>
  </si>
  <si>
    <t>Nicht nachweisbar im KI-Kontext.</t>
  </si>
  <si>
    <t>Nachhaltigkeit nur allgemein, ohne KI-Bezug.</t>
  </si>
  <si>
    <t>Compliance nur allgemein, ohne KI-Bezug.</t>
  </si>
  <si>
    <t>Ethik/Integrity nur allgemein, ohne KI-Bezug.</t>
  </si>
  <si>
    <t>Keine KI-/Daten-Governance für AI nachweisbar.</t>
  </si>
  <si>
    <t>Confidentiality/IP nur allgemein, ohne KI-Bezug.</t>
  </si>
  <si>
    <t>Human-rights-ähnliche Themen nur allgemein, ohne KI-Bezug.</t>
  </si>
  <si>
    <t>Rollen genannt, aber ohne KI/AI-Bezug → 0.</t>
  </si>
  <si>
    <t>Keine KI-spezifischen Prozesse nachweisbar.</t>
  </si>
  <si>
    <t>Keine KI-spezifischen Checks/Tools nachweisbar.</t>
  </si>
  <si>
    <t>Audit-Begriff nur allgemein/Finanzen, nicht KI/AI-Audits.</t>
  </si>
  <si>
    <t>Training nur allgemein, nicht KI-spezifisch.</t>
  </si>
  <si>
    <t>Meldewege nur allgemein, nicht KI-spezifisch.</t>
  </si>
  <si>
    <t>Kein KI-spezifisches Reporting nachweisbar.</t>
  </si>
  <si>
    <t>Datenschutz ist stark geregelt, aber ohne KI-Kontext: zählt das dennoch als KI-Value?</t>
  </si>
  <si>
    <t>A: VAL_06=1 (Privacy generell) B: VAL_06=0 (Codebook: nur bei KI-Kontext). Gewählt: B konservativ, da KI-Bezug nicht nachweisbar.</t>
  </si>
  <si>
    <t>Anti-Discrimination ist klar, aber rein HR/Arbeitsumfeld.</t>
  </si>
  <si>
    <t>A: VAL_05=1 (Fairness generell) B: VAL_05=0 (nur KI-Kontext). Gewählt: B konservativ.</t>
  </si>
  <si>
    <t>Governance-Rollen existieren, aber ohne „AI/Responsible AI“-Mandat: zählen sie für KI-Governance?</t>
  </si>
  <si>
    <t>A: GOV_01=1 (Rollen allgemein) B: GOV_01=0 (Evidence minimum: KI/AI-Bezug). Gewählt: B konservativ.</t>
  </si>
  <si>
    <t>„Auditors“ erwähnt – ist das als Audit-Kriterium für KI zulässig?</t>
  </si>
  <si>
    <t>A: GOV_04=1 (Audit-Begriff reicht) B: GOV_04=0 (nicht KI/AI-Audit). Gewählt: B konservativ.</t>
  </si>
  <si>
    <t>Eskalationswege existieren, aber nicht KI-spezifisch.</t>
  </si>
  <si>
    <t>A: GOV_06=1 (Eskalation allgemein) B: GOV_06=0 (nur KI/AI-Governance). Gewählt: B konservativ.</t>
  </si>
  <si>
    <t>alle VAL</t>
  </si>
  <si>
    <t>Wenn ein Dokument „nur“ allgemeine Ethik/Compliance ist: wird es im Pilot-Coding grundsätzlich als 0/0 gewertet?</t>
  </si>
  <si>
    <t>A: Teilweise Werte codieren (ohne KI) B: Strikt KI-Kontext erforderlich. Gewählt: B (entspricht Scope-Regel).</t>
  </si>
  <si>
    <t>C19</t>
  </si>
  <si>
    <t>C20</t>
  </si>
  <si>
    <t>C21</t>
  </si>
  <si>
    <t>C22</t>
  </si>
  <si>
    <t>C23</t>
  </si>
  <si>
    <t>C24</t>
  </si>
  <si>
    <t>Update: 2. März 26: doch kein KI-Bezug &amp; nun exkludiert</t>
  </si>
  <si>
    <t>Human monitoring + human overrule.</t>
  </si>
  <si>
    <t>Risk handling inkl. “report”, ohne Rollen/Mechanik.</t>
  </si>
  <si>
    <t>Open communication über AI-Nutzung (ohne konkrete Disclosure-Regel).</t>
  </si>
  <si>
    <t>Explainability ausdrücklich genannt.</t>
  </si>
  <si>
    <t>“fair AI applications” + human dignity.</t>
  </si>
  <si>
    <t>Privacy/processing/storage in AI applications.</t>
  </si>
  <si>
    <t>“data security measures” (security, nicht cyber-spezifisch).</t>
  </si>
  <si>
    <t>“risk of unintended consequences and errors” (Safety-Anker).</t>
  </si>
  <si>
    <t>Robust AI + safety standards.</t>
  </si>
  <si>
    <t>Klima/Umweltschutz explizit.</t>
  </si>
  <si>
    <t>Well-being für customers/employees/partners.</t>
  </si>
  <si>
    <t>Indirekt über “applicable safety standards” (Grenzfall).</t>
  </si>
  <si>
    <t>“used ethically” explizit, aber ohne weitere Guardrails.</t>
  </si>
  <si>
    <t>Keine Data-quality/Governance-Mechanik nachweisbar (nur “privacy and data governance” als Überschrift).</t>
  </si>
  <si>
    <t>Human-rights-Ziele genannt, ohne Konkretisierung.</t>
  </si>
  <si>
    <t>S.2 – Human agency and oversight</t>
  </si>
  <si>
    <t>S.3 – Accountability</t>
  </si>
  <si>
    <t>S.2 – Transparency</t>
  </si>
  <si>
    <t>S.2 – Diversity… fairness</t>
  </si>
  <si>
    <t>S.2 – Privacy and data governance</t>
  </si>
  <si>
    <t>S.2 – Technical robustness and safety</t>
  </si>
  <si>
    <t>S.2 – Environmental and societal well-being</t>
  </si>
  <si>
    <t>S.3 – Project AI (Launch 2018)</t>
  </si>
  <si>
    <t>Human oversight inkl. Möglichkeit des menschlichen Overrules</t>
  </si>
  <si>
    <t>“implements appropriate human monitoring… and considers… humans can overrule algorithmic decisions.”</t>
  </si>
  <si>
    <t>Risiken werden identifiziert/bewertet/berichtet/mitigiert</t>
  </si>
  <si>
    <t>“will identify, assess, report and mitigate risks…”</t>
  </si>
  <si>
    <t>Transparenz über Einsatz der Technologien + Kommunikation</t>
  </si>
  <si>
    <t>“aims… open communication where respective technologies are used.”</t>
  </si>
  <si>
    <t>Explainability als Ziel bei AI applications</t>
  </si>
  <si>
    <t>“aims for explainability of AI applications…”</t>
  </si>
  <si>
    <t>Fairness über Human Dignity; Ziel „fair AI“</t>
  </si>
  <si>
    <t>“respects human dignity… sets out to build fair AI applications.”</t>
  </si>
  <si>
    <t>Privacy &amp; data security auf AI storage/processing erweitert</t>
  </si>
  <si>
    <t>“extends its… data privacy and data security measures to cover storage and processing in AI applications.”</t>
  </si>
  <si>
    <t>Data security measures im AI-Kontext</t>
  </si>
  <si>
    <t>“data… security measures… in AI applications.”</t>
  </si>
  <si>
    <t>Safety/Vermeidung unbeabsichtigter Folgen/Errors</t>
  </si>
  <si>
    <t>“decrease the risk of unintended consequences and errors.”</t>
  </si>
  <si>
    <t>Robustheit/Safety-Standards zur Fehler-/Risiko-Reduktion</t>
  </si>
  <si>
    <t>“aims to develop robust AI applications and observes the applicable safety standards…”</t>
  </si>
  <si>
    <t>AI soll Umwelt-/Societal Well-being fördern (inkl. Klima/Umweltschutz)</t>
  </si>
  <si>
    <t>“goals… human rights and sustainability… climate change and environmental protection.”</t>
  </si>
  <si>
    <t>AI soll Well-being von Stakeholdern fördern</t>
  </si>
  <si>
    <t>“AI applications that promote the well-being of customers, employees and partners.”</t>
  </si>
  <si>
    <t>„Applicable safety standards“ als Compliance-Anker (indirekt)</t>
  </si>
  <si>
    <t>“observes the applicable safety standards…”</t>
  </si>
  <si>
    <t>Ethik als Zweck von Project AI (AI „ethically“)</t>
  </si>
  <si>
    <t>“Project AI… to ensure that AI technologies are used ethically and efficiently.”</t>
  </si>
  <si>
    <t>Bezug zu Human Rights-Zielen</t>
  </si>
  <si>
    <t>“aligns with the BMW Group’s goals in the areas of human rights…”</t>
  </si>
  <si>
    <t>Konkrete Einheit + Aufgaben (knowledge/tech sharing).</t>
  </si>
  <si>
    <t>Update-/Review-Absicht, ohne Trigger/Owner/Schritte.</t>
  </si>
  <si>
    <t>Tool namentlich benannt (Portfolio/Inventory), “wann” nur implizit (laufend).</t>
  </si>
  <si>
    <t>Awareness erwähnt, kein Trainingsprogramm/Verpflichtung.</t>
  </si>
  <si>
    <t>Reporting-Absicht (“report”), ohne Empfänger/Frequenz/KPIs.</t>
  </si>
  <si>
    <t>S.3 – Project AI (centre of competence)</t>
  </si>
  <si>
    <t>S.1 – continuously refined/adapted</t>
  </si>
  <si>
    <t>S.3 – D³ portfolio tool</t>
  </si>
  <si>
    <t>S.1 – increase awareness</t>
  </si>
  <si>
    <t>S.3 – Accountability (“report… risks”)</t>
  </si>
  <si>
    <t>“centre of competence… ensures rapid knowledge and technology sharing across the company.”</t>
  </si>
  <si>
    <t>“These will be continuously refined and adapted as required…”</t>
  </si>
  <si>
    <t>“a portfolio tool… D³… portfolio currently spans 400 use cases.”</t>
  </si>
  <si>
    <t>“increase awareness among its employees… sensitivity when working with AI technologies.”</t>
  </si>
  <si>
    <t>VAL_08 vs VAL_09</t>
  </si>
  <si>
    <t>„Safety“ wird im Robustness-Prinzip genannt: zählt das zusätzlich als VAL_08 (Harm prevention) oder nur VAL_09?</t>
  </si>
  <si>
    <t>A: VAL_08=0, nur VAL_09 B: VAL_08=1 (Safety/Unintended consequences). Gewählt: B (VAL_08=1) wegen explizitem “risk of unintended consequences”.</t>
  </si>
  <si>
    <t>„observes applicable safety standards“: genügt das als Lawfulness/Compliance (VAL_14) oder ist es nur Safety-Rhetorik?</t>
  </si>
  <si>
    <t>A: VAL_14=0 B: VAL_14=1 (Standards-Compliance). Gewählt: B mit niedriger Confidence.</t>
  </si>
  <si>
    <t>„open communication where technologies are used“: ist das Transparenz (Disclosure) oder zu allgemein?</t>
  </si>
  <si>
    <t>A: VAL_03=0 (zu vage) B: VAL_03=1 (Transparenz über Einsatz). Gewählt: B (konservativ BIND=1, Confidence=mittel).</t>
  </si>
  <si>
    <t>Reicht ein „portfolio tool… spans 400 use cases“ für Score=2 (konkretes Tool) oder nur Score=1 (Tool ohne Einsatz-Trigger)?</t>
  </si>
  <si>
    <t>A: Score=1 B: Score=2. Gewählt: B (Score=2) mit mittel Confidence, da Toolname + Zweck klar, Einsatzzeitpunkt nur indirekt.</t>
  </si>
  <si>
    <t>Ist „increase awareness“ als Schulung (Score=1) zulässig oder nur Kulturstatement (Score=0)?</t>
  </si>
  <si>
    <t>A: Score=0 B: Score=1 (Awareness/Training-Absicht). Gewählt: B mit niedriger Confidence.</t>
  </si>
  <si>
    <t>„report“ ohne Empfänger/Frequenz: Score=1 oder 0?</t>
  </si>
  <si>
    <t>A: Score=0 B: Score=1 (Reporting-Absicht erwähnt). Gewählt: B (Score=1).</t>
  </si>
  <si>
    <t>C25</t>
  </si>
  <si>
    <t>C26</t>
  </si>
  <si>
    <t>C27</t>
  </si>
  <si>
    <t>C28</t>
  </si>
  <si>
    <t>C29</t>
  </si>
  <si>
    <t>C30</t>
  </si>
  <si>
    <t>Human oversight über Lifecycle genannt.</t>
  </si>
  <si>
    <t>Accountability/Ownership über Lifecycle.</t>
  </si>
  <si>
    <t>Transparenz explizit.</t>
  </si>
  <si>
    <t>Explainability explizit.</t>
  </si>
  <si>
    <t>Fairness + bias avoidance explizit.</t>
  </si>
  <si>
    <t>DP-law compliance + TOMs genannt.</t>
  </si>
  <si>
    <t>Information Security risks + corrective measures.</t>
  </si>
  <si>
    <t>Safety/abuse genannt (überlappt mit Robustness).</t>
  </si>
  <si>
    <t>„robust approach“ explizit.</t>
  </si>
  <si>
    <t>Nicht nachweisbar im AI-Abschnitt.</t>
  </si>
  <si>
    <t>Accessibility erwähnt, aber nur als kurzer Nebensatz.</t>
  </si>
  <si>
    <t>Stakeholder-Wording vorhanden, aber kein Social-Benefit/Well-being-Prinzip im AI-Teil.</t>
  </si>
  <si>
    <t>Vendor-Compliance mit AI-Regulierung explizit erwartet.</t>
  </si>
  <si>
    <t>Alignment mit Werten/CoC/Policies „at all times“.</t>
  </si>
  <si>
    <t>Keine Data-quality/Governance-Anforderungen im AI-Teil nachweisbar.</t>
  </si>
  <si>
    <t>Vertraulichkeit wird allgemein erwähnt, aber nicht im AI-Abschnitt.</t>
  </si>
  <si>
    <t>Human-rights-Teil vorhanden, aber kein AI-Bezug im AI-Abschnitt.</t>
  </si>
  <si>
    <t>S.6 – Human Oversight &amp; Monitoring</t>
  </si>
  <si>
    <t>S.5 – Accountability</t>
  </si>
  <si>
    <t>S.6 – Transparency &amp; Explainability</t>
  </si>
  <si>
    <t>S.5 – Fairness &amp; Bias</t>
  </si>
  <si>
    <t>S.6 – Privacy</t>
  </si>
  <si>
    <t>S.5 – Security, Safety &amp; Technical Robustness</t>
  </si>
  <si>
    <t>S.5 – 10. Artificial Intelligence</t>
  </si>
  <si>
    <t>S.6 – Alignment</t>
  </si>
  <si>
    <t>Human oversight über alle Lifecycle-Stages</t>
  </si>
  <si>
    <t>“appropriate level of human oversight in all lifecycle stages…”</t>
  </si>
  <si>
    <t>Klare Ownership/Accountability über Lifecycle gefordert</t>
  </si>
  <si>
    <t>“Establish clear accountability and ownership for AI solutions at all points in the lifecycle.”</t>
  </si>
  <si>
    <t>Transparenz/Explainability wird angestrebt</t>
  </si>
  <si>
    <t>“Strive to achieve an appropriate level of transparency and Explainability…”</t>
  </si>
  <si>
    <t>Fairness als Ziel, um Benachteiligungen zu vermeiden; Unintended bias soll vermieden werden</t>
  </si>
  <si>
    <t>“Strive to make AI solutions fair to ensure groups or individuals are not unnecessarily deprived…”; “Strive to avoid unintended bias in our AI solutions.”</t>
  </si>
  <si>
    <t>Explainability von AI Models/Workflows wird angestrebt</t>
  </si>
  <si>
    <t>“Explainability of AI Models and workflows.”</t>
  </si>
  <si>
    <t>Privacy: DP-Law-Compliance als Bestandteil; TOMs zum Schutz fundamentaler Rechte gefordert</t>
  </si>
  <si>
    <t>“complying with applicable data protection laws”; “implementing appropriate technical and organisational measures…”</t>
  </si>
  <si>
    <t>InfoSec-Risiken sollen proaktiv verhindert werden</t>
  </si>
  <si>
    <t>“proactively prevent Information Security risks and threats, having corrective measures in place.”</t>
  </si>
  <si>
    <t>Safety/Abuse-Risiken sollen durch robusten Ansatz vermieden werden</t>
  </si>
  <si>
    <t>“manage AI solutions with a robust approach to avoid potential risks and issues around safety and abuse.”</t>
  </si>
  <si>
    <t>Robuste Entwicklung/Management von AI-Lösungen (Robustness)</t>
  </si>
  <si>
    <t>“Design, build, and manage AI solutions with a robust approach…”</t>
  </si>
  <si>
    <t>Accessibility soll mitgedacht werden</t>
  </si>
  <si>
    <t>“to innovate responsibly and inclusively and to consider accessibility.”</t>
  </si>
  <si>
    <t>Vendor Compliance mit AI-Regulierung wird erwartet</t>
  </si>
  <si>
    <t>“We expect our vendors to also comply with the same regulations…”</t>
  </si>
  <si>
    <t>Alignment mit Werten/CoC/Policies „at all times“</t>
  </si>
  <si>
    <t>“aligned at all times with Deutsche Bank’s values, code of conduct, and applicable policies.”</t>
  </si>
  <si>
    <t>Monitoring als Check genannt („good practice“), ohne Toolname/Verpflichtung/Einbettung.</t>
  </si>
  <si>
    <t>Training/Qualifications/continuous training genannt, ohne Programm-/Pflichtnachweis.</t>
  </si>
  <si>
    <t>S.5 – Education &amp; Training</t>
  </si>
  <si>
    <t>“implement automated monitoring of the AI decision-making…”</t>
  </si>
  <si>
    <t>“ensure that practitioners have the appropriate qualifications and access to continuous training.”</t>
  </si>
  <si>
    <t>BIND (mehrere VAL)</t>
  </si>
  <si>
    <t>Gelten die Bullet-Prinzipien als Policy-Regeln (BIND=2), weil Vendor-Adhärenz „expected“ ist, oder eher als Prinzipien/Statements (BIND=1)?</t>
  </si>
  <si>
    <t>A: BIND=2 (Supplier Code → Erwartung = deontisch) B: BIND=1 (Formulierungen wie „Strive“, „good practice“). Gewählt: B für die meisten VALs (konservativ), da deontische Modale selten.</t>
  </si>
  <si>
    <t>Ist „consider accessibility“ ausreichend für Inclusiveness &amp; Accessibility (VAL_11) oder nur ein Unterpunkt von Fairness (VAL_05)?</t>
  </si>
  <si>
    <t>A: VAL_11=0 B: VAL_11=1 (Accessibility explizit). Gewählt: B, da „accessibility“ wörtlich genannt ist (AI-Kontext).</t>
  </si>
  <si>
    <t>Zählt „automated monitoring“ bereits als konkreter Check (Score=2) oder nur als allgemeiner Hinweis (Score=1)?</t>
  </si>
  <si>
    <t>A: Score=2 (Check + „AI decision-making“) B: Score=1 („good practice“, ohne Toolname/Trigger). Gewählt: B konservativ.</t>
  </si>
  <si>
    <t>Reicht „clear accountability and ownership“ ohne Rollentitel für Zuständigkeiten (Score=1)?</t>
  </si>
  <si>
    <t>A: Score=1 (Rollen/Ownership grob) B: Score=0 (Evidence minimum: Rollentitel + KI-Bezug). Gewählt: B konservativ.</t>
  </si>
  <si>
    <t>Doppelte Codierung: Ist „safety and abuse“ bereits durch Robustness abgedeckt oder zusätzlich VAL_08?</t>
  </si>
  <si>
    <t>A: Nur VAL_09 B: VAL_08 + VAL_09. Gewählt: B, da Safety/Harm explizit als eigenes Risiko genannt wird.</t>
  </si>
  <si>
    <t>C31</t>
  </si>
  <si>
    <t>C32</t>
  </si>
  <si>
    <t>C33</t>
  </si>
  <si>
    <t>C34</t>
  </si>
  <si>
    <t>C35</t>
  </si>
  <si>
    <t>C36</t>
  </si>
  <si>
    <t>C37</t>
  </si>
  <si>
    <t>C38</t>
  </si>
  <si>
    <t>C39</t>
  </si>
  <si>
    <t>C40</t>
  </si>
  <si>
    <t>Agency/Choice + menschliche Kontrollmöglichkeit (kill switch).</t>
  </si>
  <si>
    <t>„human remains responsible“ + Verantwortlichkeiten werden geklärt.</t>
  </si>
  <si>
    <t>Disclosure: KI wird nicht verborgen.</t>
  </si>
  <si>
    <t>Black-Box-Vermeidung als Explainability-Indiz (ohne explizite „explainability“-Begriffe).</t>
  </si>
  <si>
    <t>„fair“ + Bias-Vermeidung über Daten; keine Anti-Discrimination-Details.</t>
  </si>
  <si>
    <t>Klare Privacy-Regel + Privacy-by-design als Paradigma.</t>
  </si>
  <si>
    <t>Security-Anforderungen + Zugriffskontrolle/Absicherung.</t>
  </si>
  <si>
    <t>„shall not harm“ + Stop-Regel als Harm-Prevention-Anker.</t>
  </si>
  <si>
    <t>Robustness explizit + Szenarioarbeit (ohne Mess-/Testdetails).</t>
  </si>
  <si>
    <t>Kund:innen-Nutzen/Wohlbefinden (ohne gesellschaftl. Benefit-Mechanik).</t>
  </si>
  <si>
    <t>Deontische Lawfulness-Formulierungen.</t>
  </si>
  <si>
    <t>„ethical manner“ explizit.</t>
  </si>
  <si>
    <t>Konkrete Operationalisierung: Data removal + diverse input + reset (kontrollartige Schritte).</t>
  </si>
  <si>
    <t>S.6 (Choice); S.9 (kill switch)</t>
  </si>
  <si>
    <t>S.3 – 1. We are responsible.</t>
  </si>
  <si>
    <t>S.6 – 4. We are transparent.</t>
  </si>
  <si>
    <t>S.8 – 6. We set the framework.</t>
  </si>
  <si>
    <t>S.8 (fair); S.9 (avoid bias)</t>
  </si>
  <si>
    <t>S.7 (legal permission); S.8 (privacy by design)</t>
  </si>
  <si>
    <t>S.4 (security/robustness); S.7 (access/secure)</t>
  </si>
  <si>
    <t>S.8 (no harm); S.9 (stop on inconsistencies)</t>
  </si>
  <si>
    <t>S.4 (robustness); S.8 (disaster scenarios)</t>
  </si>
  <si>
    <t>S.5 – 3. We put our customers first.</t>
  </si>
  <si>
    <t>S.4 (laws); S.7 (legal permission)</t>
  </si>
  <si>
    <t>S.2 – Preamble</t>
  </si>
  <si>
    <t>S.9 – 7. We maintain control.</t>
  </si>
  <si>
    <t>Agency/Choice im Kontext Daten/KI-Interaktion.;Kill switch als konkrete Kontrollmöglichkeit</t>
  </si>
  <si>
    <t>“they can choose the way of further processing their personal data.”; "stop AI systems at any time (kill switch).”</t>
  </si>
  <si>
    <t>Accountability/Responsibility im KI-Kontext.; Product Owner/Initiative Owner Verantwortlichkeiten werden geklärt</t>
  </si>
  <si>
    <t>“The human always remains responsible.”; “we clarify which initiative or product owner has which responsibilities.”</t>
  </si>
  <si>
    <t>Transparenz/Disclosure eindeutig.</t>
  </si>
  <si>
    <t>“In no case we hide it when the customer’s counterpart is an AI.”</t>
  </si>
  <si>
    <t>Black-Box-Vermeidung als Designziel</t>
  </si>
  <si>
    <t>“prevent so called ‘Black Boxes’”</t>
  </si>
  <si>
    <t>Fairness als Eigenschaft der AI-Lösungen genannt; Bias-Prävention durch Datenentfernung</t>
  </si>
  <si>
    <t>“transparent, auditable, fair, and fully documented.”</t>
  </si>
  <si>
    <t>“transparent, auditable, fair, and fully documented.”; “we remove inappropriate data to avoid bias.”</t>
  </si>
  <si>
    <t>Keine Verarbeitung privacy-relevanter Daten ohne Rechtsgrundlage;  Impact-Analysis-Paradigma: privacy &amp; security by design</t>
  </si>
  <si>
    <t>“We never process privacy-relevant data without legal permission.”; “impact analysis is ‘privacy und security by design’.”</t>
  </si>
  <si>
    <t>Security/Robustness als technische Anforderung an KI; Überblick über Datennutzung und Zugriffe als Security-Prinzip; Nutzung wird auf passende Use Cases begrenzt + Systeme gesichert</t>
  </si>
  <si>
    <t>“AI systems have to meet… technical requirements… such as security, robustness.”; “full overview of how customer related data is used and who has access”; “limit the usage to appropriate use cases and thoroughly secure our systems”</t>
  </si>
  <si>
    <t>Safety/Harm Prevention, deontisch „shall“.; Konkrete Kontrollregel (Stop-Kriterium).</t>
  </si>
  <si>
    <t>“In case of inconsistencies, we rather stop the AI system”</t>
  </si>
  <si>
    <t>Security/Robustness als technische Anforderung an KI; Konkrete Prüf-/Szenarioelemente.</t>
  </si>
  <si>
    <t>“AI systems have to meet… technical requirements… such as security, robustness.”; “full overview of how customer related data is used and who has access”; “limit the usage to appropriate use cases and thoroughly secure our systems”; “risks and chances scenarios or reliable disaster scenarios.”</t>
  </si>
  <si>
    <t>Social benefit / well-being (kundenzentriert).</t>
  </si>
  <si>
    <t>“We enrich and simplify our customers’ lives.”</t>
  </si>
  <si>
    <t>KI-Systeme müssen Regeln und Gesetzen untergeordnet sein; Keine Verarbeitung privacy-relevanter Daten ohne Rechtsgrundlage</t>
  </si>
  <si>
    <t>“We never process privacy-relevant data without legal permission.”; “AI systems have to meet… technical requirements… such as security, robustness.”</t>
  </si>
  <si>
    <t>Expliziter KI-Ethik-Bezug.</t>
  </si>
  <si>
    <t>“ensure that AI is utilized in an ethical manner.”</t>
  </si>
  <si>
    <t>Data quality/governance + fairness-bezogen.; Diverse/angemessene Dateninput-Verantwortung; Reset zur Entfernung falscher/biased Daten</t>
  </si>
  <si>
    <t>“we remove inappropriate data to avoid bias.”; “responsibility for a diverse and appropriate data input.”;  “reset… in order to remove false or biased data.”</t>
  </si>
  <si>
    <t>Rollen/Verankerung benannt; Aufgaben grob (responsibilities).</t>
  </si>
  <si>
    <t>Prozessabsicht/Schritt erwähnt; Trigger/Owner nicht vollständig.</t>
  </si>
  <si>
    <t>Konkrete Kontrolltools + „wann“ teils klar („any time“, „in case of inconsistencies“).</t>
  </si>
  <si>
    <t>Audit/Assessment nur als Eigenschaft erwähnt; keine Audit-Mechanik.</t>
  </si>
  <si>
    <t>Education zugesagt, ohne Programm-/Pflichtdetails.</t>
  </si>
  <si>
    <t>S.3 (product owner); p.12 (Group Compliance Management)</t>
  </si>
  <si>
    <t>S.8 – deep analysis/evaluation</t>
  </si>
  <si>
    <t>S.9 (kill switch/stop/reset); p.8 (privacy &amp; security by design)</t>
  </si>
  <si>
    <t>S.8 – “auditable”</t>
  </si>
  <si>
    <t>S.11 – AI and ethics education</t>
  </si>
  <si>
    <t>“we clarify which initiative or product owner has which responsibilities.”; “Group Compliance Management”</t>
  </si>
  <si>
    <t>“developed and enhanced on grounds of deep analysis and evaluation.”</t>
  </si>
  <si>
    <t>“stop AI systems at any time (kill switch).”; “In case of inconsistencies, we rather stop the AI system”; “reset… in order to remove false or biased data.”</t>
  </si>
  <si>
    <t>“We will engage in AI and ethics education.”</t>
  </si>
  <si>
    <t>C41</t>
  </si>
  <si>
    <t>„Black Boxes“ ist Explainability-Indiz, aber das Wort explainability/interpretability fällt nicht explizit.</t>
  </si>
  <si>
    <t>A: VAL_04=0 (Codebook: bevorzugt explizite Begriffe) B: VAL_04=1 (Black-Box-Vermeidung ≈ Interpretierbarkeit). Gewählt: B mit Confidence=mittel.</t>
  </si>
  <si>
    <t>Reicht „auditable“ als Audit-Evidenz (Score=1) oder ist das nur ein Qualitätsattribut (Score=0)?</t>
  </si>
  <si>
    <t>A: GOV_04=0 B: GOV_04=1 (Score-1-Definition: Audit/Assessment erwähnt ohne Details). Gewählt: B (niedrige Confidence).</t>
  </si>
  <si>
    <t>VAL_16 (BIND)</t>
  </si>
  <si>
    <t>Sind kill switch/stop/reset + data removal bereits „Standard/Prozessvorgabe“ (BIND=3) oder nur starke Prinzipien (BIND=2)?</t>
  </si>
  <si>
    <t>A: BIND=2 (Policy-Regeln) B: BIND=3 (konkrete Kontrollschritte/Tools). Gewählt: B (konservativ begründet über konkrete Tools/Schritte).</t>
  </si>
  <si>
    <t>„choose the way of further processing… personal data“: zählt als Human Agency (VAL_01) oder primär Privacy (VAL_06)?</t>
  </si>
  <si>
    <t>A: nur VAL_06 B: VAL_01+VAL_06 (Choice/Autonomie). Gewählt: B (Agency-Komponente explizit).</t>
  </si>
  <si>
    <t>Ist Kunden-Nutzen („enrich and simplify“) ausreichend für Social Benefit &amp; Human Well-being oder zu marketingnah?</t>
  </si>
  <si>
    <t>A: VAL_13=0 (zu allgemein) B: VAL_13=1 (well-being/benefit im AI-Kontext). Gewählt: B mit Confidence=mittel (Codebook: well-being/benefit zählt, wenn KI-Kontext klar).</t>
  </si>
  <si>
    <t>„deep analysis and evaluation“: reicht für Prozesse Score=1 oder Score=2? (Evidence-Minimum für 2: Trigger+Verantwortliche).</t>
  </si>
  <si>
    <t>A: Score=2 B: Score=1. Gewählt: B, da Trigger/Owner nicht genannt.</t>
  </si>
  <si>
    <t>C42</t>
  </si>
  <si>
    <t>C43</t>
  </si>
  <si>
    <t>C44</t>
  </si>
  <si>
    <t>C45</t>
  </si>
  <si>
    <t>C46</t>
  </si>
  <si>
    <t>C47</t>
  </si>
  <si>
    <t>Oversight „shall“ + Auswahl je AI-System (Operationalisierung).</t>
  </si>
  <si>
    <t>Responsibility an Menschen gebunden („must always“).</t>
  </si>
  <si>
    <t>Disclosure-Pflicht + verpflichtende Dokumentation (Standard).</t>
  </si>
  <si>
    <t>Erklärung „shall be provided… upon request“.</t>
  </si>
  <si>
    <t>„must“ + Accessibility-Standard + Objection→Corrective.</t>
  </si>
  <si>
    <t>Compliance zu DP/Privacy Policy „must comply“.</t>
  </si>
  <si>
    <t>Compliance Security Policy „must be ensured“.</t>
  </si>
  <si>
    <t>Harm-prevention Mechanismen + „red lines“ (prohibition).</t>
  </si>
  <si>
    <t>Extensive testing + Doku + Monitoring (teils „should“).</t>
  </si>
  <si>
    <t>Objection + corrective measures + Feedback channel.</t>
  </si>
  <si>
    <t>Accessibility Standards „must comply“.</t>
  </si>
  <si>
    <t>Sustainability policies als Norm (ohne weitere Prozesse).</t>
  </si>
  <si>
    <t>Compliance über Policies + Verbotsregeln (keine Gesetzesliste im Kernsatz).</t>
  </si>
  <si>
    <t>Commitment-Statement (ohne eigenen Kontrollmechanismus als Wert).</t>
  </si>
  <si>
    <t>Dataset-Anforderungen + Pflichtdokumentation inkl. Datasets/Training/Validation.</t>
  </si>
  <si>
    <t>UDHR-Commitment + HR-Safeguarding + red lines.</t>
  </si>
  <si>
    <t>S.9–10 – Principle 6</t>
  </si>
  <si>
    <t>S.11 – Principle 8</t>
  </si>
  <si>
    <t>S.10 – Principle 7.1–7.2</t>
  </si>
  <si>
    <t>S.11 – Principle 7.3</t>
  </si>
  <si>
    <t>S.8–9 – Principle 3</t>
  </si>
  <si>
    <t>S.9 – Principle 5</t>
  </si>
  <si>
    <t>S.8 – Principle 2</t>
  </si>
  <si>
    <t>S.7 – Principle 1</t>
  </si>
  <si>
    <t>S.8 – Principle 2 (High-risk)</t>
  </si>
  <si>
    <t>S.9 – Principle 3.2</t>
  </si>
  <si>
    <t>S.9 – Principle 4</t>
  </si>
  <si>
    <t>S.9 – Principle 3.2; S.12 – Speak Out</t>
  </si>
  <si>
    <t>S.9 – Principle 5; p.7 – “must not…”</t>
  </si>
  <si>
    <t>S.3 – Introduction</t>
  </si>
  <si>
    <t>S.9 – Principle 3.1; S.10 – Documentation</t>
  </si>
  <si>
    <t>S.3; S.7 – Principle 1</t>
  </si>
  <si>
    <t>Human oversight als Norm.; Operationalisierung: Auswahl je Use Case/Risk.</t>
  </si>
  <si>
    <t>“AI systems shall be subject to appropriate human oversight.”; “An appropriate form of human oversight must be chosen for each AI system”</t>
  </si>
  <si>
    <t>Responsibility/Accountability liegt immer bei Menschen/Entities</t>
  </si>
  <si>
    <t>“responsibility must always be attributable to actors (humans)”</t>
  </si>
  <si>
    <t>Transparenz/Disclosure als Pflicht.; Konkretisierung der Disclosure-Pflicht.; Daten-/Modell-/Prozessdoku als verbindlicher Standard.</t>
  </si>
  <si>
    <t>“End-users must always be aware of their interaction with an AI system.”; “AI systems must be made identifiable as such.”; “each AI system must be accompanied by a comprehensive set of documentation.”</t>
  </si>
  <si>
    <t>Explainability-Pflicht (request-based).</t>
  </si>
  <si>
    <t>“a clear and simple explanation… shall be provided… upon request.”</t>
  </si>
  <si>
    <t>Fairness/Non-discrimination als Pflicht.; Inclusiveness/Accessibility im KI-Kontext.; Betroffene können Outputs challengen/objektieren; corrective measures</t>
  </si>
  <si>
    <t>“AI systems must be designed… to avoid discriminatory or biased outcomes.”; “The AI system must comply with the SAP Accessibility Standards.”; “enable… to… object… SAP will implement corrective measures”</t>
  </si>
  <si>
    <t>Privacy &amp; data protection als Pflicht.</t>
  </si>
  <si>
    <t>“must comply with the SAP’s Global Data Protection and Privacy Policy”</t>
  </si>
  <si>
    <t>Safety/Security: Compliance Global Security Policy muss sichergestellt werden</t>
  </si>
  <si>
    <t>“Compliance with SAP’s Global Security Policy must be ensured.”</t>
  </si>
  <si>
    <t>Do Not Harm: Impact classification &amp; harm prevention Maßnahmen sollen definiert werden; Klarer Verbotsmodus (policy rule).</t>
  </si>
  <si>
    <t>“Impact classification mechanisms and measures to prevent harm shall be defined”; “AI systems must not be developed or deployed”</t>
  </si>
  <si>
    <t>High-risk: extensive testing + Doku von Testfällen/Ergebnissen; Tests sollen dokumentiert werden (Development Policy); Monitoring kontinuierlich empfohlen</t>
  </si>
  <si>
    <t>“AI systems must be tested extensively”; “Tests cases and results should be documented”; “An AI system should be monitored continuously”</t>
  </si>
  <si>
    <t>Betroffene können Outputs challengen/objektieren; corrective measures; “enable… to… object… SAP will implement corrective measures”</t>
  </si>
  <si>
    <t>Accessibility Standards als Pflicht</t>
  </si>
  <si>
    <t>“The AI system must comply with the SAP Accessibility Standards.”</t>
  </si>
  <si>
    <t>Sustainability als Norm.</t>
  </si>
  <si>
    <t>“shall be conducted in accordance with SAP's sustainability policies.”</t>
  </si>
  <si>
    <t>Privacy &amp; data protection als Pflicht.; Klarer Verbotsmodus (policy rule).</t>
  </si>
  <si>
    <t>“must comply with the SAP’s Global Data Protection and Privacy Policy”; “AI systems must not be developed or deployed”</t>
  </si>
  <si>
    <t>Expliziter KI-Ethik-Commitment.</t>
  </si>
  <si>
    <t>“SAP is committed to the ethical development, deployment, use, and sale of AI systems.”</t>
  </si>
  <si>
    <t>Datenqualität/Representativeness.; Daten-/Modell-/Prozessdoku als verbindlicher Standard.</t>
  </si>
  <si>
    <t>“shall be tested on a dataset… representative, relevant, accurate”; “each AI system must be accompanied by a comprehensive set of documentation.”</t>
  </si>
  <si>
    <t>Human Rights als Fundament (UDHR); Harm-prevention + Mechanismus.; Red lines: bestimmte Use Cases verboten (“must not…”)</t>
  </si>
  <si>
    <t>“...uphold and support the Universal Declaration of Human Rights.”; “Impact classification mechanisms and measures to prevent harm shall be defined”; “AI systems must not be developed or deployed”</t>
  </si>
  <si>
    <t>Rollen/Gremien + Mandate beschrieben (Steering, Advisory, Office, Workstream).</t>
  </si>
  <si>
    <t>Use-case Evaluation inkl. Checkpoints + Risk-Kategorien + Entscheidungspfad.</t>
  </si>
  <si>
    <t>Assessments/Tests/Dokumentationspflicht als Checks, teils ohne Toolnamen.</t>
  </si>
  <si>
    <t>Periodische Evaluation „must be performed and documented“ (Review-Mechanismus).</t>
  </si>
  <si>
    <t>Training-Material/Opportunities explizit (Beschreibung, nicht nur Schlagwort).</t>
  </si>
  <si>
    <t>Anonymer Kanal + Expert Panels als Eskalations-/Entscheidungsinstanzen.</t>
  </si>
  <si>
    <t>Abweichungen werden dokumentiert &amp; geteilt; keine KPI-/Frequenz-/Empfängerlogik.</t>
  </si>
  <si>
    <t>S.6–7 – Roles and Responsibilities</t>
  </si>
  <si>
    <t>S.12 – 7. Governance (Use case evaluation)</t>
  </si>
  <si>
    <t>S.11 (assessments); p.8 (tests documented); p.10 (documentation)</t>
  </si>
  <si>
    <t>S.12 – periodic evaluation</t>
  </si>
  <si>
    <t>S.7 – Trustworthy AI Workstream</t>
  </si>
  <si>
    <t>S.12 – Speak Out; high-risk panels decide</t>
  </si>
  <si>
    <t>S.11 – Documentation (High-risk)</t>
  </si>
  <si>
    <t>“Accountable for approving high-risk use cases.”; “independent and unbiased feedback and recommendations”; “Reviewing and updating the AI Ethics policy and guiding principles.”; “Providing education and training material”</t>
  </si>
  <si>
    <t>“several checkpoints… required before releasing the AI system.”; “High risk… panels… decide… Forbidden… will not allow”</t>
  </si>
  <si>
    <t>“impact and policy compliance assessments are in place”; “Tests cases and results should be documented”; “each AI system must be accompanied by a comprehensive set of documentation.”</t>
  </si>
  <si>
    <t>“A periodic evaluation… must be performed and documented.”</t>
  </si>
  <si>
    <t>“Providing education and training material”</t>
  </si>
  <si>
    <t>“they can use the Speak Out tool.”; “High risk… panels… decide… Forbidden… will not allow”</t>
  </si>
  <si>
    <t>“shall be promptly documented… and shared with other actors.”</t>
  </si>
  <si>
    <t>„assessments are in place“: reicht das für Score=2 (dokumentiert) oder nur Score=1 (benannt)?</t>
  </si>
  <si>
    <t>A: Score=1 (keine Methode/Owner) B: Score=2 (Check/Assessment explizit). Gewählt: B (konservativ), da Assessments klar als Mechanismus benannt.</t>
  </si>
  <si>
    <t>Ist „periodic evaluation… performed and documented“ bereits Score=2 (dokumentiert) oder Score=3 (implementiert &amp; nachweisbar)?</t>
  </si>
  <si>
    <t>A: Score=2 (kein Audit-Report/KPI) B: Score=3 (Frequenz risikobasiert). Gewählt: A, da kein Nachweis realer Auditberichte/KPIs.</t>
  </si>
  <si>
    <t>Contestability/Redress: ist das BIND=2 (Regel) oder BIND=3 (Prozessvorgabe) wegen Verweis auf Governance/Feedback-Mechanismen?</t>
  </si>
  <si>
    <t>A: BIND=2 B: BIND=3 (Mechanismen + corrective). Gewählt: B, da Objection→Corrective + Governance-Verweis konkretisiert.</t>
  </si>
  <si>
    <t>„AI presents opportunities for society“ ist da, aber ohne eigenes Prinzip „social benefit“. Codieren?</t>
  </si>
  <si>
    <t>A: VAL_13=1 (Society benefit) B: VAL_13=0 (zu allgemein). Gewählt: B konservativ.</t>
  </si>
  <si>
    <t>„should be documented/monitored“ (soft modal) vs „must be tested extensively“. Welche Bindigkeit?</t>
  </si>
  <si>
    <t>A: BIND=2 B: BIND=3 (konkrete Testing/Doku-Anforderungen). Gewählt: B, da „must be tested extensively“ + dokumentationsbezogene Vorgaben.</t>
  </si>
  <si>
    <t>Ist Dokumentationspflicht eher Transparenz (VAL_03) oder Data Governance (VAL_16) oder beides?</t>
  </si>
  <si>
    <t>A: nur VAL_03 B: VAL_03 + VAL_16. Gewählt: B, da Doku explizit Datasets/Training/Validation umfasst (Data/Model Governance).</t>
  </si>
  <si>
    <t>V0.2</t>
  </si>
  <si>
    <t>07.03.2026</t>
  </si>
  <si>
    <t>no</t>
  </si>
  <si>
    <t>Regel-ID</t>
  </si>
  <si>
    <t>Kategorie</t>
  </si>
  <si>
    <t>Regeltext</t>
  </si>
  <si>
    <t>Betroffene Codes</t>
  </si>
  <si>
    <t>Trigger</t>
  </si>
  <si>
    <t>Testfrage</t>
  </si>
  <si>
    <t>R01</t>
  </si>
  <si>
    <t>(iii) In-/Exklusion</t>
  </si>
  <si>
    <t>Ohne expliziten KI-Anker wird weder ein Value noch ein Governance-Kriterium codiert.</t>
  </si>
  <si>
    <t>alle VAL, alle GOV</t>
  </si>
  <si>
    <t>C19–C24</t>
  </si>
  <si>
    <t>„Steht AI/KI/algorithmic/model/ML o. ä. wirklich im codierten Satz/Abschnitt?“</t>
  </si>
  <si>
    <t>R02</t>
  </si>
  <si>
    <t>Es zählt nur sichtbar belegter Text; aus fehlenden Antworten, impliziten Inhalten oder vermuteten Anhängen wird nichts abgeleitet.</t>
  </si>
  <si>
    <t>alle</t>
  </si>
  <si>
    <t>„Kann ich die Evidenzstelle wörtlich zeigen?“</t>
  </si>
  <si>
    <t>R03</t>
  </si>
  <si>
    <t>(iii) PR vs Substanz</t>
  </si>
  <si>
    <t>Reine Image-/Wohlklangsprache ohne Norm, Mechanik oder definierte KI-Aussage wird nicht codiert.</t>
  </si>
  <si>
    <t>C5, C24, C45</t>
  </si>
  <si>
    <t>„Ist das mehr als PR – also Pflicht, Grenze oder Mechanik?“</t>
  </si>
  <si>
    <t>R04</t>
  </si>
  <si>
    <t>(i) Value↔Value</t>
  </si>
  <si>
    <t>VAL_03 = Offenlegung/Identifizierbarkeit/Einsatztransparenz; VAL_04 = Erklärung/Interpretierbarkeit/Verstehbarkeit von Output oder Entscheidungslogik.</t>
  </si>
  <si>
    <t>VAL_03, VAL_04</t>
  </si>
  <si>
    <t>C7, C36</t>
  </si>
  <si>
    <t>„Geht es um disclosure – oder darum, dass man die Entscheidung erklären/verstehen kann?“</t>
  </si>
  <si>
    <t>R05</t>
  </si>
  <si>
    <t>VAL_08 und VAL_09 dürfen nebeneinander codiert werden: Safety/Harm/Misuse = VAL_08; Robustheit/Zuverlässigkeit/Testing = VAL_09.</t>
  </si>
  <si>
    <t>VAL_08, VAL_09</t>
  </si>
  <si>
    <t>C11, C25, C35</t>
  </si>
  <si>
    <t>„Steht explizit Schaden/Missbrauch drin – oder nur Robustheit?“</t>
  </si>
  <si>
    <t>R06</t>
  </si>
  <si>
    <t>Datensatz-Inklusion/Repräsentativität ist nicht automatisch VAL_11; meist primär VAL_05 und/oder VAL_16.</t>
  </si>
  <si>
    <t>VAL_11, VAL_05, VAL_16</t>
  </si>
  <si>
    <t>„Geht es um Accessibility/Teilhabe – oder um Datenqualität/Fairness?“</t>
  </si>
  <si>
    <t>R07</t>
  </si>
  <si>
    <t>VAL_14 codiert Rechts-/Standardkonformität; VAL_15 nur ethische Leitplanken, die über bloße Compliance hinausgehen.</t>
  </si>
  <si>
    <t>VAL_14, VAL_15</t>
  </si>
  <si>
    <t>C5, C26</t>
  </si>
  <si>
    <t>„Wird hier Recht eingehalten – oder eine eigenständige ethische Grenze gezogen?“</t>
  </si>
  <si>
    <t>R08</t>
  </si>
  <si>
    <t>Privacy zählt zusätzlich als VAL_18 nur bei explizitem Human-Rights-Framing.</t>
  </si>
  <si>
    <t>VAL_06, VAL_18</t>
  </si>
  <si>
    <t>„Steht privacy bloß als Datenschutz – oder ausdrücklich als human right?“</t>
  </si>
  <si>
    <t>R09</t>
  </si>
  <si>
    <t>Dokumentation mit Daten-/Dataset-/Training-/Validation-Bezug zählt zusätzlich als VAL_16; reine Offenlegung bleibt VAL_03.</t>
  </si>
  <si>
    <t>VAL_03, VAL_16</t>
  </si>
  <si>
    <t>„Dokumentiert der Satz Governance des Daten-/Modellinputs?“</t>
  </si>
  <si>
    <t>R10</t>
  </si>
  <si>
    <t>(ii) Value↔Governance</t>
  </si>
  <si>
    <t>Verantwortungsprinzip als Norm = VAL_02; benannte Rollen/Einheiten/Approver = GOV_01. Einspruchsrecht = VAL_10; Eskalationsprozess = GOV_06.</t>
  </si>
  <si>
    <t>VAL_02/GOV_01, VAL_10/GOV_06</t>
  </si>
  <si>
    <t>C15, C34, C44</t>
  </si>
  <si>
    <t>„Ist das ein normativer Anspruch – oder ein organisatorischer Mechanismus?“</t>
  </si>
  <si>
    <t>R11</t>
  </si>
  <si>
    <t>(iv) Bindigkeit</t>
  </si>
  <si>
    <t>BIND=2 bei deontischer Regel; BIND=3 nur bei konkretem Prozess-, Check-, Testing-, Dokumentations- oder Kontrollschritt.</t>
  </si>
  <si>
    <t>alle VAL mit BIND</t>
  </si>
  <si>
    <t>C1, C8, C18, C31, C38, C44, C46</t>
  </si>
  <si>
    <t>„Steht hier nur must/shall – oder auch ein konkreter Vollzugsschritt?“</t>
  </si>
  <si>
    <t>R12</t>
  </si>
  <si>
    <t>(iv) Governance-Score</t>
  </si>
  <si>
    <t>Score 1 = Absicht/Benennung; Score 2 = dokumentierter Mechanismus mit Ablauf-/Einsatzbezug; Score 3 = Implementierung mit Nachweis/Outputs/KPIs/Reviewzyklen.</t>
  </si>
  <si>
    <t>alle GOV</t>
  </si>
  <si>
    <t>C3, C9, C13, C28, C33, C41, C42, C43</t>
  </si>
  <si>
    <t>„Kann ich zeigen, wie es läuft – und gibt es sogar Belege, dass es läuft?“</t>
  </si>
  <si>
    <t>R13</t>
  </si>
  <si>
    <t>Bei GOV_04 reicht ein bloßes Attribut wie „auditable“ nicht; auditnahe Aktivitäten (inspection/evaluation/assessment) genügen für 1, dokumentierte Mechanik für 2, Reports/KPIs/Zyklen für 3.</t>
  </si>
  <si>
    <t>C14, C37, C43</t>
  </si>
  <si>
    <t>„Ist audit nur Eigenschaft – oder eine tatsächliche Aktivität?“</t>
  </si>
  <si>
    <t>R14</t>
  </si>
  <si>
    <t>(v) Mehrfachcodierung/Maximalprinzip</t>
  </si>
  <si>
    <t>Mehrfachcodierung ist zulässig, wenn zwei eigenständige normative Kerne vorliegen; innerhalb eines Codes gilt das höchste belastbar belegte Niveau.</t>
  </si>
  <si>
    <t>VAL_08/09, VAL_03/16, BIND</t>
  </si>
  <si>
    <t>C25, C35, C46, C47</t>
  </si>
  <si>
    <t>„Beschreibt derselbe Satz zwei wirklich verschiedene Dinge?“</t>
  </si>
  <si>
    <t>Remove: Document Log Change Columns</t>
  </si>
  <si>
    <t>modify</t>
  </si>
  <si>
    <t>02_Values_Codebook → notes_boundary_cases</t>
  </si>
  <si>
    <t>VAL_03 codieren, wenn Offenlegung, Identifizierbarkeit oder der Einsatz von KI gemeint ist (z. B. disclose AI involvement, AI system identifiable). Nicht als VAL_04 codieren, solange keine Erklärung/Interpretierbarkeit von Output, Modell oder Entscheidungslogik gefordert wird.</t>
  </si>
  <si>
    <t>Trennschärfe aus C7, C27, C47; verhindert Vermischung von disclosure und explanation.</t>
  </si>
  <si>
    <t>02_Values_Codebook → include_rules</t>
  </si>
  <si>
    <t>Wenn Erklärbarkeit, Interpretierbarkeit oder Verständlichkeit von KI-Output oder Entscheidungslogik gefordert wird; dazu zählen auch Formulierungen wie "comprehensible decision-making processes" oder die Vermeidung von "black boxes", sofern sie auf Verstehbarkeit/Erklärung und nicht nur auf Offenlegung zielen.</t>
  </si>
  <si>
    <t>Direkt aus C7 und C36; schärft Explainability jenseits reiner Terminus-Treue.</t>
  </si>
  <si>
    <t>VAL_08 zusätzlich zu VAL_09 codieren, wenn Schäden, unbeabsichtigte Folgen, Missbrauch oder Safety explizit benannt sind. Reine Robustheits-/Zuverlässigkeitsrhetorik ohne Harm-/Safety-Anker bleibt nur VAL_09.</t>
  </si>
  <si>
    <t>C11, C25, C35 zeigen wiederkehrende Doppelcodierungslogik.</t>
  </si>
  <si>
    <t>Wenn Robustheit, Zuverlässigkeit, Genauigkeit, Testing oder Monitoring ausdrücklich auf das Erreichen intendierter Ergebnisse, Fehlerresistenz oder stabile Funktion von KI zielen. Bloßes Monitoring/Feedback ohne Bezug zu Output-Qualität oder intended outcome reicht nicht.</t>
  </si>
  <si>
    <t>C2, C17, C46: Monitoring darf nur mit Qualitätsanker zu VAL_09 führen.</t>
  </si>
  <si>
    <t>02_Values_Codebook → exclude_rules</t>
  </si>
  <si>
    <t>Allgemeine DEI-/HR-Aussagen ohne KI-Bezug ausschließen. Ebenfalls ausschließen: "inclusion in data sets", repräsentative Daten oder Bias-Minderung ohne Bezug zu Accessibility, Teilhabe oder inklusivem Design; diese Fälle primär unter VAL_05 und/oder VAL_16 prüfen.</t>
  </si>
  <si>
    <t>C16 und C32 machen dieselbe Grenze aus zwei Richtungen sichtbar.</t>
  </si>
  <si>
    <t>Wenn gesellschaftlicher oder menschlicher Nutzen/Wohlbefinden im KI-Kontext ausdrücklich als Ziel oder Ergebnis benannt wird; auch kundenseitiger Nutzen zählt, sofern der Nutzenbezug konkret ("improve/enrich/simplify lives", well-being, benefit) und nicht bloß Innovations- oder Chancenrhetorik ist.</t>
  </si>
  <si>
    <t>C40 vs. C45: erlaubt DTE, schließt SAP-Opportunity-Rhetorik aus.</t>
  </si>
  <si>
    <t>VAL_14 nur bei erkennbarem KI-, Regulierungs- oder Standardbezug codieren. BIND=2 bei deontischer Compliance-Regel ("must/always comply", "may only"). BIND=3 nur, wenn die Compliance-Anforderung an konkrete Inventare, Assessments, Tests oder Dokumentationspflichten gekoppelt ist.</t>
  </si>
  <si>
    <t>C8, C18, C26 systematisieren BIND-Logik für Compliance.</t>
  </si>
  <si>
    <t>Reine Ethik-/Responsible-AI-Rhetorik ohne normative Grenze ausschließen. "Do not"/Prohibited-AI-Fälle nur dann VAL_15, wenn die Grenze ethisch begründet wird; ist sie ausschließlich als Rechts-/Policy-Verstoß formuliert, primär VAL_14 codieren.</t>
  </si>
  <si>
    <t>C5 trennt ethische Leitplanke von reiner Rechtsbindung.</t>
  </si>
  <si>
    <t>Wenn Datenqualität, Datenherkunft, Repräsentativität, Lineage, Dokumentation von Datasets/Training/Validation oder Data Stewardship im KI-Kontext gefordert werden; auch Pflichtdokumentation zählt, sofern sie Daten- oder Modellgovernance betrifft.</t>
  </si>
  <si>
    <t>C10, C38, C47 erweitern VAL_16 belastbar in Richtung Dataset-/Dokumentationsgovernance.</t>
  </si>
  <si>
    <t>Allgemeine Datenstrategie oder allgemeine "strong data/AI governance"-Rhetorik ohne konkrete Datenqualitäts-, Dataset- oder Stewardship-Anforderung ausschließen; reine Offenlegung/Dokumentation ohne Daten-/Modellbezug primär unter VAL_03 prüfen.</t>
  </si>
  <si>
    <t>C10/C47 verlangen explizite Grenze zu VAL_03 und zu bloßer Governance-Rhetorik.</t>
  </si>
  <si>
    <t>Wenn Menschenrechte, dignity, UDHR/UNGP oder einzelne Rechte ausdrücklich als Menschenrechtsrahmen für KI genannt werden; Privacy zählt zusätzlich als VAL_18 nur dann, wenn sie explizit als human right oder im Human-Rights-Framework verankert wird.</t>
  </si>
  <si>
    <t>C12 macht die Bedingung explizit.</t>
  </si>
  <si>
    <t>04_Governance_Codebook → score_1_definition</t>
  </si>
  <si>
    <t>AI-bezogene Rolle, Einheit oder Ownership grob benannt (z. B. AI office, ethics committee, clear accountability/ownership), aber ohne ausdifferenzierte Aufgaben- oder Freigabelogik.</t>
  </si>
  <si>
    <t>C15 und C34 zeigen, dass Score 1 einen AI-Bezug braucht, aber noch keine RACI-Logik.</t>
  </si>
  <si>
    <t>04_Governance_Codebook → score_2_definition</t>
  </si>
  <si>
    <t>Konkreter Check/Mechanismus dokumentiert; der Toolname ist nicht zwingend, wenn Checktyp, Prüfgegenstand und Einsatzzeitpunkt/Anlass erkennbar sind (z. B. representativeness verification, impact assessment, extensive testing, documented monitoring).</t>
  </si>
  <si>
    <t>C13, C28, C42 rechtfertigen Score 2 auch ohne Tool-Markenname; C33 bleibt trotzdem bei 1.</t>
  </si>
  <si>
    <t>04_Governance_Codebook → evidence_minimum</t>
  </si>
  <si>
    <t>Name des Tools ODER klar benannter Checktyp/Assessment + Prüfgegenstand + wann/wofür eingesetzt.</t>
  </si>
  <si>
    <t>Präzisiert die Schwelle zwischen C13/C42 und C33.</t>
  </si>
  <si>
    <t>Audit, Assessment, inspection oder evaluation als Aktivität erwähnt, aber ohne Mechanik/Frequenz/Verantwortliche. Ein bloßes Qualitätsattribut wie "auditable" reicht nicht.</t>
  </si>
  <si>
    <t>C14, C37, C43; beseitigt den stärksten Governance-Grenzfall.</t>
  </si>
  <si>
    <t>yes</t>
  </si>
  <si>
    <t>Awareness, education oder training ausdrücklich angekündigt, empfohlen oder bereitgestellt; ohne Zielgruppe, Pflichtgrad oder Programmstruktur bleibt Score 1.</t>
  </si>
  <si>
    <t>C29 und DTE-Fall: Awareness muss als Training benennbar sein, aber bleibt ohne Programm bei 1.</t>
  </si>
  <si>
    <t>Explizite Reporting-/Disclosure-Absicht zu AI-Risiken, Kontrollen oder Vorfällen erwähnt. Bloße Beratungsempfehlungen an ein Gremium ohne Reportgegenstand zählen nicht.</t>
  </si>
  <si>
    <t>C4 vs. C30 verlangt saubere Trennung zwischen reporting und advisory function.</t>
  </si>
  <si>
    <t>Klarer Kontroll-/Override-Schritt; stärkste Evidenz im Dokument.</t>
  </si>
  <si>
    <t>Verantwortungsprinzip explizit, aber ohne Rollen-/Mechanikanker im Wertesinn.</t>
  </si>
  <si>
    <t>Disclosure/Offenlegung des AI-Einsatzes.</t>
  </si>
  <si>
    <t>Explainability explizit, aber nur Prinzipienniveau.</t>
  </si>
  <si>
    <t>Fairness klar, ohne operativen Kontrollschritt.</t>
  </si>
  <si>
    <t>KI-bezogener Datenschutz eindeutig.</t>
  </si>
  <si>
    <t>Security-Anker vorhanden, aber nicht weiter operationalisiert.</t>
  </si>
  <si>
    <t>Safety/Harm-Prevention klar, jedoch ohne Prozessschritt.</t>
  </si>
  <si>
    <t>Robustheit explizit, aber nicht test-/monitoringbezogen.</t>
  </si>
  <si>
    <t>—</t>
  </si>
  <si>
    <t>Kein belastbarer Redress-/Contestability-Anker.</t>
  </si>
  <si>
    <t>Kein Accessibility-/Teilhabebeleg mit KI-Anker.</t>
  </si>
  <si>
    <t>Umweltbezug explizit.</t>
  </si>
  <si>
    <t>Konkreter Well-being-/Benefit-Anker.</t>
  </si>
  <si>
    <t>Standard-/Compliance-Bezug; deontisch stärker als bloßes Statement.</t>
  </si>
  <si>
    <t>Nur Ethik-/Responsible-AI-Rhetorik; keine eigenständige ethische Grenze.</t>
  </si>
  <si>
    <t>Kein konkreter Data-quality-/Dataset-governance-Anker.</t>
  </si>
  <si>
    <t>Kein belastbarer KI-spezifischer IP-/Confidentiality-Anker.</t>
  </si>
  <si>
    <t>Human-rights-Frame explizit genannt.</t>
  </si>
  <si>
    <t>S.2 – Diversity, non-discrimination and fairness</t>
  </si>
  <si>
    <t>Rolle/Einheit und Aufgaben sichtbar; keine Review-/Reporting-Belege.</t>
  </si>
  <si>
    <t>Nur Prozessabsicht; keine Prozessstufen/Trigger/Owner.</t>
  </si>
  <si>
    <t>Konkreter Check-/Inventory-Mechanismus, aber ohne Protokoll-/Output-Nachweis.</t>
  </si>
  <si>
    <t>Awareness benannt, aber kein Trainingsprogramm/Pflichtgrad.</t>
  </si>
  <si>
    <t>Reporting-Absicht ja, aber ohne Empfänger/Frequenz/KPI.</t>
  </si>
  <si>
    <t>Klarer menschlicher Kontroll-/Interventionsschritt.</t>
  </si>
  <si>
    <t>Deutliches Verantwortungsprinzip; keine weitergehende Prozesskopplung.</t>
  </si>
  <si>
    <t>Klare Disclosure-Regel.</t>
  </si>
  <si>
    <t>Explainability-Anker vorhanden, aber nur auf Prinzipienniveau.</t>
  </si>
  <si>
    <t>Konkreter Anti-Bias-Kontrollschritt.</t>
  </si>
  <si>
    <t>Klare Privacy-Regel; stärkste Evidenz bleibt deontisch.</t>
  </si>
  <si>
    <t>Security-Regel mit konkreter Absicherungsrichtung.</t>
  </si>
  <si>
    <t>Konkrete Harm-prevention-Stop-Regel.</t>
  </si>
  <si>
    <t>Robustheit explizit; kein Test-/Monitoringbeleg für 3.</t>
  </si>
  <si>
    <t>Kein belastbarer Redress-/Complaint-Mechanismus.</t>
  </si>
  <si>
    <t>Kein Inclusiveness-/Accessibility-Anker.</t>
  </si>
  <si>
    <t>Kein Umwelt-/Green-AI-Anker im Short Doc.</t>
  </si>
  <si>
    <t>Konkreter Kundennutzen, aber ohne weitere Operationalisierung.</t>
  </si>
  <si>
    <t>Deontische Compliance-Regel.</t>
  </si>
  <si>
    <t>Nur Ethik-Rhetorik; keine explizite ethische Grenze/„do not“-Leitplanke.</t>
  </si>
  <si>
    <t>Konkreter Data-governance-/Data-quality-Kontrollschritt.</t>
  </si>
  <si>
    <t>Kein KI-spezifischer IP-/Confidentiality-Anker.</t>
  </si>
  <si>
    <t>Kein expliziter Human-rights-Frame im Sinne des Codebooks.</t>
  </si>
  <si>
    <t>pilot_value_present</t>
  </si>
  <si>
    <t>recode_value_present</t>
  </si>
  <si>
    <t>pilot_binding_level</t>
  </si>
  <si>
    <t>recode_binding_level</t>
  </si>
  <si>
    <t>delta_type</t>
  </si>
  <si>
    <t>change_cause</t>
  </si>
  <si>
    <t>evidence_anchor_recode</t>
  </si>
  <si>
    <t>binding</t>
  </si>
  <si>
    <t>Correction of inconsistent pilot coding</t>
  </si>
  <si>
    <t>Rule change (expected)</t>
  </si>
  <si>
    <t>both</t>
  </si>
  <si>
    <t>kein eigenständiger ethischer Grenzsatz in doc 37</t>
  </si>
  <si>
    <t>kein ethischer Grenzsatz, nur Responsible-AI-Rhetorik</t>
  </si>
  <si>
    <t>POST-HOC Vergleich: Re-Coding vs Pilot-Coding</t>
  </si>
  <si>
    <t>doc 37, S.2 – human monitoring / overrule</t>
  </si>
  <si>
    <t>doc 37, S.2 – applicable safety standards</t>
  </si>
  <si>
    <t>doc 86, S.9 – kill switch</t>
  </si>
  <si>
    <t>doc 86, S.9 – remove inappropriate data to avoid bias</t>
  </si>
  <si>
    <t>doc 86, S.9 – stop AI system on inconsistencies</t>
  </si>
  <si>
    <t>Keine Governance-Deltas.</t>
  </si>
  <si>
    <t>Alle sieben BMW-Governance-Codes und alle sieben Deutsche-Telekom-Governance-Codes stimmen im Re-Coding mit den Pilot-Scores überein.</t>
  </si>
  <si>
    <t>V0.02-V1.0</t>
  </si>
  <si>
    <t>FREEZE NACH ERFOLGREICHEM RE-CODING</t>
  </si>
  <si>
    <t>Explizite menschliche Aufsicht und Override; Prinzipienebene</t>
  </si>
  <si>
    <t>Verantwortung für Funktion und Folgen von KI klar benannt</t>
  </si>
  <si>
    <t>Transparenz explizit im KI-Abschnitt</t>
  </si>
  <si>
    <t>„explainable systems“ explizit</t>
  </si>
  <si>
    <t>Fairness und Nicht-Diskriminierung explizit</t>
  </si>
  <si>
    <t>Datenschutz explizit genannt</t>
  </si>
  <si>
    <t>Kein expliziter KI-Sicherheits-/Cybersecurity-Anker</t>
  </si>
  <si>
    <t>Safety-first-Prinzip mit Schutzbezug</t>
  </si>
  <si>
    <t>Reliability/Dependability explizit</t>
  </si>
  <si>
    <t>Kein Einspruchs-, Beschwerde- oder Redress-Mechanismus</t>
  </si>
  <si>
    <t>„diversity and inclusion“ erscheint eher als Fairness-Unterstützung, nicht als Accessibility/inklusive Gestaltung</t>
  </si>
  <si>
    <t>Nachhaltigkeit/Planet explizit im KI-Kontext</t>
  </si>
  <si>
    <t>„societal wellbeing“ explizit</t>
  </si>
  <si>
    <t>IHL-Adhärenz im KI-Kontext, aber ohne deontische Regel</t>
  </si>
  <si>
    <t>„trustworthy AI“ / „ethics by design“ bleibt hier zu allgemein, keine klare ethische Grenze/Do-not-Regel</t>
  </si>
  <si>
    <t>„data privacy and governance standards“ ohne Datenqualitäts-, Lineage- oder Stewardship-Anker</t>
  </si>
  <si>
    <t>Kein expliziter KI-bezogener IP-/Confidentiality-Bezug</t>
  </si>
  <si>
    <t>Menschenrechte explizit als KI-Rahmen genannt</t>
  </si>
  <si>
    <t>S. 5, Our approach to Artificial Intelligence (AI)</t>
  </si>
  <si>
    <t>“Human oversight of AI systems is essential”; “override AI decisions when necessary”</t>
  </si>
  <si>
    <t>Menschliche Aufsicht über KI wird als essenziell beschrieben.</t>
  </si>
  <si>
    <t>“takes responsibility for their function and consequences”</t>
  </si>
  <si>
    <t>Airbus beansprucht Verantwortung und will transparente sowie erklärbare KI-Systeme gestalten.</t>
  </si>
  <si>
    <t>“designing transparent and explainable systems”</t>
  </si>
  <si>
    <t>Transparenz und Erklärbarkeit werden gemeinsam genannt.</t>
  </si>
  <si>
    <t>“fairness for all, without discrimination”</t>
  </si>
  <si>
    <t>KI soll fair und diskriminierungsfrei sein.</t>
  </si>
  <si>
    <t>“adheres to strict data privacy and governance standards”</t>
  </si>
  <si>
    <t>Datenschutz und Data Governance werden als Standards genannt.</t>
  </si>
  <si>
    <t>“Safety is our top priority”</t>
  </si>
  <si>
    <t>Sicherheit, Zuverlässigkeit und Schutz vor Schäden werden als KI-Prinzip gesetzt.</t>
  </si>
  <si>
    <t>“highest standards of reliability and dependability”</t>
  </si>
  <si>
    <t>Airbus betont Zuverlässigkeit und Verlässlichkeit von KI-Systemen.</t>
  </si>
  <si>
    <t>“enhance societal wellbeing”</t>
  </si>
  <si>
    <t>“enhance societal wellbeing”; “contribute to our sustainability goals by respecting the planet”</t>
  </si>
  <si>
    <t>KI wird mit planetärer Verantwortung und Prosperität verknüpft.</t>
  </si>
  <si>
    <t>Sozialnutzen explizit</t>
  </si>
  <si>
    <t>“integrating respect for human rights and adherence to International Humanitarian Law (IHL)”</t>
  </si>
  <si>
    <t>Airbus verankert KI ausdrücklich in einem menschenrechtlichen und IHL-bezogenen Rahmen.</t>
  </si>
  <si>
    <t>Keine AI-spezifischen Rollen, Owner oder Gremien im KI-Abschnitt</t>
  </si>
  <si>
    <t>Keine AI-spezifischen Checks, Assessments oder Tools mit KI-Anker</t>
  </si>
  <si>
    <t>Keine AI-spezifischen Audit-/Assessment-Mechaniken</t>
  </si>
  <si>
    <t>Keine AI-spezifischen Trainings erwähnt</t>
  </si>
  <si>
    <t>Kein AI-spezifischer Eskalations- oder Incident-Prozess</t>
  </si>
  <si>
    <t>Kein AI-spezifisches Reporting, keine KPIs, keine Disclosure-Struktur</t>
  </si>
  <si>
    <t>gov_id</t>
  </si>
  <si>
    <t>keine Schritte, Trigger, Verantwortlichen</t>
  </si>
  <si>
    <t>Prozessabsicht/Ansatz („ethics by design“) erwähnt</t>
  </si>
  <si>
    <t>“we prioritise an ethics by design approach to AI”</t>
  </si>
  <si>
    <t>VAL_15, GOV_02</t>
  </si>
  <si>
    <t>„ethics by design approach to AI“ kann als ethische Leitplanke oder als bloßer Prozesshinweis gelesen werden.</t>
  </si>
  <si>
    <t>A: VAL_15=1 bzw. GOV_02=1, weil ethischer Designansatz erwähnt wird. B: VAL_15=0, GOV_02=1, weil keine explizite ethische Grenze/Do-not-Regel, aber Prozessabsicht vorhanden. Gewählt: B, konservativ nach Codebook.</t>
  </si>
  <si>
    <t>VAL_06, VAL_16</t>
  </si>
  <si>
    <t>„data privacy and governance standards“ könnte Privacy oder Data Governance/Data Quality betreffen.</t>
  </si>
  <si>
    <t>A: VAL_06=1 und VAL_16=1. B: nur VAL_06=1, weil keine Qualität, Herkunft, Lineage oder Stewardship konkretisiert wird. Gewählt: B, konservativ nach Codebook.</t>
  </si>
  <si>
    <t>VAL_05, VAL_11</t>
  </si>
  <si>
    <t>„support diversity and inclusion“ im Fairness-Satz könnte als Inclusiveness mitgezählt werden.</t>
  </si>
  <si>
    <t>A: VAL_05=1 und VAL_11=1. B: nur VAL_05=1, da kein Accessibility-/Teilhabe-/inklusive-Design-Anker. Gewählt: B, konservativ nach Codebook.</t>
  </si>
  <si>
    <t>GOV_03, GOV_04, GOV_07</t>
  </si>
  <si>
    <t>Vor dem AI-Abschnitt werden Due Diligence, Risk Assessment und regelmäßige Reviews beschrieben; unklar ist, ob diese auf KI übertragbar sind.</t>
  </si>
  <si>
    <t>A: Governance-Codes &gt;0 vergeben, weil unmittelbar vor KI-Abschnitt. B: nicht codieren, weil kein expliziter KI-Anker in diesen Passagen. Gewählt: B gemäß R1 KI-Anker-Regel.</t>
  </si>
  <si>
    <t>C48</t>
  </si>
  <si>
    <t>C49</t>
  </si>
  <si>
    <t>C50</t>
  </si>
  <si>
    <t>C51</t>
  </si>
  <si>
    <t>V1</t>
  </si>
  <si>
    <t>S. 31, Digital Ethics</t>
  </si>
  <si>
    <t>Verbot KI-Entscheidungen in personal/moral/political issues; kein expliziter Override, aber klare normative Begrenzung</t>
  </si>
  <si>
    <t>„responsibly“ zu allgemein; keine klare Verantwortungszurechnung für KI-Folgen</t>
  </si>
  <si>
    <t>Nutzerinformation über KI-Systeme explizit als Negativbeispiel</t>
  </si>
  <si>
    <t>Zwecke, Inputs und Outputs sollen erklärt werden</t>
  </si>
  <si>
    <t>Regelmäßige KI-Reviews zur Fairness-/Bias-Prävention = prozessuale Operationalisierung</t>
  </si>
  <si>
    <t>Privacy explizit; Schutz persönlicher Informationen klar normiert</t>
  </si>
  <si>
    <t>Security-Kapitel ist nicht KI-spezifisch; kein KI-Anker</t>
  </si>
  <si>
    <t>Kein expliziter KI-Safety-Bezug im Digital-Ethics-Abschnitt</t>
  </si>
  <si>
    <t>Keine Robustness-/Reliability-Aussage zu KI</t>
  </si>
  <si>
    <t>Kein KI-spezifischer Einspruchs- oder Redress-Mechanismus</t>
  </si>
  <si>
    <t>Allgemeine Inclusion-/Diversity-Passage ohne KI-Anker</t>
  </si>
  <si>
    <t>Digitaltechnologien zur Unterstützung von Nachhaltigkeitszielen erwähnt, aber sehr allgemein</t>
  </si>
  <si>
    <t>Kein expliziter societal wellbeing-/public benefit-Anker im KI-Kontext</t>
  </si>
  <si>
    <t>„legally“ im Digital-/KI-Kontext als klare Norm</t>
  </si>
  <si>
    <t>„ethically“ explizit; normative Verwendungsregel</t>
  </si>
  <si>
    <t>Keine Datenqualitäts- oder Data-Governance-Mechanik</t>
  </si>
  <si>
    <t>Kein KI-spezifischer IP-/Confidentiality-Bezug</t>
  </si>
  <si>
    <t>Menschenrechte explizit einbezogen</t>
  </si>
  <si>
    <t>“Use artificial intelligence to make decisions about personal, moral or political issues.”</t>
  </si>
  <si>
    <t>Negative Begrenzung menschlich sensibler Entscheidungen</t>
  </si>
  <si>
    <t>“without informing the users, and without explaining its purposes, inputs and outputs”</t>
  </si>
  <si>
    <t>Nutzer sollen bei KI-Systemen informiert werden; Zwecke, Inputs und Outputs sollen erklärt werden.</t>
  </si>
  <si>
    <t>“Regularly review artificial intelligence systems to ensure fairness and prevent biases.”</t>
  </si>
  <si>
    <t>Fairness explizit; zugleich Prozesshinweis</t>
  </si>
  <si>
    <t>“This includes respecting human rights and privacy.”</t>
  </si>
  <si>
    <t>Expliziter Human-Rights- und Privacy-Bezug</t>
  </si>
  <si>
    <t>“This includes respecting human rights and privacy.”; “Take measures to protect the personal information we manage and share.”</t>
  </si>
  <si>
    <t>Expliziter Human-Rights- und Privacy-Bezug; Privacy/Data protection explizit</t>
  </si>
  <si>
    <t>“We leverage digital technologies to help meet our sustainability goals.”</t>
  </si>
  <si>
    <t>Nachhaltigkeits-/Wohlfahrtsbezug, aber breit formuliert</t>
  </si>
  <si>
    <t>“using digital technologies legally, responsibly and ethically”</t>
  </si>
  <si>
    <t>Klarer KI-/Digital-Anker; normativer Grundsatz</t>
  </si>
  <si>
    <t>Keine AI-spezifischen Rollen, Owner oder Gremien</t>
  </si>
  <si>
    <t>Keine AI-spezifischen Audits oder Auditnachweise</t>
  </si>
  <si>
    <t>Keine AI-spezifischen Trainings</t>
  </si>
  <si>
    <t>Speak-Up-Kapitel ist allgemein, nicht KI-spezifisch</t>
  </si>
  <si>
    <t>Kein AI-spezifisches Reporting, keine KPIs, keine Reports</t>
  </si>
  <si>
    <t>Regelmäßige Reviews von KI-Systemen sind dokumentiert</t>
  </si>
  <si>
    <t>kein benanntes Tool, kein Nachweis der Implementierung</t>
  </si>
  <si>
    <t>keine Nachweise zu Frequenz, Outputs, Verantwortlichen oder Umsetzung</t>
  </si>
  <si>
    <t>Fairness-/Bias-Review als dokumentierter Check</t>
  </si>
  <si>
    <t>“Regularly review artificial intelligence systems”</t>
  </si>
  <si>
    <t>Das Verbot, KI für persönliche, moralische oder politische Entscheidungen zu nutzen, kann als Oversight oder nur als Ethical Use gelesen werden.</t>
  </si>
  <si>
    <t>A: VAL_01=1, weil menschlich sensible Entscheidungen der KI entzogen werden. B: nur VAL_15=1. Gewählt: A zusätzlich zu VAL_15, da die Passage funktional menschliche Vorbehaltsentscheidung markiert; konservativ BIND=2, nicht 3.</t>
  </si>
  <si>
    <t>VAL_13, VAL_12</t>
  </si>
  <si>
    <t>„help meet our sustainability goals“ könnte Sustainability oder breiter Social Benefit codieren.</t>
  </si>
  <si>
    <t>A: VAL_12=1 und VAL_13=1. B: nur VAL_12=1. Gewählt: B, da kein expliziter societal wellbeing-/social benefit-Bezug.</t>
  </si>
  <si>
    <t>GOV_02, GOV_03, VAL_05</t>
  </si>
  <si>
    <t>„Regularly review artificial intelligence systems to ensure fairness and prevent biases“ kann als Wertaussage, Prozess und/oder Check gelesen werden.</t>
  </si>
  <si>
    <t>A: nur VAL_05=1/BIND=2. B: zusätzlich GOV_02=2 und GOV_03=2. Gewählt: B, da die Passage einen dokumentierten Review-/Check-Mechanismus beschreibt; nicht höher wegen fehlender Implementierungsnachweise.</t>
  </si>
  <si>
    <t>GOV_06, GOV_07, VAL_07</t>
  </si>
  <si>
    <t>Allgemeine Security- und Speak-Up-Regeln könnten auf KI übertragen werden, sind aber nicht KI-spezifisch.</t>
  </si>
  <si>
    <t>A: KI-Governance-Codes &gt;0 wegen Konzernweite des Code of Conduct. B: nicht codieren wegen fehlendem KI-Anker. Gewählt: B gemäß R1 KI-Anker-Regel.</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</si>
  <si>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</si>
  <si>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</si>
  <si>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</si>
  <si>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</si>
  <si>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</si>
  <si>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</si>
  <si>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</si>
  <si>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</si>
  <si>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</si>
  <si>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</si>
  <si>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</si>
  <si>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</si>
  <si>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</si>
  <si>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</si>
  <si>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</si>
  <si>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</si>
  <si>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</si>
  <si>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</si>
  <si>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</si>
  <si>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</si>
  <si>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</si>
  <si>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</si>
  <si>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</si>
  <si>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</si>
  <si>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</si>
  <si>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</si>
  <si>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</si>
  <si>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</si>
  <si>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</si>
  <si>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</si>
  <si>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</si>
  <si>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</si>
  <si>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</si>
  <si>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</si>
  <si>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</si>
  <si>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</si>
  <si>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</si>
  <si>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</si>
  <si>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</si>
  <si>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</si>
  <si>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</si>
  <si>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</si>
  <si>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</si>
  <si>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</si>
  <si>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</si>
  <si>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</si>
  <si>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</si>
  <si>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</si>
  <si>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</si>
  <si>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</si>
  <si>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</si>
  <si>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</si>
  <si>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</si>
  <si>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</si>
  <si>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</si>
  <si>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</si>
  <si>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</si>
  <si>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</si>
  <si>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</si>
  <si>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</si>
  <si>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</si>
  <si>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</si>
  <si>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</si>
  <si>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</si>
  <si>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</si>
  <si>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</si>
  <si>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</si>
  <si>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</si>
  <si>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</si>
  <si>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</si>
  <si>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</si>
  <si>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</si>
  <si>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</si>
  <si>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</si>
  <si>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</si>
  <si>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</si>
  <si>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</si>
  <si>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</si>
  <si>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</si>
  <si>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</si>
  <si>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</si>
  <si>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</si>
  <si>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</si>
  <si>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</si>
  <si>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</si>
  <si>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</si>
  <si>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</si>
  <si>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</si>
  <si>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</si>
  <si>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</si>
  <si>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</si>
  <si>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</si>
  <si>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</si>
  <si>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</si>
  <si>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</si>
  <si>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</si>
  <si>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</si>
  <si>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</si>
  <si>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</si>
  <si>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</si>
  <si>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</si>
  <si>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</si>
  <si>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</si>
  <si>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</si>
  <si>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</si>
  <si>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</si>
  <si>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</si>
  <si>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</si>
  <si>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</si>
  <si>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</si>
  <si>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</si>
  <si>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</si>
  <si>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</si>
  <si>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</si>
  <si>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</si>
  <si>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</si>
  <si>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</si>
  <si>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</si>
  <si>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</si>
  <si>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</si>
  <si>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</si>
  <si>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</si>
  <si>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</si>
  <si>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</si>
  <si>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</si>
  <si>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</si>
  <si>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</si>
  <si>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</si>
  <si>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</si>
  <si>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</si>
  <si>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</si>
  <si>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</si>
  <si>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</si>
  <si>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</si>
  <si>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</si>
  <si>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</si>
  <si>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</si>
  <si>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</si>
  <si>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S. 2; S. 5, RAI approach / Prinzip 8 Human Oversight</t>
  </si>
  <si>
    <t>Human-centric approach, Kundenautonomie und human control klar normiert</t>
  </si>
  <si>
    <t>S. 3, Prinzip 3 Accountability, Accuracy &amp; Proficiency</t>
  </si>
  <si>
    <t>Monitoring in Produktion mit Outcome-Abgleich und User Feedback = prozessuale Operationalisierung</t>
  </si>
  <si>
    <t>S. 3, Prinzip 2 Transparency</t>
  </si>
  <si>
    <t>Zweckoffenlegung und User-Information klar normiert</t>
  </si>
  <si>
    <t>Interpretability explizit, aber risikobasiert und ohne konkretes Tool</t>
  </si>
  <si>
    <t>S. 4, Prinzip 5 Non-Discrimination</t>
  </si>
  <si>
    <t>Bias-Minderung in Daten und Modellen operationalisiert</t>
  </si>
  <si>
    <t>S. 4, Prinzip 6 Data Privacy</t>
  </si>
  <si>
    <t>Dedicated privacy risk assessment bei AI mit Personal Data</t>
  </si>
  <si>
    <t>S. 4, Prinzip 4 Security &amp; Resilience</t>
  </si>
  <si>
    <t>State-of-the-art cybersecurity/resilience über den Lebenszyklus</t>
  </si>
  <si>
    <t>S. 2–3, Prinzipienliste / Prinzip 1 Prohibited AI</t>
  </si>
  <si>
    <t>Verbotene KI als harm-prevention-orientierte Begrenzung; konkrete Verbotsliste fehlt</t>
  </si>
  <si>
    <t>S. 3–4, Prinzip 3 und 4</t>
  </si>
  <si>
    <t>Monitoring produktiver Systeme plus Resilienzmaßnahmen über Lebenszyklus</t>
  </si>
  <si>
    <t>Kein expliziter Beschwerde-, Einspruchs- oder Redress-Mechanismus</t>
  </si>
  <si>
    <t>Stakeholder-/Kundenperspektive allein genügt nicht für Accessibility/Inclusiveness</t>
  </si>
  <si>
    <t>KI-spezifischer Nachhaltigkeitsanker fehlt; „digital technologies“ ist zu breit</t>
  </si>
  <si>
    <t>Nutzenargumente zu Customer Experience/Operations genügen nicht als expliziter Social-Benefit-Wert</t>
  </si>
  <si>
    <t>S. 3, Prinzipien-Einleitung</t>
  </si>
  <si>
    <t>AI systems/use cases may only be used in line with laws and standards</t>
  </si>
  <si>
    <t>S. 2, Einleitung / RAI approach</t>
  </si>
  <si>
    <t>Integrity and responsibility explizit im AI-Kontext</t>
  </si>
  <si>
    <t>S. 5, Prinzip 7 Data Governance</t>
  </si>
  <si>
    <t>Data quality und sound data governance explizit</t>
  </si>
  <si>
    <t>Kein expliziter KI-bezogener IP-/Confidentiality-Anker</t>
  </si>
  <si>
    <t>Human rights erscheinen nur im breiten AI-/digital ethics framing, aber nicht als eigenständiges KI-Prinzip oder Regel mit weiterer Substanz</t>
  </si>
  <si>
    <t>“We are implementing a human centric approach to AI.”; “must respect customers’ autonomy and decision-making”; “We ensure an appropriate, risk-based level of human control.”</t>
  </si>
  <si>
    <t>Allianz nennt einen human-centric Ansatz und konsultiert relevante Stakeholder.</t>
  </si>
  <si>
    <t>“We monitor AI systems in production”</t>
  </si>
  <si>
    <t>Accountability + Monitoring + Accuracy</t>
  </si>
  <si>
    <t>“We openly communicate the purpose of our AI systems.”; “we inform customers whenever they interact directly with an AI system”</t>
  </si>
  <si>
    <t>Transparenz explizit; User-notification als Transparenzregel</t>
  </si>
  <si>
    <t>“risk-based approach to attain suitable levels of interpretability”</t>
  </si>
  <si>
    <t>Explainability/Interpretability explizit</t>
  </si>
  <si>
    <t>“We commit to avoiding both direct and indirect discrimination”; “mitigate potential bias both in the data itself as well as in each individual model”</t>
  </si>
  <si>
    <t>Allianz verpflichtet sich zur Vermeidung direkter und indirekter Diskriminierung.; Fairness operationalisiert</t>
  </si>
  <si>
    <t>“perform a dedicated privacy risk assessment”</t>
  </si>
  <si>
    <t>Privacy mit konkretem Check</t>
  </si>
  <si>
    <t>“state-of-the-art cybersecurity and resilience measures”</t>
  </si>
  <si>
    <t>Security/Robustness klar</t>
  </si>
  <si>
    <t>“Prohibited AI”</t>
  </si>
  <si>
    <t>Harm-prevention/forbidden uses im KI-Kontext</t>
  </si>
  <si>
    <t>Allianz fordert state-of-the-art Cybersecurity und Resilienz über den KI-Lebenszyklus.</t>
  </si>
  <si>
    <t>“may only be used in line with applicable laws and Allianz standards”</t>
  </si>
  <si>
    <t>Klare normative Lawfulness-Regel</t>
  </si>
  <si>
    <t>“maintaining the highest standards of integrity and responsibility”</t>
  </si>
  <si>
    <t>Ethisch-integrer KI-Rahmen</t>
  </si>
  <si>
    <t>“data quality has to be ensured”</t>
  </si>
  <si>
    <t>Data quality/Data governance explizit</t>
  </si>
  <si>
    <t>S. 5–6, DAITAB / Responsible AI Corporate Rules</t>
  </si>
  <si>
    <t>S. 2; S. 6, RAI approach / Responsible AI Corporate Rules</t>
  </si>
  <si>
    <t>S. 4; S. 6, Data Privacy / Responsible AI Corporate Rules</t>
  </si>
  <si>
    <t>Keine AI-spezifischen Audits oder Auditberichte</t>
  </si>
  <si>
    <t>S. 6, Responsible AI Corporate Rules</t>
  </si>
  <si>
    <t>Kein AI-spezifisches Reporting, keine KPIs, keine regelmäßigen Reports</t>
  </si>
  <si>
    <t>keine Wirksamkeitsnachweise, keine KPIs/Reports</t>
  </si>
  <si>
    <t>keine regelmäßigen Nachweisberichte oder auditierte Umsetzung</t>
  </si>
  <si>
    <t>keine Toolnamen, Templates oder Implementierungsbelege</t>
  </si>
  <si>
    <t>keine Frequenz, Coverage oder Trainingsnachweise</t>
  </si>
  <si>
    <t>keine geübten Fälle, keine Nachweise zur Anwendung</t>
  </si>
  <si>
    <t>Incident management und Eskalation an DAITAB explizit</t>
  </si>
  <si>
    <t>Upskilling und AI literacy dokumentiert</t>
  </si>
  <si>
    <t>Board, AI Trust Officers und Group AI Office sind klar benannt</t>
  </si>
  <si>
    <t>Cross-functional consultation, RAI framework, RAI-assessments dokumentiert</t>
  </si>
  <si>
    <t>Privacy risk assessment und RAI-assessments klar beschrieben</t>
  </si>
  <si>
    <t>VAL_08, VAL_14</t>
  </si>
  <si>
    <t>„Prohibited AI“ kann als Lawfulness oder als Safety/Harm Prevention gelesen werden.</t>
  </si>
  <si>
    <t>A: nur VAL_14=1, weil Gesetzesverstoß genannt wird. B: zusätzlich VAL_08=1, weil verbotene KI-Nutzungen präventiv begrenzt werden. Gewählt: B zusätzlich, aber konservativ nur BIND=2, da keine ausdifferenzierte Verbotsmatrix vorliegt.</t>
  </si>
  <si>
    <t>„prioritising the interests and needs of our stakeholders“ und „human centric“ könnten als Human Rights codierbar erscheinen.</t>
  </si>
  <si>
    <t>A: VAL_18=1, weil menschenzentrierte Ausrichtung und Stakeholderinteressen betont werden. B: VAL_18=0, weil keine explizite Human-Rights-Regel mit KI-spezifischer Substanz außer Randnennung vorliegt. Gewählt: B, konservativ.</t>
  </si>
  <si>
    <t>GOV_01, GOV_02</t>
  </si>
  <si>
    <t>Die funktionsübergreifende Konsultation kann als bloßer Ansatz oder als dokumentierter Prozess gelesen werden.</t>
  </si>
  <si>
    <t>A: GOV_02=1, nur Absicht. B: GOV_02=2, weil beteiligte Funktionen konkret benannt sind. Gewählt: B, da mehrere Funktionen explizit aufgeführt sind; nicht höher wegen fehlender Ablaufdetails.</t>
  </si>
  <si>
    <t>Upskilling und AI literacy können als allgemeine Capability-Building-Aussagen oder als Schulungsnachweis gewertet werden.</t>
  </si>
  <si>
    <t>A: GOV_05=1, nur Absichtserklärung. B: GOV_05=2, da Upskilling und AI literacy konkret beschrieben werden. Gewählt: B, konservativ; nicht 3 wegen fehlender Nachweise zu Durchführung/KPIs.</t>
  </si>
  <si>
    <t>Berücksichtigung von Kunden- und Stakeholderperspektiven könnte als Inclusiveness codiert werden.</t>
  </si>
  <si>
    <t>A: VAL_11=1. B: VAL_11=0, da keine Accessibility-/Teilhabe-/inklusive-Design-Regel formuliert ist. Gewählt: B, konservativ.</t>
  </si>
  <si>
    <t>Kein expliziter Human-control-, Oversight- oder Override-Anker</t>
  </si>
  <si>
    <t>„responsibly“ bleibt zu allgemein; keine klare Verantwortungszurechnung</t>
  </si>
  <si>
    <t>S. 28, Diligent data management and digital trust</t>
  </si>
  <si>
    <t>Transparente KI-Systeme explizit genannt</t>
  </si>
  <si>
    <t>Keine Explainability-/Interpretability-Aussage</t>
  </si>
  <si>
    <t>Diskriminierungsfreiheit explizit</t>
  </si>
  <si>
    <t>Privacy-Passage vorhanden, aber nicht hinreichend KI-spezifisch verankert</t>
  </si>
  <si>
    <t>Sichere KI-Systeme explizit</t>
  </si>
  <si>
    <t>Kein ausdrücklicher Safety-/harm-prevention-Anker zu KI</t>
  </si>
  <si>
    <t>Accuracy im KI-Kontext explizit; konservativ als Robustness/Reliability</t>
  </si>
  <si>
    <t>Keine Accessibility-/inklusive Gestaltungsregel</t>
  </si>
  <si>
    <t>„sustainable growth“ zu allgemein; kein ökologischer KI-Anker</t>
  </si>
  <si>
    <t>Trust/innovation/value genügen nicht als expliziter Social-Benefit-Wert</t>
  </si>
  <si>
    <t>Fair/lawful data handling ist nicht eindeutig KI-spezifisch formuliert</t>
  </si>
  <si>
    <t>Ethische, verantwortungsvolle und vertrauenswürdige KI-Nutzung explizit</t>
  </si>
  <si>
    <t>Datenqualitätskontrollen sind vorhanden, aber nicht klar KI-spezifisch verknüpft</t>
  </si>
  <si>
    <t>Kein KI-spezifischer IP-/Confidentiality-Anker</t>
  </si>
  <si>
    <t>Kein Human-Rights-Anker im KI-Abschnitt</t>
  </si>
  <si>
    <t>“AI systems are transparent”</t>
  </si>
  <si>
    <t>Allianz verlangt transparente KI-Systeme.</t>
  </si>
  <si>
    <t>“free from discrimination”</t>
  </si>
  <si>
    <t>Allianz verlangt diskriminierungsfreie KI-Systeme.</t>
  </si>
  <si>
    <t>“AI systems are transparent, accurate, secure”</t>
  </si>
  <si>
    <t>Allianz verlangt sichere KI-Systeme.</t>
  </si>
  <si>
    <t>Allianz verlangt akkurate KI-Systeme.</t>
  </si>
  <si>
    <t>“using AI responsibly, ethically and in a trustworthy manner”</t>
  </si>
  <si>
    <t>Allianz verpflichtet sich zu verantwortungsvoller, ethischer und vertrauenswürdiger KI-Nutzung.</t>
  </si>
  <si>
    <t>Keine AI-spezifischen Prozessschritte oder Abläufe</t>
  </si>
  <si>
    <t>Kontrollen werden nur für Datenqualität allgemein genannt; kein belastbarer AI-spezifischer Check</t>
  </si>
  <si>
    <t>Keine AI-spezifischen Audits</t>
  </si>
  <si>
    <t>Allgemeine Speak-up-Regeln ohne KI-Anker</t>
  </si>
  <si>
    <t>VAL_06, VAL_14, VAL_16</t>
  </si>
  <si>
    <t>Der Abschnitt mischt allgemeines Datenmanagement mit KI. Unklar ist, ob Privacy-, Lawfulness- und Data-Governance-Aussagen auf KI mitcodiert werden dürfen.</t>
  </si>
  <si>
    <t>A: VAL_06/14/16 = 1, weil KI im selben Abschnitt erwähnt wird. B: nicht codieren, wenn die konkrete Passage nicht selbst KI-spezifisch formuliert ist. Gewählt: B für alle drei, konservativ gemäß R1 KI-Anker-Regel.</t>
  </si>
  <si>
    <t>„accurate“ kann als Accuracy oder als Technical Robustness/Reliability gelesen werden.</t>
  </si>
  <si>
    <t>A: VAL_09=1, weil Accuracy funktional ein Robustheits-/Leistungsanker ist. B: VAL_09=0, weil Reliability/Robustness nicht wörtlich genannt wird. Gewählt: A, konservativ mit BIND=2 statt 3.</t>
  </si>
  <si>
    <t>„comprehensive controls are in place“ klingt nach Checks, bezieht sich aber primär auf Daten, nicht explizit auf KI-Systeme.</t>
  </si>
  <si>
    <t>A: GOV_03=1 oder 2. B: GOV_03=0 wegen fehlender AI-Spezifik. Gewählt: B gemäß R1; allgemeine Datenkontrollen reichen nicht für AI-Tools/Checks.</t>
  </si>
  <si>
    <t>VAL_12, VAL_13</t>
  </si>
  <si>
    <t>„supporting sustainable growth“ und „delivering value“ könnten Sustainability oder Social Benefit nahelegen.</t>
  </si>
  <si>
    <t>A: VAL_12=1 und/oder VAL_13=1. B: keine Codierung, weil zu allgemein und ohne klaren Umwelt-/Wohlfahrtsanker. Gewählt: B, konservativ.</t>
  </si>
  <si>
    <t>S. 4, Data Ethics</t>
  </si>
  <si>
    <t>Human-centric AI, Human Agency and Control sowie risikobasierte Festlegung menschlicher Beteiligung = prozessuale Operationalisierung</t>
  </si>
  <si>
    <t>Accountability explizit als Kernprinzip genannt</t>
  </si>
  <si>
    <t>Transparenz explizit als KI-Kernprinzip</t>
  </si>
  <si>
    <t>Keine Explainability-/Interpretability-Nennung</t>
  </si>
  <si>
    <t>Privacy explizit als KI-Kernprinzip</t>
  </si>
  <si>
    <t>Security-/Cybersecurity-Passagen sind nur allgemein privacy-/infosec-bezogen, nicht KI-spezifisch</t>
  </si>
  <si>
    <t>Kein expliziter Safety-/harm-prevention-Anker für KI</t>
  </si>
  <si>
    <t>Keine KI-spezifische Robustness-/Reliability-Aussage</t>
  </si>
  <si>
    <t>Kein KI-spezifischer Nachhaltigkeitsanker</t>
  </si>
  <si>
    <t>Trustworthy partner / data-driven business genügt nicht als expliziter Social-Benefit-Wert</t>
  </si>
  <si>
    <t>Applicable laws and regulations explizit im AI-Kontext</t>
  </si>
  <si>
    <t>Vertrauenswürdiger und ethischer datengetriebener Partner, flankiert durch Responsible AI</t>
  </si>
  <si>
    <t>Data Governance explizit in den AI core principles</t>
  </si>
  <si>
    <t>Kein expliziter Human-Rights-Anker im KI-Abschnitt</t>
  </si>
  <si>
    <t>“our usage of AI systems is human centric”; “Human Agency and Control”; “risk-based approach to implementing the appropriate level of human involvement”</t>
  </si>
  <si>
    <t>Allianz sichert zu, KI-Nutzung human centric auszugestalten.</t>
  </si>
  <si>
    <t>Accountability ist eines der benannten Responsible-AI-Prinzipien.</t>
  </si>
  <si>
    <t>“Accountability”</t>
  </si>
  <si>
    <t>“core principles for the responsible usage of AI: Transparency”</t>
  </si>
  <si>
    <t>Transparenz ist eines der Kernprinzipien der AI Guidance.</t>
  </si>
  <si>
    <t>“Fairness and Non-Discrimination”</t>
  </si>
  <si>
    <t>Fairness und Nicht-Diskriminierung sind Teil der AI Guidance.</t>
  </si>
  <si>
    <t>“Privacy and Data Governance”</t>
  </si>
  <si>
    <t>Privacy und Data Governance sind Teil der Kernprinzipien verantwortlicher KI-Nutzung.</t>
  </si>
  <si>
    <t>“going beyond compliance with all applicable laws and regulations”</t>
  </si>
  <si>
    <t>KI-Nutzung geht über reine Compliance hinaus, bleibt aber im Rechtsrahmen verankert.</t>
  </si>
  <si>
    <t>“conduct data-driven business as a trustworthy and ethical partner”</t>
  </si>
  <si>
    <t>Allianz beschreibt sich als vertrauenswürdiger und ethischer datengetriebener Partner.</t>
  </si>
  <si>
    <t>Audits/Reviews werden im Dokument nur allgemein für Privacy-/Security-Management erwähnt, nicht hinreichend KI-spezifisch</t>
  </si>
  <si>
    <t>Kein KI-spezifischer Eskalations- oder Incident-Prozess</t>
  </si>
  <si>
    <t>Kein KI-spezifisches Reporting, keine KPIs, keine Reports</t>
  </si>
  <si>
    <t>Board ist datenethisch breit, nicht eindeutig AI-spezifisch ausdifferenziert</t>
  </si>
  <si>
    <t>kein Implementierungsnachweis, keine Tooldetails</t>
  </si>
  <si>
    <t>keine Nachweise zu Anwendungshäufigkeit, Outputs oder Regelvollzug</t>
  </si>
  <si>
    <t>keine Nachweise zu Frequenz, Coverage oder Abschlussquoten</t>
  </si>
  <si>
    <t>Relevante Mitarbeitende mit AI-Bezug werden trainiert</t>
  </si>
  <si>
    <t>Data Advisory Board mit Top-Management-Beteiligung genannt</t>
  </si>
  <si>
    <t>Risk-based human involvement und Privacy &amp; Ethics Impact Assessment dokumentiert</t>
  </si>
  <si>
    <t>Privacy and Ethics Impact Assessment als konkreter Check</t>
  </si>
  <si>
    <t>“establishment of our Data Advisory Board”; "elevate data ethics and selected data and analytics-related topics”</t>
  </si>
  <si>
    <t>“via the Privacy and Ethics Impact Assessment”; “risk-based approach to implementing the appropriate level of human involvement”</t>
  </si>
  <si>
    <t>“via the Privacy and Ethics Impact Assessment”</t>
  </si>
  <si>
    <t>“All relevant employees who develop or use AI solutions are trained”</t>
  </si>
  <si>
    <t>“established a Group Data and AI Trust Advisory Board (DAITAB)"; “establishes the new role of an AI Trust Officer”</t>
  </si>
  <si>
    <t>"we consult relevant stakeholders – whether from the business, data science, IT”; “collectively establish the core principles and framework”; “extending privacy risk assessments to cover all RAI principles”</t>
  </si>
  <si>
    <t>“perform a dedicated privacy risk assessment”; “extending privacy risk assessments to cover all RAI principles”; “monitor AI risks, conduct RAI-assessments with the CDO”</t>
  </si>
  <si>
    <t>“strategically upskilling our workforce”; “providing operational guidance, technical support, AI literacy”</t>
  </si>
  <si>
    <t>“supports Business Owners in incident management”; “escalate unresolved risk disagreements to the DAITAB”</t>
  </si>
  <si>
    <t>Das Data Advisory Board ist datenethisch breit angelegt; unklar ist, ob es als AI-spezifische Zuständigkeit zählt.</t>
  </si>
  <si>
    <t>A: GOV_01=2, weil das Board auch data-analytics-related topics und Responsible AI umfasst. B: GOV_01=1, weil die Zuständigkeit nicht ausschließlich oder klar ausdifferenziert AI-spezifisch ist. Gewählt: B, konservativ.</t>
  </si>
  <si>
    <t>GOV_04, GOV_07, VAL_07</t>
  </si>
  <si>
    <t>Self-assessments, on-site reviews und regelmäßige Audits könnten auf KI übertragbar erscheinen.</t>
  </si>
  <si>
    <t>A: GOV_04&gt;0 bzw. VAL_07=1, weil sie für datenbezogene Systeme gelten. B: nicht codieren, weil kein expliziter KI-Anker. Gewählt: B gemäß R1 KI-Anker-Regel.</t>
  </si>
  <si>
    <t>VAL_15, VAL_13</t>
  </si>
  <si>
    <t>„trustworthy and ethical partner“ kann als Ethical Use oder als breiter Social-Benefit-Nutzen gelesen werden.</t>
  </si>
  <si>
    <t>A: VAL_15=1 und VAL_13=1. B: nur VAL_15=1, weil kein expliziter societal wellbeing-/public benefit-Anker vorliegt. Gewählt: B, konservativ.</t>
  </si>
  <si>
    <t>VAL_01, GOV_02, GOV_03</t>
  </si>
  <si>
    <t>Die risikobasierte menschliche Beteiligung via Privacy and Ethics Impact Assessment kann als Wert, Prozess und Check zugleich gelesen werden.</t>
  </si>
  <si>
    <t>A: nur VAL_01=1/BIND=2. B: zusätzlich GOV_02=2 und GOV_03=2. Gewählt: B, da das Assessment als konkreter Verfahrens- und Check-Mechanismus benannt ist; nicht höher wegen fehlender Implementierungsnachweise.</t>
  </si>
  <si>
    <t>S. 4, Exhibit 3</t>
  </si>
  <si>
    <t>Kontrolle über AI-Anwendungen wird thematisiert, aber als Engagement-Frage, nicht als interne Regel</t>
  </si>
  <si>
    <t>S. 3–4, Our contribution / Engagement</t>
  </si>
  <si>
    <t>Accountability ist Teil des Frameworks, aber überwiegend konzeptionell</t>
  </si>
  <si>
    <t>S. 3–4, How can these tools be used responsibly? / Responsible AI can accelerate growth</t>
  </si>
  <si>
    <t>Transparenz mehrfach explizit genannt</t>
  </si>
  <si>
    <t>S. 2–4</t>
  </si>
  <si>
    <t>Fairness explizit, jedoch auf Framework-/Diskursebene</t>
  </si>
  <si>
    <t>S. 3–4</t>
  </si>
  <si>
    <t>Datenschutz wird als Responsible-AI-Anforderung genannt, aber nicht als interne Policy-Regel</t>
  </si>
  <si>
    <t>S. 3, How can these tools be used responsibly?</t>
  </si>
  <si>
    <t>Cybersecurity explizit als flankierendes Rahmenwerk</t>
  </si>
  <si>
    <t>S. 1; S. 3</t>
  </si>
  <si>
    <t>Schadensminimierung und Safety werden klar genannt</t>
  </si>
  <si>
    <t>S. 2–3</t>
  </si>
  <si>
    <t>Resilience/Reliability explizit</t>
  </si>
  <si>
    <t>Kein Einspruchs- oder Redress-Mechanismus</t>
  </si>
  <si>
    <t>S. 4, Responsible AI can accelerate growth</t>
  </si>
  <si>
    <t>Inclusiveness explizit, aber ohne Umsetzungsregel</t>
  </si>
  <si>
    <t>Nachhaltigkeit/Umweltwirkung durchgehend zentral</t>
  </si>
  <si>
    <t>S. 3, How can these tools be used responsibly? / Our contribution</t>
  </si>
  <si>
    <t>Public good und soziale Wirkung explizit</t>
  </si>
  <si>
    <t>Regulierung/Compliance explizit als Orientierungsrahmen</t>
  </si>
  <si>
    <t>Responsible/ethical integrity klar zentral</t>
  </si>
  <si>
    <t>Keine explizite Datenqualitäts- oder Data-Governance-Regel im eigenen Framework</t>
  </si>
  <si>
    <t>Kein IP-/Confidentiality-Anker</t>
  </si>
  <si>
    <t>Human-rights-Bezug explizit, aber eher als externer Orientierungsrahmen</t>
  </si>
  <si>
    <t>“manage the degree of control over AI applications”</t>
  </si>
  <si>
    <t>Das Framework thematisiert Kontrolle über AI-Anwendungen und Datenschutz gegenüber Kunden.</t>
  </si>
  <si>
    <t>“Ethical integrity – ensuring accountability and fairness for social outcomes”; “Board oversight and accountability”</t>
  </si>
  <si>
    <t>AllianzGI führt Materialitätsanalysen durch und priorisiert Responsible AI nach Wirkung.</t>
  </si>
  <si>
    <t>“The EU AI act provides guidance on unacceptable risks, transparency requirements”; “fair, transparent, inclusive and respectful to all stakeholders”</t>
  </si>
  <si>
    <t>Responsible products/services sollen fair, transparent, inklusiv und respektvoll sein.</t>
  </si>
  <si>
    <t>“determine fairness, resilience and footprint of systems”</t>
  </si>
  <si>
    <t>“determine fairness, resilience and footprint of systems”; “Ethical integrity – ensuring accountability and fairness for social outcomes”; “fair, transparent, inclusive and respectful to all stakeholders”</t>
  </si>
  <si>
    <t>Fairness + resilience explizit</t>
  </si>
  <si>
    <t>“human rights, data protection and cybersecurity”</t>
  </si>
  <si>
    <t>“human rights, data protection and cybersecurity”;“manage the degree of control over AI applications”</t>
  </si>
  <si>
    <t>Bestehende Rahmenwerke zu Responsible AI umfassen Datenschutz und Cybersecurity.</t>
  </si>
  <si>
    <t>“apply standards and safeguards to maximise the benefits and minimise the harms”; “Robustness – resilience, reliability and safety of systems”</t>
  </si>
  <si>
    <t>Robustness wird als Resilienz, Zuverlässigkeit und Sicherheit von Systemen definiert.</t>
  </si>
  <si>
    <t>Entwickler und Infrastrukturprovider prägen Fairness und Resilienz von KI-Systemen.</t>
  </si>
  <si>
    <t>“fair, transparent, inclusive and respectful to all stakeholders”</t>
  </si>
  <si>
    <t>Fairness, transparency, inclusiveness</t>
  </si>
  <si>
    <t>“AI can only sustain its growth by respecting environmental, social and governance standards”; “managing the environmental and social impact of AI development”</t>
  </si>
  <si>
    <t>Sustainability umfasst Umwelt- und Sozialwirkungen von KI-Entwicklung.</t>
  </si>
  <si>
    <t>“align with human values and serve the public good”</t>
  </si>
  <si>
    <t>Responsible AI soll mit menschlichen Werten und dem Gemeinwohl in Einklang stehen.</t>
  </si>
  <si>
    <t>“The most comprehensive and structured AI governance framework currently appears to be the EU AI Act”</t>
  </si>
  <si>
    <t>AllianzGI verweist auf den EU AI Act als strukturierten Governance-Rahmen.</t>
  </si>
  <si>
    <t>“apply standards and safeguards to maximise the benefits and minimise the harms”; “Ethical integrity – ensuring accountability and fairness for social outcomes”</t>
  </si>
  <si>
    <t>Ethical integrity umfasst Accountability und Fairness für soziale Ergebnisse.</t>
  </si>
  <si>
    <t>“societal and human rights challenges”; “human rights, data protection and cybersecurity”</t>
  </si>
  <si>
    <t>KI-Risiken werden mit gesellschaftlichen und menschenrechtlichen Herausforderungen verknüpft.</t>
  </si>
  <si>
    <t>S. 3, Our contribution</t>
  </si>
  <si>
    <t>Keine internen AI-spezifischen Audits oder Auditnachweise</t>
  </si>
  <si>
    <t>S. 4, Engagement / Exhibit 3</t>
  </si>
  <si>
    <t>Sector frameworks und Board oversight werden erwähnt</t>
  </si>
  <si>
    <t>Materiality assessment und Priorisierung sind dokumentiert</t>
  </si>
  <si>
    <t>Fehlerberichterstattung und Mechanismen werden als Prüffragen adressiert</t>
  </si>
  <si>
    <t>AI-skills werden als relevante Frage adressiert</t>
  </si>
  <si>
    <t>Internal/external reporting von Failures wird thematisiert</t>
  </si>
  <si>
    <t>Impact disclosures und risk-framework disclosures explizit</t>
  </si>
  <si>
    <t>keine klaren internen Rollen oder Verantwortlichen bei AllianzGI selbst</t>
  </si>
  <si>
    <t>keine Ablaufdetails, Frequenzen oder Umsetzungsnachweise</t>
  </si>
  <si>
    <t>nur Engagement-Fragen, kein interner implementierter Check</t>
  </si>
  <si>
    <t>keine interne Schulungsbeschreibung oder Nachweise</t>
  </si>
  <si>
    <t>nur als Engagement-Frage, kein dokumentierter interner Eskalationsprozess</t>
  </si>
  <si>
    <t>kein internes AllianzGI-Reporting oder KPI-Nachweis</t>
  </si>
  <si>
    <t>“Within our sector frameworks”; “Board oversight and accountability”</t>
  </si>
  <si>
    <t>“Board oversight and accountability”; “we perform a materiality assessment and prioritise the topic of responsible AI”</t>
  </si>
  <si>
    <t>“reported internally and externally”</t>
  </si>
  <si>
    <t>“How do you develop AI skills of existing workforce”</t>
  </si>
  <si>
    <t>“Disclosures on impact of AI”; “reported internally and externally”</t>
  </si>
  <si>
    <t>Das Dokument spricht über Sector Frameworks und Board Oversight, aber primär als Investment-/Engagement-Perspektive, nicht als interne AI-Governance-Struktur.</t>
  </si>
  <si>
    <t>A: GOV_01=2, weil Governance-Strukturen und Board Oversight klar thematisiert werden. B: GOV_01=1, weil keine klaren internen AllianzGI-Rollen oder Owner für eigene KI-Systeme genannt sind. Gewählt: B, konservativ.</t>
  </si>
  <si>
    <t>GOV_03, GOV_05, GOV_06, GOV_07</t>
  </si>
  <si>
    <t>Das Exhibit enthält Fragen an AI makers/users; unklar ist, ob diese als interne Governance-Evidenz oder nur als Bewertungsrahmen zählen.</t>
  </si>
  <si>
    <t>A: GOV-Codes = 0, weil nur Fragen gestellt werden. B: GOV-Codes = 1, weil das dokumentierte Engagement-Framework diese Kriterien explizit operationalisiert. Gewählt: B, konservativ auf Stufe 1, nicht höher.</t>
  </si>
  <si>
    <t>VAL_14, VAL_18, VAL_06, VAL_07</t>
  </si>
  <si>
    <t>EU AI Act, OECD und UN werden als externe Referenzen genannt; unklar ist, ob dies als Wertpräsenz im Dokument genügt.</t>
  </si>
  <si>
    <t>A: Codes = 1, weil das Dokument diese Prinzipien ausdrücklich als relevante Responsible-AI-Rahmen übernimmt. B: Codes = 0, weil es nur Verweise auf externe Standards sind. Gewählt: A, aber konservativ nur BIND=1.</t>
  </si>
  <si>
    <t>„inclusive“ kann als eigenständiger Inclusiveness-Wert oder nur als rhetorischer Zusatz im Rahmen verantwortlicher Produkte gelesen werden.</t>
  </si>
  <si>
    <t>A: VAL_11=1, weil Inclusiveness explizit genannt ist. B: VAL_11=0, weil keine Accessibility-/Teilhabe-Operationalisierung vorliegt. Gewählt: A, konservativ mit BIND=1.</t>
  </si>
  <si>
    <t>Das Framework nennt Materialität und Sector Frameworks, aber keine explizite Data-Governance- oder Datenqualitätsregel.</t>
  </si>
  <si>
    <t>A: VAL_16=1 wegen Framework-/Governance-Sprache. B: VAL_16=0 mangels expliziter Datenqualitäts- oder Data-Governance-Evidenz. Gewählt: B, konservativ.</t>
  </si>
  <si>
    <t>S. 2, Prinzip 3 Accountable</t>
  </si>
  <si>
    <t>Human oversight und Verbot autonomer materialer Mitarbeiterentscheidungen klar normiert</t>
  </si>
  <si>
    <t>S. 1, BASF’s Commitment to Responsible AI; S. 2, Prinzip 3</t>
  </si>
  <si>
    <t>Accountability explizit und mit Mechanismen verknüpft</t>
  </si>
  <si>
    <t>S. 2, Prinzip 2 Transparent</t>
  </si>
  <si>
    <t>Transparenz und Verständlichkeit der Entscheidungsprozesse explizit</t>
  </si>
  <si>
    <t>„comprehensible to stakeholders“ bleibt näher an Transparency; Explainability nicht ausdrücklich benannt</t>
  </si>
  <si>
    <t>S. 2, Prinzip 4 Fair and Unbiased</t>
  </si>
  <si>
    <t>Gerechtigkeit, Chancengleichheit und Ablehnung von Diskriminierung explizit</t>
  </si>
  <si>
    <t>S. 2, Prinzip 6 Privacy Preserving</t>
  </si>
  <si>
    <t>Privatsphäre über gesamten KI-Lebenszyklus geschützt</t>
  </si>
  <si>
    <t>S. 2, Prinzip 5 Secure</t>
  </si>
  <si>
    <t>Security-Anforderungen klar formuliert</t>
  </si>
  <si>
    <t>S. 1; S. 2, Prinzip 1 und 7</t>
  </si>
  <si>
    <t>Prohibited practices, safety of communities, robust &amp; safe</t>
  </si>
  <si>
    <t>S. 2, Prinzip 7 Robust &amp; Safe</t>
  </si>
  <si>
    <t>Reliability und Accuracy explizit</t>
  </si>
  <si>
    <t>Diversity wird im Fairness-Prinzip erwähnt, aber keine Accessibility-/inklusive-Design-Regel</t>
  </si>
  <si>
    <t>Kein KI-spezifischer Nachhaltigkeits- oder Umweltanker</t>
  </si>
  <si>
    <t>„create value for everyone involved“ ist zu allgemein; kein expliziter public-good-/well-being-Wert</t>
  </si>
  <si>
    <t>S. 1, BASF’s Commitment to Responsible AI</t>
  </si>
  <si>
    <t>Prohibited-practices-Verbot und Compliance-Bezug klar</t>
  </si>
  <si>
    <t>S. 1–2</t>
  </si>
  <si>
    <t>Ethically beschrieben; Werte- und Ethikbezug explizit</t>
  </si>
  <si>
    <t>S. 1, Einleitung</t>
  </si>
  <si>
    <t>Strong data and AI governance explizit, aber ohne konkrete Datenqualitätsmechanik</t>
  </si>
  <si>
    <t>„confidentiality“ erscheint im Security-Prinzip, aber nicht als eigenständiger IP-/Confidentiality-Wert</t>
  </si>
  <si>
    <t>S. 2, Prinzip 1 und 6</t>
  </si>
  <si>
    <t>Human rights explizit über Human Rights Policy und Privacy as essential human right</t>
  </si>
  <si>
    <t>“subject to human oversight and accountability mechanisms”; “AI is not used to make autonomous decisions that have a material impact on employees”</t>
  </si>
  <si>
    <t>KI wird nicht für autonome Entscheidungen mit wesentlichen Mitarbeiterauswirkungen genutzt</t>
  </si>
  <si>
    <t>“subject to human oversight and accountability mechanisms”; “developing, deploying, and using AI systems ethically and accountably”</t>
  </si>
  <si>
    <t>BASF beschreibt Responsible AI als ethische und rechenschaftspflichtige Entwicklung, Bereitstellung und Nutzung von KI.</t>
  </si>
  <si>
    <t>“decision-making processes that are comprehensible to stakeholders”</t>
  </si>
  <si>
    <t>KI-Anwendungen sollen transparent sein; Entscheidungsprozesse sollen verständlich sein.</t>
  </si>
  <si>
    <t>“just and equitable for all individuals and groups”</t>
  </si>
  <si>
    <t>BASF verlangt gerechte, diskriminierungsfreie KI-Nutzung.</t>
  </si>
  <si>
    <t>“essential human right of an individual's privacy throughout the entire life cycle”</t>
  </si>
  <si>
    <t>BASF schützt Privatsphäre als wesentliches Menschenrecht über den gesamten KI-Lebenszyklus.</t>
  </si>
  <si>
    <t>“integrity, confidentiality, availability and authenticity”</t>
  </si>
  <si>
    <t>KI-Anwendungen sollen Integrität, Vertraulichkeit, Verfügbarkeit und Authentizität von Systemen und Daten sichern.</t>
  </si>
  <si>
    <t>“strictly prohibiting AI in applications related to ‘Prohibited Practices’”</t>
  </si>
  <si>
    <t>“strictly prohibiting AI in applications related to ‘Prohibited Practices’”; “prioritizing the well-being and safety of individuals and communities”; “focus on reliability, accuracy, and safety”</t>
  </si>
  <si>
    <t>KI-Systeme sollen zuverlässig, akkurat und sicher entwickelt und eingesetzt werden.</t>
  </si>
  <si>
    <t>“focus on reliability, accuracy, and safety”</t>
  </si>
  <si>
    <t>BASF verbietet KI-Anwendungen zu „Prohibited Practices“ nach interner Data &amp; AI Policy.</t>
  </si>
  <si>
    <t>Verbotene KI-Nutzung; harm-prevention/compliance</t>
  </si>
  <si>
    <t>“developing, deploying, and using AI systems ethically and accountably”; “prioritizing the well-being and safety of individuals and communities”</t>
  </si>
  <si>
    <t>BASF priorisiert Wohlbefinden und Sicherheit von Individuen und Gemeinschaften.</t>
  </si>
  <si>
    <t>“we focus on strong data and AI governance”</t>
  </si>
  <si>
    <t>BASF betont starke Data and AI Governance als Grundlage für AI solutions</t>
  </si>
  <si>
    <t>“essential human right of an individual's privacy throughout the entire life cycle”; “prioritizing the well-being and safety of individuals and communities”</t>
  </si>
  <si>
    <t>S. 3, For any questions or inquiries</t>
  </si>
  <si>
    <t>Keine AI-spezifischen Trainings oder Schulungsformate</t>
  </si>
  <si>
    <t>Data &amp; AI office als zuständige Stelle genannt</t>
  </si>
  <si>
    <t>Zentrales Inventar und Assessments zur Compliance-/Risikosteuerung dokumentiert</t>
  </si>
  <si>
    <t>Necessary assessments klar benannt</t>
  </si>
  <si>
    <t>kein Toolname, keine Templates, keine Implementierungsbelege</t>
  </si>
  <si>
    <t>keine Nachweise zur Durchführungshäufigkeit oder Umsetzung</t>
  </si>
  <si>
    <t>keine Rollenarchitektur, kein Gremium, keine Verantwortlichkeitskette</t>
  </si>
  <si>
    <t>“please contact our Data &amp; AI office”</t>
  </si>
  <si>
    <t>“maintains a central inventory and conducts necessary assessments”</t>
  </si>
  <si>
    <t>“maintains a central inventory and conducts necessary assessments”; “ensure compliance and proactively manage risks”</t>
  </si>
  <si>
    <t>„decision-making processes that are comprehensible to stakeholders“ kann als Transparency oder Explainability gelesen werden.</t>
  </si>
  <si>
    <t>A: VAL_03=1 und VAL_04=1. B: nur VAL_03=1, weil Explainability nicht ausdrücklich genannt ist. Gewählt: B, konservativ.</t>
  </si>
  <si>
    <t>„strong data and AI governance“ kann als Data Governance codiert werden, ist aber sehr allgemein.</t>
  </si>
  <si>
    <t>A: VAL_16=1 mit niedrigerer Bindigkeit. B: VAL_16=0 mangels konkreter Datenqualitäts-/Governance-Regel. Gewählt: A, konservativ mit BIND=1, da der Wert explizit im KI-Kontext genannt ist.</t>
  </si>
  <si>
    <t>Das Wort „confidentiality“ erscheint im Security-Prinzip; unklar ist, ob zusätzlich IP &amp; Confidentiality zu codieren ist.</t>
  </si>
  <si>
    <t>A: VAL_07=1 und VAL_17=1. B: nur VAL_07=1, da kein eigenständiger IP-/Vertraulichkeitswert für KI formuliert ist. Gewählt: B, konservativ.</t>
  </si>
  <si>
    <t>VAL_13, VAL_18, VAL_08</t>
  </si>
  <si>
    <t>„well-being and safety of individuals and communities“ kann Social Benefit, Human Rights oder Safety berühren.</t>
  </si>
  <si>
    <t>A: zusätzlich VAL_13=1. B: VAL_18=1 und VAL_08=1, aber VAL_13=0, weil kein ausdrücklicher public-good-/benefit frame. Gewählt: B, konservativ.</t>
  </si>
  <si>
    <t>Das Data &amp; AI office ist als Kontaktstelle genannt; unklar ist, ob dies für dokumentierte Zuständigkeit genügt.</t>
  </si>
  <si>
    <t>A: GOV_01=1, da eine zuständige organisatorische Stelle benannt ist. B: GOV_01=0, da keine Rollen- oder Mandatsbeschreibung vorliegt. Gewählt: A, konservativ auf Stufe 1.</t>
  </si>
  <si>
    <t>Verantwortung wird allgemein ethisch gerahmt, aber keine klare Accountability-Zurechnung für KI-Folgen</t>
  </si>
  <si>
    <t>S. 48, Digital responsibility – Ask yourself</t>
  </si>
  <si>
    <t>Transparenz zu Datennutzung genannt; KI-Bezug nur abschnittsbezogen</t>
  </si>
  <si>
    <t>S. 49, Digital responsibility</t>
  </si>
  <si>
    <t>Vermeidung unfairer Bias explizit</t>
  </si>
  <si>
    <t>Datenschutz angesprochen, aber eher als Reflexionsfrage und digital breit</t>
  </si>
  <si>
    <t>AI wird genannt, aber keine explizite KI-Sicherheitsregel</t>
  </si>
  <si>
    <t>Kein ausdrücklicher Safety-/harm-prevention-Anker im KI-Kontext</t>
  </si>
  <si>
    <t>Keine Robustness-/Reliability-Aussage</t>
  </si>
  <si>
    <t>Inklusive Nutzung und Entwicklung digitaler Lösungen explizit normiert</t>
  </si>
  <si>
    <t>Empowerment von Mitarbeitenden, Kunden und Stakeholdern explizit</t>
  </si>
  <si>
    <t>Code-of-Conduct-/values-Bezug vorhanden, aber keine explizite KI-/AI-Lawfulness-Regel</t>
  </si>
  <si>
    <t>Verantwortliche und ethische Steuerung digitaler Transformation klar normiert</t>
  </si>
  <si>
    <t>Keine Datenqualitäts- oder Data-Governance-Regel im KI-Ankerbereich</t>
  </si>
  <si>
    <t>Kein expliziter Human-Rights-Anker im KI-relevanten Abschnitt</t>
  </si>
  <si>
    <t>“full transparency on data usage as well as opportunities and borderlines”</t>
  </si>
  <si>
    <t>Datenschutz/Transparenz, aber digital breit; KI-Bezug nur über Abschnitt</t>
  </si>
  <si>
    <t>“Seeking to avoid the creation or reinforcement of unfair bias.”</t>
  </si>
  <si>
    <t>BASF will die Entstehung oder Verstärkung unfairer Bias vermeiden.</t>
  </si>
  <si>
    <t>“using them inclusively, to empower our employees, customers and other stakeholders”</t>
  </si>
  <si>
    <t>Inclusiveness explizit</t>
  </si>
  <si>
    <t>“to empower our employees, customers and other stakeholders”</t>
  </si>
  <si>
    <t>Digitale Lösungen sollen Mitarbeitende, Kunden und andere Stakeholder befähigen.</t>
  </si>
  <si>
    <t>“committed to steering this transformation responsibly and ethically”; “driven by our values and the principles laid down in our Code of Conduct”</t>
  </si>
  <si>
    <t>BASF will die digitale Transformation verantwortlich und ethisch steuern.</t>
  </si>
  <si>
    <t>Keine AI-spezifischen Assessments, Checklisten oder Tools</t>
  </si>
  <si>
    <t>„active voice in this debate“ reicht nicht als formales Reporting oder Disclosure</t>
  </si>
  <si>
    <t>Aufbau digitaler Fähigkeiten benannt</t>
  </si>
  <si>
    <t>Kollaborative, multidisziplinäre und diverse Entwicklung digitaler Lösungen dokumentiert</t>
  </si>
  <si>
    <t>keine Ablaufdetails, Verantwortlichen oder Nachweise der Umsetzung</t>
  </si>
  <si>
    <t>keine konkreten AI-Trainings, Formate oder Nachweise</t>
  </si>
  <si>
    <t>“Developing digital solutions in a collaborative, multidisciplinary, and diverse way”</t>
  </si>
  <si>
    <t>“build strong digital capabilities throughout the company”</t>
  </si>
  <si>
    <t>VAL_03, VAL_06</t>
  </si>
  <si>
    <t>Die Passage zu „full transparency on data usage“ und „data protection and privacy“ ist auf digitale Lösungen bezogen, nicht ausdrücklich auf AI allein.</t>
  </si>
  <si>
    <t>A: VAL_03=1 und VAL_06=1, weil der Abschnitt insgesamt AI/machine learning nennt. B: keine Codierung, weil die konkrete Passage nicht ausdrücklich AI sagt. Gewählt: A, aber konservativ nur BIND=1.</t>
  </si>
  <si>
    <t>Der Verweis auf Werte und Code of Conduct kann als Ethical Use oder als Lawfulness/Compliance gelesen werden.</t>
  </si>
  <si>
    <t>A: VAL_15=1 und VAL_14=1. B: nur VAL_15=1, weil keine explizite rechtliche oder policy-deontische AI-Regel formuliert ist. Gewählt: B, konservativ.</t>
  </si>
  <si>
    <t>GOV_02, GOV_05</t>
  </si>
  <si>
    <t>„collaborative, multidisciplinary, and diverse“ und „build strong digital capabilities“ können als Prozess- bzw. Trainingsnachweis oder nur als allgemeine Ambition gelesen werden.</t>
  </si>
  <si>
    <t>A: GOV_02=2 und GOV_05=1. B: GOV_02=1 und GOV_05=0. Gewählt: A, da Entwicklungsvorgehen und Capability-Aufbau ausdrücklich beschrieben werden; nicht höher wegen fehlender Nachweise.</t>
  </si>
  <si>
    <t>VAL_13, VAL_11</t>
  </si>
  <si>
    <t>„empower our employees, customers and other stakeholders“ kann als Social Benefit oder nur als Inclusiveness-Nebeneffekt gelesen werden.</t>
  </si>
  <si>
    <t>A: VAL_11=1 und VAL_13=1. B: nur VAL_11=1. Gewählt: A, aber VAL_13 konservativ nur mit BIND=1, da kein expliziter public-good-Rahmen vorliegt.</t>
  </si>
  <si>
    <t>VAL_07, VAL_09</t>
  </si>
  <si>
    <t>AI und machine learning werden genannt, aber ohne Aussagen zu Sicherheit oder Robustheit.</t>
  </si>
  <si>
    <t>A: VAL_07/09=1 wegen technologischer KI-Nennung. B: VAL_07/09=0 mangels inhaltlicher Sicherheits-/Robustheitsnorm. Gewählt: B gemäß Evidence-first.</t>
  </si>
  <si>
    <t>S. 2, Artificial Intelligence</t>
  </si>
  <si>
    <t>KI trifft keine rechtlich wirksamen oder ähnlich signifikanten Entscheidungen über Betroffene</t>
  </si>
  <si>
    <t>Keine ausdrückliche Verantwortungszurechnung oder Accountability-Mechanik</t>
  </si>
  <si>
    <t>Keine Transparenz- oder Offenlegungsregel zu KI gegenüber Nutzern</t>
  </si>
  <si>
    <t>Keine Fairness-/Bias-/Diskriminierungsregel</t>
  </si>
  <si>
    <t>Zweckgebundene Verarbeitung im KI-Kontext klar normiert</t>
  </si>
  <si>
    <t>„technical and organisational measures“ bleibt zu allgemein; Security nicht ausdrücklich KI-spezifisch benannt</t>
  </si>
  <si>
    <t>Kein ausdrücklicher Safety-/harm-prevention-Anker</t>
  </si>
  <si>
    <t>Kein Nachhaltigkeits- oder Umweltanker</t>
  </si>
  <si>
    <t>Effizienz- und Produktivitätsnutzen genügen nicht als expliziter Social-Benefit-Wert</t>
  </si>
  <si>
    <t>Vorab definierte Zwecke und benannte Rechtsgrundlage für KI-Nutzung</t>
  </si>
  <si>
    <t>Optimierungs- und Effizienzsprache allein genügt nicht für Ethical Use</t>
  </si>
  <si>
    <t>Keine Datenqualitäts- oder Data-Governance-Regel</t>
  </si>
  <si>
    <t>BASF erklärt, dass KI keine rechtlich wirksamen oder ähnlich erheblichen Entscheidungen über Betroffene trifft.</t>
  </si>
  <si>
    <t>“AI does not make any decisions that have a legal effect on you”; Auch ähnlich signifikante Auswirkungen durch KI werden ausgeschlossen.</t>
  </si>
  <si>
    <t>“only processed for the purposes defined in advance”</t>
  </si>
  <si>
    <t>Daten dürfen für KI nur für vorab definierte Zwecke verarbeitet werden.</t>
  </si>
  <si>
    <t>“only processed for the purposes defined in advance”; “The legal basis for the use of artificial intelligence is generally BASF's overriding legitimate interest”</t>
  </si>
  <si>
    <t>BASF benennt die Rechtsgrundlage des KI-Einsatzes ausdrücklich.</t>
  </si>
  <si>
    <t>Data Protection Officer-Struktur ist privacy-spezifisch, aber keine klar AI-spezifische Zuständigkeit; why_not_higher: kein expliziter AI-owner</t>
  </si>
  <si>
    <t>Technische/organisatorische Maßnahmen und zweckgebundene Verarbeitung benannt</t>
  </si>
  <si>
    <t>Maßnahmen/controls impliziert, aber ohne konkretes Tool oder Assessment</t>
  </si>
  <si>
    <t>keine Prozessschritte, Rollen oder Ablaufdefinition</t>
  </si>
  <si>
    <t>keine benannten Checks, Templates oder Nachweise</t>
  </si>
  <si>
    <t>“Technical and organisational measures are taken”</t>
  </si>
  <si>
    <t>“Technical and organisational measures are taken”; “AI can be used to create documents”</t>
  </si>
  <si>
    <t>VAL_07, GOV_03</t>
  </si>
  <si>
    <t>„Technical and organisational measures“ kann als Security-Wert oder als allgemeiner Kontrollhinweis gelesen werden.</t>
  </si>
  <si>
    <t>A: VAL_07=1 und GOV_03=1. B: nur GOV_03=1, weil Security nicht ausdrücklich benannt ist. Gewählt: B, konservativ nach Evidence-first.</t>
  </si>
  <si>
    <t>Das Dokument nennt einen Data Protection Officer, aber nicht als AI-spezifische Rolle.</t>
  </si>
  <si>
    <t>A: GOV_01=1, weil eine zuständige Funktion vorhanden ist. B: GOV_01=0, weil keine explizite AI-Zuständigkeit ausgewiesen ist. Gewählt: B, konservativ gemäß KI-Anker-Regel.</t>
  </si>
  <si>
    <t>Die Optimierungs- und Effizienzargumente könnten als verantwortungsbezogener Nutzenrahmen interpretiert werden.</t>
  </si>
  <si>
    <t>A: VAL_15=1 oder VAL_13=1. B: keine Codierung, weil nur funktionaler Nutzen beschrieben wird. Gewählt: B, konservativ.</t>
  </si>
  <si>
    <t>Die Aufzählung konkreter KI-Einsatzfälle kann als Prozessbeschreibung oder nur als Anwendungsbeispiel gelesen werden.</t>
  </si>
  <si>
    <t>A: GOV_02=1, weil der KI-Einsatz organisatorisch beschrieben wird. B: GOV_02=0, weil kein eigentlicher Governance-Prozess vorliegt. Gewählt: A zusammen mit E2, aber nur Stufe 1, da keine Ablauf- oder Rollenlogik dokumentiert ist.</t>
  </si>
  <si>
    <t>15.03.2026</t>
  </si>
  <si>
    <t>S. 8</t>
  </si>
  <si>
    <t>Autonomie + interne Aufsicht explizit; keine konkret beschriebenen Kontrollschritte</t>
  </si>
  <si>
    <t>Accountability explizit genannt, aber ohne Rollen/Ownership-Logik</t>
  </si>
  <si>
    <t>Transparente KI-Nutzung explizit</t>
  </si>
  <si>
    <t>Keine Erklärbarkeit/Interpretierbarkeit von Output oder Logik nachweisbar</t>
  </si>
  <si>
    <t>Fairness explizit; Verbot ungeprüfter Daten stützt Bias-Vermeidung</t>
  </si>
  <si>
    <t>Kein expliziter Datenschutz-/Privacy-Bezug im KI-Abschnitt</t>
  </si>
  <si>
    <t>Keine explizite KI-Security/Cybersecurity nachweisbar</t>
  </si>
  <si>
    <t>Harm-Bezug explizit, aber nur auf Prinzipienebene</t>
  </si>
  <si>
    <t>Vermeidung „incorrect … results“ + Maintenance-Bezug; kein Testing/Monitoring detailliert</t>
  </si>
  <si>
    <t>Kein Einspruchs-, Beschwerde- oder Redress-Mechanismus nachweisbar</t>
  </si>
  <si>
    <t>Nur „inclusion in our data sets“; nach Codebook primär nicht Accessibility/Teilhabe</t>
  </si>
  <si>
    <t>Kein Umwelt-/Green-AI-Bezug im KI-Abschnitt</t>
  </si>
  <si>
    <t>Well-being explizit als Ziel genannt</t>
  </si>
  <si>
    <t>„always comply“ = deontische Compliance-Regel</t>
  </si>
  <si>
    <t>„responsibly/thoughtful use“ bleibt hier zu vage; keine belastbare ethische Grenze</t>
  </si>
  <si>
    <t>Datenqualität, Provenienz, Repräsentativität und Nichtverwendung ungeprüfter Daten konkret operationalisiert</t>
  </si>
  <si>
    <t>Kein IP-/Vertraulichkeitsbezug im KI-Abschnitt</t>
  </si>
  <si>
    <t>Autonomie erwähnt, aber kein explizites Human-Rights-Framing</t>
  </si>
  <si>
    <t>Schutz persönlicher Autonomie wird als KI-Prinzip genannt.; Interne Aufsicht/Inspektionen werden erwähnt.</t>
  </si>
  <si>
    <t>“We respect personal autonomy.”; “support proper internal oversight, inspections, and maintenance of AI solutions.”</t>
  </si>
  <si>
    <t>“accountability”</t>
  </si>
  <si>
    <t>Accountability wird ausdrücklich genannt.</t>
  </si>
  <si>
    <t>“use AI transparently and responsibly.”</t>
  </si>
  <si>
    <t>Transparente KI-Nutzung wird ausdrücklich zugesagt.</t>
  </si>
  <si>
    <t>Fairness wird als Leitprinzip genannt.</t>
  </si>
  <si>
    <t>“fairness”</t>
  </si>
  <si>
    <t>“preventing harm”</t>
  </si>
  <si>
    <t>Schadensvermeidung wird ausdrücklich benannt.</t>
  </si>
  <si>
    <t>“do not use poor, incomplete or non-verified data”; “support proper internal oversight, inspections, and maintenance of AI solutions.”</t>
  </si>
  <si>
    <t>Schlechte oder ungeprüfte Daten sollen nicht verwendet werden.; Interne Aufsicht/Inspektionen werden erwähnt.</t>
  </si>
  <si>
    <t>“promote individual and collective wellbeing”</t>
  </si>
  <si>
    <t>Individuelles und kollektives Wohlbefinden wird als Ziel genannt.</t>
  </si>
  <si>
    <t>Rechts- und Regelkonformität wird verpflichtend formuliert.</t>
  </si>
  <si>
    <t>“clear relevance, provenance, diversity, and sufficient quality in data sources.; “We verify the data sets used for AI training are representative”; “do not use poor, incomplete or non-verified data”</t>
  </si>
  <si>
    <t>Datenherkunft/-qualität werden normativ adressiert.; Repräsentativität von Trainingsdaten wird überprüft.; Schlechte oder ungeprüfte Daten sollen nicht verwendet werden.</t>
  </si>
  <si>
    <t>Keine AI-spezifischen Rollen, Owner oder Gremien mit Aufgabenlogik nachweisbar</t>
  </si>
  <si>
    <t>S. 7–8</t>
  </si>
  <si>
    <t>„inspections“ erwähnt, aber ohne Mechanik, Frequenz oder Verantwortliche</t>
  </si>
  <si>
    <t>Keine KI-bezogenen Trainings/Awareness-Maßnahmen nachweisbar</t>
  </si>
  <si>
    <t>Keine Ansprechpartner, Stufen oder Eskalationsmechanik nachweisbar</t>
  </si>
  <si>
    <t>Kein Reporting zu AI-Risiken, Kontrollen oder Vorfällen nachweisbar</t>
  </si>
  <si>
    <t>Prozessabsicht/fortlaufende Verfeinerung und Aufsicht erwähnt</t>
  </si>
  <si>
    <t>keine Schritte/Trigger/Verantwortlichen</t>
  </si>
  <si>
    <t>kein Implementierungsnachweis/Reporting</t>
  </si>
  <si>
    <t>Konkrete Checks zu Repräsentativität und Datenverifikation</t>
  </si>
  <si>
    <t>“keep refining our bioethical stance and principles”; “support proper internal oversight, inspections, and maintenance of AI solutions.”</t>
  </si>
  <si>
    <t>“We verify the data sets used for AI training are representative”; “do not use poor, incomplete or non-verified data”</t>
  </si>
  <si>
    <t>“support proper internal oversight, inspections, and maintenance of AI solutions.”</t>
  </si>
  <si>
    <t>„inclusion in our data sets“ kann sprachlich wie Inklusivität wirken, zielt aber auch auf Repräsentativität/Bias/Datenqualität.</t>
  </si>
  <si>
    <t>A: VAL_11 codieren. B: primär VAL_05/VAL_16 codieren. Gewählt: B, da Codebook/R06 Datensatz-Inklusion nicht automatisch als VAL_11 wertet.</t>
  </si>
  <si>
    <t>„responsibly“ / „thoughtful use“ könnte als ethische Leitplanke gelesen werden, bleibt aber möglicherweise Responsible-AI-Rhetorik ohne harte Grenze.</t>
  </si>
  <si>
    <t>A: VAL_15 = 1. B: VAL_15 = 0. Gewählt: B, da Exclude-Regel reine Responsible-AI-Rhetorik ohne normative Grenze ausschließt.</t>
  </si>
  <si>
    <t>VAL_01, GOV_02, GOV_04</t>
  </si>
  <si>
    <t>„internal oversight, inspections, and maintenance“ deutet Operationalisierung an, aber ohne definierte Schritte/Frequenzen/Rollen.</t>
  </si>
  <si>
    <t>A: höher codieren (VAL_01 BIND 3; GOV_02 = 2; GOV_04 = 2). B: konservativ niedriger codieren. Gewählt: B, nach R11/R12/R13, da Mechanik und Evidenzminimum für höhere Stufen fehlen.</t>
  </si>
  <si>
    <t>VAL_09, VAL_05, VAL_16</t>
  </si>
  <si>
    <t>Der Satz zu ungeprüften Daten adressiert klar Datenqualität und Bias; unklar ist, ob zusätzlich Robustheit/Zuverlässigkeit vorliegt.</t>
  </si>
  <si>
    <t>A: nur VAL_05/VAL_16. B: zusätzlich VAL_09. Gewählt: B, da „incorrect … results“ auf Ergebniszuverlässigkeit verweist; konservativ mit mittlerer Konfidenz.</t>
  </si>
  <si>
    <t>S. 1 Regel 6; S. 2 Data Privacy Rules</t>
  </si>
  <si>
    <t>Menschliche Entscheidung/Expert Review ausdrücklich gefordert</t>
  </si>
  <si>
    <t>S. 1 Regel 5; S. 1–2 Fußzeile/Kopfbereich</t>
  </si>
  <si>
    <t>Verantwortung für Outputprüfung + benanntes AI-Team; kein umfassendes Accountability-Modell</t>
  </si>
  <si>
    <t>S. 1, Follow best practices</t>
  </si>
  <si>
    <t>Offenlegung der GenAI-Nutzung ausdrücklich verlangt</t>
  </si>
  <si>
    <t>Keine Erklärbarkeit/Interpretierbarkeit von Modell oder Output nachweisbar</t>
  </si>
  <si>
    <t>S. 1, Regel 5</t>
  </si>
  <si>
    <t>Bias-/Stereotypenvermeidung explizit</t>
  </si>
  <si>
    <t>S. 1 Regel 1; S. 2 Data Privacy Rules/Examples</t>
  </si>
  <si>
    <t>Konkrete Verbote und verpflichtende Privacy-Assessments</t>
  </si>
  <si>
    <t>Toolfreigaben/Klassifikation vorhanden, aber kein expliziter Security-/Angriffs-/Leakage-Anker</t>
  </si>
  <si>
    <t>S. 1 Regeln 4 und 6</t>
  </si>
  <si>
    <t>Sichere Nutzung und Schadensvermeidung implizit-regelhaft, aber ohne eigenes Safety-System</t>
  </si>
  <si>
    <t>S. 1 Regeln 5 und 6</t>
  </si>
  <si>
    <t>Kritische Prüfung auf Ungenauigkeit; kein blindes Verlassen auf Output</t>
  </si>
  <si>
    <t>Kein Beschwerde-, Einspruchs- oder Redress-Mechanismus nachweisbar</t>
  </si>
  <si>
    <t>Keine Barrierefreiheits-/Teilhabe-Anforderungen nachweisbar</t>
  </si>
  <si>
    <t>Kein Umwelt-/Energie-/CO2-Bezug nachweisbar</t>
  </si>
  <si>
    <t>„well-being of Bayer“ ist kein belastbarer gesellschaftlicher Nutzenbezug im Codebook-Sinn</t>
  </si>
  <si>
    <t>S. 1 Regel 2; S. 2 Examples</t>
  </si>
  <si>
    <t>Verbotstatbestände und verpflichtende Prüf-/Konsultationsschritte klar operationalisiert</t>
  </si>
  <si>
    <t>S. 1 Regeln 4 und 5</t>
  </si>
  <si>
    <t>Ethische Standards und Grenzen für zulässige Nutzung explizit</t>
  </si>
  <si>
    <t>S. 1 Approved tools; S. 2 Examples</t>
  </si>
  <si>
    <t>Klassifikations-/Freigaberegeln und Assessment-Pflichten für bestimmte Datennutzungen</t>
  </si>
  <si>
    <t>S. 1 Approved tools; Regel 3</t>
  </si>
  <si>
    <t>Vertrauliche Geschäftsdaten und IP-relevante Promptverbote klar geregelt</t>
  </si>
  <si>
    <t>Kein expliziter Human-Rights-Frame nachweisbar</t>
  </si>
  <si>
    <t>GenAI-Output darf kritische Entscheidungen nicht allein tragen.; Personenbezogene Folgen dürfen nicht ohne menschliche Entscheidung eintreten.</t>
  </si>
  <si>
    <t>“Do not use output as the sole basis for critical decisions”; “without a prior human decision.”</t>
  </si>
  <si>
    <t>“Critically assess output to the best of your knowledge”</t>
  </si>
  <si>
    <t>Nutzer sollen GenAI-Output eigenverantwortlich prüfen.</t>
  </si>
  <si>
    <t>“Be transparent that a genAI tool was used in your work”</t>
  </si>
  <si>
    <t>KI-Nutzung im Arbeitsergebnis soll offengelegt werden.</t>
  </si>
  <si>
    <t>“Ensure no damaging stereotypes, potential biases”</t>
  </si>
  <si>
    <t>Output soll keine Stereotype oder Bias enthalten.</t>
  </si>
  <si>
    <t>“Do not enter personal data nor use any personal data provided as output.”;“Obtain a prior data privacy assessment when using AI for HR-related purposes”;“Examples where prior data privacy assessment is required”</t>
  </si>
  <si>
    <t>In externen Tools sind personenbezogene Daten untersagt.; Für HR-bezogene AI-Nutzung ist eine Datenschutzprüfung vorgeschrieben.; Bestimmte KI-Nutzungen erfordern eine Vorabprüfung.</t>
  </si>
  <si>
    <t>“Do not use material potentially protected by personality rights in your prompt.”; “Do not use output as the sole basis for critical decisions”</t>
  </si>
  <si>
    <t>Persönlichkeitsrechte werden als Grenze für Prompts gesetzt.; GenAI-Output darf kritische Entscheidungen nicht allein tragen.</t>
  </si>
  <si>
    <t>“Do not use output as the sole basis for critical decisions”; “factually inaccurate information”</t>
  </si>
  <si>
    <t>GenAI-Output darf kritische Entscheidungen nicht allein tragen.; Faktische Fehler im Output sollen kritisch geprüft werden.</t>
  </si>
  <si>
    <t>Ungesteuerte Nutzung in Compliance-Prozessen ist verboten.; Für bestimmte Datennutzungen ist QA-Konsultation vorgeschrieben; Bestimmte KI-Nutzungen erfordern eine Vorabprüfung.</t>
  </si>
  <si>
    <t>“Uncontrolled use in compliance-relevant processes (e.g. GxP and GISC) is prohibited.”; “after mandatory consultation with Quality Assurance”; “Examples where prior data privacy assessment is required”</t>
  </si>
  <si>
    <t>Persönlichkeitsrechte werden als Grenze für Prompts gesetzt.; Nutzer sollen GenAI-Output eigenverantwortlich prüfen</t>
  </si>
  <si>
    <t>“Do not use material potentially protected by personality rights in your prompt.”; “Critically assess output to the best of your knowledge”</t>
  </si>
  <si>
    <t>Toolnutzung ist an zugelassene Informationsklassen gebunden.; Bestimmte KI-Nutzungen erfordern eine Vorabprüfung.; Training von KI mit personenbezogenen Daten ist assessment-pflichtig.</t>
  </si>
  <si>
    <t>“The tools can only be used with information classifications for which they have been approved.”; “Examples where prior data privacy assessment is required”; “Training AI with personal data”</t>
  </si>
  <si>
    <t>Geschäftsdaten dürfen nur in freigegebenen Tools verwendet werden.; Prompts dürfen keine Marken/Logos/urheberrechtlich geschützten Werke imitieren.</t>
  </si>
  <si>
    <t>“Only use Bayer-approved tools with business data and for business-related purposes.”; “Do not enter, refer to, or imitate brands, logos, or copyrighted works”</t>
  </si>
  <si>
    <t>S. 1–2; S. 1 Regel 2; S. 2 unten rechts</t>
  </si>
  <si>
    <t>S. 1 Regel 2; S. 2 Data Privacy Rules/Examples</t>
  </si>
  <si>
    <t>S. 1 Approved tools/Regel 5; S. 2 Examples</t>
  </si>
  <si>
    <t>S. 2 Data Privacy Rules</t>
  </si>
  <si>
    <t>S. 1, AI-powered technology/IT Academy</t>
  </si>
  <si>
    <t>S. 1 Approved tools/Regel 1; S. 2 unten rechts</t>
  </si>
  <si>
    <t>GenAI Catalyst Team, QA und Datenschutzorganisation mit Aufgabenbezug genannt</t>
  </si>
  <si>
    <t>kein vollständiges RACI/Reporting</t>
  </si>
  <si>
    <t>Konkrete Prozessschritte mit Triggern beschrieben</t>
  </si>
  <si>
    <t>kein Implementierungsnachweis/KPI</t>
  </si>
  <si>
    <t>Konkrete Checks/Assessments und Freigabelogik dokumentiert</t>
  </si>
  <si>
    <t>keine berichteten Ergebnisse</t>
  </si>
  <si>
    <t>Assessment-Aktivität erwähnt</t>
  </si>
  <si>
    <t>keine Auditmechanik, Frequenz oder Review-Zyklen</t>
  </si>
  <si>
    <t>Upskilling-Ressourcen bereitgestellt</t>
  </si>
  <si>
    <t>keine Zielgruppe/Pflicht/Programmstruktur</t>
  </si>
  <si>
    <t>Mehrere Kontaktpunkte genannt</t>
  </si>
  <si>
    <t>keine Stufenlogik oder Fristen</t>
  </si>
  <si>
    <t>“The GenAI Catalyst Team will review and update Bayer’s Generative Artificial Intelligence Guidance and Rules”; “after mandatory consultation with Quality Assurance”; “contact the data privacy organization via go/LPC-platform.”</t>
  </si>
  <si>
    <t>“Examples where prior data privacy assessment is required”; “Obtain a prior data privacy assessment when using AI for HR-related purposes”; “after mandatory consultation with Quality Assurance”</t>
  </si>
  <si>
    <t>“The tools can only be used with information classifications for which they have been approved.”; “Ensure no damaging stereotypes, potential biases”; “Examples where prior data privacy assessment is required”</t>
  </si>
  <si>
    <t>“prior data privacy assessment”</t>
  </si>
  <si>
    <t>“continuous-learning and upskilling resources available in IT Academy”</t>
  </si>
  <si>
    <t>“ask your question via generativeai@bayer.com”; “reach out to the data privacy via go/LPC-platform.”; “contact the data privacy organization via go/LPC-platform.”</t>
  </si>
  <si>
    <t>VAL_07, VAL_17, VAL_14</t>
  </si>
  <si>
    <t>Toolfreigaben und Informationsklassifikation können als Security gelesen werden, aber auch als Confidentiality/Compliance.</t>
  </si>
  <si>
    <t>A: zusätzlich VAL_07 codieren. B: primär VAL_17 + VAL_14/VAL_16 codieren. Gewählt: B, da kein expliziter Security-/Cyber-/Attack-/Leakage-Anker vorliegt; Codebook verlangt mehr als allgemeine IT-/Datenkontrolle.</t>
  </si>
  <si>
    <t>GOV_03, GOV_04, GOV_02</t>
  </si>
  <si>
    <t>Die Vorab-Datenschutzprüfung ist klar ein Check/Assessment, aber unklar ist, ob sie bereits als Auditmechanik zählt.</t>
  </si>
  <si>
    <t>A: GOV_04 = 2. B: GOV_04 = 1 und primär GOV_02/GOV_03 stärken. Gewählt: B, da Frequenz/Mechanik/Review-Zyklus fehlen; Rubrik für GOV_04 Score 2 nicht erfüllt.</t>
  </si>
  <si>
    <t>VAL_15, VAL_14, VAL_05</t>
  </si>
  <si>
    <t>„ethical standards“ steht neben Bias-/Fehlerprüfung; unklar ist, ob dies nur Fairness/Compliance oder auch eigenständige Ethical Use ist.</t>
  </si>
  <si>
    <t>A: nur VAL_05/VAL_14. B: zusätzlich VAL_15. Gewählt: B, weil der Text explizit „uphold ethical standards“ nennt; Codebook erlaubt VAL_15 bei klarer ethischer Grenze.</t>
  </si>
  <si>
    <t>VAL_03, VAL_04, GOV_07</t>
  </si>
  <si>
    <t>Offenlegung der KI-Nutzung könnte als Explainability oder Disclosure verstanden werden.</t>
  </si>
  <si>
    <t>A: auch VAL_04 oder GOV_07 codieren. B: nur VAL_03 codieren. Gewählt: B, da keine Erklärung von Output/Logik und kein Reporting zu Risiken/Kontrollen/Vorfällen vorliegt.</t>
  </si>
  <si>
    <t>VAL_02, GOV_01</t>
  </si>
  <si>
    <t>Benannte Teams/Kontakte können reine Governance oder auch Wert „Responsibility“ sein.</t>
  </si>
  <si>
    <t>A: VAL_02 = 0, nur GOV_01. B: VAL_02 = 1 zusätzlich. Gewählt: B, aber konservativ mit BIND 2 und mittlerer Confidence, da Verantwortung für Outputprüfung plus benannte Zuständigkeit vorliegt, jedoch kein umfassendes Accountability-Modell.</t>
  </si>
  <si>
    <t>Update: 15. März 26: doch kein KI-Bezug &amp; nun exkludiert</t>
  </si>
  <si>
    <t>S. 4 „Much-needed Treatments“; S. 8 „Powered by People“</t>
  </si>
  <si>
    <t>Human judgment explizit; zusätzlich konkrete human review bei einer AI-Lösung</t>
  </si>
  <si>
    <t>S. 6 „Ethical and Responsible Use“</t>
  </si>
  <si>
    <t>Accountability explizit genannt, aber ohne Rollen-/Ownership-Logik</t>
  </si>
  <si>
    <t>Transparenz explizit als KI-Implikation genannt</t>
  </si>
  <si>
    <t>Keine Erklärbarkeit/Interpretierbarkeit von KI-Output oder Entscheidungslogik nachweisbar</t>
  </si>
  <si>
    <t>Bias-Minimierung explizit genannt</t>
  </si>
  <si>
    <t>Privacy safeguarding explizit genannt</t>
  </si>
  <si>
    <t>„secure“ erscheint nur beschreibend; kein Schutz vor Angriffen/Manipulation/Leakage konkretisiert</t>
  </si>
  <si>
    <t>S. 3 „Much-needed Treatments“; S. 6 „Efficiency across all Operations“</t>
  </si>
  <si>
    <t>Safety issues und sichere Anwendung explizit</t>
  </si>
  <si>
    <t>S. 4 „Much-needed Treatments“</t>
  </si>
  <si>
    <t>Human-review-validierte AI-Lösung als konkrete Qualitäts-/Validierungsevidenz</t>
  </si>
  <si>
    <t>„accessible solutions“ bleibt zu marketingnah; kein klarer Accessibility-/inclusive-design-Anker</t>
  </si>
  <si>
    <t>S. 2 „Data-driven Decisions“</t>
  </si>
  <si>
    <t>Nachhaltigere Praktiken explizit mit KI verknüpft</t>
  </si>
  <si>
    <t>S. 1 Einleitung; S. 3 „Much-needed Treatments“</t>
  </si>
  <si>
    <t>Konkreter Nutzen für Patienten, Landwirte und Konsumenten</t>
  </si>
  <si>
    <t>AI unterstützt Compliance anderer Prozesse; keine klare KI-Compliance-Anforderung</t>
  </si>
  <si>
    <t>„ethical and responsible use“ bleibt ohne normative Grenze oder „do not“-Leitplanke</t>
  </si>
  <si>
    <t>Keine Anforderungen zu Datenqualität, Provenienz, Repräsentativität oder Stewardship</t>
  </si>
  <si>
    <t>Kein expliziter IP-/Confidentiality-Anker im KI-Kontext</t>
  </si>
  <si>
    <t>Kein Human-Rights-Framework oder Verweis auf dignity/rights/UNGP nachweisbar</t>
  </si>
  <si>
    <t>“validated by human review”</t>
  </si>
  <si>
    <t>“validated by human review”; “AI is a complementary tool rather than a replacement for human judgment.”</t>
  </si>
  <si>
    <t>Eine proprietäre KI-Lösung wird durch menschliche Prüfung validiert.; Menschliches Urteilsvermögen wird als unersetzlich beschrieben.</t>
  </si>
  <si>
    <t>Menschliches Urteilsvermögen wird als unersetzlich beschrieben.</t>
  </si>
  <si>
    <t>Accountability wird als ethische Implikation von KI genannt.</t>
  </si>
  <si>
    <t>“the fostering of transparency”</t>
  </si>
  <si>
    <t>“the minimization of bias”</t>
  </si>
  <si>
    <t>Bias-Minimierung wird als ethische Implikation von KI genannt.</t>
  </si>
  <si>
    <t>“privacy safeguarding”</t>
  </si>
  <si>
    <t>Datenschutz wird als ethische Implikation von KI genannt.; “AI helps identify potential safety issues</t>
  </si>
  <si>
    <t>KI wird mit sicherer Planung und Analyse klinischer Studien verbunden.; KI wird mit sicherer Planung und Analyse klinischer Studien verbunden.</t>
  </si>
  <si>
    <t>Eine proprietäre KI-Lösung wird durch menschliche Prüfung validiert</t>
  </si>
  <si>
    <t>“more sustainable farming practices”</t>
  </si>
  <si>
    <t>KI wird als Mittel für konkreten Nutzen für Patienten, Landwirte und Konsumenten dargestellt.; KI soll Behandlungen schneller und effizienter zu Patienten bringen.</t>
  </si>
  <si>
    <t>KI wird als Mittel für konkreten Nutzen für Patienten, Landwirte und Konsumenten dargestellt.; “bring much-needed treatments to patients with increasing speed and efficiency”</t>
  </si>
  <si>
    <t>Keine AI-Governance-Rollen, Owner oder Gremien mit Aufgabenlogik genannt</t>
  </si>
  <si>
    <t>Keine klaren Prozessschritte, Trigger, Freigaben oder Lifecycle-Gates nachweisbar</t>
  </si>
  <si>
    <t>Konkreter Checktyp dokumentiert: human review als Validierungsmechanismus</t>
  </si>
  <si>
    <t>Keine Audit-, Inspection- oder Assessment-Mechanik mit Frequenz/Verantwortung</t>
  </si>
  <si>
    <t>S. 8 „Powered by People“</t>
  </si>
  <si>
    <t>Keine Ansprechpartner, Hotline, Ticket- oder Eskalationslogik nachweisbar</t>
  </si>
  <si>
    <t>keine Zielgruppe, Pflicht oder Programmstruktur</t>
  </si>
  <si>
    <t>Training ausdrücklich erwähnt</t>
  </si>
  <si>
    <t>“This necessitates training our personnel”</t>
  </si>
  <si>
    <t>„accessible solutions“ kann als Accessibility gelesen werden, wirkt hier aber stark marketingnah und nicht als inklusives Designprinzip.</t>
  </si>
  <si>
    <t>A: VAL_11 = 1. B: VAL_11 = 0. Gewählt: B, da das Codebook einen klaren Accessibility-/Teilhabe-Anker verlangt und reine Nutzenrhetorik nicht ausreicht.</t>
  </si>
  <si>
    <t>Der Abschnitt spricht von ethical and responsible use, setzt aber keine explizite ethische Grenze oder „do not“-Regel.</t>
  </si>
  <si>
    <t>A: VAL_15 = 1. B: VAL_15 = 0. Gewählt: B, da das Codebook Responsible-AI-Rhetorik ohne normative Grenze ausdrücklich ausschließt.</t>
  </si>
  <si>
    <t>„secure, bespoke gen AI platform“ deutet Security an, bleibt aber rein beschreibend.</t>
  </si>
  <si>
    <t>A: VAL_07 = 1. B: VAL_07 = 0. Gewählt: B, da kein Schutz gegen Angriffe, Manipulation oder Leakage konkretisiert wird.</t>
  </si>
  <si>
    <t>VAL_01 / VAL_09 / GOV_03</t>
  </si>
  <si>
    <t>„validated by human review“ kann zugleich Human Oversight, Reliability und Tools/Checks stützen.</t>
  </si>
  <si>
    <t>A: nur GOV_03 codieren. B: zusätzlich VAL_01 und VAL_09 codieren. Gewählt: B, da der Satz sowohl human review als Kontrollprinzip als auch Validierungsmechanismus belegt.</t>
  </si>
  <si>
    <t>„complying with regulations“ bezieht sich auf AI als Hilfsmittel für Compliance, nicht eindeutig auf KI-Compliance als Norm.</t>
  </si>
  <si>
    <t>A: VAL_14 = 1. B: VAL_14 = 0. Gewählt: B, da das Codebook einen erkennbaren KI-, Regulierungs- oder Standardbezug als Anforderung an KI selbst verlangt.</t>
  </si>
  <si>
    <t>S. 3, Antwort Jagat</t>
  </si>
  <si>
    <t>Aufsicht, menschliche Kontrolle und Human Agency explizit benannt; kein formalisiertes Kontrollregime</t>
  </si>
  <si>
    <t>S. 2–3, Antworten Carolina</t>
  </si>
  <si>
    <t>Accountability als Risiko und Verantwortung als Prinzip benannt; keine Rollen-/Ownership-Logik</t>
  </si>
  <si>
    <t>S. 1 und S. 3</t>
  </si>
  <si>
    <t>Transparenzdefizite und Forderung nach voller Transparenz explizit</t>
  </si>
  <si>
    <t>Keine Erklärbarkeit/Interpretierbarkeit von Output oder Entscheidungslogik nachweisbar</t>
  </si>
  <si>
    <t>Bias, Equity und Schutz vulnerabler Gruppen explizit</t>
  </si>
  <si>
    <t>S. 2, Antwort Jagat</t>
  </si>
  <si>
    <t>Datenschutz erhält Priorität; strikte Regeln zur Nutzung von Patientendaten benannt</t>
  </si>
  <si>
    <t>Technische Maßnahmen zur Datensicherung erwähnt; keine konkrete Sicherheitsarchitektur</t>
  </si>
  <si>
    <t>Patienteninteressen stehen im Vordergrund; Safety nur indirekt/protektiv formuliert</t>
  </si>
  <si>
    <t>Keine klare Evidenz zu Genauigkeit, Stabilität oder intended performance von KI-Systemen</t>
  </si>
  <si>
    <t>Vulnerable Gruppen und Accessibility explizit angesprochen; kein inklusives Designverfahren</t>
  </si>
  <si>
    <t>Kein Umwelt-/Nachhaltigkeitsbezug im KI-Kontext</t>
  </si>
  <si>
    <t>Human well-being, health outcomes und Nutzen für humanity explizit</t>
  </si>
  <si>
    <t>Strikte Befolgung von Gesetzen/Regulierungsanforderungen im KI-/Datenkontext</t>
  </si>
  <si>
    <t>Ethische Leitlinien und ethische Werte im KI-Design benannt; keine detaillierte Verbotsliste</t>
  </si>
  <si>
    <t>S. 2, Antwort Carolina</t>
  </si>
  <si>
    <t>Imbalancierte Trainingsdaten explizit problematisiert; keine konkrete Data-Governance-Mechanik</t>
  </si>
  <si>
    <t>Vertraulichkeit explizit priorisiert; kein IP-spezifischer Schutzmechanismus</t>
  </si>
  <si>
    <t>Kein expliziter Human-Rights-Frame oder Verweis auf dignity/rights/UNGP</t>
  </si>
  <si>
    <t>“ensure the proper supervision of AI systems”; “effective supervision by healthcare professionals"; “effective supervision by healthcare professionals</t>
  </si>
  <si>
    <t>Angemessene Aufsicht über KI-Systeme wird gefordert.; Angemessene Aufsicht über KI-Systeme wird gefordert.; Menschliche Fachkräfte sollen KI wirksam beaufsichtigen.</t>
  </si>
  <si>
    <t>“lack of transparency and accountability”; “should never avoid the responsibility”</t>
  </si>
  <si>
    <t>Fehlende Rechenschaftspflicht wird als KI-Risiko benannt.; Bayer soll Verantwortung für systemisches KI-Verständnis nicht vermeiden.</t>
  </si>
  <si>
    <t>Bayer soll Verantwortung für systemisches KI-Verständnis nicht vermeiden.; “create full transparency about what is the value proposition”</t>
  </si>
  <si>
    <t>Transparenzdefizite werden als zentrales KI-Ethikproblem benannt.; Patienten sollen den Nutzen von Daten und Modellen verstehen.</t>
  </si>
  <si>
    <t>“imbalances”; “These risks include biases”; “do not disproportionally affect already disadvantaged or vulnerable groups”</t>
  </si>
  <si>
    <t>Ungleichgewichte und Bias werden als ethische KI-Risiken benannt.; KI-Risiken sollen vulnerable Gruppen nicht unverhältnismäßig treffen.</t>
  </si>
  <si>
    <t>KI-Risiken sollen vulnerable Gruppen nicht unverhältnismäßig treffen.; “applying strict guidelines on how patient data should be used”</t>
  </si>
  <si>
    <t>“give privacy and confidentiality the utmost priority”; Es gelten strikte Regeln zur Nutzung von Patientendaten.</t>
  </si>
  <si>
    <t>“implemented specific technical measures to secure the data”</t>
  </si>
  <si>
    <t>“keeping patients' interests at the forefront”</t>
  </si>
  <si>
    <t>Patienteninteressen sollen bei KI im Vordergrund bleiben.</t>
  </si>
  <si>
    <t>“do not disproportionally affect already disadvantaged or vulnerable groups”; “ensuring their accessibility to as many people as possible”</t>
  </si>
  <si>
    <t>KI-Risiken sollen vulnerable Gruppen nicht unverhältnismäßig treffen.; Therapien sollen für möglichst viele Menschen zugänglich werden.</t>
  </si>
  <si>
    <t>“impact on human well-being, privacy, and societal values”; “help more patients achieve better health outcomes”; “AI serves humanity in the most beneficial and conscientious manner”</t>
  </si>
  <si>
    <t>“impact on human well-being, privacy, and societal values”; KI soll bessere Gesundheitsresultate für mehr Patienten ermöglichen.; KI soll der Menschheit möglichst nützlich dienen.</t>
  </si>
  <si>
    <t>“strictly follow the laws and regulations”</t>
  </si>
  <si>
    <t>Für KI-/Datenpartnerschaften sollen Gesetze strikt befolgt werden.</t>
  </si>
  <si>
    <t>“meet appropriate ethical guidelines and regulatory requirements”; “ensure ethical values are reflected in the design of AI systems”</t>
  </si>
  <si>
    <t>KI-Partnerschaften sollen ethische Leitlinien erfüllen.; Ethische Werte sollen im Design von KI-Systemen reflektiert sein.</t>
  </si>
  <si>
    <t>“sources of data used to train these AI systems may also be imbalanced”</t>
  </si>
  <si>
    <t>Imbalancierte Trainingsdaten werden als Problem beschrieben.</t>
  </si>
  <si>
    <t>Vertraulichkeit wird im KI-/Datenkontext priorisiert.</t>
  </si>
  <si>
    <t>S. 3, Antwort Carolina</t>
  </si>
  <si>
    <t>Keine AI-bezogenen Trainings/Awareness-Maßnahmen nachweisbar</t>
  </si>
  <si>
    <t>Keine Ansprechpartner, Hotline oder Eskalationsmechanik nachweisbar</t>
  </si>
  <si>
    <t>Kein AI-bezogenes Reporting zu Risiken, Kontrollen oder Vorfällen nachweisbar</t>
  </si>
  <si>
    <t>“A recent meeting of Bayer´s Bioethics Council focused on the exploration of complex ethical questions”</t>
  </si>
  <si>
    <t>“look at the full life cycle of such AI systems”; “look at the full life cycle of such AI systems”</t>
  </si>
  <si>
    <t>“starting from the conception phase”</t>
  </si>
  <si>
    <t>“Algorithmic audits and assessments are crucial steps”</t>
  </si>
  <si>
    <t>AI-bezogenes Gremium (Bioethics Council) genannt</t>
  </si>
  <si>
    <t>keine ausdifferenzierte Aufgaben- oder Freigabelogik</t>
  </si>
  <si>
    <t>Lifecycle-, Review- und Reassessment-Absicht genannt</t>
  </si>
  <si>
    <t>keine klaren Trigger + Verantwortlichen</t>
  </si>
  <si>
    <t xml:space="preserve"> Empfehlung ohne belegte Bayer-Mechanik</t>
  </si>
  <si>
    <t>Assessment-/Checkeinsatz ab Konzeptionsphase erkennbar</t>
  </si>
  <si>
    <t>keine Frequenz oder Verantwortliche</t>
  </si>
  <si>
    <t>Algorithmic audits and assessments ausdrücklich erwähnt</t>
  </si>
  <si>
    <t>generell BIND, GOV_02–GOV_04</t>
  </si>
  <si>
    <t>Mehrere Passagen sind Interviewaussagen bzw. Empfehlungen, nicht formale Policy-Sätze. Unklar ist, wie stark sie bindig codiert werden dürfen.</t>
  </si>
  <si>
    <t>A: BIND/GOV höher wegen klarer Normsprache („need to“, „should“). B: konservativ niedriger, weil Dokumentcharakter interviewartig ist. Gewählt: B, gemäß Evidence-first und R11: ohne formale Prozess-/Kontrollschritte keine hohe Bindigkeit.</t>
  </si>
  <si>
    <t>Equity und Schutz vulnerabler Gruppen können als Fairness oder als Inclusiveness/Accessibility gelesen werden.</t>
  </si>
  <si>
    <t>A: nur VAL_05. B: zusätzlich VAL_11, wenn Teilhabe/Zugänglichkeit explizit wird. Gewählt: B, weil S. 3 zusätzlich „accessibility to as many people as possible“ ausdrücklich nennt.</t>
  </si>
  <si>
    <t>Die Passage belegt Security, aber nicht klar einen konkreten Check oder ein Tool.</t>
  </si>
  <si>
    <t>A: VAL_07 + GOV_03. B: nur VAL_07. Gewählt: B, weil für GOV_03 Checktyp, Prüfgegenstand und Einsatzanlass nicht hinreichend konkret benannt sind.</t>
  </si>
  <si>
    <t>GOV_03, GOV_04</t>
  </si>
  <si>
    <t>Audits/Assessments können sowohl als Auditaktivität als auch als konkreter Check gelesen werden.</t>
  </si>
  <si>
    <t>A: nur GOV_04 = 1. B: zusätzlich GOV_03 = 1. Gewählt: B, da Assessmenttyp und Einsatz ab Konzeptionsphase erkennbar sind; für Score 2 fehlen aber Bayer-spezifische Mechanik/Nachweise.</t>
  </si>
  <si>
    <t>VAL_06, VAL_17</t>
  </si>
  <si>
    <t>Privacy und Confidentiality erscheinen in derselben Passage; unklar ist, ob beide Werte separat codiert werden sollen.</t>
  </si>
  <si>
    <t>A: nur VAL_06. B: VAL_06 und VAL_17. Gewählt: B, da der Wortlaut beide Schutzgüter ausdrücklich nennt und das Codebook getrennte Werte vorsieht.</t>
  </si>
  <si>
    <t>VAL_08, VAL_13</t>
  </si>
  <si>
    <t>Die Formulierung kann als Safety/Harm Prevention oder allgemeiner Human Benefit gelesen werden.</t>
  </si>
  <si>
    <t>A: nur VAL_13. B: zusätzlich VAL_08. Gewählt: B, aber konservativ mit BIND 1 und mittlerer Confidence, weil die Passage einen protektiven Patientenfokus ausdrückt, ohne konkrete Safety-Mechanik.</t>
  </si>
  <si>
    <t>Kein expliziter Human-review-, Override- oder Human-in-the-loop-Mechanismus für KI nachweisbar</t>
  </si>
  <si>
    <t>Keine klaren AI-Verantwortlichkeiten als Wertprinzip; Gremien-/Framework-Evidenz genügt hier nur für GOV</t>
  </si>
  <si>
    <t>S. 202</t>
  </si>
  <si>
    <t>Transparenz wird im operativen KI-Umfeld über Plattform-/Umgebungsdesign konkret adressiert</t>
  </si>
  <si>
    <t>Keine Erklärbarkeit/Interpretierbarkeit von Modellen oder Outputs nachweisbar</t>
  </si>
  <si>
    <t>S. 35</t>
  </si>
  <si>
    <t>Diversität der Phototypen wird algorithmisch besser berücksichtigt; konkrete Operationalisierung statt bloßer Rhetorik</t>
  </si>
  <si>
    <t>Datenstrategie/-schutz wird im Gremium erwähnt, aber kein belastbarer AI-Privacy-Grundsatz oder Regeltext nachweisbar</t>
  </si>
  <si>
    <t>Sicheres Nutzungsumfeld und Safe-use-Framework explizit; technische Security-Details bleiben offen</t>
  </si>
  <si>
    <t>Keine eigenständige, KI-spezifische Harm-/Safety-Norm nachweisbar</t>
  </si>
  <si>
    <t>Standardisierte AI-Testverfahren, robuste Analysebasis sowie präzise und konsistente Messergebnisse sind dokumentiert</t>
  </si>
  <si>
    <t>Phototypen-Diversität wird berücksichtigt, reicht hier konservativ aber nicht für eigenständige Accessibility-/Inclusion-Codierung</t>
  </si>
  <si>
    <t>S. 12; S. 34</t>
  </si>
  <si>
    <t>KI wird konkret zur Optimierung nachhaltiger Formelentwicklung und nachhaltiger Inhaltsstoffkombinationen eingesetzt</t>
  </si>
  <si>
    <t>Nutzenbezüge im Dokument sind überwiegend produkt-/marktnah, nicht als eigenständiger KI-Sozialwert ausformuliert</t>
  </si>
  <si>
    <t>Kein expliziter AI-Lawfulness-/Compliance-Grundsatz oder Pflichtsatz nachweisbar</t>
  </si>
  <si>
    <t>S. 12</t>
  </si>
  <si>
    <t>Klare ethische Nutzungsgrenze („never to use AI to create human skin“); keine tiefer ausgeführte Prozessnorm im selben Satz</t>
  </si>
  <si>
    <t>Valide Daten, Datenqualität und Erweiterung des Algorithmus für repräsentativere Datengrundlagen sind konkret operationalisiert</t>
  </si>
  <si>
    <t>Risiken externer Modelle deuten Vertraulichkeitsfragen an, aber kein expliziter IP-/Confidentiality-Grundsatz für KI nachweisbar</t>
  </si>
  <si>
    <t>Kein expliziter Human-Rights-Frame im KI-Kontext</t>
  </si>
  <si>
    <t>“secure environment with a high level of transparency”</t>
  </si>
  <si>
    <t>Die Plattform soll Transparenz in der KI-Nutzung herstellen.</t>
  </si>
  <si>
    <t>“take better account of the diversity of phototypes</t>
  </si>
  <si>
    <t>“secure environment”; “general framework for the further strategic development of AI”</t>
  </si>
  <si>
    <t>KI-Nutzung wird in einem sicheren Umfeld organisiert.; Ein funktionsübergreifender AI-Rahmen wird aufgebaut.</t>
  </si>
  <si>
    <t>“introduced our innovative AI-controlled wrinkle analysis wrinkle.ai as a standardized test procedure”; “The evaluated results provide a robust basis”; “guaranteeing both precise and consistent measurement results.”</t>
  </si>
  <si>
    <t>Ein AI-Analysetool wurde als Standardtest eingeführt.; Das AI-Tool liefert robuste Ergebnisbasis.; Stabilitätstests liefern präzise und konsistente Resultate.</t>
  </si>
  <si>
    <t>KI wird zur nachhaltigeren Formelentwicklung eingesetzt.; AI-gestützte Formulierung nutzt nachhaltige Inhaltsstoffkombinationen</t>
  </si>
  <si>
    <t>“optimize the speed, quality, and sustainability of our formula development”; “a blend of particularly sustainable ingredients”</t>
  </si>
  <si>
    <t>“never to use AI to create human skin”</t>
  </si>
  <si>
    <t>Es gibt eine klare ethische Grenze für KI-Bildnutzung.</t>
  </si>
  <si>
    <t>“expand the algorithm using valid data for melanin-rich skin types"; “The more high-quality data is available”</t>
  </si>
  <si>
    <t>Der Algorithmus wird mit validen Daten für unterrepräsentierte Hauttypen erweitert.; Hohe Datenqualität wird als Grundlage für Erkenntnisgewinn benannt.</t>
  </si>
  <si>
    <t>S. 19; S. 225</t>
  </si>
  <si>
    <t>S. 12; S. 202</t>
  </si>
  <si>
    <t>S. 202; S. 35</t>
  </si>
  <si>
    <t>Keine AI-spezifischen Audits, Assessments oder Reviewzyklen mit Audit-Charakter nachweisbar</t>
  </si>
  <si>
    <t>Keine expliziten AI-Trainings oder AI-Awareness-Programme nachweisbar</t>
  </si>
  <si>
    <t>Keine Ansprechpartner, Meldekanäle oder Eskalationsstufen speziell für KI nachweisbar</t>
  </si>
  <si>
    <t>S. 202–203</t>
  </si>
  <si>
    <t>Digital &amp; ESG Committee als formales Gremium mit Digitalstrategie-Mandat und dokumentierter AI-Befassung</t>
  </si>
  <si>
    <t>kein vollständiges RACI/Owner-Modell</t>
  </si>
  <si>
    <t>Strategischer Prozessrahmen zum Testen/Skalieren/Implementieren sowie AI-Guidelines und funktionsübergreifender Rahmen benannt</t>
  </si>
  <si>
    <t>keine KPI-/Audit-Evidenz</t>
  </si>
  <si>
    <t>Plattformlösung und standardisierte AI-Testprozedur klar dokumentiert</t>
  </si>
  <si>
    <t>für Score 3 fehlen belastbare Kontrollzyklen/KPI-Nachweise</t>
  </si>
  <si>
    <t>Generative AI wird im Risikobericht explizit berichtet und klassifiziert</t>
  </si>
  <si>
    <t>kein eigenständiger AI-Reporting-Prozess oder Regelzyklus beschrieben</t>
  </si>
  <si>
    <t>“discussed the CSR Directive, data strategy and data protection, and artificial intelligence.”; “It monitors the company’s digital strategy”</t>
  </si>
  <si>
    <t>“It monitors the company’s digital strategy”; “general framework for the further strategic development of AI”; “communication guidelines for using AI for all global brands”</t>
  </si>
  <si>
    <t>“bundled all marketing-related AI tools on one platform”; “introduced our innovative AI-controlled wrinkle analysis wrinkle.ai as a standardized test procedure”</t>
  </si>
  <si>
    <t>“the extent of the risk remains low, but the likelihood of occurrence is raised to possible.”</t>
  </si>
  <si>
    <t>VAL_15, VAL_01</t>
  </si>
  <si>
    <t>Die Passage setzt eine klare Grenze, ist aber eher Ethical Use als Human Oversight.</t>
  </si>
  <si>
    <t>A: VAL_15 = 1, VAL_01 = 0. B: VAL_15 = 1, VAL_01 = 1. Gewählt: A, da keine menschliche Review-/Override-Mechanik genannt wird, sondern eine ethische No-use-Regel.</t>
  </si>
  <si>
    <t>VAL_05, VAL_11, VAL_16</t>
  </si>
  <si>
    <t>Die Passage kann Fairness, Inclusion oder Data Governance zugleich berühren.</t>
  </si>
  <si>
    <t>A: VAL_05 + VAL_16 positiv, VAL_11 = 0. B: alle drei positiv. Gewählt: A, da die Passage primär Repräsentativität/Bias und valide Datengrundlagen adressiert, nicht Accessibility im engeren Codebook-Sinn.</t>
  </si>
  <si>
    <t>VAL_07, VAL_17</t>
  </si>
  <si>
    <t>Security/Safe-use könnte zugleich Confidentiality andeuten.</t>
  </si>
  <si>
    <t>A: VAL_07 = 1, VAL_17 = 0. B: VAL_07 = 1, VAL_17 = 1. Gewählt: A, da keine explizite Vertraulichkeits- oder IP-Regel formuliert ist; die Evidenz trägt Security stärker als Confidentiality.</t>
  </si>
  <si>
    <t>GOV_07, GOV_04</t>
  </si>
  <si>
    <t>Die formale Risikoklassifikation könnte Reporting oder Audit/Monitoring bedeuten.</t>
  </si>
  <si>
    <t>A: GOV_07 = 1, GOV_04 = 0. B: GOV_07 = 1, GOV_04 = 1. Gewählt: A, da Berichtsevidenz vorliegt, aber kein Auditmechanismus, keine Prüffrequenz und keine Auditverantwortung.</t>
  </si>
  <si>
    <t>Unklar ist, ob die Gremienbefassung bereits „dokumentierte Zuständigkeit“ (2) oder nur „benannt“ (1) ist.</t>
  </si>
  <si>
    <t>A: GOV_01 = 1. B: GOV_01 = 2. Gewählt: B, da das Gremium formal beschrieben ist, ein Mandat zur Überwachung der Digitalstrategie hat und AI explizit diskutiert wurde; für 3 fehlen Implementierungs-/Reportingnachweise.</t>
  </si>
  <si>
    <t>GOV_03, VAL_09</t>
  </si>
  <si>
    <t>Die Passage ist stark operationalisiert; unklar ist, ob dies bereits Score/BIND 3 erzwingt.</t>
  </si>
  <si>
    <t>A: GOV_03 = 3. B: GOV_03 = 2 und VAL_09 = 3. Gewählt: B, da Tool-/Check-Nutzung sehr konkret ist, aber dokumentierte KPI-/Audit-/Kontrollzyklen für GOV_03=3 fehlen; bei VAL_09 reicht die Evidenz für hohe Bindigkeit.</t>
  </si>
  <si>
    <t>Stärkung der Mitarbeitenden ist kein expliziter Human-review-/Override-/Oversight-Mechanismus</t>
  </si>
  <si>
    <t>„liability of platforms“ benennt ein Problemfeld, aber kein belastbares Verantwortungsprinzip von Beiersdorf</t>
  </si>
  <si>
    <t>Keine Transparenzpflicht, Offenlegung oder KI-Disclosure nachweisbar</t>
  </si>
  <si>
    <t>Keine Erklärbarkeit/Interpretierbarkeit von KI-Output oder Entscheidungslogik</t>
  </si>
  <si>
    <t>S. 2</t>
  </si>
  <si>
    <t>Bias in Trainingsdaten wird explizit als KI-Risiko benannt</t>
  </si>
  <si>
    <t>Umgang mit personenbezogenen Daten wird ausdrücklich als ethischer KI-Aspekt genannt</t>
  </si>
  <si>
    <t>Keine Security-/Cyber-/Leakage-Anforderung im KI-Kontext nachweisbar</t>
  </si>
  <si>
    <t>Risiken werden allgemein erwähnt, aber kein expliziter Harm-/Safety-Anker</t>
  </si>
  <si>
    <t>Halluzinationen und Quellenzuverlässigkeit werden klar als Reliability-Thema beschrieben</t>
  </si>
  <si>
    <t>„diversity“ erscheint nur als Ethikaspekt, nicht als Accessibility-/Teilhabe- oder inklusives Designprinzip</t>
  </si>
  <si>
    <t>KI-Nutzung wird mit menschlicherer, sinnvollerer Arbeit und der Stärkung von Mitarbeitenden verknüpft</t>
  </si>
  <si>
    <t>„legal risks“ wird erwähnt, aber keine Compliance-Anforderung oder Rechtskonformitätsregel formuliert</t>
  </si>
  <si>
    <t>Ethik wird diskutiert, aber ohne klare normative Grenze oder „do not“-Leitplanke</t>
  </si>
  <si>
    <t>Verzerrte Trainingsdaten benennen ein Datenqualitäts-/Repräsentativitätsproblem im KI-Kontext</t>
  </si>
  <si>
    <t>Kein IP-/Geheimnis-/Confidentiality-Anker im KI-Kontext</t>
  </si>
  <si>
    <t>Kein Human-Rights-Frame oder Verweis auf dignity/rights/UNGP</t>
  </si>
  <si>
    <t>“the extent of biased training data”</t>
  </si>
  <si>
    <t>Verzerrte Trainingsdaten werden als Risiko benannt.</t>
  </si>
  <si>
    <t>“handling personal data”</t>
  </si>
  <si>
    <t>Der Umgang mit personenbezogenen Daten wird als ethische KI-Frage genannt.</t>
  </si>
  <si>
    <t>“Reliability focuses on how much AI hallucinates</t>
  </si>
  <si>
    <t>Zuverlässigkeit wird als zentrales KI-Risiko beschrieben</t>
  </si>
  <si>
    <t>“make work more humane and meaningful”; “amplify the existing strengths of our employees”</t>
  </si>
  <si>
    <t>Produktivitätsgewinne durch KI sollen Arbeit menschlicher und sinnvoller machen.; Produktivitätsgewinne durch KI sollen Arbeit menschlicher und sinnvoller machen.</t>
  </si>
  <si>
    <t>“biased training data”</t>
  </si>
  <si>
    <t>Trainingsdaten werden als Qualitäts-/Governance-Risiko angesprochen.</t>
  </si>
  <si>
    <t>S. 3</t>
  </si>
  <si>
    <t>Keine Audit-, Assessment-, Inspection- oder Evaluation-Mechanik im Rubrik-Sinn nachweisbar</t>
  </si>
  <si>
    <t>Keine Ansprechpartner, Hotline oder Eskalationslogik für KI</t>
  </si>
  <si>
    <t>“My team and I are taking on more and more pilot functions</t>
  </si>
  <si>
    <t>“We look around, we try things out”</t>
  </si>
  <si>
    <t>“we check for potential risks and opportunities”</t>
  </si>
  <si>
    <t>Ein AI-bezogenes Team mit Pilotfunktion wird genannt</t>
  </si>
  <si>
    <t>Arbeitsweise bei neuen AI-Themen beschrieben</t>
  </si>
  <si>
    <t>keine klaren Trigger, Gateways oder Verantwortlichkeitskette</t>
  </si>
  <si>
    <t>Prüfung von Risiken/Chancen erwähnt</t>
  </si>
  <si>
    <t>kein konkreter Checktyp, Prüfgegenstand oder Einsatzmechanismus</t>
  </si>
  <si>
    <t>Der Text diskutiert „ethics“, aber ohne klare Verbotsnorm oder ethische Grenze.</t>
  </si>
  <si>
    <t>A: VAL_15 = 1. B: VAL_15 = 0. Gewählt: B, da das Codebook reine Ethik-/Responsible-AI-Rhetorik ohne normative Grenze ausschließt.</t>
  </si>
  <si>
    <t>VAL_05, VAL_16</t>
  </si>
  <si>
    <t>Die Passage kann sowohl Fairness/Bias als auch Datenqualität/Repräsentativität stützen.</t>
  </si>
  <si>
    <t>A: nur VAL_05. B: VAL_05 und VAL_16. Gewählt: B, da „training data“ explizit den Datensatzbezug trägt; VAL_16 aber nur mit konservativem BIND 1.</t>
  </si>
  <si>
    <t>Unklar ist, ob dies bereits eine formale AI-Governance-Rolle oder nur eine interviewhafte Tätigkeitsbeschreibung ist.</t>
  </si>
  <si>
    <t>A: GOV_01 = 1. B: GOV_01 = 2. Gewählt: A, da zwar eine AI-bezogene Einheit benannt ist, aber keine formale Aufgaben-/Freigabelogik dokumentiert wird.</t>
  </si>
  <si>
    <t>Die Passage erwähnt Checks, bleibt aber sehr allgemein.</t>
  </si>
  <si>
    <t>A: GOV_03 = 1. B: GOV_03 = 0. Gewählt: A, weil eine Prüfhandlung explizit genannt ist; für Score 2 fehlen Checktyp, Prüfgegenstand und Einsatzanlass.</t>
  </si>
  <si>
    <t>VAL_01, VAL_13</t>
  </si>
  <si>
    <t>„amplify the existing strengths of our employees“ kann Human Agency oder Human Well-being bedeuten.</t>
  </si>
  <si>
    <t>A: VAL_01 = 1. B: VAL_13 = 1, VAL_01 = 0. Gewählt: B, da keine menschliche Kontroll-/Override-Mechanik vorliegt, sondern ein Nutzenbezug für Mitarbeitende.</t>
  </si>
  <si>
    <t>S. 2; S. 8; S. 9</t>
  </si>
  <si>
    <t>Human monitoring, Override, Human fallback und menschliche Restverantwortung explizit</t>
  </si>
  <si>
    <t>Risikoidentifikation, -bewertung, -reporting und -minderung konkret benannt</t>
  </si>
  <si>
    <t>Offene Kommunikation über KI-Nutzung ausdrücklich genannt</t>
  </si>
  <si>
    <t>Explainability explizit als Ziel formuliert</t>
  </si>
  <si>
    <t>Menschenwürde, Fairness und Nichtdiskriminierung klar adressiert</t>
  </si>
  <si>
    <t>State-of-the-art Datenschutzmaßnahmen werden auf KI ausgedehnt</t>
  </si>
  <si>
    <t>Datensicherheitsmaßnahmen für KI-Anwendungen ausdrücklich genannt</t>
  </si>
  <si>
    <t>S. 2; S. 9</t>
  </si>
  <si>
    <t>Sicherheitsstandards und sichere Fahr-/Parkassistenz explizit</t>
  </si>
  <si>
    <t>Robuste KI-Anwendungen ausdrücklich als Ziel formuliert</t>
  </si>
  <si>
    <t>Vielfalt erscheint hier als Fairness-/Nichtdiskriminierungskonzept, nicht als eigenständiger Accessibility-/Inclusion-Mechanismus</t>
  </si>
  <si>
    <t>S. 2; S. 8</t>
  </si>
  <si>
    <t>Umwelt-/Klimaschutz im Prinzip benannt und durch Energieeinsparungsbeispiel illustriert</t>
  </si>
  <si>
    <t>Wohl von Kunden, Mitarbeitenden und Partnern explizit</t>
  </si>
  <si>
    <t>Verhinderung von Non-Compliance durch KI explizit genannt</t>
  </si>
  <si>
    <t>„used ethically“ bleibt ohne eigenständige normative Grenze; Werte werden bereits über spezifische Prinzipien abgedeckt</t>
  </si>
  <si>
    <t>S. 2; S. 4</t>
  </si>
  <si>
    <t>Data governance explizit; zusätzlich konkrete Qualitäts-/Konsistenzprüfungen</t>
  </si>
  <si>
    <t>S. 9</t>
  </si>
  <si>
    <t>Informationsschutz begründet explizites Verbot frei verfügbarer Tools</t>
  </si>
  <si>
    <t>KI-Prinzip wird ausdrücklich an Human-Rights-Ziele angebunden</t>
  </si>
  <si>
    <t>“implements appropriate human monitoring”; “humans can overrule algorithmic decisions”</t>
  </si>
  <si>
    <t>BMW verlangt menschliche Überwachung und Override-Möglichkeiten.; Menschen sollen algorithmische Entscheidungen überstimmen können.</t>
  </si>
  <si>
    <t>“identify, assess, report and mitigate risks”</t>
  </si>
  <si>
    <t>BMW kündigt Identifikation, Bewertung, Reporting und Minderung von KI-Risiken an.</t>
  </si>
  <si>
    <t>“open communication where respective technologies are used”</t>
  </si>
  <si>
    <t>BMW strebt offene Kommunikation über eingesetzte KI an.</t>
  </si>
  <si>
    <t>“aims for explainability of AI applications”</t>
  </si>
  <si>
    <t>BMW nennt Erklärbarkeit ausdrücklich als Ziel.</t>
  </si>
  <si>
    <t>“respects human dignity”; “sets out to build fair AI applications”</t>
  </si>
  <si>
    <t>BMW will faire KI entwickeln und verweist auf Menschenwürde.; Nichtdiskriminierung/Fairness wird explizit mit KI verbunden.</t>
  </si>
  <si>
    <t>“extends its state-of-the-art data privacy”</t>
  </si>
  <si>
    <t>Datenschutzmaßnahmen werden auf KI-Anwendungen ausgedehnt.</t>
  </si>
  <si>
    <t>“data security measures to cover storage and processing in AI applications”</t>
  </si>
  <si>
    <t>Datensicherheitsmaßnahmen werden auf KI-Anwendungen ausgedehnt.</t>
  </si>
  <si>
    <t>“safety standards designed to decrease the risk of unintended consequences and errors”; “help customers to drive safely, park and stay connected”</t>
  </si>
  <si>
    <t>Sicherheitsstandards sollen unbeabsichtigte Folgen und Fehler reduzieren.; Fahrassistenzfunktionen helfen Kunden, sicher zu fahren und zu parken.</t>
  </si>
  <si>
    <t>“aims to develop robust AI applications”</t>
  </si>
  <si>
    <t>BMW formuliert Robustheit als Ziel für AI-Anwendungen.</t>
  </si>
  <si>
    <t>“climate change and environmental protection”; “approximately 1,200 MWh of thermal energy”</t>
  </si>
  <si>
    <t>KI-Prinzipien werden mit Klimaschutz und Umweltschutz verknüpft.; KI senkt im Gebäudemanagement messbar den Energieverbrauch.</t>
  </si>
  <si>
    <t>“promote the well-being of customers, employees and partners”</t>
  </si>
  <si>
    <t>KI soll das Wohl von Kunden, Mitarbeitenden und Partnern fördern.</t>
  </si>
  <si>
    <t>“preventing non-compliance by AI applications”</t>
  </si>
  <si>
    <t>Nicht-Compliance durch KI soll verhindert werden.</t>
  </si>
  <si>
    <t>“Privacy and data governance”; “checked – in real time – for linguistic quality, similarity and consistency”</t>
  </si>
  <si>
    <t>Data governance ist als eigener KI-Grundsatz benannt.; Ein Web-Tool prüft Anforderungen in Echtzeit auf Qualität, Ähnlichkeit und Konsistenz.</t>
  </si>
  <si>
    <t>“not permitted for reasons of information protection”</t>
  </si>
  <si>
    <t>Freie Übersetzungstools sind aus Informationsschutzgründen untersagt.</t>
  </si>
  <si>
    <t>“goals in the areas of human rights and sustainability”</t>
  </si>
  <si>
    <t>BMW ordnet das KI-Prinzipienmodell an Menschenrechtsziele an.</t>
  </si>
  <si>
    <t>S. 3–6</t>
  </si>
  <si>
    <t>Keine AI-spezifischen Audits, Auditzyklen oder Assessments mit Audit-Charakter nachweisbar</t>
  </si>
  <si>
    <t>S. 1</t>
  </si>
  <si>
    <t>Operative Notifications vorhanden, aber kein AI-Governance-Eskalationsweg, keine Hotline, keine Stufenlogik</t>
  </si>
  <si>
    <t>Project AI als zentrales Kompetenzzentrum mit klarer AI-Funktion beschrieben</t>
  </si>
  <si>
    <t>Kontinuierliche Verfeinerung plus Risikoidentifikation/-bewertung/-minderung dokumentiert</t>
  </si>
  <si>
    <t>keine auditierte Regelkette/KPIs</t>
  </si>
  <si>
    <t>Mehrere konkrete Tools und Checks dokumentiert</t>
  </si>
  <si>
    <t>für 3 fehlen regelmäßige Kontrollnachweise/KPI- oder Auditbelege</t>
  </si>
  <si>
    <t>Awareness unter Mitarbeitenden wird explizit genannt</t>
  </si>
  <si>
    <t>keine formale Trainingsarchitektur</t>
  </si>
  <si>
    <t>Portfolio-Transparenz und dokumentierte Use-Case-Zahlen belegen Reportingnähe</t>
  </si>
  <si>
    <t>kein formalisierter Reporting-Zyklus</t>
  </si>
  <si>
    <t>“centre of competence for data analytics and machine learning”</t>
  </si>
  <si>
    <t>“identify, assess, report and mitigate risks”; “continuously refined and adapted</t>
  </si>
  <si>
    <t>“portfolio tool which creates transparency”; “checked – in real time – for linguistic quality, similarity and consistency”; “determines deviations from the standard in real time”</t>
  </si>
  <si>
    <t>“determines deviations from the standard in real time”</t>
  </si>
  <si>
    <t>“currently spans 400 use cases, of which more than 50 are available for regular operation”</t>
  </si>
  <si>
    <t>Transparenz und Explainability stehen in derselben Passage; unklar ist, ob nur Transparenz oder beide Werte zu codieren sind.</t>
  </si>
  <si>
    <t>A: nur VAL_03. B: VAL_03 und VAL_04. Gewählt: B, da „open communication“ und „explainability“ getrennte Begriffe mit eigenständigem Evidenzgehalt sind.</t>
  </si>
  <si>
    <t>VAL_06, VAL_07, VAL_16</t>
  </si>
  <si>
    <t>Die Passage bündelt Privacy, Security und Data Governance.</t>
  </si>
  <si>
    <t>A: nur VAL_06. B: VAL_06, VAL_07 und VAL_16. Gewählt: B, da alle drei Schutz-/Governance-Dimensionen ausdrücklich genannt werden.</t>
  </si>
  <si>
    <t>VAL_02, GOV_02, GOV_07</t>
  </si>
  <si>
    <t>Dieselbe Passage stützt sowohl Accountability als Wert als auch Prozess-/Reporting-Aspekte.</t>
  </si>
  <si>
    <t>A: nur VAL_02. B: zusätzlich GOV_02 und GOV_07 stärken. Gewählt: B, aber GOV_07 nur mit Score 1, da Reporting genannt ist, jedoch ohne formalen Zyklus oder KPI-Struktur.</t>
  </si>
  <si>
    <t>GOV_03, GOV_06</t>
  </si>
  <si>
    <t>Die automatische Benachrichtigung könnte als Eskalationsweg oder nur als operativer Check gelten.</t>
  </si>
  <si>
    <t>A: GOV_03 = 2, GOV_06 = 0. B: zusätzlich GOV_06 = 1. Gewählt: A, da eine operative Notification vorliegt, aber keine Governance-Eskalationsstufe, Zuständigkeitskette oder Meldeprozedur.</t>
  </si>
  <si>
    <t>VAL_17, VAL_07</t>
  </si>
  <si>
    <t>Informationsschutz könnte als Confidentiality oder als Security verstanden werden.</t>
  </si>
  <si>
    <t>A: nur VAL_17. B: VAL_17 und VAL_07. Gewählt: A, da die Passage primär das Verbot externer Tools aus Schutz-/Vertraulichkeitsgründen begründet und keine eigenständige Security-Architektur beschreibt.</t>
  </si>
  <si>
    <t>VAL_12, VAL_18, VAL_13</t>
  </si>
  <si>
    <t>Die Well-being-Passage verbindet soziale, ökologische und menschenrechtliche Bezüge.</t>
  </si>
  <si>
    <t>A: nur VAL_12 und VAL_13. B: zusätzlich VAL_18. Gewählt: B, da Human Rights ausdrücklich genannt werden und damit ein eigener Wertanker vorliegt.</t>
  </si>
  <si>
    <t>Menschliche Aufsicht, Intervention und Modifizierbarkeit von Algorithmen explizit</t>
  </si>
  <si>
    <t>Keine expliziten Verantwortlichen oder KI-bezogenes Ownership-Prinzip nachweisbar</t>
  </si>
  <si>
    <t>Transparenz wird über Verifizierbarkeit von Algorithmen konkretisiert</t>
  </si>
  <si>
    <t>Explainability ausdrücklich genannt; KI-/Algorithmus-Bezug über unmittelbaren Absatzkontext</t>
  </si>
  <si>
    <t>Keine explizite Bias-/Fairness-/Non-Discrimination-Passage mit AI-/Algorithmus-Anker</t>
  </si>
  <si>
    <t>Datenschutz wird breit digital adressiert, aber ohne hinreichend klaren KI-Anker</t>
  </si>
  <si>
    <t>Security/Cybersecurity werden allgemein digital, nicht hinreichend KI-spezifisch formuliert</t>
  </si>
  <si>
    <t>„Safety of use“ bleibt im Dokument auf allgemeiner Digitalebene; kein klarer KI-Anker</t>
  </si>
  <si>
    <t>Keine explizite KI-Robustheits-/Reliability-Aussage mit hinreichendem AI-Anker</t>
  </si>
  <si>
    <t>Digital accessibility/design for all wird allgemein digital, nicht klar KI-spezifisch adressiert</t>
  </si>
  <si>
    <t>Nachhaltigkeit wird nur allgemein digital, nicht KI-spezifisch formuliert</t>
  </si>
  <si>
    <t>Nutzenrhetorik zu digitalen Lösungen, aber kein belastbarer KI-Anker</t>
  </si>
  <si>
    <t>Compliance mit Regulierung wird allgemein digital erwähnt, nicht klar KI-spezifisch</t>
  </si>
  <si>
    <t>Keine explizite ethische KI-Grenze oder „do not“-Leitplanke mit KI-Anker</t>
  </si>
  <si>
    <t>Data control/data use werden allgemein digital adressiert; keine konkrete KI-Datenqualitäts-/Dataset-Anforderung</t>
  </si>
  <si>
    <t>Kein IP-/Confidentiality-Bezug mit KI-Anker</t>
  </si>
  <si>
    <t>Kein expliziter Human-Rights-Frame für KI/Algorithmen nachweisbar</t>
  </si>
  <si>
    <t>“human oversight and the capability to intervene in algorithms”; “ensuring that they can be modified as required”</t>
  </si>
  <si>
    <t>BMW fordert menschliche Aufsicht und Eingriffsmöglichkeit bei Algorithmen.; Algorithmen sollen bei Bedarf modifiziert werden können.</t>
  </si>
  <si>
    <t>“This includes, for instance, verifiability of algorithms</t>
  </si>
  <si>
    <t>Transparenz wird u. a. über Verifizierbarkeit von Algorithmen konkretisiert.</t>
  </si>
  <si>
    <t>“The simplicity, explainability and traceability of digital processes and products”</t>
  </si>
  <si>
    <t>Erklärbarkeit und Nachverfolgbarkeit digitaler Prozesse/Produkte werden hervorgehoben.</t>
  </si>
  <si>
    <t>Keine AI-bezogenen Rollen, Owner oder Gremien genannt</t>
  </si>
  <si>
    <t>Kein klarer AI-Prozess mit Schritten, Triggern oder Verantwortlichen nachweisbar</t>
  </si>
  <si>
    <t>Keine Audit-, Assessment- oder Inspection-Mechanik nachweisbar</t>
  </si>
  <si>
    <t>keine Mechanik/kein Tool beschrieben</t>
  </si>
  <si>
    <t>Verifizierbarkeit von Algorithmen als allgemeiner Checkgedanke genannt</t>
  </si>
  <si>
    <t>Training/AI literacy ausdrücklich angeboten</t>
  </si>
  <si>
    <t>keine Pflicht, Regelmäßigkeit oder Programmstruktur</t>
  </si>
  <si>
    <t>“verifiability of algorithms”</t>
  </si>
  <si>
    <t>“offers its employees training on IT tools”; “(‘digital literacy’ &amp; ‘AI literacy’)”</t>
  </si>
  <si>
    <t>mehrere VAL-Codes</t>
  </si>
  <si>
    <t>Das Dokument ist ein allgemeines Digitalleitbild; viele Aussagen sind normativ stark, aber nicht explizit KI-spezifisch.</t>
  </si>
  <si>
    <t>A: allgemeine Digital-Passagen als KI-relevant mitcodieren. B: nur Passagen mit explizitem AI-/Algorithmus-Anker codieren. Gewählt: B, gemäß R1 KI-Anker-Regel und konservativer Auslegung.</t>
  </si>
  <si>
    <t>Explainability ist explizit genannt, aber der Satz nennt nicht direkt KI; der AI-/Algorithmus-Anker ergibt sich aus dem unmittelbaren Absatzkontext.</t>
  </si>
  <si>
    <t>A: VAL_04 = 1. B: VAL_04 = 0. Gewählt: A, da derselbe Absatz ausdrücklich Algorithmen, menschliche Aufsicht und Intervention thematisiert.</t>
  </si>
  <si>
    <t>VAL_03, GOV_03</t>
  </si>
  <si>
    <t>Die Passage kann Transparenzwert und zugleich allgemeine Checklogik stützen.</t>
  </si>
  <si>
    <t>A: nur VAL_03. B: zusätzlich GOV_03 = 1. Gewählt: B, aber GOV_03 nur mit Score 1, da kein Toolname, kein Prüfgegenstand im Detail und kein Einsatzanlass beschrieben sind.</t>
  </si>
  <si>
    <t>Privacy, Security und data control sind stark ausgeprägt, aber nicht explizit an KI/Algorithmen rückgebunden.</t>
  </si>
  <si>
    <t>A: positiv codieren wegen Nähe zu AI literacy und Digitalprinzipien. B: nicht codieren. Gewählt: B, da das Codebook allgemeine Digital-/IT-Statements ohne klaren KI-Anker ausschließt.</t>
  </si>
  <si>
    <t>Der Abschnitt enthält Teilhabe-/Accessibility-Sprache; AI wird jedoch erst im nachfolgenden Trainingssatz genannt.</t>
  </si>
  <si>
    <t>A: VAL_11 = 1. B: VAL_11 = 0. Gewählt: B, da Accessibility hier nicht hinreichend klar auf KI-Systeme oder KI-Nutzung bezogen ist.</t>
  </si>
  <si>
    <t>Human control plus konkrete Interventionen und mandatory testing explizit</t>
  </si>
  <si>
    <t>Keine klare Verantwortungszuweisung, kein Owner-/Accountability-Modell explizit nachweisbar</t>
  </si>
  <si>
    <t>Transparenz allgemein und konkret für Interaktionen mit Chatbots/Talkbots/Deep Fakes operationalisiert</t>
  </si>
  <si>
    <t>Comprehensibility und Explainability explizit adressiert</t>
  </si>
  <si>
    <t>Qualitätsstandards sollen Diskriminierung vermeiden</t>
  </si>
  <si>
    <t>Schutz persönlicher Rechte und explizite Geltung von Art. 9 DSGVO für KI</t>
  </si>
  <si>
    <t>Security ausdrücklich als Bestandteil verantwortungsvoller KI benannt</t>
  </si>
  <si>
    <t>Fehler/Missbrauch sollen vermieden werden; manipulative/exploitative Praktiken verboten</t>
  </si>
  <si>
    <t>Robustheit explizit genannt, aber ohne detaillierte technische Umsetzung</t>
  </si>
  <si>
    <t>Keine Beschwerde-, Einspruchs- oder Redress-Mechanik nachweisbar</t>
  </si>
  <si>
    <t>Keine klare Accessibility-/Teilhabe-Anforderung für KI-Systeme nachweisbar</t>
  </si>
  <si>
    <t>Nutzenbezüge für Mitarbeitende/Kunden bleiben hier eher allgemeiner Preamble-Kontext als eigenständiger Wertgrundsatz</t>
  </si>
  <si>
    <t>KI muss Grundrechte, Gesetze und demokratische Werte berücksichtigen</t>
  </si>
  <si>
    <t>Vertrauenswürdige/verantwortungsvolle Nutzung und klare Verbote manipulativer Praktiken</t>
  </si>
  <si>
    <t>Datenverarbeitung und Schutz sind klar, aber Datenqualität/Provenienz/Repräsentativität nicht hinreichend explizit</t>
  </si>
  <si>
    <t>Schutz von Geschäftsgeheimnissen im KI-Kontext explizit, aber nur glossary-basiert</t>
  </si>
  <si>
    <t>Fundamental rights ausdrücklich als Referenzrahmen für KI benannt</t>
  </si>
  <si>
    <t>“human control”; “intervention options and mandatory testing</t>
  </si>
  <si>
    <t>Menschliche Kontrolle ist als Kernbestandteil vertrauenswürdiger KI benannt.; In KI-gestützten Prozessen müssen Eingriffsmöglichkeiten und Tests klar sein</t>
  </si>
  <si>
    <t>“make the use of AI and ML transparent”; “transparency about the interaction with an AI system is created on the front end</t>
  </si>
  <si>
    <t>KI-Nutzung soll gegenüber Beschäftigten transparent gemacht werden.; Bei Chatbots, Talkbots und Deep Fakes ist Frontend-Transparenz vorgeschrieben.</t>
  </si>
  <si>
    <t>“AI systems must process employee data in a comprehensible way.”; “It covers aspects of traceability, reproducibility and explainability.”</t>
  </si>
  <si>
    <t>Explainability-/Comprehensibility-Bezug</t>
  </si>
  <si>
    <t>“quality standards are aligned in such a way that discrimination is avoided”</t>
  </si>
  <si>
    <t>KI-Qualitätsstandards sind auf Diskriminierungsvermeidung auszurichten.</t>
  </si>
  <si>
    <t>“personal rights of our employees are respected and protected”; “Article 9 (1) of GDPR also applies to AI systems”</t>
  </si>
  <si>
    <t>Persönlichkeitsrechte der Beschäftigten werden im KI-Kontext geschützt.; Besondere Kategorien personenbezogener Daten sind auch für KI grundsätzlich verboten.</t>
  </si>
  <si>
    <t>“includes fairness, transparency, robustness, security</t>
  </si>
  <si>
    <t>Security ist als Kernbestandteil verantwortungsvoller KI benannt.</t>
  </si>
  <si>
    <t>“errors and misuse can be avoided”; “Any manipulative, exploitative and social control practices are not used”</t>
  </si>
  <si>
    <t>Das Dokument will Fehler und Missbrauch von KI vermeiden.; Manipulative und ausbeuterische KI-Praktiken sind ausgeschlossen.</t>
  </si>
  <si>
    <t>“includes fairness, transparency, robustness”</t>
  </si>
  <si>
    <t>Robustheit wird ausdrücklich als KI-Dimension genannt.</t>
  </si>
  <si>
    <t>“must take into account the fundamental rights … applicable laws and democratic values</t>
  </si>
  <si>
    <t>KI muss Grundrechte, Gesetze und demokratische Werte berücksichtigen.</t>
  </si>
  <si>
    <t>“Any manipulative, exploitative and social control practices are not used”; “used in a trustworthy and responsible manner”</t>
  </si>
  <si>
    <t>Ethical-use-Grundsatz; Klare harm-prevention-/ethische Grenze</t>
  </si>
  <si>
    <t>“both the protection of personal data and business secrets”</t>
  </si>
  <si>
    <t>Der KI-Datenschutzbezug umfasst auch den Schutz von Geschäftsgeheimnissen.</t>
  </si>
  <si>
    <t>“AI systems must take into account the fundamental rights of those affected”</t>
  </si>
  <si>
    <t>Grundrechte werden als expliziter Referenzrahmen für KI genannt.</t>
  </si>
  <si>
    <t>Arbeitgeber, Konzernbetriebsrat und Arbeitnehmervertretung mit klar erkennbarem Governance-Bezug benannt</t>
  </si>
  <si>
    <t>Risikoabwägung bei Modellauswahl/Implementierung sowie Review/Weiterentwicklung/Operationalisierung dokumentiert</t>
  </si>
  <si>
    <t>Mandatory testing und SECAM-Klassifikation als dokumentierte Kontroll-/Checkelemente</t>
  </si>
  <si>
    <t>Keine Audits, Auditzyklen oder formal beschriebenen Assessments nachweisbar</t>
  </si>
  <si>
    <t>Keine Hotline, Meldewege oder Eskalationsstufen für KI nachweisbar</t>
  </si>
  <si>
    <t>Kein Reporting zu KI-Risiken, Kontrollen, KPIs oder Vorfällen nachweisbar</t>
  </si>
  <si>
    <t>“establish a common view regarding the use of Artificial Intelligence”; “will continue to exchange views … on a regular basis”</t>
  </si>
  <si>
    <t>“Opportunities and risks are addressed and weighed when selecting models”; “review and further development of the existing principles as well as their operationalization</t>
  </si>
  <si>
    <t>“mandatory testing”; “SECAM classification of an IT system”</t>
  </si>
  <si>
    <t>“presented and explained to the employees in a transparent manner”</t>
  </si>
  <si>
    <t>kein formales Trainingsprogramm</t>
  </si>
  <si>
    <t>Erläuterung von Strategie, Konzepten und Begriffen gegenüber Beschäftigten erwähnt</t>
  </si>
  <si>
    <t>Das Dokument ist kollektivrechtlich/mitbestimmungsnah; unklar ist, ob daraus bereits ein eigener Accountability-Wert folgt.</t>
  </si>
  <si>
    <t>A: VAL_02 = 1 wegen klarer Rechte/Pflichten und Governance-Akteure. B: VAL_02 = 0, nur GOV_01 positiv. Gewählt: B, da Rollen/Gremien dokumentiert sind, aber kein explizites Verantwortungs-/Ownership-Prinzip für KI benannt wird.</t>
  </si>
  <si>
    <t>Transparenz und Explainability sind eng verschränkt; unklar ist, ob Explainability eigenständig codiert werden soll.</t>
  </si>
  <si>
    <t>A: nur VAL_03. B: zusätzlich VAL_04 = 1. Gewählt: B, da „comprehensible“ und „explainability“ ausdrücklich vorkommen und über bloße Offenlegung hinausgehen.</t>
  </si>
  <si>
    <t>VAL_01, GOV_03</t>
  </si>
  <si>
    <t>Mandatory testing kann Human Oversight oder Tools/Checks stützen.</t>
  </si>
  <si>
    <t>A: nur GOV_03. B: GOV_03 plus stärkere VAL_01-Bindigkeit. Gewählt: B, da die Passage Interventionsrechte und Tests im selben Kontrollkontext nennt.</t>
  </si>
  <si>
    <t>VAL_17, VAL_06</t>
  </si>
  <si>
    <t>Der Schutz von business secrets kann als Confidentiality oder nur als Datenschutz-Nebenaspekt gelesen werden.</t>
  </si>
  <si>
    <t>A: nur VAL_06. B: zusätzlich VAL_17 = 1. Gewählt: B, aber konservativ mit BIND 1, da Geschäftsgeheimnisse explizit genannt sind, jedoch nur glossary-basiert.</t>
  </si>
  <si>
    <t>VAL_13, VAL_08</t>
  </si>
  <si>
    <t>Die Passage kann Well-being oder Schutz vor missbräuchlicher Nutzung stützen.</t>
  </si>
  <si>
    <t>A: VAL_13 = 1. B: kein positiver VAL_13-Code, primär Harm-/Privacy-Kontext. Gewählt: B, da die Passage vor allem eine Nutzungsgrenze formuliert und keinen eigenständigen Social-benefit-Grundsatz ausarbeitet.</t>
  </si>
  <si>
    <t>VAL_09, VAL_07, VAL_15</t>
  </si>
  <si>
    <t>Die Aufzählung benennt mehrere Werte gleichzeitig, aber ohne technische Umsetzungstiefe.</t>
  </si>
  <si>
    <t>A: nur Ethical Use positiv. B: die einzelnen Werte zusätzlich positiv, jedoch konservativ mit niedrigerer Bindigkeit. Gewählt: B, da die einzelnen Dimensionen explizit genannt werden, aber ohne konkrete Prozessbelege.</t>
  </si>
  <si>
    <t>Menschliche Kontrolle, menschlicher Betrieb und Human-Machine-Symbiosis explizit; keine harte Override-Regel</t>
  </si>
  <si>
    <t>Verantwortung für AI-bezogene Drittanbieter-/Zertifikatsfragen darf nicht ausgelagert werden</t>
  </si>
  <si>
    <t>Transparenz gegenüber Nutzern ist klar genannt</t>
  </si>
  <si>
    <t>S. 7</t>
  </si>
  <si>
    <t>Explainability wird inhaltlich konkretisiert, aber nicht als harte Policy-Regel formuliert</t>
  </si>
  <si>
    <t>Fairness wird als Verhinderung, Monitoring und Mitigation von Diskriminierung definiert</t>
  </si>
  <si>
    <t>Privacy-Risiken werden explizit hervorgehoben; keine konkrete bankeigene Privacy-Regel im White Paper</t>
  </si>
  <si>
    <t>Cybersecurity ausdrücklich als relevantes AI-Risikofeld genannt</t>
  </si>
  <si>
    <t>Safety erscheint primär im regulatorischen Kontext; keine eigenständige bankeigene Harm-Prevention-Regel hinreichend belastbar</t>
  </si>
  <si>
    <t>Accuracy, robustness und konsistente Performance explizit benannt</t>
  </si>
  <si>
    <t>Keine Accessibility-/Teilhabe-Anforderung im KI-Kontext nachweisbar</t>
  </si>
  <si>
    <t>Kein Umwelt-/Nachhaltigkeitsbezug im KI-Kontext nachweisbar</t>
  </si>
  <si>
    <t>Nutzenbezüge für Branche/Gesellschaft bleiben eher anwendungsbezogene Rechtfertigung als eigenständiger Wertgrundsatz</t>
  </si>
  <si>
    <t>AI-Entwicklung, Training, Evaluation und Deployment müssen regulatorische Anforderungen einhalten</t>
  </si>
  <si>
    <t>Trustworthy and Responsible AI ist explizit, bleibt aber überwiegend rahmenhaft</t>
  </si>
  <si>
    <t>Hohe Datenqualität wird als Voraussetzung robuster AI/ML-Entwicklung benannt</t>
  </si>
  <si>
    <t>Schutz vertraulicher Geschäftslogik und IP wird explizit problematisiert</t>
  </si>
  <si>
    <t>Fundamental rights werden im AI-Risikokontext ausdrücklich adressiert</t>
  </si>
  <si>
    <t>“controllable and non-magical”; “Such models are still trained and operated by humans.”;  “symbiosis between human and machine”</t>
  </si>
  <si>
    <t>Human-in-the-loop-/feedback-loop-Bezug; Menschliche Rolle explizit</t>
  </si>
  <si>
    <t>“Responsibility can never be outsourced.”</t>
  </si>
  <si>
    <t>Expliziter Accountability-Anker</t>
  </si>
  <si>
    <t>“transparency vis-à-vis users”</t>
  </si>
  <si>
    <t>Transparenz gegenüber Nutzern ist Teil der Risikominderung.</t>
  </si>
  <si>
    <t>“justifying the process from data and model selection to model validation and monitoring”</t>
  </si>
  <si>
    <t>Explainability umfasst die Rechtfertigung des Modellprozesses.</t>
  </si>
  <si>
    <t>Fairness bedeutet, Diskriminierung zu verhindern, zu überwachen und zu mindern.</t>
  </si>
  <si>
    <t>“discrimination is prevented, monitored and mitigated”</t>
  </si>
  <si>
    <t>KI kann tief in sensible und private Lebensbereiche eingreifen.</t>
  </si>
  <si>
    <t>“intrude deeply into people’s sensitive and private areas of life”</t>
  </si>
  <si>
    <t>Cybersecurity ist Teil der AI-Risikominderung.</t>
  </si>
  <si>
    <t>“accuracy and robustness as well as cybersecurity”</t>
  </si>
  <si>
    <t>Konsistente Performance, Accuracy und Robustness werden gefordert.</t>
  </si>
  <si>
    <t>“consistent performance of the systems (i.e. accuracy and robustness”</t>
  </si>
  <si>
    <t>AI-Entwicklung und -Deployment müssen diverse Regulierung einhalten.</t>
  </si>
  <si>
    <t>“needs to adhere to various requirements”</t>
  </si>
  <si>
    <t>Vertrauenswürdige und verantwortliche KI wird ausdrücklich fokussiert.</t>
  </si>
  <si>
    <t>“pays special attention to ML Governance and Trustworthy and Responsible AI”</t>
  </si>
  <si>
    <t>Hohe Datenqualität wird als Voraussetzung für robuste Modelle genannt.</t>
  </si>
  <si>
    <t>“A high level of data quality is a prerequisite”</t>
  </si>
  <si>
    <t>Offenlegung kann Geschäftslogik und IP gefährden.</t>
  </si>
  <si>
    <t>“significant losses of intellectual property”</t>
  </si>
  <si>
    <t>AI-Regulierung soll Grundrechte schützen.</t>
  </si>
  <si>
    <t>“significant risks to health and safety or fundamental rights of persons”</t>
  </si>
  <si>
    <t>S. 2; S. 5–6</t>
  </si>
  <si>
    <t>Center of Competence, Three Lines of Defence und Model Validation als zweite Linie klar dokumentiert</t>
  </si>
  <si>
    <t>S. 4; S. 8</t>
  </si>
  <si>
    <t>Internal Audit als dritte Verteidigungslinie gilt explizit auch für AI-Risikomanagement</t>
  </si>
  <si>
    <t>Keine AI-bezogenen Trainings oder Awareness-Maßnahmen hinreichend belastbar nachweisbar</t>
  </si>
  <si>
    <t>Keine Hotline, keine Eskalationsstufen, keine Meldewege für KI nachweisbar</t>
  </si>
  <si>
    <t>Kein formalisierter AI-Reporting-Zyklus, keine KPIs oder AI-Vorfallsberichte nachweisbar</t>
  </si>
  <si>
    <t>Risk-Class-Logik mit Faktoren sowie Lifecycle-Monitoring dokumentiert</t>
  </si>
  <si>
    <t>kein Implementierungsnachweis via KPI/Reports</t>
  </si>
  <si>
    <t>Validierungsschritte im Modellprozess ausdrücklich genannt</t>
  </si>
  <si>
    <t>konkrete Toolnamen fehlen</t>
  </si>
  <si>
    <t>“validation steps can only be completed during or after the modelling process”</t>
  </si>
  <si>
    <t>“The third line of defence is carried out by internal audit.”</t>
  </si>
  <si>
    <t>“established the division ‘Big Data &amp; Advanced Analytics’ as a Center of Competence”; “for all AI and ML related matters”; “Risk management at Commerzbank follows the principle of ‘three lines of defence’”</t>
  </si>
  <si>
    <t>“Systems containing AI are categorized into AI Risk Classes”; “depending on a variety of factors such as business continuity”; “considered and monitored in all stages of the model lifecycle</t>
  </si>
  <si>
    <t>Teile des Dokuments referieren den AI Act und allgemeine Regulierung; unklar ist, ob regulatorische Anforderungen als Unternehmenswerte mitzählen.</t>
  </si>
  <si>
    <t>A: regulatorische Statements breit als positive Unternehmenswerte codieren. B: nur dort positiv codieren, wo der Text in Commerzbanks Ansatz eingebettet ist. Gewählt: B, konservativ gemäß KI-Anker- und Evidence-first-Regel.</t>
  </si>
  <si>
    <t>Menschliche Rolle ist klar, aber es fehlt eine explizite Override-/Interventionspflicht wie in stärker normativen Dokumenten.</t>
  </si>
  <si>
    <t>A: VAL_01 = 1 mit niedriger Bindigkeit. B: VAL_01 = 0. Gewählt: A, da menschlicher Betrieb und Human-machine-Symbiosis ausdrücklich genannt sind; konservativ nur BIND 1.</t>
  </si>
  <si>
    <t>VAL_08, VAL_18</t>
  </si>
  <si>
    <t>Safety erscheint explizit, jedoch primär als Beschreibung des AI Act; Fundamental Rights sind klarer verankert.</t>
  </si>
  <si>
    <t>A: VAL_08 = 1 und VAL_18 = 1. B: nur VAL_18 = 1. Gewählt: B, da für VAL_08 keine ausreichend eigenständige bankeigene Harm-Prevention-Regel vorliegt.</t>
  </si>
  <si>
    <t>Die Passage nennt Validierungsschritte, aber kein konkretes Tool oder standardisierten Prüfkatalog.</t>
  </si>
  <si>
    <t>A: GOV_03 = 2. B: GOV_03 = 1. Gewählt: A, da dokumentierte Validierungsschritte im Modellprozess vorliegen; für 3 fehlen KPI-/Audit-/Regelzyklusnachweise.</t>
  </si>
  <si>
    <t>Die Passage stützt Accountability, könnte aber auch als bloße Drittanbieterwarnung gelesen werden.</t>
  </si>
  <si>
    <t>A: nur GOV codieren. B: zusätzlich VAL_02 = 1. Gewählt: B, da der Satz eine klare normative Verantwortungszuschreibung enthält.</t>
  </si>
  <si>
    <t>VAL_15, VAL_04</t>
  </si>
  <si>
    <t>Responsible-AI-Rhetorik allein wäre zu schwach, aber im Dokument folgen konkrete Ausführungen zu Explainability/Fairness.</t>
  </si>
  <si>
    <t>A: nur VAL_04/VAL_05 positiv. B: zusätzlich VAL_15 = 1. Gewählt: B, aber konservativ nur BIND 1, da Trustworthy/Responsible AI explizit und tragend formuliert ist, jedoch ohne harte Verbotsliste.</t>
  </si>
  <si>
    <t>Keine menschliche Review-, Override- oder Human-in-the-loop-Mechanik ausdrücklich nachweisbar</t>
  </si>
  <si>
    <t>Kein explizites Verantwortungs-/Ownership-Prinzip oder Rollenzuweisung für KI im Text</t>
  </si>
  <si>
    <t>S. 40</t>
  </si>
  <si>
    <t>Transparente Operation von KI ausdrücklich genannt</t>
  </si>
  <si>
    <t>Bias-Adressierung und fair behavior explizit</t>
  </si>
  <si>
    <t>Allgemeine Datenschutzpassagen vorhanden, aber im Dokument nicht hinreichend KI-spezifisch verankert</t>
  </si>
  <si>
    <t>Allgemeine Information-Security-Regeln vorhanden, jedoch ohne klaren KI-Anker in der AI-Passage</t>
  </si>
  <si>
    <t>Unkontrollierte KI-Nutzung soll verhindert werden</t>
  </si>
  <si>
    <t>Keine Accuracy-, Robustness- oder Reliability-Evidenz mit hinreichender Spezifik</t>
  </si>
  <si>
    <t>„sustainable value“ bleibt zu allgemein und nicht umweltbezogen genug</t>
  </si>
  <si>
    <t>Stakeholder-Nutzen und human well-being explizit benannt</t>
  </si>
  <si>
    <t>„legal risks related to AI“ benennt ein Risikofeld, aber keine klare KI-Compliance-Regel</t>
  </si>
  <si>
    <t>Ethisch-verantwortlicher KI-Einsatz und Ausrichtung an moral values explizit</t>
  </si>
  <si>
    <t>Keine expliziten Anforderungen zu Datenqualität, Provenienz, Repräsentativität oder Stewardship</t>
  </si>
  <si>
    <t>Allgemeine IP-/Confidentiality-Regeln vorhanden, aber ohne klaren KI-Anker</t>
  </si>
  <si>
    <t>Kein expliziter Human-rights-Frame im KI-Abschnitt nachweisbar</t>
  </si>
  <si>
    <t>KI soll transparent unter verschiedenen Bedingungen operieren.</t>
  </si>
  <si>
    <t>“operate transparently under various conditions”</t>
  </si>
  <si>
    <t>Unkontrollierte KI-Nutzung soll verhindert werden.</t>
  </si>
  <si>
    <t>“prevent its uncontrolled use”</t>
  </si>
  <si>
    <t>“addressing potential biases”; “fair behavior"</t>
  </si>
  <si>
    <t>Potenzielle Biases sollen adressiert werden.; Expliziter Fairness-Anker</t>
  </si>
  <si>
    <t>“benefits for our stakeholders … and society at large”; “prioritize human well-being"</t>
  </si>
  <si>
    <t>KI soll Nutzen für verschiedene Stakeholder und die Gesellschaft schaffen.; Expliziter Human-well-being-Anker</t>
  </si>
  <si>
    <t>“We use AI ethically and responsibly”; “aligns with moral values and fosters trust”</t>
  </si>
  <si>
    <t>Continental formuliert einen explizit ethisch-verantwortlichen KI-Einsatz.; KI soll moralischen Werten entsprechen und Vertrauen fördern.</t>
  </si>
  <si>
    <t>Keine klaren AI-Rollen, Gremien oder Owner im Dokument genannt</t>
  </si>
  <si>
    <t>Keine konkreten KI-Checks, Validierungen, Assessments oder Toolmechaniken nachweisbar</t>
  </si>
  <si>
    <t>Keine AI-spezifischen Audits, Assessments oder Reviewzyklen nachweisbar</t>
  </si>
  <si>
    <t>Keine AI-bezogenen Trainings/Awareness-Maßnahmen im KI-Abschnitt nachweisbar</t>
  </si>
  <si>
    <t>Kein Reporting zu KI-Risiken, Kontrollen oder Vorfällen nachweisbar</t>
  </si>
  <si>
    <t>“please contact Data Compliance”</t>
  </si>
  <si>
    <t>“Please refer to the AI Code of Ethics”</t>
  </si>
  <si>
    <t>Verweis auf AI Code of Ethics und Ziel der Verhinderung unkontrollierter Nutzung</t>
  </si>
  <si>
    <t>keine Prozessschritte/Trigger/Verantwortlichen</t>
  </si>
  <si>
    <t>Supportkontakt „Data Compliance“ für KI-Themen genannt</t>
  </si>
  <si>
    <t>keine Stufenlogik oder formale Eskalationskette</t>
  </si>
  <si>
    <t>VAL_06, VAL_07, VAL_17</t>
  </si>
  <si>
    <t>Diese Passagen sind thematisch stark KI-relevant, aber sie stehen in allgemeinen Informations-/Datenschutzabschnitten ohne expliziten KI-Rückbezug.</t>
  </si>
  <si>
    <t>A: positiv als KI-Werte mitcodieren. B: nicht positiv codieren. Gewählt: B, gemäß R1 KI-Anker-Regel; allgemeine Security-/Privacy-/IP-Regeln ohne klaren KI-Anker zählen nicht.</t>
  </si>
  <si>
    <t>Die Passage ist klar normativ, aber eher Prinzipienformel als deontische „must/shall“-Regel.</t>
  </si>
  <si>
    <t>A: VAL_15 mit BIND 2. B: VAL_15 mit BIND 1. Gewählt: B, da keine harte Verbots- oder Pflichtformel folgt, sondern primär ein Prinzipienstatement.</t>
  </si>
  <si>
    <t>VAL_08, GOV_02</t>
  </si>
  <si>
    <t>Die Passage kann als Harm-Prevention-Wert und zugleich als Governance-Prozessabsicht gelesen werden.</t>
  </si>
  <si>
    <t>A: nur VAL_08 positiv. B: zusätzlich GOV_02 = 1. Gewählt: B, aber GOV_02 nur mit Score 1, da eine Prozessabsicht erkennbar ist, jedoch keine dokumentierten Schritte oder Trigger vorliegen.</t>
  </si>
  <si>
    <t>VAL_13, VAL_01</t>
  </si>
  <si>
    <t>Der Satz kann Well-being oder Human Agency/Oversight stützen.</t>
  </si>
  <si>
    <t>A: VAL_13 = 1, VAL_01 = 0. B: beide positiv. Gewählt: A, da kein menschlicher Kontroll- oder Override-Mechanismus genannt wird, sondern ein Zielwert des Systemdesigns.</t>
  </si>
  <si>
    <t>GOV_02, GOV_01</t>
  </si>
  <si>
    <t>Der Verweis auf das AI Code of Ethics kann als bloßer Hinweis oder als dokumentierte Governance-Struktur gelesen werden.</t>
  </si>
  <si>
    <t>A: GOV_02 = 1, GOV_01 = 0. B: zusätzlich GOV_01 = 1. Gewählt: A, da ein weiterführendes Regelwerk erwähnt wird, aber keine Rolle/Gremienzuständigkeit im aktuellen Dokument benannt ist.</t>
  </si>
  <si>
    <t>VAL_03, VAL_09</t>
  </si>
  <si>
    <t>„under various conditions“ könnte Transparenz oder Robustheit andeuten.</t>
  </si>
  <si>
    <t>A: nur VAL_03 = 1. B: zusätzlich VAL_09 = 1. Gewählt: A, da keine Accuracy-, Stability- oder Performance-Evidenz vorliegt; der Satz trägt Transparenz stärker als Robustheit.</t>
  </si>
  <si>
    <t>„controlled way“ ist ohne menschlichen Review-/Override-/Oversight-Mechanismus zu unspezifisch</t>
  </si>
  <si>
    <t>KI-Einsatz wird ausdrücklich als accountable verlangt</t>
  </si>
  <si>
    <t>Keine explizite KI-Transparenzpflicht im AI-Abschnitt nachweisbar</t>
  </si>
  <si>
    <t>Explainability ist im AI-Abschnitt explizit genannt</t>
  </si>
  <si>
    <t>Fairness wird explizit für KI verlangt</t>
  </si>
  <si>
    <t>Data-Compliance-Passage ist allgemein und nicht klar an KI rückgebunden</t>
  </si>
  <si>
    <t>Keine explizite KI-Security-/Cybersecurity-Regel im AI-Abschnitt nachweisbar</t>
  </si>
  <si>
    <t>Keine eigenständige Safety-/Harm-Prevention-Regel mit klarem KI-Anker</t>
  </si>
  <si>
    <t>Keine Accuracy-, Robustness- oder Reliability-Evidenz im KI-Abschnitt</t>
  </si>
  <si>
    <t>Kein Einspruchs-, Beschwerde- oder Redress-Mechanismus für KI nachweisbar</t>
  </si>
  <si>
    <t>Kein Umwelt-/Nachhaltigkeitsbezug im KI-Abschnitt nachweisbar</t>
  </si>
  <si>
    <t>Kein expliziter gesellschaftlicher Nutzen- oder Well-being-Wert im AI-Abschnitt</t>
  </si>
  <si>
    <t>KI-Nutzung muss explizit allen anwendbaren Gesetzen/Regeln entsprechen</t>
  </si>
  <si>
    <t>Respekt ethischer Standards ist ausdrücklich verlangt</t>
  </si>
  <si>
    <t>Keine expliziten Anforderungen zu Datenqualität, Provenienz oder Repräsentativität für KI</t>
  </si>
  <si>
    <t>KI soll in verantwortlicher Weise eingesetzt werden.</t>
  </si>
  <si>
    <t>“it will be done in an accountable”</t>
  </si>
  <si>
    <t>KI soll erklärbar sein.</t>
  </si>
  <si>
    <t>“explainable”</t>
  </si>
  <si>
    <t>KI soll fair eingesetzt werden.</t>
  </si>
  <si>
    <t>“fair”</t>
  </si>
  <si>
    <t>KI-Nutzung muss allen anwendbaren Gesetzen entsprechen.</t>
  </si>
  <si>
    <t>“complies with all applicable national and international laws and regulations”</t>
  </si>
  <si>
    <t>KI-Nutzung soll ethische Standards respektieren.</t>
  </si>
  <si>
    <t>“will respect ethical standards”</t>
  </si>
  <si>
    <t>Keine AI-spezifischen Rollen, Owner oder Gremien im Dokument benannt</t>
  </si>
  <si>
    <t>Allgemeine Strukturen/Prozesse zu Technical Compliance vorhanden, aber nicht hinreichend KI-spezifisch</t>
  </si>
  <si>
    <t>Keine konkreten KI-Checks, Validierungen oder Assessments nachweisbar</t>
  </si>
  <si>
    <t>Auditregel bezieht sich allgemein auf den gesamten Code, nicht explizit auf KI-Governance</t>
  </si>
  <si>
    <t>Trainingsregel ist allgemein auf Code-/Rechts-Compliance bezogen, nicht KI-spezifisch</t>
  </si>
  <si>
    <t>Integrity Hotline ist allgemeiner Code-Meldekanal, kein expliziter KI-Eskalationsweg</t>
  </si>
  <si>
    <t>Das Wort „controlled“ kann Kontrolle im Governance-Sinn oder menschliche Aufsicht bedeuten.</t>
  </si>
  <si>
    <t>A: VAL_01 = 1. B: VAL_01 = 0. Gewählt: B, da kein expliziter Human-review-, Override- oder Human-in-the-loop-Mechanismus genannt wird.</t>
  </si>
  <si>
    <t>VAL_03, VAL_06, VAL_07</t>
  </si>
  <si>
    <t>Transparente und verantwortungsvolle Datenbehandlung ist thematisch KI-nah, aber nicht ausdrücklich auf KI bezogen.</t>
  </si>
  <si>
    <t>A: als KI-Werte mitcodieren. B: nicht positiv codieren. Gewählt: B, gemäß KI-Anker-Regel, weil der Absatz allgemein für Daten gilt und keinen expliziten KI-Bezug trägt.</t>
  </si>
  <si>
    <t>Audits beziehen sich auf den gesamten Business Partner Code, der auch einen AI-Abschnitt enthält.</t>
  </si>
  <si>
    <t>A: GOV_04 = 1. B: GOV_04 = 0. Gewählt: B, da keine AI-spezifische Auditmechanik, Frequenz oder AI-bezogene Prüflogik beschrieben ist.</t>
  </si>
  <si>
    <t>Trainingsmaßnahmen könnten auch den AI-Abschnitt des Codes abdecken, werden aber nicht KI-spezifisch beschrieben.</t>
  </si>
  <si>
    <t>A: GOV_05 = 1. B: GOV_05 = 0. Gewählt: B, da das Evidenzminimum für AI-spezifische Schulung/Awareness nicht erreicht wird.</t>
  </si>
  <si>
    <t>Die Hotline gilt für Verstöße gegen den gesamten Code und damit möglicherweise auch für AI-Verstöße.</t>
  </si>
  <si>
    <t>A: GOV_06 = 1. B: GOV_06 = 0. Gewählt: B, da kein expliziter KI-Melde- oder Eskalationsweg formuliert ist.</t>
  </si>
  <si>
    <t>GOV_02, VAL_06, VAL_07, VAL_17</t>
  </si>
  <si>
    <t>Der Abschnitt enthält starke Anforderungen zu Produkt-Cybersecurity, Privacy, IP und Prozessen, aber ohne klaren KI-Anker.</t>
  </si>
  <si>
    <t>A: breit als KI-Governance mitcodieren. B: nicht positiv codieren. Gewählt: B, da das Codebook allgemeine technische/produktbezogene Compliance ohne expliziten KI-Bezug nicht als KI-Evidenz zählt.</t>
  </si>
  <si>
    <t>Daimler Truck benennt verantwortliche KI-Nutzung ausdrücklich.</t>
  </si>
  <si>
    <t>“responsible use of artificial intelligence”</t>
  </si>
  <si>
    <t>S. 33, Abschnitt „2.5.2 Handling data“</t>
  </si>
  <si>
    <t>Erklärbarkeit wird als Leitprinzip für KI genannt.</t>
  </si>
  <si>
    <t>“explainability”</t>
  </si>
  <si>
    <t>Schutz der Privatsphäre wird im KI-Satz ausdrücklich genannt.</t>
  </si>
  <si>
    <t>“protection of privacy”</t>
  </si>
  <si>
    <t>Sicherheit wird als KI-Leitprinzip genannt.</t>
  </si>
  <si>
    <t>“security”</t>
  </si>
  <si>
    <t>Reliability wird ausdrücklich im KI-Kontext genannt.</t>
  </si>
  <si>
    <t>“reliability”</t>
  </si>
  <si>
    <t>Gleichbehandlung/equal opportunities wird als KI-Aspekt genannt.</t>
  </si>
  <si>
    <t>“equal opportunities”</t>
  </si>
  <si>
    <t>Keine menschliche Review-, Override- oder Human-in-the-loop-Mechanik im KI-Kontext nachweisbar</t>
  </si>
  <si>
    <t>Kein explizites KI-Verantwortungs-/Ownership-Prinzip nachweisbar</t>
  </si>
  <si>
    <t>Transparenz wird im Datenteil allgemein erwähnt, aber nicht ausdrücklich als KI-Transparenzpflicht formuliert</t>
  </si>
  <si>
    <t>Explainability im KI-Satz ausdrücklich genannt</t>
  </si>
  <si>
    <t>„equal opportunities“ stützt Fairness konservativ auf Prinzipienebene</t>
  </si>
  <si>
    <t>Schutz der Privatsphäre wird ausdrücklich im KI-Kontext genannt</t>
  </si>
  <si>
    <t>Security wird explizit als KI-Leitprinzip genannt</t>
  </si>
  <si>
    <t>Keine eigenständige KI-spezifische Harm-/Safety-Regel nachweisbar</t>
  </si>
  <si>
    <t>Reliability wird ausdrücklich genannt</t>
  </si>
  <si>
    <t>Kein Beschwerde-, Einspruchs- oder Redress-Mechanismus für KI nachweisbar</t>
  </si>
  <si>
    <t>„equal opportunities“ reicht konservativ nicht für eigenständige Accessibility-/Inclusion-Codierung</t>
  </si>
  <si>
    <t>Kein Umwelt-/Nachhaltigkeitsbezug im KI-Satz nachweisbar</t>
  </si>
  <si>
    <t>Allgemeine gesellschaftliche Verantwortung vorhanden, aber kein belastbarer KI-Sozialwert mit klarem KI-Anker</t>
  </si>
  <si>
    <t>Allgemeine Compliance-Regeln stark ausgeprägt, aber keine explizite KI-Compliance-Regel im KI-Satz</t>
  </si>
  <si>
    <t>Verantwortliche KI-Nutzung ausdrücklich benannt</t>
  </si>
  <si>
    <t>Allgemeiner Data-Compliance-Rahmen vorhanden, aber keine explizite KI-Datenqualitäts-/Provenienz-/Repräsentativitätsregel</t>
  </si>
  <si>
    <t>Allgemeine Regeln zu Geschäftsgeheimnissen vorhanden, aber ohne klaren KI-Anker</t>
  </si>
  <si>
    <t>Allgemeine Human-Rights-Passagen vorhanden, aber nicht explizit als KI-Referenzrahmen formuliert</t>
  </si>
  <si>
    <t>Keine AI-spezifischen Rollen, Owner oder Gremien benannt</t>
  </si>
  <si>
    <t>Allgemeine Data-/Product-Compliance-Prozesse vorhanden, aber nicht hinreichend KI-spezifisch verankert</t>
  </si>
  <si>
    <t>Keine AI-spezifischen Audits oder Reviewzyklen nachweisbar</t>
  </si>
  <si>
    <t>Wissenstransfer/Unterstützung allgemein erwähnt, aber kein KI-spezifisches Training oder AI-literacy-Programm</t>
  </si>
  <si>
    <t>SpeakUp-System ist allgemein, aber kein expliziter KI-Eskalationsweg</t>
  </si>
  <si>
    <t>Im selben Absatz wird allgemeine Datennutzung transparent gemacht, der KI-Satz selbst nennt Transparenz aber nicht ausdrücklich.</t>
  </si>
  <si>
    <t>A: VAL_03 = 1. B: VAL_03 = 0. Gewählt: B, da nach KI-Anker-Regel der positive Wert möglichst direkt am KI-Satz hängen soll; der Transparenzteil bleibt primär allgemeine Datennutzung.</t>
  </si>
  <si>
    <t>„equal opportunities“ kann Fairness/Non-discrimination oder Inclusion/Accessibility stützen.</t>
  </si>
  <si>
    <t>A: nur VAL_05 = 1. B: zusätzlich VAL_11 = 1. Gewählt: A, da keine Barrierefreiheits-/Accessibility-Logik oder inklusives Design beschrieben wird.</t>
  </si>
  <si>
    <t>VAL_16, GOV_02</t>
  </si>
  <si>
    <t>Das Data Compliance Management System und frühe Berücksichtigung von Datenschutz in Produkten/Services sind stark, aber überwiegend allgemein datenbezogen.</t>
  </si>
  <si>
    <t>A: VAL_16 = 1 und/oder GOV_02 = 1. B: keine positive KI-Codierung. Gewählt: B, da explizite KI-Datenqualitäts-, Provenienz-, Repräsentativitäts- oder AI-Prozesslogik fehlt.</t>
  </si>
  <si>
    <t>Das SpeakUp-System gilt auch für Regelverstöße allgemein und könnte damit indirekt AI-bezogene Verstöße erfassen.</t>
  </si>
  <si>
    <t>A: GOV_06 = 1. B: GOV_06 = 0. Gewählt: B, da kein KI-spezifischer Melde- oder Eskalationsweg benannt wird.</t>
  </si>
  <si>
    <t>Manager sollen Wissen vermitteln; unklar ist, ob dies bereits als Schulungscodierung reicht.</t>
  </si>
  <si>
    <t>A: GOV_05 = 1. B: GOV_05 = 0. Gewählt: B, da kein KI-spezifisches Training, keine AI literacy und keine konkrete Schulungsmaßnahme dokumentiert ist.</t>
  </si>
  <si>
    <t>„protection of employee rights“ kann als Human-Rights-Bezug gelesen werden.</t>
  </si>
  <si>
    <t>A: VAL_18 = 1. B: VAL_18 = 0. Gewählt: B, da employee rights nicht explizit als Human-Rights-Frame, dignity oder UNGP-Kontext für KI formuliert werden.</t>
  </si>
  <si>
    <t>“we follow our demanding AI principles”</t>
  </si>
  <si>
    <t>Die KI-Prinzipien werden ausdrücklich als ethische Prinzipien beschrieben.</t>
  </si>
  <si>
    <t>“ethical principles for the development and use of artificial intelligence”</t>
  </si>
  <si>
    <t>Erklärbarkeit ist Bestandteil der AI-Prinzipien.</t>
  </si>
  <si>
    <t>Privacy-Schutz ist Bestandteil der AI-Prinzipien.</t>
  </si>
  <si>
    <t>“privacy protection”</t>
  </si>
  <si>
    <t>Sicherheit ist Bestandteil der AI-Prinzipien.</t>
  </si>
  <si>
    <t>Reliability ist Bestandteil der AI-Prinzipien.</t>
  </si>
  <si>
    <t>Im vorgelagerten Data-Vision-Abschnitt wird Datenqualität genannt, aber ohne expliziten KI-Anker.</t>
  </si>
  <si>
    <t>Führungskräfte sollen Wissen vermitteln, aber nicht KI-spezifisch.</t>
  </si>
  <si>
    <t>Keine menschliche Review-, Override- oder Human-in-the-loop-Mechanik im KI-Abschnitt nachweisbar</t>
  </si>
  <si>
    <t>Kein explizites KI-Verantwortungs-/Ownership-Prinzip oder Rollenträger benannt</t>
  </si>
  <si>
    <t>Transparenz erscheint nur im allgemeinen Data-Vision-Abschnitt, nicht explizit als KI-Prinzip</t>
  </si>
  <si>
    <t>S. 15</t>
  </si>
  <si>
    <t>Explainability im KI-Abschnitt ausdrücklich genannt</t>
  </si>
  <si>
    <t>Keine explizite Fairness-/Bias-/Non-discrimination-Passage im KI-Abschnitt</t>
  </si>
  <si>
    <t>Privacy protection im KI-Abschnitt ausdrücklich genannt</t>
  </si>
  <si>
    <t>Security im KI-Abschnitt ausdrücklich genannt</t>
  </si>
  <si>
    <t>Reliability im KI-Abschnitt ausdrücklich genannt</t>
  </si>
  <si>
    <t>„to our benefit“ bleibt zu unternehmensnah und nicht als eigenständiger Social-benefit-/Well-being-Wert ausformuliert</t>
  </si>
  <si>
    <t>Allgemeine Code-Bindung vorhanden, aber keine explizite KI-Compliance-Regel im KI-Abschnitt</t>
  </si>
  <si>
    <t>Ethische Prinzipien und verantwortlicher KI-Einsatz ausdrücklich benannt</t>
  </si>
  <si>
    <t>Allgemeine Human-Rights-Passagen vorhanden, aber nicht als KI-Referenzrahmen formuliert</t>
  </si>
  <si>
    <t>Benannter AI-Prinzipienrahmen, aber keine Schritte, Trigger oder Verantwortlichen dokumentiert</t>
  </si>
  <si>
    <t>Führungskräfte sollen Wissen vermitteln, aber kein KI-spezifisches Training oder AI-literacy-Programm nachweisbar</t>
  </si>
  <si>
    <t>BPO ist allgemeiner Regelverstoßkanal, kein expliziter KI-Eskalationsweg</t>
  </si>
  <si>
    <t>Der Data-Vision-Abschnitt nennt ausdrücklich „Transparency“ und „Data Quality“, aber ohne expliziten KI-Anker.</t>
  </si>
  <si>
    <t>A: VAL_03/VAL_16 positiv codieren. B: nicht positiv codieren. Gewählt: B, gemäß KI-Anker-Regel; allgemeine Digital-/Datengrundsätze ohne klaren KI-Bezug zählen nicht als KI-Werte.</t>
  </si>
  <si>
    <t>„we follow our demanding AI principles“ kann als bloße Erwähnung oder als dokumentierter Governance-Rahmen gelesen werden.</t>
  </si>
  <si>
    <t>A: GOV_02 = 0. B: GOV_02 = 1. Gewählt: B, da ein explizites AI-Prinzipienset benannt wird; für Score 2 fehlen aber Prozessschritte, Trigger und Verantwortliche.</t>
  </si>
  <si>
    <t>Der KI-Abschnitt ist in eine bindende Integrity Code-Struktur eingebettet, nennt aber keine explizite KI-Compliance-Formel.</t>
  </si>
  <si>
    <t>A: VAL_14 = 1 wegen allgemeiner Code-Bindung. B: VAL_14 = 0. Gewählt: B, da nach Evidence-first für positive KI-Codierung ein klarerer KI-spezifischer Lawfulness-/Compliance-Anker erforderlich ist.</t>
  </si>
  <si>
    <t>Das BPO kann potenziell auch AI-bezogene Verstöße aufnehmen, ist aber nicht KI-spezifisch beschrieben.</t>
  </si>
  <si>
    <t>A: GOV_06 = 1. B: GOV_06 = 0. Gewählt: B, da kein expliziter KI-Melde- oder Eskalationsweg benannt wird.</t>
  </si>
  <si>
    <t>„provide their staff with the appropriate knowledge“ könnte als Schulungshinweis gelesen werden.</t>
  </si>
  <si>
    <t>Der Schutz von Business Secrets ist stark formuliert, aber nicht explizit an KI rückgebunden.</t>
  </si>
  <si>
    <t>A: VAL_17 = 1. B: VAL_17 = 0. Gewählt: B, da der notwendige KI-Anker fehlt.</t>
  </si>
  <si>
    <t>16.03.2026</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</si>
  <si>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</si>
  <si>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</si>
  <si>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</si>
  <si>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</si>
  <si>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</si>
  <si>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</si>
  <si>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</si>
  <si>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</si>
  <si>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</si>
  <si>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</si>
  <si>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</si>
  <si>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</si>
  <si>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</si>
  <si>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</si>
  <si>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</si>
  <si>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</si>
  <si>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</si>
  <si>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</si>
  <si>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</si>
  <si>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</si>
  <si>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</si>
  <si>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</si>
  <si>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</si>
  <si>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</si>
  <si>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</si>
  <si>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</si>
  <si>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</si>
  <si>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</si>
  <si>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</si>
  <si>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</si>
  <si>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</si>
  <si>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</si>
  <si>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</si>
  <si>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</si>
  <si>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</si>
  <si>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</si>
  <si>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</si>
  <si>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</si>
  <si>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</si>
  <si>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</si>
  <si>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</si>
  <si>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</si>
  <si>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</si>
  <si>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</si>
  <si>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</si>
  <si>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</si>
  <si>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</si>
  <si>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</si>
  <si>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</si>
  <si>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</si>
  <si>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</si>
  <si>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</si>
  <si>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</si>
  <si>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</si>
  <si>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</si>
  <si>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</si>
  <si>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</si>
  <si>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</si>
  <si>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</si>
  <si>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</si>
  <si>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</si>
  <si>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</si>
  <si>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</si>
  <si>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</si>
  <si>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</si>
  <si>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</si>
  <si>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</si>
  <si>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</si>
  <si>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</si>
  <si>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</si>
  <si>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</si>
  <si>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</si>
  <si>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</si>
  <si>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</si>
  <si>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</si>
  <si>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</si>
  <si>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</si>
  <si>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</si>
  <si>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</si>
  <si>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</si>
  <si>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</si>
  <si>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</si>
  <si>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</si>
  <si>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</si>
  <si>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</si>
  <si>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</si>
  <si>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</si>
  <si>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</si>
  <si>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</si>
  <si>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</si>
  <si>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</si>
  <si>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</si>
  <si>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</si>
  <si>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</si>
  <si>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</si>
  <si>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</si>
  <si>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</si>
  <si>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</si>
  <si>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</si>
  <si>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</si>
  <si>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</si>
  <si>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</si>
  <si>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</si>
  <si>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</si>
  <si>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</si>
  <si>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</si>
  <si>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</si>
  <si>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</si>
  <si>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S. 6, Abschnitt 10</t>
  </si>
  <si>
    <t>Human oversight explizit; Formulierung bleibt prinzipienhaft, nicht prozessverbindlich.</t>
  </si>
  <si>
    <t>S. 5, Abschnitt 10</t>
  </si>
  <si>
    <t>Accountability/Ownership explizit; konservativ BIND 1, da keine deontische Policy-Sprache.</t>
  </si>
  <si>
    <t>Transparenz explizit genannt; keine konkretisierte Offenlegungsmechanik.</t>
  </si>
  <si>
    <t>Explainability explizit genannt; keine operationalisierte Erklärungspflicht.</t>
  </si>
  <si>
    <t>Fairness/Bias explizit im KI-Kontext.</t>
  </si>
  <si>
    <t>Datenschutz explizit; keine KI-spezifische Pflichtarchitektur/Check-Logik im Satz.</t>
  </si>
  <si>
    <t>Information-Security-Risiken explizit im KI-Prinzip.</t>
  </si>
  <si>
    <t>Safety/Abuse explizit; konservativ als Prinzip codiert.</t>
  </si>
  <si>
    <t>Technical Robustness wörtlich genannt.</t>
  </si>
  <si>
    <t>Kein AI-spezifisches Einspruchs-, Beschwerde- oder Redress-Recht nachweisbar.</t>
  </si>
  <si>
    <t>Accessibility explizit; daher eigener Wert, nicht nur Fairness-Unteraspekt.</t>
  </si>
  <si>
    <t>Sustainability-Passagen vorhanden, aber ohne KI-Anker.</t>
  </si>
  <si>
    <t>Stakeholder-/Society-Bezug bleibt zu allgemein; kein explizites KI-Nutzenziel.</t>
  </si>
  <si>
    <t>KI-Regelkonformität explizit; konservativ BIND 1, da keine klare must/shall-Regel.</t>
  </si>
  <si>
    <t>Alignment mit Werten/Code/Policies als ethische Leitplanke; konservativ nicht höher gebunden.</t>
  </si>
  <si>
    <t>„Data“ wird erwähnt, aber keine Datenqualität, Herkunft, Repräsentativität oder Stewardship nachweisbar.</t>
  </si>
  <si>
    <t>Confidentiality-Regeln vorhanden, aber nicht mit erkennbarem KI-Anker.</t>
  </si>
  <si>
    <t>Rights/Freedoms im Privacy-Bullet reichen nicht für explizites Human-Rights-Framework im KI-Kontext.</t>
  </si>
  <si>
    <t>Menschliche Aufsicht soll über den gesamten KI-Lifecycle hinweg bestehen.</t>
  </si>
  <si>
    <t>“human oversight in all lifecycle stages”</t>
  </si>
  <si>
    <t>Verantwortung/Eigentümerschaft für KI-Lösungen wird gefordert.</t>
  </si>
  <si>
    <t>“Establish clear accountability and ownership for AI solutions”</t>
  </si>
  <si>
    <t>Transparenz von KI-Modellen und Workflows wird angestrebt.</t>
  </si>
  <si>
    <t>“transparency and Explainability of AI Models and workflows”</t>
  </si>
  <si>
    <t>Explainability von KI-Modellen und Workflows wird angestrebt.</t>
  </si>
  <si>
    <t>Fairness wird als ausdrückliches Ziel von KI-Lösungen genannt.</t>
  </si>
  <si>
    <t>“Strive to make AI solutions fair”</t>
  </si>
  <si>
    <t>Datenschutz wird im KI-Prinzip über Rechts- und Maßnahmenbezug adressiert.</t>
  </si>
  <si>
    <t>“complying with applicable data protection laws”</t>
  </si>
  <si>
    <t>Informationssicherheitsrisiken sollen proaktiv verhindert werden.</t>
  </si>
  <si>
    <t>“prevent Information Security risks and threats”</t>
  </si>
  <si>
    <t>Safety/Harm-Avoidance wird über Risiko- und Abuse-Vermeidung formuliert.</t>
  </si>
  <si>
    <t>“avoid potential risks and issues around safety and abuse”</t>
  </si>
  <si>
    <t>Technische Robustheit wird als eigenes KI-Prinzip benannt.</t>
  </si>
  <si>
    <t>“Security, Safety &amp; Technical Robustness.”</t>
  </si>
  <si>
    <t>Inklusion und Accessibility werden im KI-Kontext genannt.</t>
  </si>
  <si>
    <t>“innovate responsibly and inclusively and to consider accessibility”</t>
  </si>
  <si>
    <t>KI-Regelkonformität wird ausdrücklich als Erwartung formuliert.</t>
  </si>
  <si>
    <t>“committed to fully complying with all AI regulations”</t>
  </si>
  <si>
    <t>KI soll an Werte, Code of Conduct und Policies gebunden sein.</t>
  </si>
  <si>
    <t>“aligned at all times with Deutsche Bank’s values”</t>
  </si>
  <si>
    <t>Accountability/Ownership erwähnt, aber keine benannten Rollen, Aufgaben oder Freigabelogik; daher nicht evidenzstark genug.</t>
  </si>
  <si>
    <t>Kein AI-spezifischer Audit-, Assessment- oder Review-Mechanismus nachweisbar.</t>
  </si>
  <si>
    <t>Kein AI-spezifischer Eskalationsprozess oder Ansprechpartner nachweisbar.</t>
  </si>
  <si>
    <t>Kein AI-spezifischer Reportgegenstand, Empfänger oder Turnus nachweisbar.</t>
  </si>
  <si>
    <t>nicht höher, da keine Trigger, Verantwortlichen oder Prozessschritte dokumentiert sind.</t>
  </si>
  <si>
    <t>Lifecycle-Phasen werden benannt</t>
  </si>
  <si>
    <t>Automated monitoring als Check-Mechanismus erwähnt</t>
  </si>
  <si>
    <t>nicht höher, da Einsatzlogik, Prüfgegenstandstiefe und Dokumentation fehlen.</t>
  </si>
  <si>
    <t>Training/Awareness explizit</t>
  </si>
  <si>
    <t>nicht höher, da kein Pflichtgrad, kein Programmaufbau und keine Nachweise genannt werden.</t>
  </si>
  <si>
    <t>“from initial conception to design, build and operation”</t>
  </si>
  <si>
    <t>“implement automated monitoring of the AI decision-making”</t>
  </si>
  <si>
    <t>“access to continuous training”</t>
  </si>
  <si>
    <t>mehrere VAL (BIND)</t>
  </si>
  <si>
    <t>Die Bullet-Prinzipien stehen in einem Supplier Code; unklar ist, ob sie als Policy-Regeln oder nur als Prinzipien zu lesen sind.</t>
  </si>
  <si>
    <t>A: BIND=2, weil Supplier-Adhärenz erwartet wird. B: BIND=1, weil Formulierungen wie „Strive“, „Be committed“, „good practice“ dominieren. Gewählt: B (konservativ), da Codebook für BIND=2 deontisch klarere Regelsprache verlangt.</t>
  </si>
  <si>
    <t>VAL_15, VAL_14</t>
  </si>
  <si>
    <t>Unklar ist, ob „aligned at all times with Deutsche Bank’s values, code of conduct, and applicable policies“ bloß Compliance ist oder als ethische Leitplanke zählt.</t>
  </si>
  <si>
    <t>A: nur VAL_14. B: zusätzlich VAL_15. Gewählt: B, da der Satz nicht nur Recht/Regulierung, sondern auch Werte und Code of Conduct als normative Grenze nennt.</t>
  </si>
  <si>
    <t>GOV_01, VAL_02</t>
  </si>
  <si>
    <t>Unklar ist, ob „clear accountability and ownership“ schon als Governance-Zuständigkeit genügt.</t>
  </si>
  <si>
    <t>A: GOV_01=1, weil Ownership genannt ist. B: GOV_01=0, weil keine Rollen/Aufgaben/Freigabelogik dokumentiert sind. Gewählt: B (konservativ), da das Evidenzminimum für GOV_01 nicht erreicht ist; VAL_02 bleibt dennoch positiv.</t>
  </si>
  <si>
    <t>Unklar ist, ob „implement automated monitoring“ bereits dokumentierter Check (2) oder nur benannter Mechanismus (1) ist.</t>
  </si>
  <si>
    <t>A: Score 2, weil ein Mechanismus genannt ist. B: Score 1, weil keine Einsatzlogik, Trigger oder Dokumentation beschrieben werden. Gewählt: B (konservativ) gemäß Rubrik Score 2.</t>
  </si>
  <si>
    <t>VAL_11, VAL_05</t>
  </si>
  <si>
    <t>Unklar ist, ob Accessibility nur Teil der Fairness-Passage bleibt oder als eigener Wert codiert werden darf.</t>
  </si>
  <si>
    <t>A: nur VAL_05. B: VAL_05 + VAL_11. Gewählt: B, da „accessibility“ im KI-Kontext wörtlich genannt wird und das Codebook hierfür einen eigenen Wert vorsieht.</t>
  </si>
  <si>
    <t>Die Passage zu Stakeholdern und „wider society“ könnte als gesellschaftlicher Nutzen gelesen werden, bleibt aber semantisch offen.</t>
  </si>
  <si>
    <t>A: VAL_13=1, weil Society-Bezug vorhanden. B: VAL_13=0, weil kein expliziter Nutzen-/Well-being-Anspruch formuliert ist. Gewählt: B (konservativ) gemäß Include-Rule des Codebooks.</t>
  </si>
  <si>
    <t>„AI &amp; Data Ethics Principles“ und „Use of data“ könnten auf Data Governance hindeuten, aber die Substanz ist unklar.</t>
  </si>
  <si>
    <t>A: VAL_16=1, weil Datenbezug explizit ist. B: VAL_16=0, weil Datenqualität, Herkunft, Stewardship oder Dataset-Governance nicht konkret benannt werden. Gewählt: B (konservativ).</t>
  </si>
  <si>
    <t>S. 132, “Digitization and innovation”</t>
  </si>
  <si>
    <t>AIOF ist konkrete organisatorische Aufsicht über AI-Lösungen; daher prozessnahe Operationalisierung.</t>
  </si>
  <si>
    <t>Governance/Forum vorhanden, aber keine explizite Verantwortungs- oder Ownership-Formulierung für AI-Outcomes.</t>
  </si>
  <si>
    <t>Keine Offenlegungs- oder Transparenzpflicht zu AI-Einsatz nachweisbar.</t>
  </si>
  <si>
    <t>Keine Erklärbarkeits-/Interpretierbarkeitsanforderung an AI-Outputs nachweisbar.</t>
  </si>
  <si>
    <t>Kein Bias-/Fairness-Bezug im AI-Kontext nachweisbar.</t>
  </si>
  <si>
    <t>Data security ist genannt, aber kein expliziter Privacy-/Data-Protection-Satz im AI-Kontext.</t>
  </si>
  <si>
    <t>S. 6, Letter from the Chairman of the Supervisory Board</t>
  </si>
  <si>
    <t>Security/Controls werden im AI-Kontext ausdrücklich betont; bleibt aber auf Prinzipienebene.</t>
  </si>
  <si>
    <t>AI-Risk-Assessment vorhanden, aber keine explizite Safety-/Harm-Prevention-Norm für AI.</t>
  </si>
  <si>
    <t>Monitoring/Risk Assessment allein reicht ohne Robustheits-/Zuverlässigkeitsanker nicht aus.</t>
  </si>
  <si>
    <t>Keine AI-spezifische Beschwerde-, Review- oder Redress-Option nachweisbar.</t>
  </si>
  <si>
    <t>Keine Accessibility-/Inklusionsanforderung für AI nachweisbar.</t>
  </si>
  <si>
    <t>Nachhaltigkeit wird breit behandelt, aber nicht als AI-bezogener Wert.</t>
  </si>
  <si>
    <t>AI use cases werden als Innovation/Business Enablement beschrieben, nicht als gesellschaftlicher Nutzen/Wohlbefinden.</t>
  </si>
  <si>
    <t>AI-Regulierung wird beschrieben, aber nicht als interne AI-Compliance-Anforderung der Bank formuliert.</t>
  </si>
  <si>
    <t>Keine ethischen Leitplanken oder Verbotslogik für AI nachweisbar.</t>
  </si>
  <si>
    <t>Unstructured data/use cases erwähnt, aber keine Datenqualitäts-, Lineage- oder Stewardship-Anforderung.</t>
  </si>
  <si>
    <t>Allgemeine Security-/OSS-Themen vorhanden, aber keine explizite KI-spezifische IP/Confidentiality-Regel.</t>
  </si>
  <si>
    <t>Kein Human-Rights-Framework für AI nachweisbar.</t>
  </si>
  <si>
    <t>Menschliche/organisatorische Aufsicht über AI-Lösungen ist vorgesehen.</t>
  </si>
  <si>
    <t>“formation of an Artificial Intelligence Oversight Forum (AIOF)”</t>
  </si>
  <si>
    <t>Im KI-Kontext werden Datensicherheit und Kontrollen als erforderlich dargestellt.</t>
  </si>
  <si>
    <t>“data security and appropriate controls are imperative”</t>
  </si>
  <si>
    <t>S. 6; S. 132</t>
  </si>
  <si>
    <t>S. 132</t>
  </si>
  <si>
    <t>S. 6; S. 132; S. 135</t>
  </si>
  <si>
    <t>Kein AI-spezifischer Audit-, Assurance- oder Review-Zyklus nachweisbar.</t>
  </si>
  <si>
    <t>Allgemeine Beschwerde-/Whistleblowing-Kanäle vorhanden, aber kein AI-spezifischer Eskalationsweg nachweisbar.</t>
  </si>
  <si>
    <t>Kein AI-spezifischer Reportgegenstand, Empfänger und Turnus nachweisbar.</t>
  </si>
  <si>
    <t>AIOF als konkrete AI-Einheit mit benannter Aufgabe</t>
  </si>
  <si>
    <t>nicht höher, da keine Reporting-/Regeltermin- oder Zusammensetzungslogik belegt ist.</t>
  </si>
  <si>
    <t>AI-Programm und Adoptionsabsicht benannt</t>
  </si>
  <si>
    <t>nicht höher, da keine Trigger, Gateways oder Freigabeschritte beschrieben sind.</t>
  </si>
  <si>
    <t>Monitoring und Risk Assessment von AI-Lösungen sind als konkrete Checktypen benannt</t>
  </si>
  <si>
    <t>nicht höher, da keine Protokolle/Ergebnisse/KPIs belegt sind.</t>
  </si>
  <si>
    <t>AI-bezogene Awareness-/Lernaktivitäten vorhanden</t>
  </si>
  <si>
    <t>nicht höher, da kein strukturiertes AI-Trainingsprogramm mit Zielgruppe/Pflichtgrad belegt ist.</t>
  </si>
  <si>
    <t>“established an Artificial Intelligence Oversight Forum”; “AI and machine learning … were key topics; “to provide bank-wide oversight and governance”</t>
  </si>
  <si>
    <t>“started a program to expand and accelerate the development and adoption of AI-solutions”</t>
  </si>
  <si>
    <t>“adequate monitoring and risk assessment of AI solutions”; “monitoring and risk assessment of AI solutions and their alignment with the bank’s strategic goals”; “The 2023 focus areas included Artificial Intelligence”</t>
  </si>
  <si>
    <t>“talks and discussions on the latest technology trends, such as artificial intelligence”; “the hackathon was focused on artificial intelligence”; “prototype App that leverages artificial intelligence”</t>
  </si>
  <si>
    <t>VAL_01, GOV_01</t>
  </si>
  <si>
    <t>Unklar ist, ob das AIOF nur Governance-Struktur ist oder zugleich als Wert Human Oversight zählt.</t>
  </si>
  <si>
    <t>A: Nur GOV_01 codieren. B: GOV_01 + VAL_01 codieren. Gewählt: B, weil “Oversight Forum” explizit menschliche/organisatorische Aufsicht über AI-Lösungen bezeichnet und damit auch die Wertdefinition von VAL_01 trifft.</t>
  </si>
  <si>
    <t>Unklar ist, ob “monitoring and risk assessment of AI solutions” nur ein allgemeiner Hinweis (Score 1) oder ein dokumentierter Checkmechanismus (Score 2) ist.</t>
  </si>
  <si>
    <t>A: GOV_03=1, weil kein Toolname/kein Turnus. B: GOV_03=2, weil Checktyp, Prüfgegenstand und Zweck benannt sind. Gewählt: B, konservativ nicht 3, da keine Ergebnisse/Protokolle/KPIs belegt sind.</t>
  </si>
  <si>
    <t>Unklar ist, ob Talks/Discussions und ein AI-Hackathon bereits als Training zählen oder nur als allgemeine Innovationskultur.</t>
  </si>
  <si>
    <t>A: GOV_05=0, weil kein formales AI-Trainingsprogramm. B: GOV_05=1, weil AI-bezogene Awareness-/Lernformate ausdrücklich stattfinden. Gewählt: B, da das Codebook Awareness ausdrücklich für Score 1 zulässt.</t>
  </si>
  <si>
    <t>Unklar ist, ob die Beschreibung des EU AI Act bereits als Lawfulness-&amp;-Compliance-Wert der Bank zu zählen ist.</t>
  </si>
  <si>
    <t>A: VAL_14=1, weil AI-Regulierung thematisiert wird. B: VAL_14=0, weil nur externer Regulierungsstand beschrieben wird, ohne interne Compliance-Norm. Gewählt: B, da für VAL_14 ein interner KI-bezogener Compliance-Anker verlangt wird.</t>
  </si>
  <si>
    <t>Unklar ist, ob die Nennung von AI als Security-Fokusbereich eine eigene Wertcodierung trägt oder nur flankierende Governance-Evidenz ist.</t>
  </si>
  <si>
    <t>A: Als zusätzliche VAL_07-Hauptevidenz verwenden. B: Nur als unterstützende GOV_03-Evidenz verwenden. Gewählt: B, weil die Passage AI eher als Bedrohungs-/Beobachtungsfeld als als normative Sicherheitsleitplanke beschreibt.</t>
  </si>
  <si>
    <t>S. 13, Abschnitt 3</t>
  </si>
  <si>
    <t>Human experts sind durchgehend vorgesehen; trotz klarer Aussage keine formale Policy-Sprache.</t>
  </si>
  <si>
    <t>S. 18; S. 21</t>
  </si>
  <si>
    <t>Accountability wird explizit genannt und Verantwortlichkeit zuweisbar gemacht.</t>
  </si>
  <si>
    <t>S. 4; S. 14</t>
  </si>
  <si>
    <t>Transparenz ist ausdrücklich als Governance-/Modelleigenschaft benannt.</t>
  </si>
  <si>
    <t>S. 18, Abschnitt 3.3.2</t>
  </si>
  <si>
    <t>Explainability ist expliziter Kernbegriff des Dokuments.</t>
  </si>
  <si>
    <t>S. 5, Abschnitt 1.1</t>
  </si>
  <si>
    <t>Inferred bias/discriminatory conclusions werden ausdrücklich adressiert.</t>
  </si>
  <si>
    <t>S. 8; S. 18</t>
  </si>
  <si>
    <t>Data protection und data privacy sind explizit im AI-Kontext erwähnt.</t>
  </si>
  <si>
    <t>Cybersecurity regulations werden im Technology-risk-Rahmen genannt.</t>
  </si>
  <si>
    <t>Materiality/Harm werden diskutiert, aber keine eigenständige Safety-Norm für AI im Unternehmenskontext klar nachweisbar.</t>
  </si>
  <si>
    <t>S. 17, Abschnitt 3.3.1</t>
  </si>
  <si>
    <t>Accuracy, quality und dependable results bilden einen klaren Robustheitsanker.</t>
  </si>
  <si>
    <t>Kein AI-spezifischer Einspruchs-, Review- oder Redress-Mechanismus nachweisbar.</t>
  </si>
  <si>
    <t>„Sustainable ecosystem of innovation“ ist zu allgemein und nicht als Umwelt-/Nachhaltigkeitswert operationalisiert.</t>
  </si>
  <si>
    <t>Nutzen-/Marktvorteilsprache vorhanden, aber kein hinreichend klarer Wertanker zu human well-being/social benefit.</t>
  </si>
  <si>
    <t>S. 2, Einleitung/Overview</t>
  </si>
  <si>
    <t>Regulations-/lawfulness-Bezug ist explizit, bleibt aber auf Whitepaper-/Orientierungsebene.</t>
  </si>
  <si>
    <t>S. 2; S. 20</t>
  </si>
  <si>
    <t>Ethische Prinzipien und ethical controls werden explizit angesprochen.</t>
  </si>
  <si>
    <t>S. 7, Abschnitt 2.1.1</t>
  </si>
  <si>
    <t>Datenqualität und Verlässlichkeit werden explizit als Voraussetzung formuliert.</t>
  </si>
  <si>
    <t>S. 21, Abschnitt 4.4</t>
  </si>
  <si>
    <t>Confidentiality ist explizit genannt; IP selbst nicht, daher konservativ mit mittlerer Sicherheit.</t>
  </si>
  <si>
    <t>Kein Human-Rights-Bezug im KI-Kontext nachweisbar.</t>
  </si>
  <si>
    <t>Menschliche Fachexpertise soll jeden wesentlichen KI-Schritt begleiten.</t>
  </si>
  <si>
    <t>“human subject matter experts are involved in every key step”</t>
  </si>
  <si>
    <t>Explainability wird als grundlegende Kontrolle beschrieben.</t>
  </si>
  <si>
    <t>“the concept of ‘explainability’”</t>
  </si>
  <si>
    <t>Modelle sollen auf diskriminierende Verzerrungen geprüft werden.</t>
  </si>
  <si>
    <t>“final models must still be rigorously tested for inferred bias”</t>
  </si>
  <si>
    <t>Technology-risk-Perspektive umfasst Cybersecurity-Regulierung.</t>
  </si>
  <si>
    <t>“data privacy and governance; cybersecurity regulations”</t>
  </si>
  <si>
    <t>KI-Governance soll Ergebnisgenauigkeit und Belastbarkeit sicherstellen.</t>
  </si>
  <si>
    <t>“ensure that the outputs are accurate”</t>
  </si>
  <si>
    <t>Governance für KI wird an Regulierung und Regelverständnis rückgebunden.</t>
  </si>
  <si>
    <t>“grounded in a sound understanding of AI technologies, regulations”</t>
  </si>
  <si>
    <t>Hohe Datenqualität und Verlässlichkeit werden als Bedingung formuliert.</t>
  </si>
  <si>
    <t>“training and live data being high-quality and reliable”</t>
  </si>
  <si>
    <t>KI-Einsatz wird mit Vertraulichkeits- und Haftungsfragen verknüpft.</t>
  </si>
  <si>
    <t>“data confidentiality, outsourcing and product liability”</t>
  </si>
  <si>
    <t>“assigned to specific individuals or teams”; “controls of explainability, transparency and accountability”</t>
  </si>
  <si>
    <t>Verantwortlichkeit kann Personen oder Teams zugewiesen werden.; “assigned to specific individuals or teams”</t>
  </si>
  <si>
    <t>“governance considerations such as explainability and transparency”; “high transparency in both the data and the algorithm”</t>
  </si>
  <si>
    <t>Transparenz wird als zentrale Governance-Erwägung benannt.; Transparenz explizit</t>
  </si>
  <si>
    <t>“production data has been securely randomly scrambled, changed, and anonymised”; “data privacy and governance; cybersecurity regulations”</t>
  </si>
  <si>
    <t>Für AI-Anwendungen wird Datensicherung über Anonymisierung beschrieben.; KI-Kontext + Security/Privacy-Bezug</t>
  </si>
  <si>
    <t>“how ethical principles should be applied”; “share best practices for ethical controls”</t>
  </si>
  <si>
    <t>Das Dokument rahmt KI-Nutzung ausdrücklich über ethische Prinzipien.; Ethical-use-/controls-Anker</t>
  </si>
  <si>
    <t>S. 13; S. 17; S. 18</t>
  </si>
  <si>
    <t>S. 17; S. 18</t>
  </si>
  <si>
    <t>S. 5; S. 18; S. 21</t>
  </si>
  <si>
    <t>S. 21, Abschnitt 4.3</t>
  </si>
  <si>
    <t>S. 20, Abschnitt 4.2</t>
  </si>
  <si>
    <t>Kein AI-spezifischer Eskalationsweg oder Incident-/Exception-Pfad nachweisbar.</t>
  </si>
  <si>
    <t>Dashboards und Outputs werden beschrieben, aber kein AI-Governance-Reporting mit Adressaten, Turnus oder KPI-Logik.</t>
  </si>
  <si>
    <t>Rollen/Funktionsgruppen und zuweisbare Verantwortung werden beschrieben</t>
  </si>
  <si>
    <t>nicht höher, da keine formale Org-Struktur oder Implementierungsnachweise vorliegen.</t>
  </si>
  <si>
    <t>Prozesslogik mit Monitoring, Retraining und Due Diligence ist dokumentiert</t>
  </si>
  <si>
    <t>nicht höher, da keine gelebten Nachweise/KPIs.</t>
  </si>
  <si>
    <t>Bias-Tests, zusätzliche Due Diligence und kontrollbezogene Operationalisierung sind beschrieben</t>
  </si>
  <si>
    <t>nicht höher, da keine dokumentierten Ergebnisse/Audit Trails.</t>
  </si>
  <si>
    <t>Audits werden explizit benannt</t>
  </si>
  <si>
    <t>nicht höher, da nur als Anforderung/Erwartung, nicht als bestehender Auditprozess belegt.</t>
  </si>
  <si>
    <t>Training/Zertifizierung werden ausdrücklich empfohlen</t>
  </si>
  <si>
    <t>nicht höher, da keine implementierte Schulungsarchitektur nachweisbar.</t>
  </si>
  <si>
    <t>“subjected to thorough audits”</t>
  </si>
  <si>
    <t>“training and certification programs that can upskill existing staff”</t>
  </si>
  <si>
    <t>“human subject matter experts are involved in every key step”; “business management, end users, and developers”; “assigned to specific individuals or teams”</t>
  </si>
  <si>
    <t>“models need to be regularly retrained”; “extra due diligence is needed”</t>
  </si>
  <si>
    <t>“final models must still be rigorously tested for inferred bias”; “extra due diligence is needed”; “controls of explainability, transparency and accountability”</t>
  </si>
  <si>
    <t>alle BIND-Codes</t>
  </si>
  <si>
    <t>Das Dokument ist ein Whitepaper „for information purposes only“; unklar ist, ob normative Formulierungen dennoch als BIND 2 gelesen werden dürfen.</t>
  </si>
  <si>
    <t>A: einzelne „should/need“-Passagen als BIND 2 lesen. B: alle positiven Werte konservativ als BIND 1 lesen. Gewählt: B, weil Dokumentcharakter + fehlende formale Policy-Sprache gegen höhere Bindigkeit sprechen.</t>
  </si>
  <si>
    <t>Unklar ist, ob der Verweis auf „regulations“ schon für Lawfulness &amp; Compliance genügt oder nur Kontext liefert.</t>
  </si>
  <si>
    <t>A: VAL_14=0, weil kein internes Compliance-Regelwerk beschrieben wird. B: VAL_14=1, weil Regulierung explizit als Grundlage geeigneter AI-Governance genannt wird. Gewählt: B, aber konservativ mit BIND 1.</t>
  </si>
  <si>
    <t>Unklar ist, ob benannte Rollencluster und zuweisbare Verantwortung bereits „dokumentierte Zuständigkeiten“ darstellen.</t>
  </si>
  <si>
    <t>A: GOV_01=1, nur benannte Beteiligte. B: GOV_01=2, weil Rollen/Funktionsgruppen plus Verantwortungszuweisung dokumentiert werden. Gewählt: B, da Rollen und accountability-relevante Zuordnung ausdrücklich genannt sind.</t>
  </si>
  <si>
    <t>Unklar ist, ob Auditpassagen als existierende Auditpraxis oder nur als Empfehlung zu lesen sind.</t>
  </si>
  <si>
    <t>A: GOV_04=0, da keine bestehende Auditroutine belegt ist. B: GOV_04=1, weil Audits explizit benannt und diskutiert werden. Gewählt: B, da Benennung klar vorliegt, aber nicht höher.</t>
  </si>
  <si>
    <t>Unklar ist, ob „cybersecurity regulations“ und „data confidentiality“ für eigenständige Werte genügen oder nur Nebenbedingungen darstellen.</t>
  </si>
  <si>
    <t>A: beide Codes = 0, weil keine ausführliche Operationalisierung. B: beide Codes = 1, weil explizite AI-bezogene Nennung vorliegt. Gewählt: B, konservativ mit mittlerer Sicherheit und BIND 1.</t>
  </si>
  <si>
    <t>Unklar ist, ob operative Dashboards/Alerts bereits als Reporting zu werten sind.</t>
  </si>
  <si>
    <t>A: GOV_07=1, da systemische Outputs/Visualisierungen berichtet werden. B: GOV_07=0, da kein Governance-Reporting mit Turnus/Adressat/KPI-Struktur beschrieben wird. Gewählt: B, streng nach Governance-Rubrik.</t>
  </si>
  <si>
    <t>S. 11; S. 36</t>
  </si>
  <si>
    <t>Human validation und HITL sind explizit benannt; trotz Klarheit keine formale Policy-Sprache.</t>
  </si>
  <si>
    <t>S. 36</t>
  </si>
  <si>
    <t>Accountability wird ausdrücklich genannt; bleibt orientierend, nicht deontisch.</t>
  </si>
  <si>
    <t>Transparenz ist als GenAI-Wert und über Source Attribution konkret adressiert.</t>
  </si>
  <si>
    <t>Explainability ist expliziter Kernbegriff; Dokumentation unterstützt den Wert.</t>
  </si>
  <si>
    <t>Bias/biased outputs werden im GenAI-Kontext ausdrücklich adressiert.</t>
  </si>
  <si>
    <t>S. 10</t>
  </si>
  <si>
    <t>Privacy/Confidentiality werden explizit für Daten/Prompts im GenAI-Kontext behandelt.</t>
  </si>
  <si>
    <t>S. 19</t>
  </si>
  <si>
    <t>Cybersecurity wird für GenAI ausdrücklich als notwendig bezeichnet.</t>
  </si>
  <si>
    <t>S. 19; S. 24</t>
  </si>
  <si>
    <t>Preventable errors, unintended consequences und harmful content bilden klare Harm-/Safety-Anker.</t>
  </si>
  <si>
    <t>S. 27; S. 28</t>
  </si>
  <si>
    <t>Accuracy, reliability und Monitoring sprechen klar für Robustheit; dennoch Whitepaper-Charakter.</t>
  </si>
  <si>
    <t>Kein KI-spezifischer Einspruchs-, Beschwerde- oder Redress-Mechanismus nachweisbar.</t>
  </si>
  <si>
    <t>Sprach-/Kultursensitivität und age-inclusive reskilling reichen konservativ nicht für Accessibility/Inklusivdesign.</t>
  </si>
  <si>
    <t>Sustainability-Risiken sind im Inhaltsverzeichnis erkennbar, aber im auswertbaren Evidenzmaterial kein klarer normativer KI-Umweltwert belegt.</t>
  </si>
  <si>
    <t>Nutzen-/Produktivitätsrhetorik vorhanden, aber kein hinreichend präziser Wertanker zu human well-being/social benefit.</t>
  </si>
  <si>
    <t>Externe regulatorische Erwartungen werden ausdrücklich als Referenz genannt.</t>
  </si>
  <si>
    <t>Ethische Leitlinien werden explizit auf GenAI-Governance bezogen.</t>
  </si>
  <si>
    <t>S. 9; S. 10</t>
  </si>
  <si>
    <t>Hohe Datenqualität sowie completeness/relevance/balance sind klar belegt.</t>
  </si>
  <si>
    <t>S. 24; S. 10</t>
  </si>
  <si>
    <t>Confidentiality wird explizit genannt; IP bleibt im Dokument randständiger, aber Wert insgesamt nachweisbar.</t>
  </si>
  <si>
    <t>Kein expliziter Human-Rights-Rahmen für GenAI nachweisbar.</t>
  </si>
  <si>
    <t>Accountability wird ausdrücklich als Governance-Baustein genannt.</t>
  </si>
  <si>
    <t>“data quality and accountability”</t>
  </si>
  <si>
    <t>Bias wird als Daten-/Output-Risiko und Mitigationsfeld genannt.</t>
  </si>
  <si>
    <t>“biased outputs”</t>
  </si>
  <si>
    <t>Privacy und Confidentiality von GenAI-Daten/Prompts werden ausdrücklich thematisiert.</t>
  </si>
  <si>
    <t>“confidentiality and personal privacy treatment”</t>
  </si>
  <si>
    <t>Cybersecurity-Maßnahmen werden für GenAI als notwendig bezeichnet.</t>
  </si>
  <si>
    <t>“cybersecurity measures will continue to be necessary”</t>
  </si>
  <si>
    <t>GenAI-Governance soll externe regulatorische Erwartungen erfüllen.</t>
  </si>
  <si>
    <t>“external regulatory expectations”</t>
  </si>
  <si>
    <t>Ethische Leitlinien werden ausdrücklich als Governance-Referenz genannt.</t>
  </si>
  <si>
    <t>“Navigating ethical guidelines”</t>
  </si>
  <si>
    <t>“validated by inhouse expert humans”; “Human oversight”</t>
  </si>
  <si>
    <t>Mission-kritische GenAI-Ergebnisse sollen vor Nutzung durch Menschen validiert werden.; zusätzlicher Human-Oversight-Anke</t>
  </si>
  <si>
    <t>“explainability and transparency”; “Source attribution”</t>
  </si>
  <si>
    <t>Transparenz wird als eigener Governance-Wert benannt.; Quellenangaben für generierte Inhalte werden als Technik genannt.</t>
  </si>
  <si>
    <t>“explainability and transparency”; “Model and process documentation”</t>
  </si>
  <si>
    <t>Explainability wird als eigener Governance-Wert benannt.; konkreter Kontroll-/Dokumentationsmechanismus</t>
  </si>
  <si>
    <t>“prevent preventable errors and plans for unintended consequences”; “remove unwanted or harmful content”</t>
  </si>
  <si>
    <t>Für GenAI werden Leitlinien/Sandboxes zur Vermeidung von Fehlern und Nebenfolgen gefordert.; Content-Filter sollen schädliche Inhalte entfernen.</t>
  </si>
  <si>
    <t>“accuracy, reliability and trust”; “Continuous monitoring”</t>
  </si>
  <si>
    <t>Systemrisiken werden auf Genauigkeit, Verlässlichkeit und Vertrauen bezogen.; Kontinuierliches Monitoring soll Modellabweichungen erkennen.</t>
  </si>
  <si>
    <t>“substantial amount of high-quality data”; “completeness, relevance, and balance”</t>
  </si>
  <si>
    <t>GenAI wird ausdrücklich von hoher Datenqualität abhängig gemacht.; Datenvollständigkeit, Relevanz und Balance sollen vor Lösungsgestaltung geklärt werden.</t>
  </si>
  <si>
    <t>“ensure confidentiality between groups of different users”; “confidentiality and personal privacy treatment”</t>
  </si>
  <si>
    <t>GenAI-Customization soll Vertraulichkeit zwischen Nutzergruppen sichern.; Privacy und Confidentiality von GenAI-Daten/Prompts werden ausdrücklich thematisiert.</t>
  </si>
  <si>
    <t>S. 14</t>
  </si>
  <si>
    <t>S. 24; S. 28; S. 36</t>
  </si>
  <si>
    <t>Audit Trails und audit purposes sind nachweisbar, aber kein Audit als eigenständige Aktivität/Mechanik/Frequenz.</t>
  </si>
  <si>
    <t>Kein KI-spezifischer Eskalationsprozess, Incident-Pfad oder Ansprechpartner nachweisbar.</t>
  </si>
  <si>
    <t>Metriken/ROI-Indikatoren werden diskutiert, aber keine AI-Reporting-Struktur mit Empfänger und Turnus.</t>
  </si>
  <si>
    <t>“AI-focused forums and oversight teams”</t>
  </si>
  <si>
    <t>“three-stage composable approach”</t>
  </si>
  <si>
    <t>“upskill/reskilling”</t>
  </si>
  <si>
    <t>“Model and process documentation”; “Source attribution”; “Audit trails”</t>
  </si>
  <si>
    <t>AI-focused forums and oversight teams werden genannt</t>
  </si>
  <si>
    <t>nicht höher, da weder Aufgabenlogik noch RACI/Reporting belegt sind.</t>
  </si>
  <si>
    <t>Drei-Stufen-Roadmap ist als Prozessabsicht/-struktur erkennbar</t>
  </si>
  <si>
    <t>nicht höher, da Trigger, Verantwortliche und Freigabelogik fehlen.</t>
  </si>
  <si>
    <t>Dokumentation, Source Attribution, Audit Trails, Continuous Monitoring und Content Filtering sind konkrete Check-/Kontrollmechanismen</t>
  </si>
  <si>
    <t>nicht höher, da keine Betriebsnachweise/KPIs/Protokolle berichtet werden.</t>
  </si>
  <si>
    <t>Reskilling/vocational training werden ausdrücklich genannt</t>
  </si>
  <si>
    <t>nicht höher, da kein strukturiertes Programm mit Zielgruppe/Pflichtgrad belegt ist.</t>
  </si>
  <si>
    <t>Das Dokument ist ein Whitepaper, kein formales Policy-Dokument. Mehrere Aussagen sind normativ klingend, aber dokumenttypisch eher empfehlend.</t>
  </si>
  <si>
    <t>A: einzelne Werte mit BIND=2 codieren. B: positive Werte konservativ mit BIND=1 codieren. Gewählt: B, weil der Dokumentcharakter gegen formale Policy-Bindigkeit spricht.</t>
  </si>
  <si>
    <t>GOV_04 vs. GOV_03</t>
  </si>
  <si>
    <t>„Audit trails“ sind explizit genannt; unklar ist, ob dies schon Audit im Sinne von GOV_04 darstellt.</t>
  </si>
  <si>
    <t>A: GOV_04=1, weil Auditbezug explizit ist. B: GOV_04=0 und GOV_03 positiv, weil Audit Trails eher Kontroll-/Dokumentationsmechanismus als Auditaktivität sind. Gewählt: B, konservativ nach Rubrik.</t>
  </si>
  <si>
    <t>„AI-focused forums and oversight teams“ könnten als dokumentierte Zuständigkeiten (2) oder nur benannte Einheit (1) gelten.</t>
  </si>
  <si>
    <t>A: GOV_01=2. B: GOV_01=1. Gewählt: B, weil Aufgaben, Owner, Freigaben und RACI nicht beschrieben sind.</t>
  </si>
  <si>
    <t>Die drei Stufen der Adoptionsroadmap beschreiben Prozessschritte; unklar bleibt, ob dies für Score 2 reicht.</t>
  </si>
  <si>
    <t>A: GOV_02=2, weil mehrere Prozessstufen dokumentiert sind. B: GOV_02=1, weil Trigger, Verantwortliche und Gate-Logik fehlen. Gewählt: B, konservativ gemäß Evidenzminimum des Codebooks.</t>
  </si>
  <si>
    <t>Kultur-/Sprachsensitivität und age-inclusive reskilling könnten als Inklusion verstanden werden.</t>
  </si>
  <si>
    <t>A: VAL_11=1. B: VAL_11=0. Gewählt: B, weil das Codebook für VAL_11 Accessibility/inklusive KI-Gestaltung verlangt, nicht bloß Reskilling oder sprachliche Marktanpassung.</t>
  </si>
  <si>
    <t>Energieverbrauch und Sustainability Risks sind angeschnitten; unklar ist, ob ein normativer Umweltwert im KI-Kontext vorliegt.</t>
  </si>
  <si>
    <t>A: VAL_12=1. B: VAL_12=0. Gewählt: B, weil kein hinreichend klarer Green-AI-/Umweltwohl-Anker als Zielnorm nachweisbar ist.</t>
  </si>
  <si>
    <t>Formulierungen zu gesellschaftlichem Nutzen und Produktivität könnten als Social Benefit gelesen werden.</t>
  </si>
  <si>
    <t>A: VAL_13=1. B: VAL_13=0. Gewählt: B, weil der Nutzenbezug zu allgemein und eher innovationsrhetorisch bleibt.</t>
  </si>
  <si>
    <t>Keine explizite menschliche Kontrolle/Review/Override von KI-Entscheidungen nachweisbar.</t>
  </si>
  <si>
    <t>Teams und Datenownership werden angedeutet, aber keine Verantwortung für KI-Entscheidungen/Outcomes klar benannt.</t>
  </si>
  <si>
    <t>S. 9, Q2; S. 23, Q18.2</t>
  </si>
  <si>
    <t>Transparenz wird sowohl allgemein für KI-Nutzung als auch konkret für synthetische Daten gefordert.</t>
  </si>
  <si>
    <t>S. 9, Q3</t>
  </si>
  <si>
    <t>Black-box-/Verstehbarkeitsproblem explizit benannt.</t>
  </si>
  <si>
    <t>Bias in Daten/Modellen wird ausdrücklich problematisiert.</t>
  </si>
  <si>
    <t>Datennutzung und Anonymisierung werden erwähnt, aber kein hinreichend klarer Privacy-/Data-Protection-Wertanker im KI-Kontext.</t>
  </si>
  <si>
    <t>Cybersecurity erscheint nur im Fragebogenrahmen, nicht als eigene DBG-Aussage mit KI-Anker.</t>
  </si>
  <si>
    <t>Risk avoidance wird erwähnt, aber kein eigenständiger Safety-/Harm-Prevention-Wert für KI explizit formuliert.</t>
  </si>
  <si>
    <t>S. 22, Q15; S. 27, Q26</t>
  </si>
  <si>
    <t>Reliability/trustworthiness von KI wird ausdrücklich thematisiert.</t>
  </si>
  <si>
    <t>Kein Einspruchs-, Review- oder Redress-Mechanismus für KI-Entscheidungen nachweisbar.</t>
  </si>
  <si>
    <t>Keine Accessibility-/Inklusionsanforderung für KI nachweisbar.</t>
  </si>
  <si>
    <t>Keine ökologische/nachhaltigkeitsbezogene KI-Norm im Dokument nachweisbar.</t>
  </si>
  <si>
    <t>Investor protection wird genannt, bleibt aber konservativ zu unspezifisch für einen eigenständigen Social-Benefit-Code.</t>
  </si>
  <si>
    <t>S. 39, Q42</t>
  </si>
  <si>
    <t>Der Beitrag formuliert ein explizites Rules-/Legislation-Prinzip für KI im Finanzsektor.</t>
  </si>
  <si>
    <t>“trustworthy” und “governance principles” bleiben ohne explizite ethische Grenze/Integritätsnorm zu allgemein.</t>
  </si>
  <si>
    <t>S. 9, Q3; S. 22, Q15</t>
  </si>
  <si>
    <t>Datengovernance, Datenqualität und Lifecycle-Bezug sind klar und mehrfach belegt.</t>
  </si>
  <si>
    <t>Datenverwendung wird adressiert, aber kein hinreichend klarer IP-/Confidentiality-Wert im KI-Sinn.</t>
  </si>
  <si>
    <t>Kein Human-Rights-Framework für KI nachweisbar.</t>
  </si>
  <si>
    <t>expliziter Transparenzanker im KI-Kontext</t>
  </si>
  <si>
    <t>KI-Modelle werden als schwer verständlich beschrieben.</t>
  </si>
  <si>
    <t>“outcomes difficult to understand (the ‘black box’ problem)”</t>
  </si>
  <si>
    <t>Bias in KI-Modellen wird als relevantes Risiko benannt.</t>
  </si>
  <si>
    <t>“AI models can perpetuate existing biases present in the data”</t>
  </si>
  <si>
    <t>“the ‘same business, same risk, same rules’ principle”</t>
  </si>
  <si>
    <t>expliziter Rules-/Legislation-Anker</t>
  </si>
  <si>
    <t>“guaranteeing transparency, stability, and investor protection at all times”; “more transparency as regards the derivation of ‘synthetic data’"</t>
  </si>
  <si>
    <t>“High data (information) quality is at the heart of reliable and useful AI”; “ensure reliable and trustworthy application"</t>
  </si>
  <si>
    <t>Hohe Datenqualität wird direkt mit verlässlicher KI verknüpft.; zusätzlicher Reliability-/Trustworthiness-Anker</t>
  </si>
  <si>
    <t>“a solid data governance”; “clear and strict data governance is being set-up and maintained”</t>
  </si>
  <si>
    <t>Für KI wird solide Datengovernance als Voraussetzung genannt.; Strikte Datengovernance soll für KI-Risikovermeidung aufgesetzt und gepflegt werden.</t>
  </si>
  <si>
    <t>S. 10, Q5</t>
  </si>
  <si>
    <t>S. 10, Q4.1; S. 28, Q28</t>
  </si>
  <si>
    <t>S. 23, Q18.2; S. 27, Q26</t>
  </si>
  <si>
    <t>Keine Audit-, Assurance- oder Review-Mechanik für KI nachweisbar.</t>
  </si>
  <si>
    <t>Keine AI-bezogenen Trainings-, Awareness- oder Zertifizierungsmaßnahmen nachweisbar.</t>
  </si>
  <si>
    <t>Kein KI-spezifischer Eskalationsprozess oder Ansprechpartner nachweisbar.</t>
  </si>
  <si>
    <t>Kein AI-Governance-Reporting mit Gegenstand, Empfänger oder Frequenz nachweisbar.</t>
  </si>
  <si>
    <t>Dedizierte Teams werden genannt</t>
  </si>
  <si>
    <t>nicht höher, da keine Aufgaben-, Freigabe- oder RACI-Logik beschrieben ist.</t>
  </si>
  <si>
    <t>Strukturierter Ansatz und AI-Strategie sind benannt</t>
  </si>
  <si>
    <t>nicht höher, da keine konkreten Prozessschritte mit Triggern/Verantwortlichen dokumentiert sind.</t>
  </si>
  <si>
    <t>Governance-/Risk-Protocols und Approval-Mechanismus werden erwähnt</t>
  </si>
  <si>
    <t>nicht höher, da überwiegend allgemein bzw. als Vorschlag formuliert.</t>
  </si>
  <si>
    <t>“in-house dedicated teams developing AI solutions”</t>
  </si>
  <si>
    <t>“following a structured approach”; “incorporated an AI strategy into its Horizon 2026 Strategy”</t>
  </si>
  <si>
    <t>“a simple approval mechanism”; “existing governance and risk protocols”</t>
  </si>
  <si>
    <t>Unklar ist, ob „same business, same risk, same rules“ bereits als Lawfulness &amp; Compliance zählt oder nur als regulatorische Meinung.</t>
  </si>
  <si>
    <t>A: VAL_14=0, weil keine interne Compliance-Regel beschrieben ist. B: VAL_14=1, weil ein explizites Rules-/Legislation-Prinzip für KI formuliert wird. Gewählt: B, konservativ mit BIND=1, da klarer Regulierungsanker vorliegt, aber keine deontische interne Regel.</t>
  </si>
  <si>
    <t>Unklar ist, ob der „simple approval mechanism“ bereits Score 2 rechtfertigt oder nur allgemeine Check-Orientierung belegt.</t>
  </si>
  <si>
    <t>A: GOV_03=2, weil ein Mechanismus mit Gegenstand und Anlass genannt ist. B: GOV_03=1, weil er als Vorschlag im Data-Hub-Kontext erscheint und keine interne Check-Architektur dokumentiert. Gewählt: B, konservativ.</t>
  </si>
  <si>
    <t>VAL_06 / VAL_17 / VAL_16</t>
  </si>
  <si>
    <t>Die Passage zu anonymisierten/synthetischen Daten könnte Privacy, Confidentiality oder primär Data Governance sein.</t>
  </si>
  <si>
    <t>A: zusätzlich VAL_06 und/oder VAL_17=1. B: primär VAL_16 stärken, VAL_06/17=0. Gewählt: B, da Privacy/Confidentiality nicht hinreichend explizit als eigener KI-Wert formuliert sind.</t>
  </si>
  <si>
    <t>„Investor protection“ könnte als konkreter Human-/Social-Benefit-Anker gelesen werden.</t>
  </si>
  <si>
    <t>A: VAL_13=1. B: VAL_13=0. Gewählt: B, weil der Nutzenbezug im Dokument stärker markt-/regulierungsbezogen als wohlfahrtsbezogen ausfällt.</t>
  </si>
  <si>
    <t>Dedizierte Teams und Input aus IT/Business Units könnten als dokumentierte Zuständigkeiten (2) oder nur als grob benannte Rollen (1) gelesen werden.</t>
  </si>
  <si>
    <t>A: GOV_01=2. B: GOV_01=1. Gewählt: B, da Aufgaben, Freigaben und Verantwortungslogik fehlen.</t>
  </si>
  <si>
    <t>Keine menschliche Review-, Override- oder HITL-Logik nachweisbar.</t>
  </si>
  <si>
    <t>Verantwortung wird auf Lizenz-/Kontrollpflichten bezogen, nicht auf AI-Entscheidungen/Outcomes.</t>
  </si>
  <si>
    <t>Keine Offenlegungs- oder Transparenzpflicht für AI-Einsatz/Outputs nachweisbar.</t>
  </si>
  <si>
    <t>Keine Erklärbarkeits- oder Interpretierbarkeitsanforderung nachweisbar.</t>
  </si>
  <si>
    <t>Kein Bias-/Fairness-Bezug im KI-Kontext nachweisbar.</t>
  </si>
  <si>
    <t>Es geht um Lizenzierung und Zugriffskontrolle, nicht um Datenschutz personenbezogener Daten.</t>
  </si>
  <si>
    <t>Interne Kontrollen/Entitlements sind vorhanden, aber kein expliziter Security-/Cybersecurity-Anker.</t>
  </si>
  <si>
    <t>Keine Safety-, Misuse- oder Harm-Prevention-Norm für AI nachweisbar.</t>
  </si>
  <si>
    <t>Keine Aussage zu Stabilität, Genauigkeit oder Zuverlässigkeit von AI-Outputs.</t>
  </si>
  <si>
    <t>Kein Einspruchs-, Beschwerde- oder Redress-Mechanismus nachweisbar.</t>
  </si>
  <si>
    <t>Keine ökologische KI-Norm nachweisbar.</t>
  </si>
  <si>
    <t>Kein gesellschaftlicher Nutzen-/Well-being-Anker im KI-Kontext nachweisbar.</t>
  </si>
  <si>
    <t>S. 23, Abschnitt 10</t>
  </si>
  <si>
    <t>KI-Nutzung wird ausdrücklich an korrekte Lizenzierung/NDDU-Lizenz geknüpft; deontische Regelsprache vorhanden.</t>
  </si>
  <si>
    <t>Keine ethischen Leitplanken jenseits reiner Lizenz-/Rechtskonformität nachweisbar.</t>
  </si>
  <si>
    <t>Datenzugriff wird kontrolliert, aber keine Datenqualitäts-, Herkunfts- oder Stewardship-Anforderung benannt.</t>
  </si>
  <si>
    <t>Lizenz-/Distributionsfragen betreffen Nutzungsrechte, aber kein hinreichend expliziter IP-/Confidentiality-Wertanker.</t>
  </si>
  <si>
    <t xml:space="preserve">“including use of Information in AI solutions is properly licensed”; “Customers are required to have the appropriate NDDU license in place”; </t>
  </si>
  <si>
    <t>Nutzung von DBAG-Informationen in AI-Lösungen muss ordnungsgemäß lizenziert sein.; Für AI-Lösungen wird eine passende NDDU-Lizenz ausdrücklich verlangt.</t>
  </si>
  <si>
    <t>Keine AI-bezogenen Rollen, Einheiten, Owner oder Approver benannt.</t>
  </si>
  <si>
    <t>Audit- und Billing-Abschnitte sind vorhanden, aber kein expliziter AI-spezifischer Auditmechanismus nachweisbar.</t>
  </si>
  <si>
    <t>Es gibt nur eine allgemeine Empfehlung zur Kontaktaufnahme mit DBAG, aber keinen Eskalationsprozess.</t>
  </si>
  <si>
    <t>DUD-/Reporting-Regeln sind allgemein, jedoch nicht explizit AI-spezifisch operationalisiert.</t>
  </si>
  <si>
    <t>Zugriffskette von initialem Modellzugriff bis downstream points wird beschrieben</t>
  </si>
  <si>
    <t>Interne Kontroll- und Entitlement-Systeme sind als konkreter Mechanismus mit Prüfgegenstand und Einsatzbereich beschrieben</t>
  </si>
  <si>
    <t>nicht höher, da keine Nachweise/Outputs/KPIs vorliegen.</t>
  </si>
  <si>
    <t>“establish and maintain robust internal control and entitlement systems”; “should start with the AI model’s initial access to the data corpus”; “ensure that there exists an internal control for access”</t>
  </si>
  <si>
    <t>“should start with the AI model’s initial access to the data corpus”; “extend to every downstream point where the model interacts”</t>
  </si>
  <si>
    <t>Unklar ist, ob die AI-Lizenzpflicht im Guidance-Dokument nur als Orientierung (BIND 1) oder als Policy-Regel (BIND 2) zu lesen ist.</t>
  </si>
  <si>
    <t>A: BIND=1, weil das Dokument laut Disclaimer Guidance ist. B: BIND=2, weil deontische Formulierungen wie “requires” und “are required” vorliegen. Gewählt: B, da Regeltext explizit deontisch formuliert ist.</t>
  </si>
  <si>
    <t>Unklar ist, ob “internal control and entitlement systems” als Sicherheitswert oder nur als Governance-Mechanismus zu codieren sind.</t>
  </si>
  <si>
    <t>A: zusätzlich VAL_07=1. B: nur GOV_03 positiv. Gewählt: B, da kein expliziter Security-/Cybersecurity-Anker vorliegt und das Codebook für VAL_07 klareren Schutz-/Angriffsbezug verlangt.</t>
  </si>
  <si>
    <t>Die Formulierung vom initialen Zugriff bis zu downstream points könnte Score 2 nahelegen, weil mehrere Prozesspunkte genannt sind.</t>
  </si>
  <si>
    <t>A: GOV_02=2, weil mehrere Schritte der Zugriffskette sichtbar sind. B: GOV_02=1, weil Trigger, Verantwortliche und Freigabelogik fehlen. Gewählt: B, konservativ nach Rubrik.</t>
  </si>
  <si>
    <t>Die Empfehlung, DBAG für Fragen oder Guidance zu kontaktieren, könnte als Ansprechpartner gelten.</t>
  </si>
  <si>
    <t>A: GOV_06=1, weil Kontaktaufnahme genannt ist. B: GOV_06=0, weil kein Eskalationsmechanismus, keine Stufenlogik und kein AI-spezifischer Incident-/Ticket-Prozess beschrieben sind. Gewählt: B, konservativ.</t>
  </si>
  <si>
    <t>Die Passage zur Lizenzierung von durch AI generierten Inhalten könnte als IP-/Nutzungsrechte-Thema gelesen werden.</t>
  </si>
  <si>
    <t>A: VAL_17=1, weil Distributionsrechte von AI-generierten Inhalten angesprochen sind. B: VAL_17=0, weil der Text keine explizite IP-/Confidentiality-Norm formuliert, sondern nur Lizenzpflichten. Gewählt: B, konservativ.</t>
  </si>
  <si>
    <t>GOV_04, GOV_07</t>
  </si>
  <si>
    <t>Das Dokument enthält allgemeine Audit- und Reporting-Passagen, aber deren KI-Bezug ist unklar.</t>
  </si>
  <si>
    <t>A: GOV_04/GOV_07 positiv, weil Audit/Reporting im Gesamtdokument geregelt sind. B: GOV_04/GOV_07 = 0, weil die KI-Anker-Regel keine explizite Verbindung dieser Mechaniken zur AI-Nutzung erlaubt. Gewählt: B, streng nach KI-Anker-Regel.</t>
  </si>
  <si>
    <t>S. 9, Abschnitt 7</t>
  </si>
  <si>
    <t>Kill switch ist eine konkrete Override-/Stop-Mechanik; daher prozessual operationalisiert.</t>
  </si>
  <si>
    <t>S. 3, Abschnitt 1</t>
  </si>
  <si>
    <t>Verantwortliche für AI systems/features werden klar definiert; konkrete Rollen-/Ownership-Logik erkennbar.</t>
  </si>
  <si>
    <t>S. 6, Abschnitt 4; S. 8, Abschnitt 6</t>
  </si>
  <si>
    <t>Offenlegung der KI-Interaktion plus Dokumentationsanspruch; mehr als bloßes Leitbild.</t>
  </si>
  <si>
    <t>S. 8, Abschnitt 6</t>
  </si>
  <si>
    <t>Vermeidung von Black Boxes bereits im initial algorithm deutet auf verbindliche Designvorgabe.</t>
  </si>
  <si>
    <t>S. 8, Abschnitt 6; S. 9, Abschnitt 7</t>
  </si>
  <si>
    <t>Fairness ist benannt und durch Bias-bezogene Datenkontrolle operationalisiert.</t>
  </si>
  <si>
    <t>S. 6, Abschnitt 4; S. 7, Abschnitt 5; S. 8, Abschnitt 6</t>
  </si>
  <si>
    <t>Wahlmöglichkeiten, legal permission und privacy by design bilden konkrete Schutzlogik.</t>
  </si>
  <si>
    <t>S. 4, Abschnitt 2; S. 7, Abschnitt 5; S. 8, Abschnitt 6</t>
  </si>
  <si>
    <t>Security wird als technische Anforderung und als by-design-/access-control-Prinzip operationalisiert.</t>
  </si>
  <si>
    <t>Unintended harm und Stoppen bei Inkonsistenzen sind klare Safety-/Harm-Mechaniken.</t>
  </si>
  <si>
    <t>S. 4, Abschnitt 2; S. 8, Abschnitt 6; S. 9, Abschnitt 7</t>
  </si>
  <si>
    <t>Robustheit ist explizit benannt und durch Szenarien sowie Stop-Logik operationalisiert.</t>
  </si>
  <si>
    <t>S. 5, Abschnitt 3; S. 11, Abschnitt 9</t>
  </si>
  <si>
    <t>Nutzen für Kundschaft sowie Unterstützung von Gesellschaft/Mitarbeitenden werden explizit adressiert; bleibt normativ, aber nicht prozessual.</t>
  </si>
  <si>
    <t>S. 4, Abschnitt 2; S. 7, Abschnitt 5</t>
  </si>
  <si>
    <t>Deontische Rechtskonformität ist klar; keine Kopplung an Inventare/Assessments/Doku-Pflichten für BIND 3.</t>
  </si>
  <si>
    <t>S. 4, Abschnitt 2; S. 11, Abschnitt 9</t>
  </si>
  <si>
    <t>Ethische Werte und ethics education sind explizit; bleibt als normative Leitplanke unterhalb klarer Prozessvorgabe.</t>
  </si>
  <si>
    <t>S. 7, Abschnitt 5; S. 9, Abschnitt 7</t>
  </si>
  <si>
    <t>Diverse/appropriate input, Bias-Bereinigung und Access-Übersicht sind konkrete Data-Governance-Vorgaben.</t>
  </si>
  <si>
    <t>Für jedes KI-System sollen Verantwortlichkeiten klar definiert werden.</t>
  </si>
  <si>
    <t>“clear definition of who is responsible for which AI system or feature”</t>
  </si>
  <si>
    <t>Deutsche Telekom will KI-Systeme jederzeit stoppen können.</t>
  </si>
  <si>
    <t>“deactivate and stop AI systems at any time (kill switch)”</t>
  </si>
  <si>
    <t>Black Boxes sollen bereits in der Algorithmusgestaltung vermieden werden.</t>
  </si>
  <si>
    <t>“In no case we hide it when the customer’s counterpart is an AI”; “transparent, auditable, fair, and fully documented”</t>
  </si>
  <si>
    <t>Kundinnen und Kunden sollen immer erkennen können, wenn sie mit KI interagieren.; Wert- und Dokumentationsanker</t>
  </si>
  <si>
    <t>“transparent, auditable, fair, and fully documented”; “remove inappropriate data to avoid bias”</t>
  </si>
  <si>
    <t>KI-Lösungen sollen dokumentiert, transparent, auditable und fair sein.; Fairness- und Data-Governance-Anker</t>
  </si>
  <si>
    <t>“how and to which extent they can choose the way of further processing their personal data”; “privacy und security by design”; “We never process privacy-relevant data without legal permission”</t>
  </si>
  <si>
    <t>Kundinnen und Kunden sollen Wahlmöglichkeiten zur Verarbeitung ihrer Daten erkennen können.; prozessualer und technischer Rahmen; deontische Privacy-/Compliance-Regel</t>
  </si>
  <si>
    <t>“security, robustness, etc.”; “privacy und security by design”; “full overview of how customer related data is used and who has access"</t>
  </si>
  <si>
    <t>KI soll dieselben hohen technischen Anforderungen wie andere IT erfüllen.; prozessualer und technischer Rahmen; konkreter Kontroll- und Access-Anker</t>
  </si>
  <si>
    <t>“systems shall not unintentionally harm the users”; “we rather stop the AI system”</t>
  </si>
  <si>
    <t>KI-Systeme sollen Nutzer nicht unbeabsichtigt schädigen.; Bei Inkonsistenzen soll das System lieber gestoppt werden.</t>
  </si>
  <si>
    <t>“security, robustness, etc.”; “we rather stop the AI system”; “risks and chances scenarios or reliable disaster scenarios”</t>
  </si>
  <si>
    <t>Security- und Robustheitsanker; Bei Inkonsistenzen soll das System lieber gestoppt werden.; prozess- und prüfbezogene Operationalisierung</t>
  </si>
  <si>
    <t>“serve a useful purpose towards our customers”; “enabling our colleagues and employees”</t>
  </si>
  <si>
    <t>KI- und Datennutzung soll den Kundinnen und Kunden konkret nützen.; interner Befähigungs- und Nutzenbezug</t>
  </si>
  <si>
    <t>“must subordinate to human-defined rules and laws”; “We never process privacy-relevant data without legal permission”</t>
  </si>
  <si>
    <t>KI-Systeme müssen menschlich definierten Regeln und Gesetzen untergeordnet sein.; deontische Privacy-/Compliance-Regel</t>
  </si>
  <si>
    <t>explizite ethische Leitplanke; Das Unternehmen kündigt AI- und Ethics-Education an.</t>
  </si>
  <si>
    <t>“have to comply with our company values, ethical values, and societal conventions”; “We will engage in AI and ethics education”</t>
  </si>
  <si>
    <t>“remove inappropriate data to avoid bias”; “diverse and appropriate data input”; “full overview of how customer related data is used and who has access”</t>
  </si>
  <si>
    <t>Ungeeignete Daten sollen entfernt werden, um Bias zu vermeiden.; konkreter Kontroll- und Access-Anker; Datenqualitäts-/Repräsentativitätsanker</t>
  </si>
  <si>
    <t>“Auditable” ist nur Qualitätsattribut; kein Audit, Assessment oder Review als Aktivität/Frequenz beschrieben.</t>
  </si>
  <si>
    <t>S. 11, Abschnitt 9</t>
  </si>
  <si>
    <t>Kein Ansprechpartner, Ticket-, Hotline- oder Stufenprozess für AI-Eskalation nachweisbar.</t>
  </si>
  <si>
    <t>Keine Reporting-Struktur zu AI-Risiken, Kontrollen oder Vorfällen nachweisbar.</t>
  </si>
  <si>
    <t>Rollen/Ownership für AI systems/features und product owners sind beschrieben</t>
  </si>
  <si>
    <t>nicht höher, da keine Reporting-/Regelterminbelege vorliegen.</t>
  </si>
  <si>
    <t>Impact analysis, privacy/security by design sowie scenario work beschreiben Prozessschritte</t>
  </si>
  <si>
    <t>nicht höher ohne Nachweise/KPIs/Review-Zyklen.</t>
  </si>
  <si>
    <t>Access overview, kill switch, Bias-Datenbereinigung und Stop-Logik sind konkrete Kontrollmechanismen</t>
  </si>
  <si>
    <t>nicht höher ohne Betriebsnachweise/Protokolle.</t>
  </si>
  <si>
    <t>AI and ethics education sowie Befähigung von Mitarbeitenden sind angekündigt</t>
  </si>
  <si>
    <t>nicht höher ohne Programmstruktur/Pflichtgrad.</t>
  </si>
  <si>
    <t>“privacy und security by design”; “risks and chances scenarios or reliable disaster scenarios”</t>
  </si>
  <si>
    <t>“full overview of how customer related data is used and who has access”; “deactivate and stop AI systems at any time (kill switch)”; “remove inappropriate data to avoid bias”</t>
  </si>
  <si>
    <t>“We will engage in AI and ethics education”; “enabling our colleagues and employees”</t>
  </si>
  <si>
    <t>Die Formulierung „auditable“ könnte als Auditbezug missverstanden werden.</t>
  </si>
  <si>
    <t>A: GOV_04=1, weil Auditfähigkeit erwähnt ist. B: GOV_04=0, weil laut Codebook ein bloßes Qualitätsattribut nicht genügt. Gewählt: B.</t>
  </si>
  <si>
    <t>VAL_03 vs. VAL_04</t>
  </si>
  <si>
    <t>Transparenz und Explainability liegen semantisch nah beieinander.</t>
  </si>
  <si>
    <t>A: nur VAL_03. B: VAL_03 + VAL_04 getrennt. Gewählt: B, weil Offenlegung der AI-Interaktion (VAL_03) und Vermeidung von Black Boxes (VAL_04) unterschiedliche Codebook-Logiken erfüllen.</t>
  </si>
  <si>
    <t>VAL_01 vs. GOV_03</t>
  </si>
  <si>
    <t>Der kill switch kann als Wert der menschlichen Kontrolle und als Kontrollmechanismus gelesen werden.</t>
  </si>
  <si>
    <t>A: nur GOV_03. B: VAL_01 + GOV_03. Gewählt: B, da das Codebook VAL_01 bei explizitem human control/override vorsieht.</t>
  </si>
  <si>
    <t>Kundennutzen und gesellschaftliche Unterstützung könnten als bloße Nutzenrhetorik gelten.</t>
  </si>
  <si>
    <t>A: VAL_13=0. B: VAL_13=1. Gewählt: B, weil das Codebook kundenseitigen Nutzen ausdrücklich zulässt, wenn er konkret formuliert ist (“serve a useful purpose”).</t>
  </si>
  <si>
    <t>VAL_14 BIND</t>
  </si>
  <si>
    <t>Die Rechtskonformität ist klar deontisch, aber nicht an konkrete Compliance-Tools gekoppelt.</t>
  </si>
  <si>
    <t>A: BIND=2. B: BIND=3. Gewählt: A, da das Codebook BIND 3 nur bei Kopplung an konkrete Assessments/Inventare/Dokumentationspflichten vorsieht.</t>
  </si>
  <si>
    <t>Das Dokument enthält mehrere Prozessschritte, aber keine Trigger/Owner bei jedem Schritt.</t>
  </si>
  <si>
    <t>A: GOV_02=1. B: GOV_02=2. Gewählt: B, weil Impact analysis, by-design-Ansatz und Szenarien konkrete Prozessschritte darstellen; nicht höher ohne Implementierungsnachweis.</t>
  </si>
  <si>
    <t>S. 1, Prinzipienliste</t>
  </si>
  <si>
    <t>„End-to-End Responsibility“ ist als eigenes Green-AI-Prinzip explizit benannt, aber nicht weiter operationalisiert.</t>
  </si>
  <si>
    <t>„Transparent CO2 Footprint“ bezieht sich auf Umwelttransparenz; kein hinreichend klarer AI-Transparenzcode zu Systemen/Entscheidungen.</t>
  </si>
  <si>
    <t>Keine Erklärbarkeits- oder Black-Box-Passage nachweisbar.</t>
  </si>
  <si>
    <t>Kein Bias-/Fairness-Bezug nachweisbar.</t>
  </si>
  <si>
    <t>Kein Datenschutz-/Privacy-Bezug nachweisbar.</t>
  </si>
  <si>
    <t>Kein Security-/Cybersecurity-Anker nachweisbar.</t>
  </si>
  <si>
    <t>Risiken werden mit Blick auf Carbon Footprint erwähnt, aber nicht als allgemeine Safety-/Harm-Prevention-Norm codierbar.</t>
  </si>
  <si>
    <t>„Optimized AI Models“ bleibt ohne klare Robustheits-/Reliabilitätsaussage zu unspezifisch.</t>
  </si>
  <si>
    <t>Das Dokument ist vollständig auf umweltverträgliche bzw. klimabezogene KI ausgerichtet; bleibt als Guidance auf Prinzipienebene.</t>
  </si>
  <si>
    <t>Klimaschutz ist vorhanden, wurde hier konservativ unter VAL_12 und nicht zusätzlich unter Social Benefit codiert.</t>
  </si>
  <si>
    <t>Keine Rechts-, Regulierungs- oder Compliancepflicht für KI nachweisbar.</t>
  </si>
  <si>
    <t>Nachhaltigkeitsorientierung allein genügt hier konservativ nicht für einen eigenständigen Integrity-/Ethics-Code.</t>
  </si>
  <si>
    <t>Keine Datenqualitäts-, Lineage- oder Stewardship-Anforderung nachweisbar.</t>
  </si>
  <si>
    <t>Kein IP-/Confidentiality-Bezug nachweisbar.</t>
  </si>
  <si>
    <t>Verantwortung über die gesamte KI-Wertschöpfung wird als Prinzip benannt.</t>
  </si>
  <si>
    <t>“End-to-End Responsibility”</t>
  </si>
  <si>
    <t>“AI can contribute to climate protection”; “consumes a huge amount of energy and resources”; “developed and used in a more environmentally sustainable way”</t>
  </si>
  <si>
    <t>klarer Nachhaltigkeits-/Klimabezug im KI-Kontext; stützt ökologischen KI-Wert; Nachhaltigere KI wird als ausdrückliches Ziel von Entwicklung und Nutzung formuliert.</t>
  </si>
  <si>
    <t>Verantwortung wird als Prinzip benannt, aber keine Rollen, Owner oder Zuständigkeitsarchitektur werden beschrieben.</t>
  </si>
  <si>
    <t>Kein Audit-, Review- oder Assurance-Mechanismus nachweisbar.</t>
  </si>
  <si>
    <t>Keine Trainings-, Awareness- oder Zertifizierungsmaßnahmen nachweisbar.</t>
  </si>
  <si>
    <t>Kein Eskalationsweg oder Ansprechpartner nachweisbar.</t>
  </si>
  <si>
    <t>„Transparent CO2 Footprint“ deutet potenziell auf Messung/Offenlegung, aber keine Reporting-Struktur mit Empfänger, Frequenz oder KPI-Logik ist belegt.</t>
  </si>
  <si>
    <t>Guidance für nachhaltigere Entwicklung und Nutzung von KI ist ausdrücklich benannt</t>
  </si>
  <si>
    <t>nicht höher, da keine Prozessschritte, Trigger oder Verantwortlichen beschrieben sind.</t>
  </si>
  <si>
    <t>Operative Hebel wie CO2-Footprint, Dynamic Sizing, Optimized AI Models und Green Coding werden benannt</t>
  </si>
  <si>
    <t>nicht höher, da keinerlei Ausgestaltung/Nachweis vorliegt.</t>
  </si>
  <si>
    <t>“consumes a huge amount of energy and resources”</t>
  </si>
  <si>
    <t>“provide guidance on how AI solutions can be developed and used”</t>
  </si>
  <si>
    <t>VAL_02 / GOV_01</t>
  </si>
  <si>
    <t>Unklar ist, ob der Prinzipientitel nur einen Wert oder bereits Governance-Zuständigkeit belegt.</t>
  </si>
  <si>
    <t>A: VAL_02=1 und GOV_01=1. B: VAL_02=1 und GOV_01=0. Gewählt: B, da Verantwortung zwar als Prinzip explizit ist, aber keine Rollen-/Owner-Struktur beschrieben wird.</t>
  </si>
  <si>
    <t>VAL_03 / GOV_07</t>
  </si>
  <si>
    <t>Unklar ist, ob Umwelttransparenz bereits als allgemeiner Transparenzwert oder Reporting zählt.</t>
  </si>
  <si>
    <t>A: VAL_03=1 und/oder GOV_07=1. B: beide 0. Gewählt: B, weil die Passage keine Transparenz zu KI-Systemen/Entscheidungen und keine Reporting-Struktur ausweist.</t>
  </si>
  <si>
    <t>Unklar ist, ob benannte Hebel wie Dynamic Sizing und Green Coding bereits als Tools/Checks zählen.</t>
  </si>
  <si>
    <t>A: GOV_03=0, weil nur Überschriften vorliegen. B: GOV_03=1, weil konkrete Mechanismenfamilien explizit benannt sind. Gewählt: B, konservativ nur Score 1, da das Codebook „benannt“ für niedrige Stufe zulässt.</t>
  </si>
  <si>
    <t>Unklar ist, ob die Guidance für nachhaltigere Entwicklung/Nutzung bereits Prozessbezug ausreichend belegt.</t>
  </si>
  <si>
    <t>A: GOV_02=0. B: GOV_02=1. Gewählt: B, weil der Satz ausdrücklich auf Entwicklung und Nutzung von AI solutions abzielt, aber ohne detaillierte Prozessschritte.</t>
  </si>
  <si>
    <t>VAL_13 / VAL_12</t>
  </si>
  <si>
    <t>„AI can contribute to climate protection“ könnte zusätzlich als Social Benefit gelesen werden.</t>
  </si>
  <si>
    <t>A: VAL_12=1 und VAL_13=1. B: nur VAL_12=1. Gewählt: B, weil der Nutzen klar ökologisch und damit passgenauer unter Sustainability codierbar ist.</t>
  </si>
  <si>
    <t>Unklar ist, ob Optimierung bereits technische Robustheit/Zuverlässigkeit meint.</t>
  </si>
  <si>
    <t>A: VAL_09=1. B: VAL_09=0. Gewählt: B, da keine Aussage zu Accuracy, Stability, Reliability oder Robustness vorliegt.</t>
  </si>
  <si>
    <t>091_15_Digital Ethics_190226.pdf</t>
  </si>
  <si>
    <t>S. 4, Abschnitt 6.6</t>
  </si>
  <si>
    <t>Jederzeitige Stop-/Shutdown-Möglichkeit durch verantwortlichen Nutzer ist konkrete Override-Mechanik.</t>
  </si>
  <si>
    <t>Verantwortliche für System und AI-Funktion sind klar zu definieren; konkrete Operationalisierung.</t>
  </si>
  <si>
    <t>Nutzertransparenz plus verständliche Dokumentation/Disclosure gehen über bloße Absicht hinaus.</t>
  </si>
  <si>
    <t>„Comprehensible manner“ für AI-Algorithmen ist als konkrete Dokumentationsanforderung formuliert.</t>
  </si>
  <si>
    <t>Nichtdiskriminierung ist klar deontisch, aber ohne zusätzliche Prozesslogik.</t>
  </si>
  <si>
    <t>Datenschutz wird rechtlich und vertraglich gebunden; konkrete Dokumentations-/Compliance-Architektur vorhanden.</t>
  </si>
  <si>
    <t>Sicherheitsvorgaben sind explizit, aber ohne weiter ausdifferenzierte Security-Mechanik.</t>
  </si>
  <si>
    <t>Kein ausdrücklicher Safety-/Harm-Prevention-Anker für KI nachweisbar.</t>
  </si>
  <si>
    <t>Keine Aussage zu Accuracy, Robustheit oder Reliability von KI-Outputs.</t>
  </si>
  <si>
    <t>Kein Einspruchs-, Review- oder Redress-Mechanismus für Betroffene nachweisbar.</t>
  </si>
  <si>
    <t>Barrier-free access ist explizit und deontisch formuliert.</t>
  </si>
  <si>
    <t>Kein Umwelt-/Green-AI-Anker im KI-Abschnitt nachweisbar.</t>
  </si>
  <si>
    <t>Kein expliziter gesellschaftlicher Nutzen-/Well-being-Anker im KI-Abschnitt nachweisbar.</t>
  </si>
  <si>
    <t>Eindeutige Rechts- und Regulierungspflicht, aber keine separate Compliance-Prozesslogik für BIND 3.</t>
  </si>
  <si>
    <t>Europäische Grundwerte bilden normative Leitplanke; bleibt unterhalb konkreter Ethik-Checks.</t>
  </si>
  <si>
    <t>Dokumentation der Datennutzung ist belegt, aber keine Datenqualitäts-, Repräsentativitäts- oder Stewardship-Anforderung.</t>
  </si>
  <si>
    <t>Kein expliziter IP-/Confidentiality-Anker im KI-Abschnitt nachweisbar.</t>
  </si>
  <si>
    <t>Breite Human-Rights-Passagen existieren im Dokument, aber nicht mit klarem KI-Anker in Abschnitt 6.6.</t>
  </si>
  <si>
    <t>Verantwortliche Nutzer müssen KI-Systeme jederzeit stoppen können.</t>
  </si>
  <si>
    <t>“stop or shut down his AI systems at any time”</t>
  </si>
  <si>
    <t>Für jede KI-Lösung und KI-Funktion müssen Verantwortliche festgelegt sein.</t>
  </si>
  <si>
    <t>“has clearly defined for his AI solutions who is responsible”</t>
  </si>
  <si>
    <t>Datenverarbeitung und KI-Algorithmen müssen verständlich dokumentiert werden.</t>
  </si>
  <si>
    <t>KI-Systeme dürfen nicht diskriminierend sein.</t>
  </si>
  <si>
    <t>“The use of AI systems shall be non-discriminatory”</t>
  </si>
  <si>
    <t>AI-bezogene Datenverarbeitung unterliegt Sicherheitsvorgaben.</t>
  </si>
  <si>
    <t>“data protection and security provisions”</t>
  </si>
  <si>
    <t>Barrierefreier Zugang zu KI-Systemen wird zugesichert.</t>
  </si>
  <si>
    <t>“Barrier-free access is guaranteed.”</t>
  </si>
  <si>
    <t>AI-Algorithmen und Datennutzung müssen geltendem Recht entsprechen.</t>
  </si>
  <si>
    <t>“shall be subject to applicable law and regulations”</t>
  </si>
  <si>
    <t>Entwicklung und Nutzung von KI werden an europäische Grundwerte gebunden.</t>
  </si>
  <si>
    <t>“carried out according to the European fundamental values”</t>
  </si>
  <si>
    <t xml:space="preserve">“documented in a comprehensible manner”; </t>
  </si>
  <si>
    <t>“The use of AI systems shall be non-discriminatory and transparent towards users.”; “documented in a comprehensible manner”; “to be disclosed to DTAG if required”</t>
  </si>
  <si>
    <t>KI-Systeme müssen Nutzerinnen und Nutzern gegenüber transparent sein.; Explainability-/Comprehensibility-Anker; dokumentierter Prozess-/Disclosure-Schritt</t>
  </si>
  <si>
    <t>“subject to applicable law and regulations, in particular the statutory data protection”; “shall adhere to all applicable data protection laws”</t>
  </si>
  <si>
    <t>AI-bezogene Datenverarbeitung unterliegt Datenschutz- und Sicherheitsrecht.; zusätzlicher Datenschutzanker</t>
  </si>
  <si>
    <t>Allgemeine Audit-Abschnitte vorhanden, aber kein explizit KI-spezifischer Auditmechanismus nachweisbar.</t>
  </si>
  <si>
    <t>Allgemeine SCoC-Trainings erwähnt, aber keine explizite AI-bezogene Schulung oder Awareness-Maßnahme.</t>
  </si>
  <si>
    <t>Allgemeine Non-conformity-/Remedy-Logik vorhanden, aber kein expliziter KI-spezifischer Eskalationsweg.</t>
  </si>
  <si>
    <t>Disclosure an DTAG erfolgt nur „if required“; kein reguläres AI-Reporting mit Turnus/Empfängerstruktur belegt.</t>
  </si>
  <si>
    <t>Verantwortlichkeiten für System und AI-Funktion sind dokumentiert</t>
  </si>
  <si>
    <t>nicht höher, da keine weitere Rollen-/Reporting-Architektur belegt ist.</t>
  </si>
  <si>
    <t>Dokumentation und bedarfsweise Disclosure an DTAG beschreiben Prozessanforderungen</t>
  </si>
  <si>
    <t>nicht höher ohne Nachweise/KPIs.</t>
  </si>
  <si>
    <t>Emergency stop sowie konkrete Dokumentationsgegenstände sind als Kontrollmechanismen benannt</t>
  </si>
  <si>
    <t>nicht höher ohne Implementierungsnachweise.</t>
  </si>
  <si>
    <t>“who is responsible for which system and which AI function”</t>
  </si>
  <si>
    <t>“to be disclosed to DTAG if required”; “Data processing and AI algorithms, as well as the use of the data”</t>
  </si>
  <si>
    <t>“emergency stop”; “Data processing and AI algorithms, as well as the use of the data”</t>
  </si>
  <si>
    <t>„documented in a comprehensible manner“ kann sowohl Transparenz als auch Explainability berühren.</t>
  </si>
  <si>
    <t>A: nur VAL_03. B: VAL_03 + VAL_04. Gewählt: B, weil Nutzertransparenz und Verständlichkeit der Algorithmen unterschiedliche Codebook-Logiken erfüllen.</t>
  </si>
  <si>
    <t>Die Dokumentation von Datennutzung könnte als Data Governance verstanden werden.</t>
  </si>
  <si>
    <t>A: VAL_16=1. B: VAL_16=0. Gewählt: B, da Datenqualität, Repräsentativität, Herkunft oder Stewardship nicht explizit benannt sind.</t>
  </si>
  <si>
    <t>VAL_07 vs. GOV_03</t>
  </si>
  <si>
    <t>Sicherheitsvorgaben und Emergency Stop können sowohl Wert- als auch Kontrollmechanik sein.</t>
  </si>
  <si>
    <t>A: nur GOV_03 positiv. B: VAL_07 und GOV_03 getrennt codieren. Gewählt: B, weil Sicherheitsvorgaben normativen Wertcharakter haben, der Emergency Stop aber zusätzlich konkreter Check ist.</t>
  </si>
  <si>
    <t>GOV_04 / GOV_05 / GOV_06</t>
  </si>
  <si>
    <t>Allgemeine Audit-, Remedy- und Trainingspassagen könnten auch die AI-Prinzipien des SCoC mitumfassen.</t>
  </si>
  <si>
    <t>A: GOV_04/05/06 positiv, weil sie für alle Principles gelten. B: GOV_04/05/06 = 0, weil kein expliziter KI-Anker im Sinne von R1 vorliegt. Gewählt: B, konservativ nach KI-Anker-Regel.</t>
  </si>
  <si>
    <t>VAL_15 vs. VAL_18</t>
  </si>
  <si>
    <t>„European fundamental values“ könnte als ethische Leitplanke oder als menschenrechtlicher Anker gelesen werden.</t>
  </si>
  <si>
    <t>A: VAL_15=1 und VAL_18=1. B: nur VAL_15=1. Gewählt: B, da kein expliziter Human-Rights-Bezug im KI-Satz selbst genannt ist.</t>
  </si>
  <si>
    <t>„to be disclosed to DTAG if required“ könnte als Reporting gewertet werden.</t>
  </si>
  <si>
    <t>A: GOV_07=1. B: GOV_07=0. Gewählt: B, weil keine regelmäßige Reporting-Struktur, kein Turnus und keine festen Empfängerlogiken beschrieben sind.</t>
  </si>
  <si>
    <t>VAL_01 / VAL_13 / VAL_18</t>
  </si>
  <si>
    <t>Human sovereignty, dignity, freedom and autonomy werden stark betont; unklar ist, ob dies über “This also applies to artificial intelligence” direkt AI-codierbar ist.</t>
  </si>
  <si>
    <t>A: VAL_01 und/oder VAL_18 positiv codieren. B: nicht positiv codieren. Gewählt: B, da der AI-Anker für diese allgemeinen Grundsätze zu indirekt bleibt und keine AI-spezifische Operationalisierung folgt.</t>
  </si>
  <si>
    <t>Die drei Autoritäten könnten auch als Wertanker für Accountability gelesen werden.</t>
  </si>
  <si>
    <t>A: zusätzlich VAL_02=1. B: nur GOV_01 positiv. Gewählt: B, weil das Dokument Strukturen und Autoritäten beschreibt, aber keine explizite Verantwortungszuweisung für konkrete AI-Systeme/-Entscheidungen ausformuliert.</t>
  </si>
  <si>
    <t>Das Vorhandensein eines konkreten AI-Checks könnte Score 3 nahelegen.</t>
  </si>
  <si>
    <t>A: GOV_03=3, weil ein reales Tool existiert. B: GOV_03=2, weil zwar ein Tool benannt ist, aber keine Nutzungsnachweise, KPIs oder Prüfprotokolle vorliegen. Gewählt: B, konservativ nach Rubrik.</t>
  </si>
  <si>
    <t>Unklar ist, ob dies schon Training/Schulung oder nur Support/Awareness beschreibt.</t>
  </si>
  <si>
    <t>A: GOV_05=0. B: GOV_05=1. Gewählt: B, da Awareness-/Unterstützungscharakter explizit erkennbar ist, aber kein formales Trainingsprogramm dokumentiert wird.</t>
  </si>
  <si>
    <t>VAL_14 / GOV_07</t>
  </si>
  <si>
    <t>AI Pact und legislative monitoring könnten als Reporting oder besonders starke Compliance-Struktur gelesen werden.</t>
  </si>
  <si>
    <t>A: zusätzlich GOV_07=1. B: GOV_07=0 und nur VAL_14/GOV_03 positiv. Gewählt: B, weil weder Turnus noch Berichtsempfänger oder interne Reporting-Struktur beschrieben sind.</t>
  </si>
  <si>
    <t>VAL_15 BIND</t>
  </si>
  <si>
    <t>Die Einbettung in CoC und Supplier Code könnte BIND 2 oder 3 rechtfertigen.</t>
  </si>
  <si>
    <t>A: BIND=2, weil institutionell verankert. B: BIND=3, weil zusätzlich ein konkreter AI*ICARE Check Wertekompatibilität prüft. Gewählt: B, da eine toolgestützte Operationalisierung im Dokument selbst belegt ist.</t>
  </si>
  <si>
    <t>Human-centered-/Autonomie-Passagen sind vorhanden, aber der AI-Bezug bleibt dafür zu indirekt.</t>
  </si>
  <si>
    <t>Governance-Autoritäten sind beschrieben, aber keine explizite Verantwortungszuweisung für AI-Systeme/-Outcomes selbst.</t>
  </si>
  <si>
    <t>Keine explizite Nutzertransparenz, Offenlegung von AI-Nutzung oder Systemtransparenz nachweisbar.</t>
  </si>
  <si>
    <t>Keine Erklärbarkeits- oder Black-Box-Anforderung nachweisbar.</t>
  </si>
  <si>
    <t>Kein Bias-/Fairness-Bezug in den AI-Passagen nachweisbar.</t>
  </si>
  <si>
    <t>S. 1, Abschnitt “Responsible use of artificial intelligence”</t>
  </si>
  <si>
    <t>Privacy-by-design und klare Standards für employee data in AI systems belegen konkrete Operationalisierung.</t>
  </si>
  <si>
    <t>Regulatory/approval-Bezug reicht ohne expliziten Security-Anker nicht aus.</t>
  </si>
  <si>
    <t>Kein ausdrücklicher Safety-/Harm-Prevention-Anker für AI nachweisbar.</t>
  </si>
  <si>
    <t>Keine Aussage zu Accuracy, Robustheit oder Reliability von AI-Outputs.</t>
  </si>
  <si>
    <t>Keine AI-spezifische Accessibility-/Inklusionsanforderung nachweisbar.</t>
  </si>
  <si>
    <t>Kein Umwelt-/Green-AI-Anker in diesem Dokument nachweisbar.</t>
  </si>
  <si>
    <t>Human-centered-Rahmung bleibt für AI-spezifische Codierung zu allgemein.</t>
  </si>
  <si>
    <t>S. 2, “Responsible use of artificial intelligence” / “AIICARE Check”</t>
  </si>
  <si>
    <t>AI Pact plus konkreter Compliance-Selbsttest zu legal/internal requirements und Freigabe belegen prozessnahe Bindigkeit.</t>
  </si>
  <si>
    <t>S. 1–2, AI-Abschnitt / AI*ICARE Check</t>
  </si>
  <si>
    <t>AI guidelines on digital ethics, Einbettung in CoC/Supplier Code und Werteprüfung im AI*ICARE Check zeigen konkrete Operationalisierung.</t>
  </si>
  <si>
    <t>Datenverarbeitung wird geregelt, aber keine Datenqualitäts-, Repräsentativitäts- oder Stewardship-Anforderung nachweisbar.</t>
  </si>
  <si>
    <t>Kein IP-/Confidentiality-Anker im AI-Kontext nachweisbar.</t>
  </si>
  <si>
    <t>Würde/Freiheit/Autonomie werden allgemein digitalethisch genannt, aber nicht AI-spezifisch genug operationalisiert.</t>
  </si>
  <si>
    <t>“AI and data protection must go hand in hand”; “defines clear standards for the processing of employee data in AI systems”</t>
  </si>
  <si>
    <t>Datenschutz wird im KI-Kontext als by-design-Prinzip von Beginn an mitgeführt.; explizite AI-Datenschutzstandards</t>
  </si>
  <si>
    <t>“we joined the EU Commission’s AI Pact”; “Does the AI meet all relevant legal and internal requirements”</t>
  </si>
  <si>
    <t>Freiwillige Bindung an einen europäischen AI-Regelrahmen wird ausdrücklich genannt.; Das AI-Tool prüft Rechtmäßigkeit und interne Konformität.</t>
  </si>
  <si>
    <t>“introduce AI guidelines on digital ethics”; “integrated into our Supplier Code of Conduct”; “legal and in line with our corporate values?”</t>
  </si>
  <si>
    <t>Deutsche Telekom verweist auf eigene KI-Leitlinien als formalisierte ethische Grundlage.; zeigt institutionelle Verankerung; Das AI-Tool prüft zusätzlich Wertekompatibilität.</t>
  </si>
  <si>
    <t>S. 2, Abschnitt “Responsible use of artificial intelligence”</t>
  </si>
  <si>
    <t>S. 2, AI-Abschnitt / “AIICARE Check”</t>
  </si>
  <si>
    <t>Keine AI-spezifische Eskalations- oder Incident-Logik nachweisbar.</t>
  </si>
  <si>
    <t>Kein AI-Governance-Reporting mit Empfänger, Turnus oder KPI-Struktur nachweisbar.</t>
  </si>
  <si>
    <t>Steering, technical und regulatory authority sind dokumentiert</t>
  </si>
  <si>
    <t>nicht höher, da keine RACI-/Reporting-/Nachweislogik beschrieben ist.</t>
  </si>
  <si>
    <t>Integration in Supplier Code, privacy-by-design und Manifest-Standards für employee data zeigen dokumentierte Prozess-/Rahmenlogik</t>
  </si>
  <si>
    <t>nicht höher ohne KPI-/Audit-/Umsetzungsnachweise.</t>
  </si>
  <si>
    <t>Regulatory monitoring, AI*ICARE Check und Approval-Check sind konkrete Kontrollmechanismen</t>
  </si>
  <si>
    <t>nicht höher ohne Nutzungsnachweise, Reports oder Prüfprotokolle.</t>
  </si>
  <si>
    <t>Unterstützung der Mitarbeitenden im Umgang mit AI ist benannt</t>
  </si>
  <si>
    <t>nicht höher, da kein formales Trainingsprogramm beschrieben ist.</t>
  </si>
  <si>
    <t>“supports employees in dealing with artificial intelligence”</t>
  </si>
  <si>
    <t>“by a steering authority, a technical authority and regulatory authority”; “enable a rapid response to developments in the field of AI”</t>
  </si>
  <si>
    <t>“integrated into our Supplier Code of Conduct”; “AI and data protection must go hand in hand”; “defines clear standards for the processing of employee data in AI systems”</t>
  </si>
  <si>
    <t>“actively monitor legislative developments at EU and national level”; “the AIICARE Check supports employees”; “Is the AI approved for use within the DT?”</t>
  </si>
  <si>
    <t>VAL_03 / VAL_08 / VAL_15</t>
  </si>
  <si>
    <t>Die Formel „safe, transparent and ethical use“ nennt drei Werte zugleich, aber ohne je eigene Operationalisierung.</t>
  </si>
  <si>
    <t>A: nur VAL_15 positiv. B: VAL_03, VAL_08 und VAL_15 positiv. Gewählt: B, weil alle drei Werte explizit im KI-Satz genannt sind; BIND bei VAL_03/VAL_08 konservativ nur 1.</t>
  </si>
  <si>
    <t>VAL_07 / VAL_06 / GOV_02</t>
  </si>
  <si>
    <t>Die Prüfung von security and data protection aspects kann als bloßer Prozess oder auch als starke Wert-Operationalisierung gelesen werden.</t>
  </si>
  <si>
    <t>A: nur GOV_02 positiv. B: zusätzlich VAL_06 und VAL_07 mit hoher Bindigkeit positiv. Gewählt: B, weil Privacy und Security ausdrücklich Gegenstand des verpflichtenden Prüfprozesses sind.</t>
  </si>
  <si>
    <t>Unklar ist, ob eine einzelne EU-weite review bereits Score 3 rechtfertigt.</t>
  </si>
  <si>
    <t>A: GOV_04=2, weil Audit dokumentiert ist. B: GOV_04=3, weil Audit tatsächlich durchgeführt und mit Ergebnis berichtet wurde. Gewählt: B, da die Rubrik Score 3 implementierte und nachweisbare Auditpraxis gerade über berichtete Audits zulässt.</t>
  </si>
  <si>
    <t>Das Dokument nennt zahlreiche Trainings-/Awareness-Formate; unklar ist, ob dies Score 2 oder 3 ist.</t>
  </si>
  <si>
    <t>A: GOV_05=2, weil Programm beschrieben wird. B: GOV_05=3, weil seit 2018 ein umfassendes, konkretes und erkennbar implementiertes Angebot besteht. Gewählt: B, wegen Datierung, Breite und konkreter Formate.</t>
  </si>
  <si>
    <t>GOV_02 / VAL_14</t>
  </si>
  <si>
    <t>Die drei Core Actions des AI Pact können als Deutsche-Telekom-Maßnahmen oder als bloßer Hintergrund gelesen werden.</t>
  </si>
  <si>
    <t>A: als zusätzliche Hauptevidenz codieren. B: nicht als Primärevidenz verwenden. Gewählt: B, konservativ, da der Absatz als allgemeiner Background formuliert ist.</t>
  </si>
  <si>
    <t>Verweis auf verbotene AI-Systeme, die safety and rights jeopardize, könnte als Human-Rights-Wert codiert werden.</t>
  </si>
  <si>
    <t>A: VAL_18=1. B: VAL_18=0. Gewählt: B, da das Dokument Rechtekontext eher regulatorisch beschreibt und keinen eigenen menschenrechtlichen Unternehmenswert für KI operationalisiert.</t>
  </si>
  <si>
    <t>Keine explizite menschliche Review-, Override- oder HITL-Logik nachweisbar.</t>
  </si>
  <si>
    <t>Zuständigkeiten für Implementierung sind belegt, aber keine explizite Verantwortungszuweisung für einzelne AI-Systeme/-Outcomes.</t>
  </si>
  <si>
    <t>Transparenz wird explizit genannt, aber in diesem Dokument nicht weiter operationalisiert.</t>
  </si>
  <si>
    <t>S. 1, Abschnitt “Implementation of the EU AI Regulation”</t>
  </si>
  <si>
    <t>Datenschutz ist in einem verpflichtenden Assessment-Prozess verankert.</t>
  </si>
  <si>
    <t>Sicherheitsaspekte sind in einem verpflichtenden Prüfprozess für Technologien/Plattformen operationalisiert.</t>
  </si>
  <si>
    <t>Safe use wird ausdrücklich genannt; konkrete Safety-Mechanik bleibt im Dokument begrenzt.</t>
  </si>
  <si>
    <t>Kein Einspruchs-, Review- oder Redress-Mechanismus nachweisbar.</t>
  </si>
  <si>
    <t>Kein Green-AI-/Umweltanker in diesem Dokument.</t>
  </si>
  <si>
    <t>Innovation, Produktivität und Business-Nutzen werden genannt, aber kein hinreichend präziser Social-Benefit-Wertanker.</t>
  </si>
  <si>
    <t>S. 1, Einleitung; S. 2, zweiter Absatz</t>
  </si>
  <si>
    <t>AI-Act-Umsetzung, Audit und rechtlich konforme Technologieentwicklung belegen prozessnahe Bindigkeit.</t>
  </si>
  <si>
    <t>S. 1, Einleitung; S. 1, Assessment-Abschnitt; S. 2, zweiter Absatz</t>
  </si>
  <si>
    <t>Ethische KI-Nutzung ist explizit und über digitale Ethik-Assessments konkret operationalisiert.</t>
  </si>
  <si>
    <t>Risk-classification und assessment sind belegt, aber keine explizite Datenqualitäts-, Repräsentativitäts- oder Stewardship-Anforderung.</t>
  </si>
  <si>
    <t>Kein IP-/Confidentiality-Anker im KI-Kontext nachweisbar.</t>
  </si>
  <si>
    <t>Verweis auf verbotene AI-Systeme und Rechte ist vorhanden, aber kein eigener Menschenrechtswert als Unternehmensprinzip operationalisiert.</t>
  </si>
  <si>
    <t>Transparenz wird als Leitprinzip für KI benannt.</t>
  </si>
  <si>
    <t>“safe, transparent and ethical use”</t>
  </si>
  <si>
    <t>Im Prüfprozess werden Datenschutzaspekte systematisch untersucht.</t>
  </si>
  <si>
    <t>“security and data protection aspects are examined”</t>
  </si>
  <si>
    <t>Im Prüfprozess werden Sicherheitsaspekte systematisch untersucht.</t>
  </si>
  <si>
    <t>Deutsche Telekom bekennt sich ausdrücklich zu sicherer KI-Nutzung.</t>
  </si>
  <si>
    <t>“dutifully implement the EU AI Act”; “legally compliant technology development”</t>
  </si>
  <si>
    <t>Die Umsetzung des EU AI Act wird als Pflicht und Selbstverpflichtung formuliert.; zusätzlicher Compliance-Anker</t>
  </si>
  <si>
    <t>“safe, transparent and ethical use”; “included a specific digital ethics assessment for AI technologies”; “responsible and legally compliant technology development requires clear standards”</t>
  </si>
  <si>
    <t>Ethische KI-Nutzung wird ausdrücklich beansprucht.; Ethics-/Integrity- und Compliance-Rahmung; konkrete Ethik-Operationalisierung</t>
  </si>
  <si>
    <t>S. 1–2, Abschnitt “Implementation of the EU AI Regulation”</t>
  </si>
  <si>
    <t>S. 1–2, Abschnitt “Implementation …”; S. 2, erster Absatz</t>
  </si>
  <si>
    <t>EU-weite Prüfung aller AI-Anwendungen wurde tatsächlich durchgeführt und mit Ergebnis berichtet.</t>
  </si>
  <si>
    <t>S. 2, erster Absatz</t>
  </si>
  <si>
    <t>Umfassendes, seit 2018 bestehendes Trainings- und Awareness-Angebot mit konkreten Formaten ist implementiert und nachweisbar.</t>
  </si>
  <si>
    <t>Kein AI-spezifischer Eskalationsprozess oder Incident-Pfad nachweisbar.</t>
  </si>
  <si>
    <t>Audit-Ergebnis wird erwähnt, aber keine reguläre AI-Reporting-Struktur mit Turnus, Empfänger und KPI-Logik.</t>
  </si>
  <si>
    <t>Interdisziplinäres Expertenteam ist klar benannt</t>
  </si>
  <si>
    <t>nicht höher, da keine RACI-/Reporting-Architektur nachweisbar ist.</t>
  </si>
  <si>
    <t>Verbindlicher Prüfprozess mit Regeln zu Risk-classification, evaluation und assessment ist dokumentiert</t>
  </si>
  <si>
    <t>nicht höher ohne KPI-/Ergebnisnachweise pro Prozessschritt.</t>
  </si>
  <si>
    <t>Digital ethics assessment, effective control mechanisms und ICARE Check sind konkrete Kontrollinstrumente</t>
  </si>
  <si>
    <t>nicht höher ohne Nutzungsprotokolle/KPIs.</t>
  </si>
  <si>
    <t>“an interdisciplinary team of experts is responsible”</t>
  </si>
  <si>
    <t>“must go through a process”; “clear rules for the risk-classification, evaluation and assessment”</t>
  </si>
  <si>
    <t>“included a specific digital ethics assessment for AI technologies”; “ensuring effective control mechanisms"; “the ICARE Check supports employees”</t>
  </si>
  <si>
    <t>“EU-wide review of all AI applications for prohibited systems”; “This audit was successful”</t>
  </si>
  <si>
    <t>“AI literacy of employees is specifically promoted”; “Since 2018, a comprehensive and innovative range of training courses”; “gamification application on ‘Digital Ethics in Action’”; “an eLearning on the EU AI Act”; “Prompt-athons … and AI communities”</t>
  </si>
  <si>
    <t>S. 4 AI Guidelines; S. 5 AI Manifesto</t>
  </si>
  <si>
    <t>Menschliche Kontrolle/Override und menschliche Letztentscheidung explizit belegt; kein konkreter Lifecycle-Prozess, daher nicht 3</t>
  </si>
  <si>
    <t>S. 4 AI Guidelines; S. 6 ChatGPT Framework</t>
  </si>
  <si>
    <t>Verantwortung/Prüfverantwortung klar KI-bezogen; keine formale RACI-Logik im Text</t>
  </si>
  <si>
    <t>S. 4 AI Guidelines; S. 5 AI Manifesto; S. 6 ChatGPT Framework</t>
  </si>
  <si>
    <t>Disclosure von KI-Interaktion und Transparenzanforderung klar belegt</t>
  </si>
  <si>
    <t>S. 5 AI Manifesto</t>
  </si>
  <si>
    <t>Nur über „comprehensibility“ belastbar; keine explizite Erklärung von Output/Entscheidungslogik</t>
  </si>
  <si>
    <t>Nicht nachweisbar; geschützte Merkmale werden erwähnt, aber ohne Bias-/Non-discrimination-Frame</t>
  </si>
  <si>
    <t>KI-spezifischer Datenschutz plus konkrete Verarbeitungs-/Nutzungsleitplanken; höchste belegte Stufe über Leitfaden/Schutzmaßnahmen</t>
  </si>
  <si>
    <t>Nicht nachweisbar als Wert-/Normaussage zur Sicherheit von KI-Systemen oder KI-Daten; Cyber-Defense-Use-Case allein konservativ nicht codiert</t>
  </si>
  <si>
    <t>S. 3, Sepsis-Use-Case</t>
  </si>
  <si>
    <t>Expliziter Harm-Prevention-Bezug im KI-Kontext; jedoch deskriptischer Use-Case, keine deontische Regel</t>
  </si>
  <si>
    <t>S. 2, Sherloq</t>
  </si>
  <si>
    <t>Reliability explizit erwähnt, aber nur deskriptiv; keine normative Robustheitsanforderung</t>
  </si>
  <si>
    <t>Nicht nachweisbar; kein Einspruchs-/Beschwerde-/Redress-Mechanismus für KI-Entscheidungen</t>
  </si>
  <si>
    <t>Nicht nachweisbar; keine Accessibility-/Teilhabe-Norm im KI-Kontext</t>
  </si>
  <si>
    <t>Nicht nachweisbar; kein Umwelt-/Green-AI-Anker</t>
  </si>
  <si>
    <t>S. 3 Sepsis; S. 5 societal benefit heading; S. 6 ChatGPT Framework</t>
  </si>
  <si>
    <t>Gesellschafts-/Menschnutzen explizit, aber überwiegend als Ziel-/Nutzenbeschreibung, nicht als harte Regel</t>
  </si>
  <si>
    <t>Rechts-/Standardkonformität im KI-Kontext klar belegt; keine Inventar-/Assessment-/Dokupflicht sichtbar</t>
  </si>
  <si>
    <t>S. 5 AI Manifesto; S. 6 ChatGPT Framework</t>
  </si>
  <si>
    <t>Explizite KI-Nutzungsgrenzen und positive Zweckbindung vorhanden; keine weitergehende Prozessvorgabe</t>
  </si>
  <si>
    <t>Nicht nachweisbar; Datenverarbeitung wird genannt, aber keine Datenqualitäts-/Lineage-/Stewardship-Anforderung</t>
  </si>
  <si>
    <t>S. 6, ChatGPT Framework</t>
  </si>
  <si>
    <t>Nutzung nur mit offenen Inhalten; interne Daten explizit ausgeschlossen</t>
  </si>
  <si>
    <t>Nicht nachweisbar; keine explizite Human-Rights-/Dignity-/UNGP-Rahmung</t>
  </si>
  <si>
    <t>Das Manifest nennt Transparenz und Verständlichkeit als Ziel.</t>
  </si>
  <si>
    <t>“increasing transparency and comprehensibility.”</t>
  </si>
  <si>
    <t>KI wird mit explizitem Schadens-/Nutzenbezug im Gesundheitskontext beschrieben.</t>
  </si>
  <si>
    <t>“reduces the risk of blood poisoning (sepsis)”</t>
  </si>
  <si>
    <t>Die Zuverlässigkeit der KI wird explizit beschrieben.</t>
  </si>
  <si>
    <t>“The AI already reliably recognizes 80 percent of all customer requests”</t>
  </si>
  <si>
    <t>Bei ChatGPT-Nutzung sind nur offene Inhalte zulässig; interne/personenbezogene Daten sind ausgeschlossen.</t>
  </si>
  <si>
    <t>“neither internal nor personal data!”</t>
  </si>
  <si>
    <t>“we remain in control and are able to pause or shut down our AI systems”; “all decisions will continue to be made by humans and not by machines.</t>
  </si>
  <si>
    <t>Menschen behalten operative Kontrolle über KI-Systeme.; Starker Human-agency-Anker</t>
  </si>
  <si>
    <t>“it is clearly defined from the outset who is responsible”; “check every answer, to judge for themselves and to act transparently.</t>
  </si>
  <si>
    <t>Für KI-Systeme soll Verantwortung klar zugewiesen sein.; Konkreter menschlicher Prüfcheck; Accountability-/Transparency-Bezug</t>
  </si>
  <si>
    <t>Kunden sollen erkennen können, wann sie mit KI interagieren.; Unterstützt Transparenz; „comprehensibility“ als Explainability-Grenzfall</t>
  </si>
  <si>
    <t>“make it clear to our customers when they communicate with an AI system.”; “increasing transparency and comprehensibility.”;“check every answer, to judge for themselves and to act transparently.”</t>
  </si>
  <si>
    <t>“align AI-supported business models in compliance with data protection regulations.”; “the guide shows how data should be processed in principle”; “neither internal nor personal data!”</t>
  </si>
  <si>
    <t>KI-gestützte Geschäftsmodelle sollen datenschutzkonform ausgerichtet werden.; Konkreter Check-/Guidance-Mechanismus, über reine Absicht hinaus; Privacy- und Confidentiality-Anker</t>
  </si>
  <si>
    <t>“reduces the risk of blood poisoning (sepsis)”; “technology must serve people in a positive sense.”; “For the benefit of society”</t>
  </si>
  <si>
    <t>KI wird mit explizitem Schadens-/Nutzenbezug im Gesundheitskontext beschrieben.; Mensch-/Nutzenorientierung; ethischer Positivanker</t>
  </si>
  <si>
    <t>“align AI-supported business models in compliance with data protection regulations.”; “a standardised operational regulatory framework for such systems is to be developed.”</t>
  </si>
  <si>
    <t>KI-gestützte Geschäftsmodelle sollen datenschutzkonform ausgerichtet werden.; Governance-/Compliance-Prozessrahmen</t>
  </si>
  <si>
    <t>“AI systems must not be used to collect information about workers regarding their political opinions”; “technology must serve people in a positive sense.”</t>
  </si>
  <si>
    <t>Bestimmte KI-Nutzungen gegenüber Beschäftigten werden explizit verboten.; Technologie soll dem Menschen positiv dienen.</t>
  </si>
  <si>
    <t>S. 1 Einleitung; S. 4 AI Guidelines</t>
  </si>
  <si>
    <t>Nicht nachweisbar; keine Audit-/Assessment-Mechanik im Sinne der Rubrik</t>
  </si>
  <si>
    <t>Nicht nachweisbar; keine Trainings-/Awareness-Struktur mit Zielgruppe/Pflichtgrad</t>
  </si>
  <si>
    <t>Nicht nachweisbar; kein Eskalationsprozess, keine Stufenlogik</t>
  </si>
  <si>
    <t>Nicht nachweisbar; kein Reporting-Gegenstand, Empfänger oder Frequenz zu AI-Risiken/Kontrollen</t>
  </si>
  <si>
    <t>AI Competence Center mit Koordinationsaufgabe + klare Verantwortungszuweisung für AI systems/functions</t>
  </si>
  <si>
    <t>kein Reporting/Regeltermin, daher nicht 3</t>
  </si>
  <si>
    <t>Frühe Produkt-/Business-Idea-Guidance, standardisierter Rahmen und risikobasierter Beteiligungsprozess dokumentiert</t>
  </si>
  <si>
    <t>keine KPI-/Reviewnachweise</t>
  </si>
  <si>
    <t>Konkrete Checks/Guidance erkennbar: Datenverarbeitungsleitfaden und Pflicht zur Prüfung jeder Antwort</t>
  </si>
  <si>
    <t>keine protokollierten Ergebnisse/KPIs</t>
  </si>
  <si>
    <t>“The activities are coordinated by the AI Competence Center (AICC).”; “it is clearly defined from the outset who is responsible”</t>
  </si>
  <si>
    <t>“align AI-supported business models in compliance with data protection regulations.”; “a standardised operational regulatory framework for such systems is to be developed.”; “focus on risk-relevant systems and to agree on an adequate participation process”</t>
  </si>
  <si>
    <t>“the guide shows how data should be processed in principle”; “check every answer, to judge for themselves and to act transparently.”</t>
  </si>
  <si>
    <t>VAL_03 / VAL_04</t>
  </si>
  <si>
    <t>„increasing transparency and comprehensibility“ kann als reine Transparenz oder zusätzlich als Explainability gelesen werden.</t>
  </si>
  <si>
    <t>A: nur VAL_03; B: VAL_03 + VAL_04. Gewählt: B, aber VAL_04 nur mit BIND 1 und mittlerer Konfidenz, da „comprehensibility“ nach Codebook communicative explainability mittragen kann.</t>
  </si>
  <si>
    <t>VAL_15 / VAL_14 / VAL_18 / VAL_05</t>
  </si>
  <si>
    <t>Das Verbot, Informationen zu politischen Ansichten, Gewerkschaftszugehörigkeit oder sexueller Orientierung zu sammeln, könnte auch als Human-Rights-/Non-discrimination-/Compliance-Fall gelesen werden.</t>
  </si>
  <si>
    <t>A: VAL_15 + VAL_14 + VAL_18/VAL_05; B: primär VAL_15. Gewählt: B, da kein expliziter Human-Rights- oder Bias-/Non-discrimination-Frame vorliegt; Compliance-Herkunft ist erwähnt, aber die konkrete Passage formuliert primär eine KI-Nutzungsgrenze.</t>
  </si>
  <si>
    <t>VAL_08 / VAL_13</t>
  </si>
  <si>
    <t>Use-Case-Beschreibungen (Sepsis, wildfire detection) sind deskriptiv; fraglich ist, ob sie als Wertepräsenz zählen.</t>
  </si>
  <si>
    <t>A: nicht codieren, da keine Norm; B: Präsenz=1 mit niedriger BIND-Stufe. Gewählt: B, weil expliziter KI-Anker plus klarer Nutzen-/Harm-Prevention-Bezug vorliegt; konservativ nur BIND 1.</t>
  </si>
  <si>
    <t>Unklar ist, ob AICC + Verantwortungsformel nur Score 1 oder bereits Score 2 tragen.</t>
  </si>
  <si>
    <t>A: Score 1, weil nur Einheit/Ownership grob benannt; B: Score 2, weil Einheit plus Aufgabe (Koordination) und Verantwortungszuweisung erkennbar. Gewählt: B, aber nur mit mittlerer Konfidenz; kein Reporting/RACI, daher nicht 3.</t>
  </si>
  <si>
    <t>VAL_06 / VAL_17</t>
  </si>
  <si>
    <t>„neither internal nor personal data“ betrifft sowohl Datenschutz als auch Vertraulichkeit.</t>
  </si>
  <si>
    <t>A: nur VAL_06; B: VAL_06 + VAL_17. Gewählt: B, da zwei eigenständige normative Kerne textlich vorliegen: personenbezogene Daten und interne/nicht offene Inhalte.</t>
  </si>
  <si>
    <t>Reliability wird im Use-Case genannt, aber nicht als normative Governance-Anforderung.</t>
  </si>
  <si>
    <t>A: VAL_09 = 0; B: VAL_09 = 1, BIND 1. Gewählt: B, da „reliably recognizes 80 percent“ ein expliziter Reliability-Anker ist; konservativ nur deskriptische Bindigkeit.</t>
  </si>
  <si>
    <t>Menschliche Letztkontrolle, kill switch und reversibler Override-Mechanismus sind explizit operationalisiert</t>
  </si>
  <si>
    <t>Verantwortliche Personen müssen benannt, dokumentiert und transparent gemacht werden</t>
  </si>
  <si>
    <t>Disclosure von KI-Nutzung, Datenzwecken und rein KI-getroffenen Entscheidungen ist konkret gefordert</t>
  </si>
  <si>
    <t>Erklärbarkeit wird nicht nur benannt, sondern über XAI-/LIME-/SHAP-Ansätze konkretisiert</t>
  </si>
  <si>
    <t>Anti-Diskriminierungsnormen und konkrete Fairness-Mechaniken sind vorhanden</t>
  </si>
  <si>
    <t>Datenschutz ist mit Informationspflichten, Rechten und technischen Verfahren detailliert operationalisiert</t>
  </si>
  <si>
    <t>Sicherheit, Schutz vor Angriffen und Notfallmodus sind konkret adressiert</t>
  </si>
  <si>
    <t>Schadensvermeidung und Worst-Case-/Risikologik sind explizit verankert</t>
  </si>
  <si>
    <t>Robustheit, Testing, Qualitätsverbesserung und Monitoring sind konkret beschrieben</t>
  </si>
  <si>
    <t>Konservativ als vorhanden codiert, da Delegation an KI reversibel sein muss und ein Override-Modus dokumentiert werden soll</t>
  </si>
  <si>
    <t>Universal Design, Barrierefreiheit und Tests mit verschiedenen Nutzergruppen sind konkret gefordert</t>
  </si>
  <si>
    <t>Nachhaltigkeit/SDGs werden im KI-Ethik-Dokument normativ adressiert, aber ohne spezifische Umwelt-Checkmechanik</t>
  </si>
  <si>
    <t>Kundennutzen und gesellschaftliche Befähigung sind klar formuliert, aber weniger prozessual operationalisiert</t>
  </si>
  <si>
    <t>KI-spezifische Rechtskonformität ist mit PSA, Datennutzung und Compliance-Regeln konkret verknüpft</t>
  </si>
  <si>
    <t>Ethische Grenzen und Ausschluss illegitimer Nutzung sind klar normiert; Prozessvorgabe bleibt begrenzter als bei Compliance</t>
  </si>
  <si>
    <t>Geeignete Datengrundlage, Datenbereinigung sowie Modell-/Code-Dokumentation sind klar operationalisiert</t>
  </si>
  <si>
    <t>Vertraulichkeit von Code und Entwicklungsstand ist klar benannt, aber ohne weitergehende Prozessarchitektur</t>
  </si>
  <si>
    <t>Nicht hinreichend explizit als Menschenrechtsrahmen codierbar; Grundrechte erscheinen primär im Compliance-Kontext</t>
  </si>
  <si>
    <t>S. 41</t>
  </si>
  <si>
    <t>S. 47</t>
  </si>
  <si>
    <t>S. 10; S. 41</t>
  </si>
  <si>
    <t>S. 21</t>
  </si>
  <si>
    <t>S. 7-8</t>
  </si>
  <si>
    <t>S. 7; S. 32-33; S. 41</t>
  </si>
  <si>
    <t>S. 14; S. 18-19</t>
  </si>
  <si>
    <t>S. 19; S. 29-30</t>
  </si>
  <si>
    <t>S. 14; S. 35-36</t>
  </si>
  <si>
    <t>S. 4; p. 11; S. 14-16</t>
  </si>
  <si>
    <t>S. 21-24</t>
  </si>
  <si>
    <t>S. 22; S. 27-29</t>
  </si>
  <si>
    <t>S. 21-24; S. 32-38</t>
  </si>
  <si>
    <t>S. 13-14</t>
  </si>
  <si>
    <t>S. 13; S. 45-46</t>
  </si>
  <si>
    <t>S. 4; S. 11; S. 14-15</t>
  </si>
  <si>
    <t>S. 32-38; S. 46</t>
  </si>
  <si>
    <t>Vertraulichkeit, Sicherheitsmaßnahmen und Notfallmodus sind vorgesehen.</t>
  </si>
  <si>
    <t>“other information confidential”</t>
  </si>
  <si>
    <t>Menschliche Autonomie hat Vorrang; Delegation an KI muss reversibel sein; illegale/immoralische Ziele sind ausgeschlossen.</t>
  </si>
  <si>
    <t>“must be possible to reverse any delegation”</t>
  </si>
  <si>
    <t>Produkte sollen für alle Altersgruppen und Menschen mit Behinderungen nutzbar sein.</t>
  </si>
  <si>
    <t>“people of all ages and people with disabilities”</t>
  </si>
  <si>
    <t>Entwicklungen sollen Umwelt- und Nachhaltigkeitszielen Rechnung tragen.</t>
  </si>
  <si>
    <t>“align your developments with the Sustainable Development Goals”</t>
  </si>
  <si>
    <t>“The human always remains responsible.”; “stop or turn off our AI systems at any time”; “must be possible to reverse any delegation”</t>
  </si>
  <si>
    <t>Menschen tragen die Letztverantwortung für KI-Systeme.; Oversight + Daten-/Qualitätssteuerung; Oversight + contestability-naher Override-Mechanismus</t>
  </si>
  <si>
    <t>“Responsible persons must be documented.”; “The human always remains responsible.”; “the overall person responsible should be defined”</t>
  </si>
  <si>
    <t>Verantwortliche Personen sind vorab zu benennen und zu dokumentieren.; Expliziter Human-control-/Responsibility-Anker; Konkrete Rollen- und Dokumentationslogik</t>
  </si>
  <si>
    <t>“It is obligatory to provide information”; “must never be disguised as a human being”; “a decision taken solely by an AI system should be identified”</t>
  </si>
  <si>
    <t>Datenverarbeitungszwecke müssen klar und verständlich kommuniziert werden.; Identifizierbarkeit von KI; Grenzen, Zweck und reine KI-Entscheidungen sollen offengelegt und erklärt werden.</t>
  </si>
  <si>
    <t>“a decision taken solely by an AI system should be identified”; “clearly explain the decision-making process of AI systems”</t>
  </si>
  <si>
    <t>Grenzen, Zweck und reine KI-Entscheidungen sollen offengelegt und erklärt werden.; Explizite Explainability-Operationalisierung</t>
  </si>
  <si>
    <t>“shall make no difference in the operation of the system”; “Implementation of a mathematical definition of ‘fairness’”</t>
  </si>
  <si>
    <t>Geschützte Merkmale dürfen keinen Unterschied im Systembetrieb machen.; Konkrete Bias-/Fairness-Checks</t>
  </si>
  <si>
    <t>“all develops involved with AI should adhere to”; “Successful completion of the PSA process is mandatory.”; “It is obligatory to provide information”</t>
  </si>
  <si>
    <t>KI-Entwickelnde sollen verbindliche AI-/Privacy-Guidelines einhalten.; Der PSA-Prozess ist verpflichtend.; Datenverarbeitungszwecke müssen klar und verständlich kommuniziert werden.</t>
  </si>
  <si>
    <t>“other information confidential”; “it does not cause nor exacerbate damage”</t>
  </si>
  <si>
    <t>Vertraulichkeit, Sicherheitsmaßnahmen und Notfallmodus sind vorgesehen.; Safety-/Harm-Anker und Robustheit</t>
  </si>
  <si>
    <t>“it does not cause nor exacerbate damage”; “assessment of business impact is mandatory”</t>
  </si>
  <si>
    <t>KI darf keinen Schaden verursachen; Robustheit ist use-case-abhängig sicherzustellen.; Business-Impact-Bewertung ist obligatorisch; Risikomanagement über den Lifecycle wird empfohlen.</t>
  </si>
  <si>
    <t>“other information confidential”; “it does not cause nor exacerbate damage”; “stop or turn off our AI systems at any time”</t>
  </si>
  <si>
    <t>Vertraulichkeit, Sicherheitsmaßnahmen und Notfallmodus sind vorgesehen.; KI darf keinen Schaden verursachen; Robustheit ist use-case-abhängig sicherzustellen.; Kill switch, Datenbereinigung und geeignete Datengrundlage werden gefordert.</t>
  </si>
  <si>
    <t>“simplify customers‘ lives and support them”; “eLearning methods and training for colleagues”</t>
  </si>
  <si>
    <t>KI soll das Leben von Kund*innen konkret verbessern.; E-Learning, Trainings und KI-/Ethik-Bildung werden beschrieben.</t>
  </si>
  <si>
    <t>“ethical fundamental values are converted into clearly defined rules”; “must be possible to reverse any delegation”</t>
  </si>
  <si>
    <t>Ethische Grundwerte werden in konkrete Regeln überführt; Missbrauch ist ausgeschlossen.; Menschliche Autonomie hat Vorrang; Delegation an KI muss reversibel sein; illegale/immoralische Ziele sind ausgeschlossen.</t>
  </si>
  <si>
    <t>“stop or turn off our AI systems at any time”; “for every AI system or feature, it should be clearly documented”</t>
  </si>
  <si>
    <t>Kill switch, Datenbereinigung und geeignete Datengrundlage werden gefordert.; Konkrete Modell-/Dokumentationsgovernance</t>
  </si>
  <si>
    <t>S. 4; p. 11; S. 27-29</t>
  </si>
  <si>
    <t>S. 11; S. 16; S. 29-30; S. 35-36; S. 46</t>
  </si>
  <si>
    <t>S. 27-29</t>
  </si>
  <si>
    <t>S. 45-46</t>
  </si>
  <si>
    <t>S. 4; S. 29; S. 33</t>
  </si>
  <si>
    <t>S. 29; S. 33</t>
  </si>
  <si>
    <t>Rollen und Aufgaben sind konkret beschrieben</t>
  </si>
  <si>
    <t>kein Reporting-/Regeltermin-Nachweis</t>
  </si>
  <si>
    <t>Lifecycle-, PSA- und Risiko-Prozessschritte sind dokumentiert</t>
  </si>
  <si>
    <t>keine implementierten KPI-/Review-Nachweise</t>
  </si>
  <si>
    <t>Konkrete Assessments, Explainability-Methoden, Privacy-Techniken und Fairness-Checks sind beschrieben</t>
  </si>
  <si>
    <t>keine Betriebsergebnisse berichtet</t>
  </si>
  <si>
    <t>Assessments/Evaluierungen werden ausdrücklich verlangt</t>
  </si>
  <si>
    <t>Audit-Mechanik, Frequenz und Verantwortliche fehlen</t>
  </si>
  <si>
    <t>Trainings/E-Learning werden benannt</t>
  </si>
  <si>
    <t>kein Pflichtgrad und keine regelmäßige Programmstruktur nachweisbar</t>
  </si>
  <si>
    <t>Ansprechpartner und konkrete Melde-/Entscheidungsmechanik sind beschrieben</t>
  </si>
  <si>
    <t>keine Fristen oder formale Stufenarchitektur</t>
  </si>
  <si>
    <t>Ad-hoc-Weitergabe an Verantwortliche/Vorgesetzte ist vorgesehen</t>
  </si>
  <si>
    <t>kein formales Reporting-Schema mit Frequenz/KPIs</t>
  </si>
  <si>
    <t>“assessment of business impact is mandatory”</t>
  </si>
  <si>
    <t>“eLearning methods and training for colleagues”</t>
  </si>
  <si>
    <t>“must be reported to the person responsible”</t>
  </si>
  <si>
    <t>“can and should be contacted”; “must be reported to the person responsible”</t>
  </si>
  <si>
    <t>“Successful completion of the PSA process is mandatory.”; “Pseudonymization attempts to protect data”; “clearly explain the decision-making process of AI systems”</t>
  </si>
  <si>
    <t>“all develops involved with AI should adhere to”; “Successful completion of the PSA process is mandatory.”; “assessment of business impact is mandatory”</t>
  </si>
  <si>
    <t>“Responsible persons must be documented.”; “the overall person responsible should be defined”</t>
  </si>
  <si>
    <t>VAL_01 / VAL_10</t>
  </si>
  <si>
    <t>Der dokumentierte Override-/Reversal-Mechanismus kann als Human-Oversight oder zusätzlich als Contestability gelesen werden.</t>
  </si>
  <si>
    <t>A: nur VAL_01; B: VAL_01 + VAL_10. Gewählt: B, aber mit mittlerer Konfidenz, da ein explizites Überstimmen/Rückgängigmachen von KI-Entscheidungen beschrieben ist.</t>
  </si>
  <si>
    <t>Die Nachhaltigkeitspassage nennt keine „Green AI“-Mechanik, steht aber im expliziten KI-Professionsethik-Dokument.</t>
  </si>
  <si>
    <t>A: VAL_12 = 0 wegen zu allgemeiner Nachhaltigkeit; B: VAL_12 = 1 mit moderater Bindigkeit. Gewählt: B, da der KI-Anker durch Dokument- und Abschnittskontext noch erkennbar ist, aber konservativ nur BIND 2.</t>
  </si>
  <si>
    <t>GOV_03 / GOV_04</t>
  </si>
  <si>
    <t>Business-Impact-Assessment kann als konkreter Check oder als auditnahe Evaluationsaktivität gelesen werden.</t>
  </si>
  <si>
    <t>A: nur GOV_03; B: GOV_03 + GOV_04(1). Gewählt: B, da das Codebook für GOV_04 auch „assessment/evaluation als Aktivität“ zulässt, jedoch ohne Audit-Mechanik nur Score 1.</t>
  </si>
  <si>
    <t>GOV_06 / GOV_07</t>
  </si>
  <si>
    <t>Die Weitergabe an Verantwortliche/Vorgesetzte ist vorhanden, aber nur teilweise formalisiert.</t>
  </si>
  <si>
    <t>A: GOV_06 = 1 und GOV_07 = 0; B: GOV_06 = 2 und GOV_07 = 1. Gewählt: B, da Melde- und Einbeziehungslogik beschrieben ist; fehlende Frequenz/KPIs begrenzen GOV_07 auf 1.</t>
  </si>
  <si>
    <t>VAL_14 / VAL_15</t>
  </si>
  <si>
    <t>Regeln wie „no misuse“ können als Integritätsnorm oder als Compliance-Norm gelesen werden.</t>
  </si>
  <si>
    <t>A: primär VAL_14; B: VAL_14 + VAL_15. Gewählt: B, da neben Rechtskonformität auch ausdrücklich ethische Grundwerte in Regeln überführt werden.</t>
  </si>
  <si>
    <t>VAL_17 / VAL_07</t>
  </si>
  <si>
    <t>Vertraulichkeit von Code/Entwicklungsstand liegt zwischen Confidentiality und Security.</t>
  </si>
  <si>
    <t>A: nur VAL_07; B: VAL_07 + VAL_17. Gewählt: B, da der Text explizit auch nicht-öffentliche Informationen/Code als vertraulich adressiert.</t>
  </si>
  <si>
    <t>VAL_18 / VAL_14</t>
  </si>
  <si>
    <t>Verweise auf EU-Grundrechte erscheinen, aber primär als Rechts-/Regel-Compliance.</t>
  </si>
  <si>
    <t>A: VAL_18 = 1; B: VAL_18 = 0, nur VAL_14. Gewählt: B, da kein eigenständiger Human-Rights-Rahmen für KI entfaltet wird.</t>
  </si>
  <si>
    <t>Nicht nachweisbar</t>
  </si>
  <si>
    <t>Nicht nachweisbar im KI-Kontext</t>
  </si>
  <si>
    <t>Update: 16. März 26: doch kein KI-Bezug &amp; nun exkludiert</t>
  </si>
  <si>
    <t>„human-centered technology“ bzw. „human-centered AI“ könnte als Human Oversight gelesen werden.</t>
  </si>
  <si>
    <t>A: VAL_01 = 1; B: VAL_01 = 0. Gewählt: B, weil Codebook für VAL_01 reine human-centered-Rhetorik ohne Mechanik ausschließt.</t>
  </si>
  <si>
    <t>VAL_03 / VAL_06 / VAL_14</t>
  </si>
  <si>
    <t>AI Guidelines werden im Kontext von Transparenz, digitalen Rechten und Datenschutz genannt, aber ohne konkrete KI-Transparenz- oder Privacy-Regel.</t>
  </si>
  <si>
    <t>A: VAL_03 und/oder VAL_06 = 1; B: nur VAL_14 = 1. Gewählt: B, da der Dokumenttext belastbar nur einen Regulierungs-/Policy-Bezug zeigt, nicht aber eine explizite Offenlegungs- oder Datenschutzregel für KI.</t>
  </si>
  <si>
    <t>S. 104, Digital inclusion – Deep Dive</t>
  </si>
  <si>
    <t>„responsible use of AI“ wäre isoliert betrachtet zu vage.</t>
  </si>
  <si>
    <t>A: VAL_15 = 0 wegen Responsible-AI-Rhetorik; B: VAL_15 = 1. Gewählt: B, weil zusätzlich „high ethical requirements“ und die QA-Prüfung ethischer KI-Anforderungen genannt werden; damit liegt mehr als reine Rhetorik vor.</t>
  </si>
  <si>
    <t>Die QA-Erweiterung könnte als Prozess oder als konkreter Check codiert werden.</t>
  </si>
  <si>
    <t>A: GOV_02 = 2 und GOV_03 = 1; B: GOV_02 = 1 und GOV_03 = 2. Gewählt: B, da der Text einen klaren Checktyp („review“) und Prüfgegenstand nennt, aber keine breitere KI-Prozessarchitektur mit Rollen/Triggern ausführt.</t>
  </si>
  <si>
    <t>Der Smart-Health-Chat ist ein Use-Case; fraglich ist, ob deskriptischer Nutzen bereits als Wertpräsenz zählt.</t>
  </si>
  <si>
    <t>A: VAL_13 = 0, da nur Produktbeschreibung; B: VAL_13 = 1, BIND 1. Gewählt: B, weil der menschliche Nutzen ausdrücklich benannt ist („relieves the burden ... patients alike“), aber nur als deskriptischer Use-Case.</t>
  </si>
  <si>
    <t>Menschenrechtsbezug in AI Guidelines könnte als bloßer Verweis auf den Human Rights Code oder als eigenständiger Human-Rights-Frame gelesen werden.</t>
  </si>
  <si>
    <t>A: nur VAL_14 = 1; B: VAL_14 + VAL_18 = 1. Gewählt: B, weil Menschenrechte im KI-Kontext ausdrücklich genannt werden („respecting and promoting human rights“).</t>
  </si>
  <si>
    <t>Nur „human-centered technology/AI“ erkennbar; keine konkrete Oversight-/Override-Mechanik im Dokument</t>
  </si>
  <si>
    <t>S. 111, Digital values – Deep Dive</t>
  </si>
  <si>
    <t>Responsibility-Prinzip im KI-Kontext explizit, aber ohne Rollen-/Ownership-Mechanik</t>
  </si>
  <si>
    <t>AI Guidelines werden zwar im Kontext digital rights genannt, aber keine explizite KI-Offenlegungs-/Transparenzpflicht im Dokumenttext</t>
  </si>
  <si>
    <t>Datenschutz ist im Bericht stark präsent, aber nicht belastbar als konkrete KI-Datenschutzanforderung ausformuliert</t>
  </si>
  <si>
    <t>Keine explizite KI-Sicherheitsnorm im Dokument selbst</t>
  </si>
  <si>
    <t>Harm-/Risk-Rhetorik vorhanden, aber keine klare KI-Safety-Norm im codierbaren Sinn</t>
  </si>
  <si>
    <t>S. 4 Foreword; S. 69 Green AI principles</t>
  </si>
  <si>
    <t>Green-AI-Prinzipien mit konkreten ressourcenbezogenen Vorgaben sind ausdrücklich benannt</t>
  </si>
  <si>
    <t>S. 103, healthcare AI use case</t>
  </si>
  <si>
    <t>Konkreter Nutzen für Patient*innen und Personal, aber deskriptischer Use-Case statt normativer Regel</t>
  </si>
  <si>
    <t>S. 27 GSMA; S. 111 Digital values; S. 151 Human rights and supply chain</t>
  </si>
  <si>
    <t>KI wird explizit mit Rechtsgrundlagen, EU AI Act und Supplier-Bestätigung verknüpft</t>
  </si>
  <si>
    <t>S. 104 Digital inclusion; S. 142 Cybersecurity and data protection</t>
  </si>
  <si>
    <t>Nicht nur Responsible-AI-Rhetorik, sondern dokumentierter Review ethischer KI-Anforderungen</t>
  </si>
  <si>
    <t>S. 111 Digital values – Deep Dive</t>
  </si>
  <si>
    <t>Menschenrechte werden ausdrücklich als Referenzrahmen der AI Guidelines genannt</t>
  </si>
  <si>
    <t>Im KI-Kontext werden Menschenrechte und Verantwortung ausdrücklich genannt.</t>
  </si>
  <si>
    <t>“respecting and promoting human rights and taking responsibility”</t>
  </si>
  <si>
    <t>Ein KI-Use-Case im Gesundheitsbereich benennt konkreten menschlichen Nutzen.</t>
  </si>
  <si>
    <t>“relieves the burden on medical staff, nurses, administrative staff and patients alike”</t>
  </si>
  <si>
    <t>“principles for Green AI”; “resource- and energy-efficient development and use of AI”; “resource- and energy-efficient development and use of AI”</t>
  </si>
  <si>
    <t>Im Vorwort wird Green AI als eigener Prinzipienrahmen genannt.; Eindeutiger Umwelt-/Nachhaltigkeitsbezug im KI-Kontext; Konkretere Norm als bloße Absicht</t>
  </si>
  <si>
    <t>“refer to legal foundations as well as to our Code of Human Rights”; “AI Guidelines on Digital Ethics”; “Suppliers of solutions that incorporate artificial intelligence (AI) also confirm the requirements</t>
  </si>
  <si>
    <t>Die AI Guidelines verweisen auf Rechtsgrundlagen und Menschenrechtsrahmen.; KI-spezifischer Compliance-/Regulierungsanker; Konkrete Lieferketten-Einbindung von KI-Anforderungen</t>
  </si>
  <si>
    <t>“clear guidelines for the responsible use of AI”; “review of ethical AI requirements”; “guidelines for the ethical use of AI”</t>
  </si>
  <si>
    <t>Die AI Guidelines werden als klare Leitlinie für verantwortliche KI-Nutzung beschrieben.; Die zentrale Qualitätssicherung prüft ethische KI-Anforderungen; Der Bericht erwähnt ausdrücklich ethische Leitlinien für KI-Produkte und -Services.</t>
  </si>
  <si>
    <t>“principles for Green AI”; “respecting and promoting human rights and taking responsibility”</t>
  </si>
  <si>
    <t>Im Vorwort wird Green AI als eigener Prinzipienrahmen genannt.; Im KI-Kontext werden Menschenrechte und Verantwortung ausdrücklich genannt.</t>
  </si>
  <si>
    <t>Keine AI-spezifischen Rollen, Gremien oder Ownership-Strukturen im Dokument selbst beschrieben</t>
  </si>
  <si>
    <t>S. 104 Digital inclusion; S. 151 Human rights and supply chain</t>
  </si>
  <si>
    <t>Konkreter Checktyp dokumentiert: Review ethischer KI-Anforderungen im zentralen QA-Prozess</t>
  </si>
  <si>
    <t>Keine AI-spezifischen Audits/Assessments mit Audit-Charakter nachweisbar</t>
  </si>
  <si>
    <t>Keine AI-spezifischen Trainingsprogramme im Dokument belegt</t>
  </si>
  <si>
    <t>Keine AI-spezifischen Eskalationsmechaniken genannt</t>
  </si>
  <si>
    <t>Kein AI-spezifisches Reporting zu Risiken, Kontrollen oder Vorfällen beschrieben</t>
  </si>
  <si>
    <t>“review of ethical AI requirements”</t>
  </si>
  <si>
    <t>“clear guidelines for the responsible use of AI”; “anchored the essential contents of the AI guidelines in our ‘Supplier Code of Conduct’”; “Suppliers of solutions that incorporate artificial intelligence (AI) also confirm the requirements”</t>
  </si>
  <si>
    <t>Prozess-/Policy-Einbettung erkennbar (Supplier Code, supplier confirmation)</t>
  </si>
  <si>
    <t>keine ausdifferenzierte KI-Prozesslogik mit Triggern/Rollen</t>
  </si>
  <si>
    <t>Das Dokument spricht davon, Anforderungen „transparent“ zu machen; unklar ist, ob dies als KI-Transparenzwert zählt.</t>
  </si>
  <si>
    <t>A: VAL_03 = 1, weil Transparenz explizit genannt wird. B: VAL_03 = 0. Gewählt: B, da sich die Passage auf Transparenz der Anforderungen/Diskussion bezieht, nicht auf Offenlegung von KI-Systemen oder Entscheidungen.</t>
  </si>
  <si>
    <t>VAL_02 / GOV_04</t>
  </si>
  <si>
    <t>Das laufende „keep an eye“ könnte als Verantwortung oder als Monitoring/Audit gelesen werden.</t>
  </si>
  <si>
    <t>A: VAL_02 = 1 und GOV_04 = 1. B: VAL_02 = 1 und GOV_04 = 0. Gewählt: B, weil Verantwortung klar benannt ist, aber kein formaler Audit-/Kontrollmechanismus beschrieben wird.</t>
  </si>
  <si>
    <t>VAL_06 / GOV_02 / GOV_03</t>
  </si>
  <si>
    <t>Der PSA ist ein generischer Konzernprozess; unklar ist, ob seine Erwähnung hier stark genug KI-spezifisch ist.</t>
  </si>
  <si>
    <t>A: nur GOV_02 = 1, da PSA allgemein ist. B: VAL_06 = 1, GOV_02 = 2, GOV_03 = 2. Gewählt: B, weil das Dokument ausdrücklich neue AI-spezifische Privacy Requirements und einen AI-tailored question catalog nennt.</t>
  </si>
  <si>
    <t>Awareness und Sensibilisierung könnten als bloße Kommunikation oder als Schulungsaktivität gelten.</t>
  </si>
  <si>
    <t>A: GOV_05 = 0. B: GOV_05 = 1. Gewählt: B, da Bewusstseinsvermittlung und Sensibilisierung mehrfach explizit genannt werden; für Score 2 fehlen jedoch Struktur, Zielgruppenlogik und Trainingsformat.</t>
  </si>
  <si>
    <t>VAL_15 / VAL_14</t>
  </si>
  <si>
    <t>„work cleanly in every respect“ könnte als Ethical Use oder als bloßer Legalitätsappell gelesen werden.</t>
  </si>
  <si>
    <t>A: VAL_15 = 1 zusätzlich zu VAL_14. B: nur VAL_14 = 1. Gewählt: B, weil die Passage unmittelbar auf Legalität und Datenschutzfolgen gerahmt ist; eigenständige Ethik-/Integritätsregel bleibt zu implizit.</t>
  </si>
  <si>
    <t>S. 2, Absatz beginnend mit “This means...”</t>
  </si>
  <si>
    <t>“management and the responsible operational units”</t>
  </si>
  <si>
    <t>KI wird ausdrücklich im Nutzenrahmen für Kunden und Beschäftigte verortet.</t>
  </si>
  <si>
    <t>“for the benefit of our customers and employees”</t>
  </si>
  <si>
    <t>Nicht nachweisbar; Monitoring/Hinsehen ist vorhanden, aber keine explizite Human-override-/Kontrollmechanik</t>
  </si>
  <si>
    <t>S. 2, Absatz zu developers/operators and users</t>
  </si>
  <si>
    <t>Verantwortung von Entwicklern, Betreibern und Nutzern wird klar benannt, aber eher als Appell als als harte Regel</t>
  </si>
  <si>
    <t>Nicht nachweisbar als KI-Transparenz gegenüber Betroffenen/Nutzern; Transparenz der Anforderungen wurde konservativ nicht als VAL_03 codiert</t>
  </si>
  <si>
    <t>S. 1 Lead-Absatz; S. 2 PSA-Absätze</t>
  </si>
  <si>
    <t>KI-spezifische Privacy-Anforderungen und Fragekatalog im PSA sind konkret operationalisiert</t>
  </si>
  <si>
    <t>Nicht nachweisbar als eigenständiger KI-Sicherheitswert</t>
  </si>
  <si>
    <t>„data protection offender“ bleibt primär Privacy-/Compliance-Frame, nicht klar Safety im Codebook-Sinn</t>
  </si>
  <si>
    <t>S. 2, Schlussabsatz</t>
  </si>
  <si>
    <t>Nutzen für Kund*innen und Beschäftigte wird explizit genannt, aber nur als Ziel-/Nutzenbeschreibung</t>
  </si>
  <si>
    <t>S. 1 letzter Absatz; S. 2 Absatz zu requirements/standards</t>
  </si>
  <si>
    <t>KI wird ausdrücklich mit Legalität, GDPR-Basis und konzernweiten Standards verknüpft</t>
  </si>
  <si>
    <t>„work cleanly“ wurde konservativ nicht als eigenständiger Ethik-/Integritätswert codiert, da Privacy/Legality dominiert</t>
  </si>
  <si>
    <t>Daten werden als Grundlage von KI erwähnt, aber ohne spezifische Datenqualitäts- oder Governance-Regeln</t>
  </si>
  <si>
    <t>“constantly keep an eye on how artificial intelligence develops during operation”; “remind them of their personal responsibility”</t>
  </si>
  <si>
    <t>Entwickler und Betreiber sollen KI im Betrieb laufend im Blick behalten.; Accountability + Awareness</t>
  </si>
  <si>
    <t>“AI and data protection must go hand in hand”; “all new products and services have to undergo”; “catalog of questions specifically tailored to AI”</t>
  </si>
  <si>
    <t>KI und Datenschutz sollen von Beginn an gemeinsam gedacht werden.; Verbindlicher Prozess mit AI-Bezug im Kontext; Neue AI-Privacy-Anforderungen ergänzen den PSA um KI-spezifische Fragen.</t>
  </si>
  <si>
    <t>“technical feasibility on the one hand and legality”; “developed based on the GDPR”; “developed based on the GDPR”</t>
  </si>
  <si>
    <t>Erfolgreiche KI verlangt rechtliche Sauberkeit von Projektbeginn an.; Rechtsgrundlage explizit genannt; Rechtsgrundlage explizit genannt</t>
  </si>
  <si>
    <t>S. 2, Absätze zu privacy-by-strategy, PSA und standards</t>
  </si>
  <si>
    <t>S. 2, PSA-Absätze</t>
  </si>
  <si>
    <t>Laufendes „im Blick behalten“ reicht konservativ nicht für Audit-/Assessment-Score</t>
  </si>
  <si>
    <t>S. 2, Absätze zu awareness / users / Schlussabsatz</t>
  </si>
  <si>
    <t>Kein formaler Eskalationsweg; „contact us“ am Schluss wurde konservativ nicht als Eskalationsmechanik codiert</t>
  </si>
  <si>
    <t>Kein Reporting zu KI-Risiken, KPIs oder regelmäßigen Berichten nachweisbar</t>
  </si>
  <si>
    <t>Management und verantwortliche operative Einheiten werden benannt</t>
  </si>
  <si>
    <t>keine detaillierte Rollenarchitektur oder Zuständigkeitsmatrix</t>
  </si>
  <si>
    <t>Frühe strategische Einbindung, PSA-Durchlauf und einheitliche Standards sind dokumentiert</t>
  </si>
  <si>
    <t>keine Implementierungsnachweise/KPIs</t>
  </si>
  <si>
    <t>AI-spezifischer Fragenkatalog und klare Leitlinien sind als konkrete Prüf-/Steuerungsinstrumente beschrieben</t>
  </si>
  <si>
    <t>keine Ergebnis- oder Auditnachweise</t>
  </si>
  <si>
    <t>Awareness und Sensibilisierung werden benannt</t>
  </si>
  <si>
    <t xml:space="preserve"> keine formalisierte Schulungsstruktur oder Pflichttrainings</t>
  </si>
  <si>
    <t>“data protection should be strategically incorporated much earlier”; “all new products and services have to undergo”; “uniform standards apply within the Group”</t>
  </si>
  <si>
    <t>“catalog of questions specifically tailored to AI”; “uniform standards apply within the Group”</t>
  </si>
  <si>
    <t>“communicate data protection awareness”; “remind them of their personal responsibility”; “remind them of their personal responsibility”</t>
  </si>
  <si>
    <t>S. 2, Einleitung</t>
  </si>
  <si>
    <t>VAL_12 / VAL_13</t>
  </si>
  <si>
    <t>„AI benefits the company and the society in a positive and sustainable way“ kann sozial oder ökologisch gelesen werden.</t>
  </si>
  <si>
    <t>A: VAL_12 + VAL_13. B: nur VAL_13. Gewählt: B, weil für VAL_12 nach Codebook ein Umwelt-/Green-AI-Bezug nötig ist; der fehlt hier.</t>
  </si>
  <si>
    <t>S. 3, WHEN DEVELOPING OR PROCURING AI</t>
  </si>
  <si>
    <t>„equal access and diversity through inclusive design processes“ nennt Inklusion, aber keine Barrierefreiheit.</t>
  </si>
  <si>
    <t>A: VAL_11 = 0 wegen fehlender Accessibility. B: VAL_11 = 1. Gewählt: B, da das Codebook inklusives Design ausdrücklich einschließt; Konfidenz nur mittel.</t>
  </si>
  <si>
    <t>GOV_01 / VAL_02</t>
  </si>
  <si>
    <t>Accountability ist klar vorhanden, aber unklar ist, ob dies schon als Governance-Zuständigkeit zählt.</t>
  </si>
  <si>
    <t>A: GOV_01 = 1 wegen Ownership-Rhetorik. B: GOV_01 = 0 und nur VAL_02 = 1. Gewählt: B, da keine Rolle, Einheit oder RACI-Logik benannt wird.</t>
  </si>
  <si>
    <t>S. 4, WHEN DEVELOPING OR PROCURING AI</t>
  </si>
  <si>
    <t>VAL_10 / GOV_07</t>
  </si>
  <si>
    <t>„reporting and redress mechanisms should be available“ kann als Contestability, Reporting oder bloße Absicht gelesen werden.</t>
  </si>
  <si>
    <t>A: VAL_10 = 0 und GOV_07 = 0. B: VAL_10 = 1, GOV_07 = 1. Gewählt: B, da Redress und Reporting ausdrücklich genannt sind; mangels Struktur jeweils konservativ niedrig.</t>
  </si>
  <si>
    <t>S. 2, WHEN DEVELOPING OR PROCURING AI</t>
  </si>
  <si>
    <t>Menschenwürde wird ausdrücklich genannt, aber ohne Verweis auf UNGP/UDHR.</t>
  </si>
  <si>
    <t>A: VAL_18 = 0, da kein formaler Human-Rights-Frame. B: VAL_18 = 1. Gewählt: B, weil das Codebook „dignity“ ausdrücklich als zulässigen Human-Rights-Anker nennt.</t>
  </si>
  <si>
    <t>„Double-checking is sensible“ ist kein benanntes Tool, aber ein klarer Checktyp.</t>
  </si>
  <si>
    <t>A: GOV_03 = 1. B: GOV_03 = 2. Gewählt: B, da Checktyp, Prüfgegenstand und Anlass erkennbar sind; Toolname ist laut Codebook nicht zwingend.</t>
  </si>
  <si>
    <t>S. 2 HUMAN-CENTRIC APPROACH / GUIDELINE; S. 4 WHEN DEVELOPING OR PROCURING AI</t>
  </si>
  <si>
    <t>Mensch im Zentrum, human oversight und meaningful control sind explizit und prozessnah formuliert</t>
  </si>
  <si>
    <t>S. 4 GUIDELINE / WHEN DEVELOPING OR PROCURING AI</t>
  </si>
  <si>
    <t>Verantwortung für Einsatz, Resultate und Betrieb ist klar normiert; Rollenarchitektur fehlt</t>
  </si>
  <si>
    <t>S. 3 WHEN USING / DEVELOPING OR PROCURING AI; S. 5 WHEN DEVELOPING OR PROCURING AI</t>
  </si>
  <si>
    <t>Disclosure sowie Dokumentation von Daten/Prozessen sind konkret gefordert</t>
  </si>
  <si>
    <t>Verständlichkeit der KI-Entscheidungslogik für Betroffene wird explizit operationalisiert</t>
  </si>
  <si>
    <t>S. 3, FAIRNESS... / GUIDELINE</t>
  </si>
  <si>
    <t>Fairness, Bias-Vermeidung und kritische Ergebnisprüfung sind ausdrücklich geregelt</t>
  </si>
  <si>
    <t>S. 5, WHEN USING AI / WHEN DEVELOPING OR PROCURING AI</t>
  </si>
  <si>
    <t>Whitelisting, privacy by design, Nutzerkontrollen und rechtliche Basis sind konkrete Vorgaben</t>
  </si>
  <si>
    <t>S. 4, SECURITY, SAFETY AND RELIABILITY / WHEN USING AI</t>
  </si>
  <si>
    <t>Resilienz gegen Angriffe und Konsultation von IT/Cybersecurity sind klar benannt</t>
  </si>
  <si>
    <t>S. 2 GUIDELINE; S. 4 SECURITY, SAFETY AND RELIABILITY</t>
  </si>
  <si>
    <t>Schutzvorkehrungen und Reaktion auf schädliches Verhalten sind konkret adressiert</t>
  </si>
  <si>
    <t>S. 4, SECURITY, SAFETY AND RELIABILITY</t>
  </si>
  <si>
    <t>Reproduzierbarkeit, Verlässlichkeit und sicheres Reagieren auf unerwartete Bedingungen sind ausdrücklich gefordert</t>
  </si>
  <si>
    <t>Redress-Mechanismen werden ausdrücklich verlangt, aber ohne weitere Ausgestaltung</t>
  </si>
  <si>
    <t>Inklusive Designprozesse und Einbezug relevanter Stakeholder sind konkret genannt</t>
  </si>
  <si>
    <t>Nicht nachweisbar; „sustainable way“ bleibt zu allgemein und ohne Umwelt-/Green-AI-Bezug</t>
  </si>
  <si>
    <t>S. 5, SOCIAL AWARENESS</t>
  </si>
  <si>
    <t>Gesellschaftlicher Nutzen ist klar benannt, aber nur als Ziel-/Leitbildformulierung</t>
  </si>
  <si>
    <t>S. 2 Einleitung; S. 5 WHEN DEVELOPING OR PROCURING AI</t>
  </si>
  <si>
    <t>Verbindliche Compliance mit Policies/SOPs und privacy laws ist klar operationalisiert</t>
  </si>
  <si>
    <t>Ethische Nutzung ist ausdrücklich als bindendes Prinzip formuliert, aber weniger prozessual als andere Werte</t>
  </si>
  <si>
    <t>S. 3 GUIDELINE / WHEN DEVELOPING OR PROCURING AI</t>
  </si>
  <si>
    <t>Trainingsdatenqualität, Datensätze, Labeling und Algorithmendokumentation sind konkret adressiert</t>
  </si>
  <si>
    <t>S. 5, WHEN USING AI</t>
  </si>
  <si>
    <t>Vertraulichkeit ist mit klarer Prompt-/Whitelist-Regel konkret operationalisiert</t>
  </si>
  <si>
    <t>Menschenwürde und Verbot objektivierender Behandlung sind im KI-Kontext ausdrücklich formuliert</t>
  </si>
  <si>
    <t>Betroffene sollen die Entscheidungslogik von KI verstehen können.</t>
  </si>
  <si>
    <t>“can be understood by the people affected”</t>
  </si>
  <si>
    <t>Vertrauliche Informationen und personenbezogene Daten dürfen nicht in KI-Prompts eingespeist werden, außer bei Whitelisting.</t>
  </si>
  <si>
    <t>“unless the use of the specific system has been explicitly whitelisted”</t>
  </si>
  <si>
    <t>KI soll resilient, schadensmindernd, reproduzierbar und verlässlich sein.</t>
  </si>
  <si>
    <t>“resilient against adversarial attacks”</t>
  </si>
  <si>
    <t>Schutz-, Reporting- und Redress-Mechanismen sollen über den Lebenszyklus verfügbar sein.</t>
  </si>
  <si>
    <t>“reporting and redress mechanisms should be available”</t>
  </si>
  <si>
    <t>Inklusive Designprozesse mit Stakeholdern werden gefordert.</t>
  </si>
  <si>
    <t>“inclusive design processes involving relevant stakeholders”</t>
  </si>
  <si>
    <t>KI soll gesellschaftlichen Nutzen stiften; Awareness und Informiertheit werden betont.</t>
  </si>
  <si>
    <t>“promote its use for the benefit of our society”</t>
  </si>
  <si>
    <t>Das Dokument rahmt KI-Nutzung ausdrücklich als verantwortliche, ethische und sichere Praxis.</t>
  </si>
  <si>
    <t>“binding principles for the responsible, ethical and safe use”</t>
  </si>
  <si>
    <t>Bei Entwicklung/Beschaffung soll Menschenwürde geschützt werden.</t>
  </si>
  <si>
    <t>“People should never be treated as a mere object.”</t>
  </si>
  <si>
    <t>“Humans shall always be placed at the centre”; “sufficient safeguards and human oversight"; “humans maintain meaningful control”</t>
  </si>
  <si>
    <t>Menschen sollen im Zentrum der KI-Nutzung stehen; KI ist Hilfsmittel, nicht Ersatz.; Oversight plus prozessuale Einbettung; Menschen sollen sinnvolle Kontrolle über hochautonome KI behalten.</t>
  </si>
  <si>
    <t>Für Nutzung und Resultate von KI wird Verantwortung ausdrücklich übernommen.; Menschen sollen sinnvolle Kontrolle über hochautonome KI behalten.</t>
  </si>
  <si>
    <t>“We are accountable for the decision to use an AI system”; “humans maintain meaningful control”</t>
  </si>
  <si>
    <t>KI-Nutzung und KI-basierte Entscheidungen sollen offengelegt werden.; Konkrete Dokumentationsvorgabe; Konkrete Dokumentationsvorgabe</t>
  </si>
  <si>
    <t>“We disclose the use of AI as a source”; “We document data sets and processes”; Entwicklung/Beschaffung von KI muss privacy by design, Nutzerkontrollen und rechtliche Basis sicherstellen.</t>
  </si>
  <si>
    <t>“treat everyone fairly and avoid discrimination and exclusion”; “Double-checking is sensible”</t>
  </si>
  <si>
    <t>KI-Systeme sollen fair sein und Diskriminierung sowie Exklusion vermeiden.; Ergebnisse aus KI sollen kritisch geprüft werden; Bias/Halluzinationen werden als Risiko benannt.</t>
  </si>
  <si>
    <t>“unless the use of the specific system has been explicitly whitelisted”; “AI systems must comply with applicable privacy laws”</t>
  </si>
  <si>
    <t>Vertrauliche Informationen und personenbezogene Daten dürfen nicht in KI-Prompts eingespeist werden, außer bei Whitelisting.; Konkrete Privacy-/Compliance-Operationalisierung</t>
  </si>
  <si>
    <t>“resilient against adversarial attacks”; “consult with IT or cybersecurity team”</t>
  </si>
  <si>
    <t>KI soll resilient, schadensmindernd, reproduzierbar und verlässlich sein.; Ansprechpartner/Eskalationskontakt</t>
  </si>
  <si>
    <t>“sufficient safeguards and human oversight”; “resilient against adversarial attacks”</t>
  </si>
  <si>
    <t>Der Einsatzprozess soll Schutzvorkehrungen und menschliche Aufsicht enthalten.; Sicherheits-/Safety-/Reliability-Rahmen</t>
  </si>
  <si>
    <t>“have to be complied with when using, developing or interacting with AI”; “AI systems must comply with applicable privacy laws"</t>
  </si>
  <si>
    <t>Die AI Guidelines sind verbindlich neben Code of Conduct, SOPs und weiteren Policies einzuhalten.; Konkrete Privacy-/Compliance-Operationalisierung</t>
  </si>
  <si>
    <t>“Double-checking is sensible”; “We document data sets and processes”</t>
  </si>
  <si>
    <t>Ergebnisse aus KI sollen kritisch geprüft werden; Bias/Halluzinationen werden als Risiko benannt.; Datensätze, Datengewinnung, Labeling und Algorithmen sollen dokumentiert werden.</t>
  </si>
  <si>
    <t>S. 2 GUIDELINE; S. 3 / S. 5 WHEN DEVELOPING OR PROCURING AI</t>
  </si>
  <si>
    <t>S. 3 GUIDELINE / WHEN DEVELOPING OR PROCURING AI; S. 5 USING / DEVELOPING OR PROCURING AI</t>
  </si>
  <si>
    <t>Keine Audit-, Inspection- oder Evaluation-Mechanik nachweisbar</t>
  </si>
  <si>
    <t>S. 4, WHEN USING AI</t>
  </si>
  <si>
    <t>Accountability ist als Wert vorhanden</t>
  </si>
  <si>
    <t>keine AI-bezogenen Rollen, Einheiten oder Ownership-Strukturen werden benannt</t>
  </si>
  <si>
    <t>Phasenlogik „using“ vs. „developing/procuring“, safeguards, inklusive Designprozesse und privacy by design sind dokumentier</t>
  </si>
  <si>
    <t>keine Prozessbelege/KPIs</t>
  </si>
  <si>
    <t>Double-checking, Dokumentation, Whitelisting und Nutzer-/Zugriffskontrollen sind konkrete Checks/Mechanismen</t>
  </si>
  <si>
    <t>keine berichteten Betriebsergebnisse</t>
  </si>
  <si>
    <t>Awareness und Informiertheit werden ausdrücklich gefordert</t>
  </si>
  <si>
    <t>Zielgruppe, Pflichtgrad und Programmstruktur fehlen</t>
  </si>
  <si>
    <t>IT-/Cybersecurity-Team ist als Ansprechpartner genannt</t>
  </si>
  <si>
    <t>kein gestufter Eskalationsprozess</t>
  </si>
  <si>
    <t>Reporting-Mechanismen werden ausdrücklich verlangt</t>
  </si>
  <si>
    <t>kein Gegenstand, Empfänger oder Frequenz</t>
  </si>
  <si>
    <t>“consult with IT or cybersecurity team”</t>
  </si>
  <si>
    <t>“sufficient safeguards and human oversight”; “inclusive design processes involving relevant stakeholders”; “AI systems must comply with applicable privacy laws”</t>
  </si>
  <si>
    <t>“Double-checking is sensible”; “We document data sets and processes”; “unless the use of the specific system has been explicitly whitelisted”</t>
  </si>
  <si>
    <t>Kritische Prüfung von KI-Ergebnissen und menschliche Kontrolle in kritischen Kontexten sind ausdrücklich geregelt</t>
  </si>
  <si>
    <t>Verantwortlichkeiten über den KI-Lifecycle werden namentlich zugewiesen</t>
  </si>
  <si>
    <t>KI-generierte Inhalte müssen klar erkennbar sein; keine weitergehende Explainability-Logik</t>
  </si>
  <si>
    <t>Bias-Vermeidung, faire Ergebnisse und Verbot manipulativer bzw. diskriminierender Praktiken sind klar normiert</t>
  </si>
  <si>
    <t>KI wird explizit mit Datenschutzrecht und by-design-Prinzipien verknüpft</t>
  </si>
  <si>
    <t>Schutz von AI-supported applications und kontinuierliches Monitoring sind konkret beschrieben</t>
  </si>
  <si>
    <t>Safety-critical contexts werden ausdrücklich genannt; darüber hinaus keine eigene Safety-Operationalisierung</t>
  </si>
  <si>
    <t>Nicht hinreichend KI-spezifisch nachweisbar</t>
  </si>
  <si>
    <t>KI zur Überwindung von Sprachbarrieren stützt Inklusion, aber ohne weitergehende Operationalisierung</t>
  </si>
  <si>
    <t>Responsible AI wird ausdrücklich mit Energieeffizienzstandards für KI-Infrastrukturen verknüpft</t>
  </si>
  <si>
    <t>KI dient Mitarbeitenden durch Entlastung von Informationsüberlastung; eher Nutzenbeschreibung als formale Regel</t>
  </si>
  <si>
    <t>KI-Guardrails, geltende Gesetze und interne Regeln sind klar als bindender Rahmen formuliert</t>
  </si>
  <si>
    <t>Ethische Standards und explizit verbotene KI-Nutzungen sind deutlich benannt</t>
  </si>
  <si>
    <t>Robuste Data Governance wird genannt, aber der KI-Anker bleibt in der Passage indirekt</t>
  </si>
  <si>
    <t>Schutz vertraulicher Informationen ist klar benannt; KI-Bezug erfolgt über den Abschnitts- und Satzkontext</t>
  </si>
  <si>
    <t>Nicht explizit als Menschenrechtsrahmen ausformuliert</t>
  </si>
  <si>
    <t>S. 8, DIGITAL COMPETENCE; S. 9, DIGITAL PARTICIPATION</t>
  </si>
  <si>
    <t>S. 10, CUSTOMER-CENTRIC INNOVATION</t>
  </si>
  <si>
    <t>S. 11, FAIRNESS AND TRANSPARENCY</t>
  </si>
  <si>
    <t>S. 12, DATA PROTECTION...</t>
  </si>
  <si>
    <t>S. 9, DIGITAL PARTICIPATION</t>
  </si>
  <si>
    <t>S. 6, SUSTAINABILITY</t>
  </si>
  <si>
    <t>S. 7, ATTRACTIVE, DIGITAL WORKPLACE</t>
  </si>
  <si>
    <t>S. 5, GEA VALUES; S. 12, DATA PROTECTION...</t>
  </si>
  <si>
    <t>S. 5, GEA VALUES; S. 11, FAIRNESS AND TRANSPARENCY</t>
  </si>
  <si>
    <t>Verantwortlichkeiten für KI-Systeme werden namentlich zugewiesen.</t>
  </si>
  <si>
    <t>“assigned by name”</t>
  </si>
  <si>
    <t>KI-generierte Inhalte müssen klar gekennzeichnet werden.</t>
  </si>
  <si>
    <t>“clearly label AI-generated content”</t>
  </si>
  <si>
    <t>KI muss bias-arm, fair und nicht-manipulativ sein; bestimmte Nutzungen sind verboten.</t>
  </si>
  <si>
    <t>“strictly prohibited”</t>
  </si>
  <si>
    <t>KI-gestützte Anwendungen und vertrauliche Informationen sind zu schützen.</t>
  </si>
  <si>
    <t>“protect confidential information”</t>
  </si>
  <si>
    <t>Menschen sollen bei kritischen KI-Entscheidungen die Kontrolle behalten.</t>
  </si>
  <si>
    <t>“humans stay in control of critical decisions”</t>
  </si>
  <si>
    <t>KI soll Sprachbarrieren abbauen und Teilhabe fördern.</t>
  </si>
  <si>
    <t>“help to overcome language barriers”</t>
  </si>
  <si>
    <t>KI-Lösungen sollen Mitarbeitende entlasten und Information priorisieren.</t>
  </si>
  <si>
    <t>“protect our employees from information overload”</t>
  </si>
  <si>
    <t>“critically examining and evaluating its results”; “humans stay in control of critical decisions”</t>
  </si>
  <si>
    <t>Beschäftigte sollen KI-Ergebnisse kritisch prüfen.; Starker Oversight-Anker in kritischen Kontexten</t>
  </si>
  <si>
    <t>“in accordance with applicable data protection laws”; “security and data protection by design”</t>
  </si>
  <si>
    <t>Beim Umgang mit KI gelten Datenschutzrecht und interne Datenschutzregeln.; Prozess-/by-design-Logik</t>
  </si>
  <si>
    <t>“protect confidential information”; “continuously monitor our digital systems and AI technologies”</t>
  </si>
  <si>
    <t>KI-gestützte Anwendungen und vertrauliche Informationen sind zu schützen.; Konkreter Monitoring-/Check-Mechanismus</t>
  </si>
  <si>
    <t>“This applies in particular to the responsible use of AI.”; “follow high energy efficiency standards”</t>
  </si>
  <si>
    <t>Für KI gilt ein expliziter Nachhaltigkeitsbezug.; Konkrete Nachhaltigkeitsanforderung</t>
  </si>
  <si>
    <t>“We define clear guardrails for the use of AI systems”; “in accordance with applicable data protection laws</t>
  </si>
  <si>
    <t>“We define clear guardrails for the use of AI systems”; “strictly prohibited”</t>
  </si>
  <si>
    <t>GEA definiert klare Leitplanken für den Einsatz von KI.; KI muss bias-arm, fair und nicht-manipulativ sein; bestimmte Nutzungen sind verboten.</t>
  </si>
  <si>
    <t>GEA definiert klare Leitplanken für den Einsatz von KI.; Beim Umgang mit KI gelten Datenschutzrecht und interne Datenschutzregeln.</t>
  </si>
  <si>
    <t>Verantwortlichkeiten für Design, Development, Deployment, Monitoring und Review von AI systems sind dokumentiert</t>
  </si>
  <si>
    <t>Guardrails, human control in critical contexts und by-design-Prinzipien sind als Prozesslogik beschrieben</t>
  </si>
  <si>
    <t>Kritische Output-Prüfung, Kennzeichnung von AI content und kontinuierliches Monitoring sind konkrete Checks</t>
  </si>
  <si>
    <t>Keine Audit-, Review- oder Assurance-Mechanik mit Audit-Charakter nachweisbar</t>
  </si>
  <si>
    <t>Kein AI-spezifisches Reporting, keine Frequenzen, KPIs oder Berichtswege nachweisbar</t>
  </si>
  <si>
    <t>S. 5, GEA VALUES; S. 9, DIGITAL PARTICIPATION; S. 12, DATA PROTECTION...</t>
  </si>
  <si>
    <t>S. 8, DIGITAL COMPETENCE; S. 11, FAIRNESS AND TRANSPARENCY; S. 12, DATA PROTECTION...</t>
  </si>
  <si>
    <t>S. 8, DIGITAL COMPETENCE</t>
  </si>
  <si>
    <t>kein formalisierter Eskalationspfad</t>
  </si>
  <si>
    <t>Führungskräfte und technische Kontakte sind als Anlaufstellen genannt</t>
  </si>
  <si>
    <t>Trainings während der Arbeitszeit und Kostenübernahme sind dokumentiert</t>
  </si>
  <si>
    <t>“provides the necessary training during working hours”</t>
  </si>
  <si>
    <t>“specific technical contacts are available at any time”</t>
  </si>
  <si>
    <t>“We define clear guardrails for the use of AI systems”; “humans stay in control of critical decisions”; “security and data protection by design”</t>
  </si>
  <si>
    <t>“critically examining and evaluating its results”; “clearly label AI-generated content”; “clearly label AI-generated content”</t>
  </si>
  <si>
    <t>„robust data governance“ und „high data quality“ sind stark, aber der KI-Anker ist in der Passage nur indirekt.</t>
  </si>
  <si>
    <t>A: VAL_16 = 1 wegen Nähe zu AI-Satz im selben Abschnitt. B: VAL_16 = 0. Gewählt: B, da nach R1 der KI-Bezug in der konkreten Passage nicht stark genug explizit ist.</t>
  </si>
  <si>
    <t>Der Schutz vertraulicher Informationen ist explizit, aber nicht in einem isolierten KI-Satz formuliert.</t>
  </si>
  <si>
    <t>A: VAL_17 = 0, weil primär allgemeine InfoSec-Rhetorik. B: VAL_17 = 1. Gewählt: B, da derselbe Abschnitt explizit AI-supported applications adressiert und Confidentiality dort funktional eingebettet ist.</t>
  </si>
  <si>
    <t>„safety-critical contexts“ kann als Teil von Human Oversight oder zusätzlich als eigener Safety-Wert gelesen werden.</t>
  </si>
  <si>
    <t>A: nur VAL_01 = 1. B: VAL_01 + VAL_08 = 1. Gewählt: B, da Safety im Wortlaut ausdrücklich genannt wird; konservativ nur BIND 2.</t>
  </si>
  <si>
    <t>Accessibility/Equal opportunities sind stark, der explizite KI-Anker besteht aber vor allem über die Überwindung von Sprachbarrieren.</t>
  </si>
  <si>
    <t>A: VAL_11 = 0, weil Abschnitt überwiegend allgemein-digital ist. B: VAL_11 = 1. Gewählt: B, da der Text KI ausdrücklich als Mittel zur Stärkung digitaler Teilhabe nennt; konservativ nur BIND 1.</t>
  </si>
  <si>
    <t>Verbot manipulativer Nutzung, sozialer Bewertung und unautorisierter biometrischer Überwachung könnte menschenrechtlich gelesen werden.</t>
  </si>
  <si>
    <t>A: VAL_18 = 1. B: VAL_18 = 0 und primär VAL_05/VAL_15. Gewählt: B, da kein expliziter Human-Rights-Frame oder dignity-rights wording vorliegt.</t>
  </si>
  <si>
    <t>Führungskräfte und technische Kontakte sind ansprechbar, aber der Eskalationsweg ist nicht formalisiert.</t>
  </si>
  <si>
    <t>A: GOV_06 = 0. B: GOV_06 = 1. Gewählt: B, da konkrete Anlaufstellen genannt werden; für Score 2 fehlen Prozessstufen, Fristen oder definierte Trigger.</t>
  </si>
  <si>
    <t>Nicht nachweisbar im klaren KI-Kontext; die Passage zu automatisierter Entscheidungsunterstützung ist nicht explizit AI-bezogen</t>
  </si>
  <si>
    <t>„Responsible use“ wurde konservativ als VAL_15 und nicht als explizite Accountability-Struktur codiert</t>
  </si>
  <si>
    <t>S. 3, Abschnitt 2</t>
  </si>
  <si>
    <t>Transparenz wird im AI-Kontext ausdrücklich zugesichert; keine konkrete Offenlegungs- oder Erklärmechanik</t>
  </si>
  <si>
    <t>KI-Verarbeitung wird klar an Datenschutzkonformität und technische/organisatorische Maßnahmen gebunden</t>
  </si>
  <si>
    <t>Sicherheit wird im AI-Kontext ausdrücklich genannt, aber ohne konkrete Security-Architektur</t>
  </si>
  <si>
    <t>Informationshinweis bei möglicher Vollautomatisierung reicht konservativ nicht für Redress/Contestability</t>
  </si>
  <si>
    <t>Effizienz- und Qualitätssteigerung der Services wurde konservativ nicht als Social-Benefit-Wert codiert</t>
  </si>
  <si>
    <t>AI-Nutzung wird ausdrücklich mit Datenschutzregulierung verknüpft</t>
  </si>
  <si>
    <t>„Responsible use“ ist explizit benannt, aber ohne weitergehende Verbots- oder Prozesslogik</t>
  </si>
  <si>
    <t>Im KI-Kontext werden Transparenz und Sicherheit zugesichert.</t>
  </si>
  <si>
    <t>“We ensure transparency, security”</t>
  </si>
  <si>
    <t>KI-Nutzung wird ausdrücklich an Datenschutzkonformität gebunden.</t>
  </si>
  <si>
    <t>“strict compliance with data protection regulations”</t>
  </si>
  <si>
    <t>Das Dokument nennt verantwortliche KI-Nutzung ausdrücklich.</t>
  </si>
  <si>
    <t>“responsible use”</t>
  </si>
  <si>
    <t>“strict compliance with data protection regulations”; “appropriate technical and organisational measures”</t>
  </si>
  <si>
    <t>KI-Nutzung wird ausdrücklich an Datenschutzkonformität gebunden.; Privacy-Schutzmechanik, aber ohne Detailtiefe</t>
  </si>
  <si>
    <t>Keine AI-spezifischen Rollen, Gremien oder Ownership-Strukturen nachweisbar</t>
  </si>
  <si>
    <t>S. 3, Abschnitt 2; S. 6, Abschnitt 5</t>
  </si>
  <si>
    <t>Technische und organisatorische Maßnahmen werden erwähnt, aber kein konkreter AI-Check, kein Tool und keine Prüflogik beschrieben</t>
  </si>
  <si>
    <t>Datenschutzkontakt vorhanden, aber kein AI-spezifischer Eskalationsweg</t>
  </si>
  <si>
    <t>AI-Nutzung und organisatorische Einbindung werden benannt</t>
  </si>
  <si>
    <t>keine konkrete Prozessarchitektur, Trigger oder Rollenbeschreibung</t>
  </si>
  <si>
    <t>“analysis and structuring of unstructured data”; “AI service provider”; “data analysis and process automation solutions”</t>
  </si>
  <si>
    <t>VAL_14 / GOV_02</t>
  </si>
  <si>
    <t>Der Bullet „Use of advanced algorithms“ könnte als AI-spezifischer Governance-Hinweis gelesen werden.</t>
  </si>
  <si>
    <t>A: als AI-Evidenz für VAL_14/GOV_02 codieren. B: nicht codieren. Gewählt: B, da die Passage keinen expliziten AI-Anker enthält und nach R1 zu allgemein bleibt.</t>
  </si>
  <si>
    <t>VAL_01 / VAL_03 / VAL_10</t>
  </si>
  <si>
    <t>Die Passage zu „partially automated“ bzw. künftig „fully automate“ könnte als AI-/Oversight-/Transparency-Fall gelesen werden.</t>
  </si>
  <si>
    <t>A: VAL_01 oder VAL_03/VAL_10 codieren. B: nicht codieren. Gewählt: B für die Hauptcodierung, da in dieser Passage kein expliziter AI-Bezug genannt wird; sie bleibt nur Grenzfall.</t>
  </si>
  <si>
    <t>„appropriate technical and organisational measures“ könnte als konkreter Kontrollmechanismus gewertet werden.</t>
  </si>
  <si>
    <t>A: GOV_03 = 1. B: GOV_03 = 0. Gewählt: B, da keine konkrete Maßnahme, kein Tool und kein Prüfablauf benannt werden.</t>
  </si>
  <si>
    <t>GOV_02 / GOV_01</t>
  </si>
  <si>
    <t>Die Nennung von „AI service provider“ könnte organisatorische Zuständigkeiten oder nur Empfängerkategorien anzeigen.</t>
  </si>
  <si>
    <t>A: GOV_02 = 1, GOV_01 = 0. B: GOV_02 = 0, GOV_01 = 0. Gewählt: A, da zumindest eine prozessuale Einbindung externer AI-Dienstleister erkennbar ist; für Zuständigkeiten fehlt jede Rollenlogik.</t>
  </si>
  <si>
    <t>„improving the quality of our services“ könnte als Social Benefit / Human Well-being verstanden werden.</t>
  </si>
  <si>
    <t>A: VAL_13 = 1. B: VAL_13 = 0. Gewählt: B, da die Formulierung primär Effizienz-/Servicequalität und keinen klaren gesellschaftlichen oder menschlichen Wohlfahrtsbezug nach Codebook trägt.</t>
  </si>
  <si>
    <t>Der Kontakt zum Data Protection Officer könnte als Eskalationsweg gelesen werden.</t>
  </si>
  <si>
    <t>A: GOV_06 = 1. B: GOV_06 = 0. Gewählt: B, da zwar ein Datenschutzkontakt genannt wird, aber kein AI-spezifischer Eskalationspfad oder Trigger beschrieben ist.</t>
  </si>
  <si>
    <t>VAL_06 / VAL_07 / VAL_14</t>
  </si>
  <si>
    <t>Im Abschnitt stehen Datenschutz-, Security- und Legalitätsaussagen, aber diese sind vor dem expliziten AI-Satz allgemein-digital formuliert.</t>
  </si>
  <si>
    <t>A: als KI-bezogen mitcodieren, weil sie im selben Abschnitt stehen. B: nicht codieren ohne direkten KI-Anker. Gewählt: B, gemäß R1 KI-Anker-Regel.</t>
  </si>
  <si>
    <t>VAL_18 / VAL_10</t>
  </si>
  <si>
    <t>„rights of affected individuals“ kann als Human Rights oder als Contestability gelesen werden.</t>
  </si>
  <si>
    <t>A: VAL_18 oder VAL_10 = 1. B: beide = 0. Gewählt: B, weil kein konkreter Rights-/Redress-Mechanismus und kein expliziter Human-Rights-Frame erläutert werden.</t>
  </si>
  <si>
    <t>VAL_09 / VAL_16</t>
  </si>
  <si>
    <t>„accuracy“ könnte technische Zuverlässigkeit oder Datenqualitäts-/Governance-Anforderung bedeuten.</t>
  </si>
  <si>
    <t>A: VAL_09 = 1. B: VAL_16 = 1. Gewählt: A, da der Wortlaut eher auf technische Performance als auf Daten-Governance verweist.</t>
  </si>
  <si>
    <t>„clear oversight mechanisms“ könnte als Prozess oder als Check-/Kontrollmechanik verstanden werden.</t>
  </si>
  <si>
    <t>A: GOV_02 = 1. B: GOV_03 = 1. Gewählt: B, weil „mechanisms“ näher an Kontroll-/Checklogik als an einer beschriebenen Prozesskette liegt.</t>
  </si>
  <si>
    <t>„mitigate associated risks“ ist explizit, aber eher allgemein als konkret safety-bezogen.</t>
  </si>
  <si>
    <t>A: VAL_08 = 1. B: VAL_08 = 0. Gewählt: A, da Risikominderung im KI-Kontext ausdrücklich genannt wird; konservativ mit mittlerer Konfidenz.</t>
  </si>
  <si>
    <t>Speak-up-Kanäle und Compliance Lines sind klar beschrieben, aber nicht AI-spezifisch.</t>
  </si>
  <si>
    <t>A: GOV_06/GOV_07 &gt; 0 vergeben. B: nicht codieren. Gewählt: B, weil nach R1 kein KI-Anker vorliegt.</t>
  </si>
  <si>
    <t>„clear oversight mechanisms“ ist ein expliziter KI-bezogener Oversight-Anker; keine weiter konkretisierte Prozessvorgabe</t>
  </si>
  <si>
    <t>Accountability wird im KI-Satz ausdrücklich genannt</t>
  </si>
  <si>
    <t>Transparenz ist als fundamentales KI-Prinzip ausdrücklich benannt</t>
  </si>
  <si>
    <t>Nicht nachweisbar; Transparenz allein reicht konservativ nicht für Explainability</t>
  </si>
  <si>
    <t>Nicht nachweisbar im expliziten KI-Kontext</t>
  </si>
  <si>
    <t>Datenschutz-/Personal-Data-Passagen auf p. 18 sind allgemein-digital, aber nicht explizit KI-verankert</t>
  </si>
  <si>
    <t>Security-Passagen sind allgemein-digital; im KI-Satz selbst nicht ausdrücklich benannt</t>
  </si>
  <si>
    <t>Risikominderung ist explizit genannt; Safety-Bezug bleibt allgemein, daher konservativ</t>
  </si>
  <si>
    <t>„accuracy“ stützt einen technischen Qualitäts-/Reliabilitätsanker, aber ohne Operationalisierung</t>
  </si>
  <si>
    <t>„rights of affected individuals“ ist zu unspezifisch; kein Einspruchs-/Redress-Mechanismus belegt</t>
  </si>
  <si>
    <t>Relevante data-protection-Regeln werden im Abschnitt genannt, aber ohne klaren AI-Anker in derselben Passage</t>
  </si>
  <si>
    <t>KI wird ausdrücklich als verantwortungsträchtig beschrieben; eher Prinzipienrhetorik als harte Regel</t>
  </si>
  <si>
    <t>„accuracy“ wurde konservativ VAL_09 und nicht VAL_16 zugeordnet; keine Daten-Governance-Logik</t>
  </si>
  <si>
    <t>Confidentiality wird im Abschnitt allgemein erwähnt, aber nicht explizit KI-spezifisch</t>
  </si>
  <si>
    <t>„rights of affected individuals“ ist vorhanden, aber ohne klaren Human-Rights-Rahmen konservativ nicht codiert</t>
  </si>
  <si>
    <t>S. 18, DIGITAL SAFETY &amp; ETHICS</t>
  </si>
  <si>
    <t>KI soll mit klaren Aufsichtsmechanismen betrieben werden.</t>
  </si>
  <si>
    <t>“clear oversight mechanisms”</t>
  </si>
  <si>
    <t>Für KI wird Accountability ausdrücklich genannt.</t>
  </si>
  <si>
    <t>Für KI wird Transparenz als Grundprinzip verlangt.</t>
  </si>
  <si>
    <t>“must respect fundamental principles of transparency”</t>
  </si>
  <si>
    <t>Mit KI verbundene Risiken sollen gemindert werden.</t>
  </si>
  <si>
    <t>“mitigate associated risks”</t>
  </si>
  <si>
    <t>Genauigkeit wird als Grundprinzip für KI genannt.</t>
  </si>
  <si>
    <t>“accuracy”</t>
  </si>
  <si>
    <t>KI wird ausdrücklich als verantwortungsträchtiges Feld beschrieben.</t>
  </si>
  <si>
    <t>“with it also comes great responsibility”</t>
  </si>
  <si>
    <t>Keine AI-spezifischen Rollen, Einheiten oder Ownership-Strukturen nachweisbar</t>
  </si>
  <si>
    <t>Keine ausformulierte KI-Prozesslogik; nur allgemeine Prinzipienformulierung</t>
  </si>
  <si>
    <t>Oversight-Mechanismen werden benannt, aber weder Tool, Checkschritt noch Ablauf konkretisiert</t>
  </si>
  <si>
    <t>Speak-up-/Compliance-Kanäle sind nur allgemein im Code of Conduct genannt, nicht AI-spezifisch</t>
  </si>
  <si>
    <t>Allgemeine Meldestrukturen vorhanden, aber kein AI-spezifisches Reporting belegt</t>
  </si>
  <si>
    <t>17.03.2026</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</si>
  <si>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</si>
  <si>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</si>
  <si>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</si>
  <si>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</si>
  <si>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</si>
  <si>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</si>
  <si>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</si>
  <si>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</si>
  <si>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</si>
  <si>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</si>
  <si>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</si>
  <si>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</si>
  <si>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</si>
  <si>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</si>
  <si>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</si>
  <si>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</si>
  <si>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</si>
  <si>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</si>
  <si>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</si>
  <si>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</si>
  <si>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</si>
  <si>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</si>
  <si>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</si>
  <si>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</si>
  <si>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</si>
  <si>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</si>
  <si>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</si>
  <si>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</si>
  <si>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</si>
  <si>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</si>
  <si>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</si>
  <si>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</si>
  <si>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</si>
  <si>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</si>
  <si>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</si>
  <si>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</si>
  <si>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</si>
  <si>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</si>
  <si>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</si>
  <si>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</si>
  <si>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</si>
  <si>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</si>
  <si>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</si>
  <si>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</si>
  <si>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</si>
  <si>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</si>
  <si>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</si>
  <si>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</si>
  <si>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</si>
  <si>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</si>
  <si>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</si>
  <si>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</si>
  <si>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</si>
  <si>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</si>
  <si>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</si>
  <si>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</si>
  <si>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</si>
  <si>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</si>
  <si>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</si>
  <si>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</si>
  <si>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</si>
  <si>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</si>
  <si>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</si>
  <si>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</si>
  <si>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</si>
  <si>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</si>
  <si>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</si>
  <si>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</si>
  <si>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</si>
  <si>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</si>
  <si>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</si>
  <si>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S. 3, „Human-centric AI“; S. 4, „Executing human oversight“</t>
  </si>
  <si>
    <t>Autonomieprinzip plus konkreter Oversight-/Eskalationsmechanismus belegt.</t>
  </si>
  <si>
    <t>S. 2, „Responsible and transparent use of AI“; S. 4, „Executing human oversight“</t>
  </si>
  <si>
    <t>Accountability explizit benannt; Rollen- und Fallklärung operationalisieren Verantwortlichkeit.</t>
  </si>
  <si>
    <t>S. 2, „Responsible and transparent use of AI“</t>
  </si>
  <si>
    <t>Offenlegung des KI-Einsatzes ausdrücklich genannt; keine stärkere Prozessvorgabe belegt.</t>
  </si>
  <si>
    <t>S. 2, „Responsible and transparent use of AI“; S. 4, „Upskilling“</t>
  </si>
  <si>
    <t>Erklärbarkeit/Verstehbarkeit explizit und durch Toolkits/Tutorials operationalisiert.</t>
  </si>
  <si>
    <t>S. 2, „Responsible and transparent use of AI“; S. 3, „Inclusion“</t>
  </si>
  <si>
    <t>Bias-Vermeidung plus nicht-diskriminierende Praxis im KI-Kontext belegt.</t>
  </si>
  <si>
    <t>S. 2, „AI for privacy and data protection“</t>
  </si>
  <si>
    <t>Datenschutz/Netzwerkverbleib sensibler Daten im KI-Kontext beschrieben.</t>
  </si>
  <si>
    <t>S. 3, „Safety and security“</t>
  </si>
  <si>
    <t>Security für AI solutions ausdrücklich adressiert; keine deontische Regel/Checks belegt.</t>
  </si>
  <si>
    <t>Safety-Bezug explizit; keine weitergehende Operationalisierung belegt.</t>
  </si>
  <si>
    <t>Qualitäts-/Peer-Review-Hinweise reichen hier nicht als klarer Robustheits-/Reliability-Wertanker.</t>
  </si>
  <si>
    <t>Keine KI-spezifischen Einspruchs-, Beschwerde- oder Redress-Rechte für Betroffene dokumentiert.</t>
  </si>
  <si>
    <t>„Inclusion“ belegt hier Fairness/Diversity, nicht Accessibility/Teilhabe.</t>
  </si>
  <si>
    <t>S. 3, „Sustainability“</t>
  </si>
  <si>
    <t>AI-Nutzung wird ausdrücklich an Ressourcen-/Energiekriterien gebunden.</t>
  </si>
  <si>
    <t>S. 2, „Responsible AI – what we aim at“; S. 3, „Human-centric AI“</t>
  </si>
  <si>
    <t>Nutzen-/Well-being-Orientierung für Menschen ist klar formuliert.</t>
  </si>
  <si>
    <t>S. 3, „Inclusion“</t>
  </si>
  <si>
    <t>Rule-of-law-Bezug mit explizitem AI-Anschluss vorhanden, aber ohne formale Compliance-Mechanik.</t>
  </si>
  <si>
    <t>S. 4, „Responsible AI by design“</t>
  </si>
  <si>
    <t>Ethische Grenzen werden ausdrücklich genannt und mit eingebetteten Prozessen verknüpft.</t>
  </si>
  <si>
    <t>Keine expliziten Anforderungen zu Datenqualität, Lineage, Repräsentativität oder Data Stewardship.</t>
  </si>
  <si>
    <t>Kein KI-spezifischer IP-/Vertraulichkeitsanker im Dokument.</t>
  </si>
  <si>
    <t>Menschenrechte werden ausdrücklich als Leitprinzip auch für AI genannt.</t>
  </si>
  <si>
    <t>Der KI-Einsatz soll offengelegt/identifizierbar sein.</t>
  </si>
  <si>
    <t>“indicate where AI is actually being used”</t>
  </si>
  <si>
    <t>Datenschutz wird über lokale Datenverarbeitung adressiert.</t>
  </si>
  <si>
    <t>“data can be processed locally in devices”</t>
  </si>
  <si>
    <t>Sichere AI-Lösungen werden hervorgehoben.</t>
  </si>
  <si>
    <t>“hardware-based security solutions will be crucial”</t>
  </si>
  <si>
    <t>Safety-Bezug für Kundenprodukte ist ausdrücklich genannt.</t>
  </si>
  <si>
    <t>“ensure the safety of our customers’ products”</t>
  </si>
  <si>
    <t>AI-Nutzung wird an Ressourcen-/Energiekriterien gebunden.</t>
  </si>
  <si>
    <t>“The use of AI must also be measured against this”</t>
  </si>
  <si>
    <t>Rule of law und human rights werden auch für AI herangezogen.</t>
  </si>
  <si>
    <t>“committed to the rule of law, respects human rights”</t>
  </si>
  <si>
    <t>“preserve people’s autonomy”; “Technology should always adapt to people”; “employees can turn if they want to receive guidance”</t>
  </si>
  <si>
    <t>AI soll menschliche Autonomie erhalten.; Belegt ersten Eskalations-/Prozessschritt.; Stützt Human-centric/Human Agency</t>
  </si>
  <si>
    <t>“provide accountability”; “Digital Council will inspect and resolve the case”; “team works in a tandem formation with two employees from the tech and compliance side</t>
  </si>
  <si>
    <t>Accountability wird ausdrücklich gefordert.; Unklare Fälle werden an den Digital Council eskaliert.; Die Klärungsfunktion ist als Tech/Compliance-Tandem besetzt.</t>
  </si>
  <si>
    <t>“how AI-based solutions arrive at their results”; “toolkits with tutorials and code samples to make AI explainable”</t>
  </si>
  <si>
    <t>Die Entscheidungslogik von AI soll verstanden werden.; Explainability wird über Toolkits/Tutorials operationalisiert.</t>
  </si>
  <si>
    <t>“avoid unintended bias”; “Non-discriminatory practices are the standard we embrace”</t>
  </si>
  <si>
    <t>Bias-Vermeidung wird als Ziel der AI-Nutzung genannt.; Belegt Fairness im AI-Kontext.</t>
  </si>
  <si>
    <t>“make our lives easier, safer and greener”; “preserve people’s autonomy”</t>
  </si>
  <si>
    <t>AI soll menschlichen Nutzen stiften.; Belegt Human Agency.</t>
  </si>
  <si>
    <t>“We implement the boundaries for responsible AI in our operations”; “embedded processes which help to identify risks throughout the AI project life cycle”</t>
  </si>
  <si>
    <t>Responsible-AI-Grenzen werden ausdrücklich implementiert.; Risikoorientierte Prozesse laufen über den gesamten AI-Lebenszyklus.</t>
  </si>
  <si>
    <t>S. 4, „Executing human oversight“</t>
  </si>
  <si>
    <t>S. 4, „Responsible AI by design“; S. 4, „Executing human oversight“</t>
  </si>
  <si>
    <t>S. 4, „Upskilling“; S. 4, „Responsible AI by design“</t>
  </si>
  <si>
    <t>S. 4, „Upskilling“</t>
  </si>
  <si>
    <t>Keine explizite AI-spezifische Reporting-Struktur, KPI-Logik oder Disclosure-Frequenz dokumentiert.</t>
  </si>
  <si>
    <t>Rollen und Aufgaben (Clearing Function, Tech/Compliance-Tandem, Digital Council) beschrieben</t>
  </si>
  <si>
    <t>keine Reporting-/Regeltermine belegt.</t>
  </si>
  <si>
    <t>Lifecycle-/Eskalationsschritte beschrieben</t>
  </si>
  <si>
    <t>keine KPIs oder dokumentierten Review-Zyklen belegt.</t>
  </si>
  <si>
    <t>Toolkits und risikoorientierte Checks über den AI lifecycle sind dokumentiert</t>
  </si>
  <si>
    <t>kein Betriebsnachweis/Protokoll.</t>
  </si>
  <si>
    <t>Peer review standards deuten Review-/Assessment-Aktivität an</t>
  </si>
  <si>
    <t>Audit-Mechanik, Frequenz und Verantwortliche fehlen.</t>
  </si>
  <si>
    <t>Trainings/Awareness klar erwähnt</t>
  </si>
  <si>
    <t>Zielgruppe/Programmstruktur/Pflichtgrad bleiben unvollständig.</t>
  </si>
  <si>
    <t>Mehrstufige Eskalationslogik beschrieben</t>
  </si>
  <si>
    <t>keine geübten Fälle oder Reporting-Nachweise.</t>
  </si>
  <si>
    <t>“highest quality and peer review standards”</t>
  </si>
  <si>
    <t>“Digital Council will inspect and resolve the case”;“team works in a tandem formation with two employees from the tech and compliance side”</t>
  </si>
  <si>
    <t>“embedded processes which help to identify risks throughout the AI project life cycle”; “employees can turn if they want to receive guidance”; “Digital Council will inspect and resolve the case”</t>
  </si>
  <si>
    <t>“toolkits with tutorials and code samples to make AI explainable”; “embedded processes which help to identify risks throughout the AI project life cycle”</t>
  </si>
  <si>
    <t>“toolkits with tutorials and code samples to make AI explainable”; “systematically include ethical questions in Infineon’s internal AI communication efforts”</t>
  </si>
  <si>
    <t>“employees can turn if they want to receive guidance”; “Digital Council will inspect and resolve the case”</t>
  </si>
  <si>
    <t>Die Formulierung zur Nachvollziehbarkeit von AI-Ergebnissen kann als Transparenz oder Explainability gelesen werden.</t>
  </si>
  <si>
    <t>A: nur VAL_03. B: VAL_04 zusätzlich; VAL_03 separat nur für Offenlegung. Gewählt: B, weil das Codebook Offenlegung (VAL_03) und Erklärbarkeit/Interpretation (VAL_04) trennt.</t>
  </si>
  <si>
    <t>VAL_05 / VAL_11</t>
  </si>
  <si>
    <t>Die Überschrift „Inclusion“ legt VAL_11 nahe, der Text selbst spricht aber über Non-Discrimination/Diversity statt Accessibility/Teilhabe.</t>
  </si>
  <si>
    <t>A: VAL_11=1 wegen Abschnittsüberschrift. B: nur VAL_05=1, VAL_11=0. Gewählt: B, weil das Codebook Accessibility/Teilhabe verlangt und DEI-/Bias-Fälle primär VAL_05 zuordnet.</t>
  </si>
  <si>
    <t>„peer review standards“ kann als Review/Audit-Aktivität oder als bloße Qualitätsrhetorik gelesen werden.</t>
  </si>
  <si>
    <t>A: GOV_04=0. B: GOV_04=1. Gewählt: B, konservativ auf Score 1, weil zumindest eine Review-/Assessment-Aktivität anklingt; Mechanik/Frequenz fehlen klar.</t>
  </si>
  <si>
    <t>VAL_02 (BIND)</t>
  </si>
  <si>
    <t>Die Rollen- und Eskalationsbeschreibung operationalisiert Verantwortlichkeit, nennt aber kein separates Ownership-Schema/RACI.</t>
  </si>
  <si>
    <t>A: BIND=1/2 nur Wertstatement. B: BIND=3 wegen konkreter Rollen/Fallklärung. Gewählt: B, da das Codebook für BIND=3 eine konkrete Prozess-/Operationalisierung zulässt.</t>
  </si>
  <si>
    <t>S. 2, „1st principle: responsible use“</t>
  </si>
  <si>
    <t>Menschliche Kontrolle ist explizit benannt; keine weitergehende Oversight-Mechanik im Dokument.</t>
  </si>
  <si>
    <t>„Responsible use“ allein reicht hier konservativ nicht als Accountability-/Ownership-Anker.</t>
  </si>
  <si>
    <t>S. 2, „2nd principle: explainability“ / „1st principle: responsible use“</t>
  </si>
  <si>
    <t>Transparenz ist ausdrücklich Prinzip; keine separate Disclosure-Regel oder Pflichtdokumentation belegt.</t>
  </si>
  <si>
    <t>S. 2, „2nd principle: explainability“</t>
  </si>
  <si>
    <t>Explainability ist explizit genannt; keine weiter operationalisierten Erklärverfahren im Dokument.</t>
  </si>
  <si>
    <t>Bias wird explizit adressiert; Fairness wird zusätzlich über Datenrepräsentativität angesprochen.</t>
  </si>
  <si>
    <t>S. 3, „3rd principle: protection of privacy“</t>
  </si>
  <si>
    <t>Privacy by design plus konkrete Praxis zu künstlichen/anonymisierten Datensätzen beim Testen/Trainieren.</t>
  </si>
  <si>
    <t>Security wird nur allgemein als KI-Risikofeld erwähnt; keine eigenständige KI-Sicherheitsnorm oder Mechanik belegt.</t>
  </si>
  <si>
    <t>S. 3, „4th principle: safety and reliability“</t>
  </si>
  <si>
    <t>Sichere KI wird mit Maßnahmen und Entwicklungs-/Testbezug verbunden.</t>
  </si>
  <si>
    <t>Entwicklung, Testing und validierte Algorithmen belegen konkrete Robustheits-/Reliability-Operationalisierung.</t>
  </si>
  <si>
    <t>Keine Einspruchs-, Beschwerde- oder Redress-Mechanik für KI-Entscheidungen dokumentiert.</t>
  </si>
  <si>
    <t>„Inclusion“ erscheint nur indirekt über Fairness-/Datensatzrepräsentativität, nicht über Accessibility/Teilhabe.</t>
  </si>
  <si>
    <t>Kein belastbarer KI-spezifischer Umwelt-/Green-AI-Anker im Text der Prinzipien.</t>
  </si>
  <si>
    <t>KI soll „genuine added value“ liefern; dies genügt konservativ als Nutzenanker.</t>
  </si>
  <si>
    <t>S. 1, Schlussabsatz; S. 3, „3rd principle: protection of privacy“</t>
  </si>
  <si>
    <t>Rechtliche Anforderungen sind ausdrücklich verpflichtend; keine weitergehende Compliance-Prozessarchitektur belegt.</t>
  </si>
  <si>
    <t>Verweise auf ethische Standards/Corporate Values bleiben konservativ zu allgemein für explizite ethische Grenzen.</t>
  </si>
  <si>
    <t>Repräsentativität und Datenqualität sind explizite Prüffragen innerhalb eines Bewertungsprozesses.</t>
  </si>
  <si>
    <t>Kein KI-spezifischer IP-/Vertraulichkeitsanker.</t>
  </si>
  <si>
    <t>Kein expliziter Menschenrechtsrahmen für KI benannt.</t>
  </si>
  <si>
    <t>Menschliche Kontrolle über KI bleibt bestehen.</t>
  </si>
  <si>
    <t>“Humans remain in control”</t>
  </si>
  <si>
    <t>Explainable AI wird ausdrücklich unterstützt.</t>
  </si>
  <si>
    <t>“we support explainable Artificial Intelligence”</t>
  </si>
  <si>
    <t>Es sollen angemessene Maßnahmen für sichere KI getroffen werden.</t>
  </si>
  <si>
    <t>“develop safe and reliable Artificial Intelligence”</t>
  </si>
  <si>
    <t>KI soll echten Mehrwert stiften.</t>
  </si>
  <si>
    <t>“it should deliver genuine added value”</t>
  </si>
  <si>
    <t>“a high level of transparency”; “preceded by a transparent evaluation process”</t>
  </si>
  <si>
    <t>Mercedes-Benz bekennt sich zu hoher Transparenz bei KI.; Vor KI-Nutzung ist ein transparenter Bewertungsprozess vorgesehen.</t>
  </si>
  <si>
    <t>“explain any possible unintended bias – and eliminate it”; “data set representative and of high enough quality”</t>
  </si>
  <si>
    <t>Unbeabsichtigter Bias soll erklärt und beseitigt werden.; Belegt Data Quality / Dataset Governance.</t>
  </si>
  <si>
    <t>“privacy protection from the design phase onwards”; “we use artificial or anonymized data sets”</t>
  </si>
  <si>
    <t>Privacy wird bereits ab der Designphase berücksichtigt.; Beim Testen und Trainieren werden künstliche oder anonymisierte Datensätze genutzt.</t>
  </si>
  <si>
    <t>“We develop and test our AI technologies”; “scientifically validated and accepted algorithms”; “reliable AI is safety-relevant”</t>
  </si>
  <si>
    <t>KI wird entwickelt und getestet.; Die Robustheit stützt sich auf validierte Algorithmen.; Zuverlässige KI wird als sicherheitsrelevant beschrieben.</t>
  </si>
  <si>
    <t>“ensure compliance with legal requirements and ethical standards”; “Legal requirements are always mandatory”</t>
  </si>
  <si>
    <t>Governance-Ansatz soll rechtliche und ethische Standards sichern.; Rechtliche Anforderungen gelten verbindlich.</t>
  </si>
  <si>
    <t>“data set representative and of high enough quality”; “preceded by a transparent evaluation process”</t>
  </si>
  <si>
    <t>Datensätze sollen repräsentativ und qualitativ geeignet sein.; Vor KI-Nutzung ist ein transparenter Bewertungsprozess vorgesehen.</t>
  </si>
  <si>
    <t>Keine AI-spezifischen Rollen, Owner, Gremien oder Freigabezuständigkeiten benannt.</t>
  </si>
  <si>
    <t>S. 3, „3rd principle: protection of privacy“ / „4th principle: safety and reliability“</t>
  </si>
  <si>
    <t>Keine Audit-, Assessment- oder Assurance-Mechanik mit Audit-Charakter.</t>
  </si>
  <si>
    <t>Keine Awareness- oder Trainingsmaßnahmen genannt.</t>
  </si>
  <si>
    <t>Keine Kontaktstelle oder Eskalationslogik dokumentiert.</t>
  </si>
  <si>
    <t>Kein AI-spezifisches Reporting, keine KPIs, keine Disclosure-Struktur.</t>
  </si>
  <si>
    <t>S. 1, Abs. 3-4; S. 2, „1st principle: responsible use“</t>
  </si>
  <si>
    <t>Risikobasierter Governance-Ansatz und vorgelagerter Bewertungsprozess mit Prüffragen dokumentiert</t>
  </si>
  <si>
    <t>nicht höher, da keine Rollen/Frequenzen/KPIs.</t>
  </si>
  <si>
    <t>Konkrete Checks/Mechanismen dokumentiert: anonymisierte/künstliche Datensätze, Testing, validierte Algorithmen</t>
  </si>
  <si>
    <t>nicht höher, da keine Betriebsnachweise/Protokolle.</t>
  </si>
  <si>
    <t>“risk-based AI Governance approach”; “anchored them company-wide in our integrity code”; “preceded by a transparent evaluation process”</t>
  </si>
  <si>
    <t>“we use artificial or anonymized data sets”; “We develop and test our AI technologies”; “scientifically validated and accepted algorithms”</t>
  </si>
  <si>
    <t>„ethical and legal standards“ kann als Ethical Use oder primär als Compliance gelesen werden.</t>
  </si>
  <si>
    <t>A: VAL_14=1 und VAL_15=1. B: nur VAL_14=1. Gewählt: B, weil das Codebook reine Responsible-AI-/Ethik-Rhetorik ohne klare Grenze bei VAL_15 ausschließt.</t>
  </si>
  <si>
    <t>Der Text nennt einen risikobasierten Ansatz und Prüffragen, aber keine Rollen/Frequenzen.</t>
  </si>
  <si>
    <t>A: GOV_02=1. B: GOV_02=2. Gewählt: B, weil konkrete Prozessschritte/Prüffragen vor dem AI-Einsatz beschrieben sind; nicht höher wegen fehlender Verantwortlicher und Nachweise.</t>
  </si>
  <si>
    <t>„inclusion“ könnte als Inclusiveness &amp; Accessibility oder als Fairness-/Bias-Kontext gelesen werden.</t>
  </si>
  <si>
    <t>A: VAL_11=1. B: nur VAL_05=1. Gewählt: B, weil das Codebook Accessibility/Teilhabe verlangt und Datensatzrepräsentativität primär VAL_05/VAL_16 zuordnet.</t>
  </si>
  <si>
    <t>VAL_08 / VAL_09</t>
  </si>
  <si>
    <t>Die Passage bündelt Safety und Reliability in einem Prinzip.</t>
  </si>
  <si>
    <t>A: nur VAL_09=1. B: VAL_08=1 und VAL_09=1. Gewählt: B, weil Safety explizit benannt ist und Reliability zusätzlich durch Testing/validierte Algorithmen operationalisiert wird.</t>
  </si>
  <si>
    <t>„security“ erscheint als KI-Risikofeld, aber ohne eigene Prinzipienausführung.</t>
  </si>
  <si>
    <t>A: VAL_07=1. B: VAL_07=0. Gewählt: B, konservativ, da kein substanzieller Security-Standard oder KI-spezifischer Schutzmechanismus beschrieben wird.</t>
  </si>
  <si>
    <t>Keine explizite menschliche Kontrolle/Override/Oversight für KI benannt.</t>
  </si>
  <si>
    <t>Keine KI-spezifischen Verantwortlichen, Ownership- oder Accountability-Rollen belegt.</t>
  </si>
  <si>
    <t>Im KI-Abschnitt dieses Dokuments keine explizite AI-Transparenz-/Disclosure-Formulierung belegt.</t>
  </si>
  <si>
    <t>S. 52, „04.5.2 Artificial Intelligence“</t>
  </si>
  <si>
    <t>Explainability ist ausdrücklich als KI-Prinzip genannt, ohne weitere Operationalisierung.</t>
  </si>
  <si>
    <t>Keine explizite Bias-/Fairness-Aussage im KI-Abschnitt des Dokuments.</t>
  </si>
  <si>
    <t>Protection of Privacy ist ausdrücklich als KI-Prinzip benannt.</t>
  </si>
  <si>
    <t>Security ist explizit genannt; konkrete KI-Sicherheitsmechaniken fehlen.</t>
  </si>
  <si>
    <t>Im KI-Abschnitt keine explizite Safety-/Harm-Prevention-Formulierung.</t>
  </si>
  <si>
    <t>Reliability ist explizit als KI-Prinzip benannt; keine Tests/Validierungsdetails im Dokument.</t>
  </si>
  <si>
    <t>Keine KI-spezifischen Einspruchs-, Beschwerde- oder Redress-Rechte dokumentiert.</t>
  </si>
  <si>
    <t>Keine KI-spezifische Aussage zu Accessibility/Teilhabe.</t>
  </si>
  <si>
    <t>Allgemeine Nachhaltigkeitsbezüge vorhanden, aber keine belastbare ökologische KI-Norm im AI-Abschnitt.</t>
  </si>
  <si>
    <t>Kein expliziter KI-spezifischer Well-being-/Societal-Benefit-Anker im codierten AI-Abschnitt.</t>
  </si>
  <si>
    <t>Rechtliche Prinzipien für Entwicklung und Nutzung von KI werden ausdrücklich genannt, aber nicht deontisch ausformuliert.</t>
  </si>
  <si>
    <t>Responsible AI use sowie verantwortliche Entwicklung/Nutzung sind explizit formuliert.</t>
  </si>
  <si>
    <t>Datenqualitätsprinzipien erscheinen im Daten-Teil, aber ohne hinreichend expliziten KI-Anker im codierten Evidenzsatz.</t>
  </si>
  <si>
    <t>Kein expliziter Menschenrechtsrahmen für KI im AI-Abschnitt dokumentiert.</t>
  </si>
  <si>
    <t>Explainability ist als eigener Fokus der KI-Prinzipien genannt.</t>
  </si>
  <si>
    <t>“we focus on the Responsible Use of AI, Explainability”</t>
  </si>
  <si>
    <t>Privacy ist als eigener Fokus der KI-Prinzipien genannt.</t>
  </si>
  <si>
    <t>“Protection of Privacy”</t>
  </si>
  <si>
    <t>Security ist als eigener Fokus der KI-Prinzipien genannt.</t>
  </si>
  <si>
    <t>“Security”</t>
  </si>
  <si>
    <t>Reliability ist als eigener Fokus der KI-Prinzipien genannt.</t>
  </si>
  <si>
    <t>“Reliability”</t>
  </si>
  <si>
    <t>Für KI werden ausdrücklich rechtliche und ethische Prinzipien benannt.</t>
  </si>
  <si>
    <t>“defined stringent ethical and legal principles”</t>
  </si>
  <si>
    <t>“What matters is how we responsibly manage AI use.”; “responsible development and use of Artificial Intelligence”</t>
  </si>
  <si>
    <t>Das Dokument fordert einen verantwortlichen Umgang mit KI.; Die KI-Prinzipien beziehen sich auf Entwicklung und Nutzung von KI.</t>
  </si>
  <si>
    <t>Keine AI-spezifischen Rollen, Committees, Owner oder Approver genannt.</t>
  </si>
  <si>
    <t>Es werden KI-Prinzipien genannt, aber keine belastbaren AI-Prozessschritte, Gates oder Freigabelogiken beschrieben.</t>
  </si>
  <si>
    <t>Keine AI-spezifischen Checks, Assessments, Toolnamen oder Prüfmechanismen dokumentiert.</t>
  </si>
  <si>
    <t>Keine AI-bezogenen Audits, Assessments oder Reviews mit Audit-Charakter belegt.</t>
  </si>
  <si>
    <t>Keine AI-spezifischen Trainings, Awareness- oder Qualifizierungsmaßnahmen genannt.</t>
  </si>
  <si>
    <t>Keine AI-spezifische Kontaktstelle oder Eskalationslogik belegt.</t>
  </si>
  <si>
    <t>Kein AI-spezifisches Reporting, keine KPIs und keine Disclosure-Struktur dokumentiert.</t>
  </si>
  <si>
    <t>VAL_03, VAL_06, VAL_07, VAL_16</t>
  </si>
  <si>
    <t>Der Daten-Abschnitt nennt Transparenz, Data Quality, Data Security etc., aber ohne expliziten KI-Bezug im codierten Satz.</t>
  </si>
  <si>
    <t>A: Mitcodieren, weil der Oberabschnitt „Responsible Usage of Data and AI“ heißt. B: Nicht mitcodieren, weil der explizite KI-Anker im Satz/Unterabschnitt fehlt. Gewählt: B, gemäß R1 KI-Anker-Regel.</t>
  </si>
  <si>
    <t>BIND mehrerer VAL, GOV_02</t>
  </si>
  <si>
    <t>Die AI-Principles stehen im Kapitel „Behavior Guidelines“, das allgemein als bindend beschrieben wird. Reicht das für BIND=2 oder GOV_02&gt;0?</t>
  </si>
  <si>
    <t>A: BIND=2 bzw. GOV_02=1, weil eingebettet in bindende Guidelines. B: BIND=1 und GOV_02=0, weil im AI-Abschnitt selbst weder deontische Formulierung noch Prozessschritt genannt wird. Gewählt: B, konservativ nach R11/R12.</t>
  </si>
  <si>
    <t>„stringent ethical and legal principles“ kann als Policy-Regel oder bloß als Prinzipienaussage gelesen werden.</t>
  </si>
  <si>
    <t>A: BIND=2, weil rechtliche Prinzipien genannt werden. B: BIND=1, weil kein „must/shall/always“ und kein Vollzugsschritt vorliegt. Gewählt: B, konservativ nach BIND-Regel.</t>
  </si>
  <si>
    <t>VAL_07, VAL_08, VAL_09</t>
  </si>
  <si>
    <t>Die Formulierung nennt „Security and Reliability“, aber nicht „Safety“.</t>
  </si>
  <si>
    <t>A: VAL_08 zusätzlich codieren, weil bei KI Security/Reliability oft sicherheitsnah sind. B: Nur VAL_07 und VAL_09 codieren. Gewählt: B, da das Codebook für VAL_08 einen expliziten Safety/Harm-Anker verlangt.</t>
  </si>
  <si>
    <t>S. 12 „The Code“; S. 13 „The Code“</t>
  </si>
  <si>
    <t>„People at the center“ und „autonomy“ stützen Human-centric/Autonomy; keine explizite KI-Override-Mechanik.</t>
  </si>
  <si>
    <t>Verantwortung wird allgemein erwähnt, aber kein klarer KI-/Algorithmic-Accountability-Wertanker als eigener Prinzipieneintrag.</t>
  </si>
  <si>
    <t>S. 13 „The Code“; S. 16 „Handling Patient Data“</t>
  </si>
  <si>
    <t>Transparenz ist Kernprinzip und wird im Fallbeispiel praktisch adressiert.</t>
  </si>
  <si>
    <t>Keine explizite Erklärbarkeits-/Explainability-Formulierung im Textkörper dieses Dokuments.</t>
  </si>
  <si>
    <t>S. 13 „The Code“</t>
  </si>
  <si>
    <t>„Justice“ wird konservativ als Fairness-/Gerechtigkeitsanker codiert; keine Bias-/Diskriminierungsdetails.</t>
  </si>
  <si>
    <t>S. 16 „Handling Patient Data“</t>
  </si>
  <si>
    <t>Consent-Standards und Schutz sensibler Daten sind belegt; keine ausführliche Privacy-by-Design-Norm im Dokumenttext.</t>
  </si>
  <si>
    <t>Kein expliziter Security-/Cybersecurity-Wertanker im Textkörper dieses Dokuments.</t>
  </si>
  <si>
    <t>„Non-maleficence“ stützt konservativ Schadensvermeidung; keine Safety-Operationalisierung als Wertsatz.</t>
  </si>
  <si>
    <t>Tools/Scoring vorhanden, aber kein expliziter Reliability-/Robustness-Wertsatz im Text.</t>
  </si>
  <si>
    <t>Kontakt- und Einreichungswege sind vorhanden, aber kein ausdrückliches Redress-/Appeal-Recht für Betroffene.</t>
  </si>
  <si>
    <t>Customer literacy/Patientenvertretungen reichen hier konservativ nicht für Accessibility/Inclusiveness als eigener Wert.</t>
  </si>
  <si>
    <t>Kein belastbarer KI-/algorithmikbezogener Umweltwert im Textkörper.</t>
  </si>
  <si>
    <t>Positive impact und beneficence belegen Nutzen-/Wohlfahrtsorientierung.</t>
  </si>
  <si>
    <t>S. 12 „The Code“</t>
  </si>
  <si>
    <t>Gesetze/Regulierungen werden ausdrücklich adressiert; keine deontische Policy-Formulierung.</t>
  </si>
  <si>
    <t>S. 1 Intro; S. 2 „Why Digital Ethics Matter“; S. 12 „The Code“</t>
  </si>
  <si>
    <t>Ethischer Umgang, moral compass und Leitfunktion ethischer Standards sind klar belegt.</t>
  </si>
  <si>
    <t>Data governance erscheint bei Panel-Expertise, aber nicht als expliziter normativer Wertsatz.</t>
  </si>
  <si>
    <t>Kein KI-/Algorithmik-spezifischer IP-/Confidentiality-Anker.</t>
  </si>
  <si>
    <t>Kein expliziter Menschenrechtsrahmen im vorliegenden Dokumenttext.</t>
  </si>
  <si>
    <t>“five core principles: autonomy, justice, beneficence, non-maleficence, and transparency”</t>
  </si>
  <si>
    <t>Justice ist Kernprinzip des CoDE.</t>
  </si>
  <si>
    <t>Im Fallbeispiel wird die Entwicklung neuer Consent-Standards empfohlen.</t>
  </si>
  <si>
    <t>“develop new consent standards”</t>
  </si>
  <si>
    <t>Non-maleficence ist Kernprinzip des CoDE.</t>
  </si>
  <si>
    <t>Der Code überschreitet geltende Gesetze und Regulierungen.</t>
  </si>
  <si>
    <t>“goes beyond applicable laws and regulations”</t>
  </si>
  <si>
    <t>“people are at the center of everything we do”; “five core principles: autonomy, justice, beneficence, non-maleficence, and transparency”</t>
  </si>
  <si>
    <t>Menschen stehen im Zentrum digitaler Innovationen.; Autonomie ist explizit benannt.</t>
  </si>
  <si>
    <t>“five core principles: autonomy, justice, beneficence, non-maleficence, and transparency”; “drive transparency and customer literacy</t>
  </si>
  <si>
    <t>Transparenz ist Kernprinzip des CoDE.; Belegt Transparenz im Anwendungsfall.</t>
  </si>
  <si>
    <t>“create digital innovations that have a positive impact”; “five core principles: autonomy, justice, beneficence, non-maleficence, and transparency”</t>
  </si>
  <si>
    <t>Digitale Innovation soll positiven Nutzen erzeugen.; Belegt Nutzen-/Wohlfahrtsorientierung.</t>
  </si>
  <si>
    <t>“digital ethics, or the ethical handling of data and algorithms”; “ethical standards should guide our daily business in the digital age”; “serves as a moral compass”</t>
  </si>
  <si>
    <t>Digitale Ethik wird als ethischer Umgang mit Daten und Algorithmen definiert.; Belegt Ethical Use/Integrity im KI-/Digital-Kontext.; Belegt Ethical Use/Integrity im KI-/Digital-Kontext.</t>
  </si>
  <si>
    <t>S. 2 „Why Digital Ethics Matter“; S. 2 „Digital Ethics at our company“; S. 3 „DEAP“</t>
  </si>
  <si>
    <t>S. 13 „The Code“; S. 15 „PaRA“; S. 16 „Handling Patient Data“</t>
  </si>
  <si>
    <t>Formaler Bewertungsprozess ist beschrieben, dokumentiert und an realem Fallbeispiel nachweisbar genutzt.</t>
  </si>
  <si>
    <t>S. 15 „PaRA“; S. 17 „Automated Risk Assessment“</t>
  </si>
  <si>
    <t>Formales Review-Tool plus rule-based scoring system mit Risk Score und Mitigationsvorschlägen sind implementiert belegt.</t>
  </si>
  <si>
    <t>S. 3 „DEAP“; S. 13 „The Code“; S. 15 „PaRA“</t>
  </si>
  <si>
    <t>S. 18 „Training“</t>
  </si>
  <si>
    <t>Mandatory Training ist entwickelt und in individuelle Trainingspläne eingebettet; damit Implementierungsnachweis vorhanden.</t>
  </si>
  <si>
    <t>S. 3 „DEAP“; S. 16 „Handling Patient Data“; S. 22 „Questions or Inputs?“</t>
  </si>
  <si>
    <t>Einreichungsweg für alle Mitarbeitenden, reales Eskalationsbeispiel und Kontaktkanal sind belegt.</t>
  </si>
  <si>
    <t>Keine AI-/Digital-Ethics-spezifischen Reporting-Strukturen, KPIs oder regelmäßigen Berichte im Dokument nachweisbar.</t>
  </si>
  <si>
    <t>Digital Ethics Group, DEAP und Executive-Board-Ernennung sind klar beschrieben</t>
  </si>
  <si>
    <t>keine KPI-/Reporting-Evidenz.</t>
  </si>
  <si>
    <t>Unabhängige Review-/Assessment-Funktion des DEAP ist dokumentiert</t>
  </si>
  <si>
    <t>keine Audit-Frequenzen, Reports oder Assurance-Nachweise.</t>
  </si>
  <si>
    <t>“created a dedicated Digital Ethics Group, our Digital Ethics Advisory Panel and our Code of Digital Ethics”; “Since 2020, we have embedded a dedicated digital ethics group”; “The DEAP is appointed by the Executive Board”</t>
  </si>
  <si>
    <t>“assess the ethical aspects of data use and algorithms”; “used to analyze … new products in an early development phase”; “used to analyze … new products in an early development phase”</t>
  </si>
  <si>
    <t>“PaRA is a formal ethics review tool”; “rule-based in-process scoring system”,“rule-based in-process scoring system”</t>
  </si>
  <si>
    <t>“assess complex ethical challenges related to data and AI”; “forms the basis for the Digital Ethics Advisory Panel evaluation”; “The tool’s assessment is reviewed by the DEAP”</t>
  </si>
  <si>
    <t>“developed a mandatory training”; “anchored within the individual training plans”</t>
  </si>
  <si>
    <t>“All employees may submit topics to the DEAP”; “Our business approached the Digital Ethics Advisory Panel”; “Have any questions or feedback … Contact us at ethics@merckgroup.com"</t>
  </si>
  <si>
    <t>Das Dokument nennt „justice“, aber nicht explizit „fairness“ oder „non-discrimination“.</t>
  </si>
  <si>
    <t>A: VAL_05=1, weil justice im Digital-Ethics-Kontext konservativ als Fairness/Gerechtigkeit gelesen werden kann. B: VAL_05=0, weil Bias/Diskriminierung nicht ausdrücklich genannt sind. Gewählt: A, aber mit niedriger Confidence, weil der Prinzipienbegriff explizit ist, die Untersetzung jedoch fehlt.</t>
  </si>
  <si>
    <t>„Non-maleficence“ ist ein klassischer Ethikbegriff, aber nicht als „safety“ formuliert.</t>
  </si>
  <si>
    <t>A: VAL_08=1, weil Nicht-Schaden konservativ auf Harm Prevention verweist. B: VAL_08=0, weil Safety nicht wörtlich genannt wird. Gewählt: A, da der Wertbezug explizit ist, jedoch nur auf Prinzipienebene.</t>
  </si>
  <si>
    <t>„Autonomy“ und „people are at the center“ können als Human Agency gelesen werden, ohne explizite Oversight-Mechanik.</t>
  </si>
  <si>
    <t>A: VAL_01=1. B: VAL_01=0. Gewählt: A, weil der Wertbezug klar ist; BIND bleibt konservativ bei 1, da kein konkreter Human-in-the-loop-Prozess beschrieben wird.</t>
  </si>
  <si>
    <t>DEAP-Review ist ein formales Assessment, aber nicht eindeutig ein Audit im engeren Sinn.</t>
  </si>
  <si>
    <t>A: GOV_04=2. B: GOV_04=1 oder 0. Gewählt: A, weil unabhängige Bewertung und Review explizit dokumentiert sind; nicht höher, da Auditzyklen/Reports fehlen.</t>
  </si>
  <si>
    <t>Das Training ist mandatory und in Pläne eingebettet, aber ohne Abschlussquoten oder KPIs.</t>
  </si>
  <si>
    <t>A: GOV_05=3. B: GOV_05=2. Gewählt: A, weil Implementierung ausdrücklich belegt ist; nicht höher möglich als 3, aber Evidenz für tatsächliche Verankerung liegt vor.</t>
  </si>
  <si>
    <t>GOV_06 / VAL_10</t>
  </si>
  <si>
    <t>Kontakt- und Einreichungswege könnten als Eskalation oder als Redress gewertet werden.</t>
  </si>
  <si>
    <t>A: GOV_06&gt;0 und VAL_10=1. B: GOV_06&gt;0 und VAL_10=0. Gewählt: B, weil interne Einreichung/Kontakt klar belegt ist, ein ausdrückliches Betroffenen-Redress jedoch nicht.</t>
  </si>
  <si>
    <t>S. 5/S. 8 „Autonomy“; S. 10/S. 20 „Controllability“</t>
  </si>
  <si>
    <t>Autonomie explizit; menschliche Intervention muss möglich bleiben.</t>
  </si>
  <si>
    <t>S. 9/S. 18 „Responsibility“; S. 10 „Accountability“</t>
  </si>
  <si>
    <t>Verantwortung und klare Zuständigkeiten werden ausdrücklich verlangt.</t>
  </si>
  <si>
    <t>S. 11 „Transparency“; S. 21–22 „Traceability/Interactivity/Comprehensibility“</t>
  </si>
  <si>
    <t>Transparenz wird über Verständlichkeit, Interaktivität und Dokumentation konkretisiert.</t>
  </si>
  <si>
    <t>S. 8 „Explainability“</t>
  </si>
  <si>
    <t>Erklärbarkeit ist explizit und an automatisierte Entscheidungen gekoppelt.</t>
  </si>
  <si>
    <t>S. 7 „Justice – Impartiality“</t>
  </si>
  <si>
    <t>Bias-/Präjudizienvermeidung ist klar benannt; keine belastbare Implementierung im Dokument selbst.</t>
  </si>
  <si>
    <t>S. 8 „Privacy“</t>
  </si>
  <si>
    <t>Privacy ist explizites Prinzip; konkrete Maßnahmen im CoDE selbst nur exemplarisch erläutert.</t>
  </si>
  <si>
    <t>S. 9 „Security“</t>
  </si>
  <si>
    <t>Technische Schutzmaßnahmen werden explizit gefordert.</t>
  </si>
  <si>
    <t>S. 10 „Non-Maleficence“</t>
  </si>
  <si>
    <t>Schadensvermeidung ist klar benannt; keine operativen Safety-Nachweise im Dokument selbst.</t>
  </si>
  <si>
    <t>S. 19 „Reliability“</t>
  </si>
  <si>
    <t>Reliability wird über regelmäßige Checks konkretisiert.</t>
  </si>
  <si>
    <t>Kontakt-/Interaktionsmöglichkeiten sind vorhanden, aber kein ausdrückliches Appeal-/Redress-Recht.</t>
  </si>
  <si>
    <t>S. 14 „Equality“</t>
  </si>
  <si>
    <t>Accessibility wird explizit genannt; konkrete Umsetzung bleibt beispielhaft.</t>
  </si>
  <si>
    <t>S. 9 „Sustainability“; S. 17 Appendix „Sustainability“</t>
  </si>
  <si>
    <t>Nachhaltigkeit ist explizites Prinzip mit Review-Bezug, aber ohne belastbare Implementierungsnachweise.</t>
  </si>
  <si>
    <t>S. 9 „Beneficence“</t>
  </si>
  <si>
    <t>Wohlbefinden von Individuen und Gesellschaft ist Kernprinzip.</t>
  </si>
  <si>
    <t>S. 4 „Preamble – Terms of Use“</t>
  </si>
  <si>
    <t>Anwendbares Recht wird ausdrücklich als Bindungsrahmen genannt.</t>
  </si>
  <si>
    <t>S. 3–4 „Preamble“</t>
  </si>
  <si>
    <t>Der gesamte CoDE fungiert als formaler ethischer Rahmen für digitale Entwicklung.</t>
  </si>
  <si>
    <t>S. 7 „Proportionality“; S. 21 „Traceability“</t>
  </si>
  <si>
    <t>Datenminimierung, qualifizierte Quellen und Dokumentation sind konkret benannt.</t>
  </si>
  <si>
    <t>Kein expliziter KI-/algorithmikbezogener IP-/Vertraulichkeitsanker.</t>
  </si>
  <si>
    <t>Menschenrechte werden ausdrücklich als verbindlicher Rahmen benannt.</t>
  </si>
  <si>
    <t>Vorurteile sollen aktiv bekämpft werden.</t>
  </si>
  <si>
    <t>“We actively combat prejudice in our digital offerings.”</t>
  </si>
  <si>
    <t>Schutz der Privatsphäre ist explizites Prinzip.</t>
  </si>
  <si>
    <t>“We protect the privacy of those who provide data.”</t>
  </si>
  <si>
    <t>Technische Schutzmaßnahmen werden gefordert.</t>
  </si>
  <si>
    <t>“implement technical protection measures”</t>
  </si>
  <si>
    <t>Schadensvermeidung ist Kernprinzip.</t>
  </si>
  <si>
    <t>“We avoid doing harm through our digital offerings.”</t>
  </si>
  <si>
    <t>Zuverlässigkeit wird durch regelmäßige Checks beschrieben.</t>
  </si>
  <si>
    <t>“regularly check the constancy within their data chain and algorithmic systems”</t>
  </si>
  <si>
    <t>Accessibility wird im Dokument ausdrücklich angesprochen.</t>
  </si>
  <si>
    <t>“high-contrast presentations or read aloud elements”</t>
  </si>
  <si>
    <t>Digitale Angebote sollen Wohlbefinden fördern.</t>
  </si>
  <si>
    <t>“promote the well-being of individuals and society”</t>
  </si>
  <si>
    <t>Das Dokument verknüpft digitale Prinzipien ausdrücklich mit Menschenrechten.</t>
  </si>
  <si>
    <t>“an irrevocable commitment to human rights”</t>
  </si>
  <si>
    <t>“We respect the autonomy of every single human”; “human intervention is always possible"</t>
  </si>
  <si>
    <t>Autonomie ist eines der fünf Kernprinzipien.; Expliziter Oversight-Anker.</t>
  </si>
  <si>
    <t>“Responsibility can neither be delegated to the algorithmic system”; “We assign clear responsibilities for our digital offerings.”;“We assign clear responsibilities for our digital offerings.”</t>
  </si>
  <si>
    <t>Verantwortung darf nicht an Systeme delegiert werden.; Expliziter Accountability-Anker.; Expliziter Accountability-Anker.</t>
  </si>
  <si>
    <t>“We strive for the greatest possible transparency”; “users of our digital services can contact us directly”;“users of our digital services can contact us directly”</t>
  </si>
  <si>
    <t>Transparenz ist Kernprinzip des Codes.; Belegt Data Quality/Traceability.; Belegt Data Quality/Traceability.</t>
  </si>
  <si>
    <t>“We explain our algorithmic systems.”; “understand how the results of algorithm-based processes are achieved”</t>
  </si>
  <si>
    <t>Algorithmische Systeme sollen erklärt werden.; Stützt Explainability vertiefend.</t>
  </si>
  <si>
    <t>“design them to be sustainable”; “regularly review the potential impact”</t>
  </si>
  <si>
    <t>Nachhaltigkeit ist eigenes Prinzip.; Wirkung digitaler Systeme soll regelmäßig überprüft werden.</t>
  </si>
  <si>
    <t>“linked to applicable law”; “apply to the development, commercialization, or utilization of all our digital products and processes”</t>
  </si>
  <si>
    <t>“developed 20 digital-ethical principles”; “apply to the development, commercialization, or utilization of all our digital products and processes”</t>
  </si>
  <si>
    <t>Die Prinzipien sind an Recht gebunden.; Belegt dokumentierten Geltungs- und Prozessrahmen.</t>
  </si>
  <si>
    <t>Merck rahmt digitale Entwicklung explizit ethisch.; Belegt dokumentierten Geltungs- und Prozessrahmen.</t>
  </si>
  <si>
    <t>“only necessary data is collected”; “qualified and verified sources”; “qualified and verified sources”</t>
  </si>
  <si>
    <t>Daten sollen minimiert und zweckgebunden erhoben werden.; Belegt Data Quality/Traceability.; Belegt Data Quality/Traceability.</t>
  </si>
  <si>
    <t>S. 4 „Preamble“; S. 10 „Accountability“</t>
  </si>
  <si>
    <t>S. 4 „Terms of Use“; S. 7 „Proportionality“</t>
  </si>
  <si>
    <t>S. 9 „Security“; S. 19 „Reliability“; S. 21 „Traceability“</t>
  </si>
  <si>
    <t>S. 17 Appendix „Sustainability“</t>
  </si>
  <si>
    <t>S. 8 „Literacy“</t>
  </si>
  <si>
    <t>S. 4 „Preamble“; S. 11/S. 22 „Interactivity“</t>
  </si>
  <si>
    <t>Keine AI-/Digital-Ethics-spezifischen Reporting-Strukturen, KPIs oder periodischen Veröffentlichungen im Dokument.</t>
  </si>
  <si>
    <t>DEAP und klare organisatorische Verantwortlichkeiten sind beschrieben</t>
  </si>
  <si>
    <t>nicht höher, da keine Nachweise zu gelebter Governance im Dokument selbst.</t>
  </si>
  <si>
    <t>Geltungsbereich und Prozesslogik sind dokumentiert</t>
  </si>
  <si>
    <t>nicht höher, da keine realen Prozessnachweise/KPIs.</t>
  </si>
  <si>
    <t>Technische Schutzmaßnahmen, regelmäßige Checks und Dokumentation sind beschrieben</t>
  </si>
  <si>
    <t>kein Implementierungsnachweis auf Tool-Ebene.</t>
  </si>
  <si>
    <t>Review-Aktivität ist erwähnt</t>
  </si>
  <si>
    <t>kein formales Audit-/Assurance-Setup, keine Frequenzen, keine Reports.</t>
  </si>
  <si>
    <t>Kompetenzförderung ist explizit genannt</t>
  </si>
  <si>
    <t>kein konkretes Trainingsprogramm in diesem Dokument.</t>
  </si>
  <si>
    <t>DEAP-Guidance und direkte Kontaktwege sind dokumentiert</t>
  </si>
  <si>
    <t>nicht höher, da keine geübten Fälle im CoDE selbst.</t>
  </si>
  <si>
    <t>“may approach our Digital Ethics Advisory Panel”; “We assign clear responsibilities for our digital offerings.”; “clear organisational structures”</t>
  </si>
  <si>
    <t>“apply to the development, commercialization, or utilization of all our digital products and processes”; “only necessary data is collected”</t>
  </si>
  <si>
    <t>“implement technical protection measures”; “regularly check the constancy within their data chain and algorithmic systems”; “regularly check the constancy within their data chain and algorithmic systems”</t>
  </si>
  <si>
    <t>“regularly review the potential impact”; “regularly review the potential impact”</t>
  </si>
  <si>
    <t>“We promote digital literacy.”; “We promote digital literacy.”</t>
  </si>
  <si>
    <t>“may approach our Digital Ethics Advisory Panel”; “users of our digital services can contact us directly”</t>
  </si>
  <si>
    <t>VAL_10 / GOV_06</t>
  </si>
  <si>
    <t>Die Passage erlaubt Kontakt und das Äußern von Problemen, aber kein ausdrückliches Einspruchs- oder Redress-Verfahren.</t>
  </si>
  <si>
    <t>A: VAL_10=1, weil concerns geäußert werden können. B: GOV_06&gt;0, VAL_10=0. Gewählt: B, da ein Kontakt-/Eskalationsweg klar belegt ist, ein formales Redress-Recht jedoch nicht.</t>
  </si>
  <si>
    <t>Accessibility erscheint nur als Beispiel innerhalb der Equality-Definition.</t>
  </si>
  <si>
    <t>A: VAL_11=1. B: VAL_11=0. Gewählt: A, weil „high-contrast presentations or read aloud elements“ ein expliziter Accessibility-Anker ist; BIND konservativ nur 2.</t>
  </si>
  <si>
    <t>BIND mehrerer VAL / GOV_03 / GOV_04</t>
  </si>
  <si>
    <t>Die Appendix formuliert teils generisch „Organisations committed…“, also definitorisch und nicht stets als direkter Implementierungsnachweis.</t>
  </si>
  <si>
    <t>A: Appendix voll als Implementierungsnachweis lesen. B: Appendix nur als dokumentierte Standard-/Check-Logik, nicht als Beleg gelebter Implementierung. Gewählt: B, daher meist BIND 2–3, aber GOV selten &gt;2.</t>
  </si>
  <si>
    <t>Der Satz zur Geltung des Codes könnte als bloßes Framing oder als formale Policy-Regel gelesen werden.</t>
  </si>
  <si>
    <t>A: BIND=1. B: BIND=2. Gewählt: B, weil das Dokument ausdrücklich sagt, die Prinzipien gelten ab Mai 2021 für alle digitalen Produkte und Prozesse.</t>
  </si>
  <si>
    <t>GOV_04 / GOV_03</t>
  </si>
  <si>
    <t>Regelmäßige Queries und Reviews können als Tool-/Check-Logik oder als Audit-Vorform gelesen werden.</t>
  </si>
  <si>
    <t>A: nur GOV_03=2. B: zusätzlich GOV_04=1. Gewählt: B, aber konservativ nur 1 bei GOV_04, weil Review erwähnt ist, Audit-Architektur jedoch fehlt.</t>
  </si>
  <si>
    <t>Die Passage kann als dokumentierter Prozess oder nur als benannter Check-/Standard gelesen werden.</t>
  </si>
  <si>
    <t>A: GOV_02=1 und/oder GOV_03=2. B: nur GOV_03=1. Gewählt: B, weil ein Bewertungsstandard erwähnt wird, aber weder Prozessschritte noch Tool- oder Rollendetails beschrieben sind.</t>
  </si>
  <si>
    <t>VAL_05 / VAL_18</t>
  </si>
  <si>
    <t>Das Verbot diskriminierender AI-Entwicklung könnte als Fairness oder als impliziter Human-Rights-Anker codiert werden.</t>
  </si>
  <si>
    <t>A: VAL_05=1 und VAL_18=1. B: nur VAL_05=1. Gewählt: B, weil kein expliziter Menschenrechtsbezug genannt wird; der Text spricht klarer über Diskriminierungsvermeidung.</t>
  </si>
  <si>
    <t>VAL_06 / VAL_14</t>
  </si>
  <si>
    <t>Die Passage kann als Privacy-Wert, als Compliance-Wert oder als beides gelesen werden.</t>
  </si>
  <si>
    <t>A: nur VAL_06=1. B: VAL_06=1 und VAL_14=1. Gewählt: B, weil sowohl Datenschutz als Wert als auch expliziter Rechtsbezug (“data protection law”) vorliegen.</t>
  </si>
  <si>
    <t>GOV_01–GOV_07 / VAL_06 / VAL_14</t>
  </si>
  <si>
    <t>Die späteren Data-Protection-Management-Passagen sind sehr konkret, beziehen sich aber allgemein auf Datenverarbeitung, nicht ausdrücklich auf KI.</t>
  </si>
  <si>
    <t>A: KI-Governance daraus mitcodieren. B: nicht mitcodieren. Gewählt: B, gemäß KI-Anker-Regel R1, da der explizite KI-/Algorithmus-Bezug in diesen Passagen fehlt.</t>
  </si>
  <si>
    <t>Der Satz spricht von „new digital technologies“, nicht ausschließlich von AI.</t>
  </si>
  <si>
    <t>A: nicht codieren, weil zu breit. B: VAL_15=1, weil der direkt anschließende Satz Responsible AI und Algorithmen explizit nennt. Gewählt: B, da der KI-Anker im unmittelbaren Kontext klar hergestellt wird.</t>
  </si>
  <si>
    <t>Keine explizite menschliche Kontroll-, Override- oder Oversight-Mechanik im KI-Abschnitt.</t>
  </si>
  <si>
    <t>„Responsible AI“ bleibt hier auf Prinzipienebene; klare Zuständigkeiten/Ownership für KI fehlen im KI-Ankertext.</t>
  </si>
  <si>
    <t>Keine explizite Transparenz-/Offenlegungsanforderung für KI im codierten Abschnitt.</t>
  </si>
  <si>
    <t>Keine Erklärbarkeits-/Explainability-Formulierung im KI-Abschnitt.</t>
  </si>
  <si>
    <t>S. 3 „Corporate responsibility strategy and governance“</t>
  </si>
  <si>
    <t>Diskriminierungsvermeidung ist explizit genannt; „must be prevented“ und „may not“ stützen Policy-Regel-Niveau.</t>
  </si>
  <si>
    <t>Datenschutz ist im KI-Kontext ausdrücklich gefordert; keine weitergehenden Prozessdetails im KI-Abschnitt.</t>
  </si>
  <si>
    <t>Keine KI-spezifische Security-/Cybersecurity-Norm im relevanten Abschnitt.</t>
  </si>
  <si>
    <t>Benachteiligungsvermeidung wurde konservativ unter Fairness codiert, nicht als Safety/Harm Prevention.</t>
  </si>
  <si>
    <t>Bewertungsstandards für Algorithmen reichen hier nicht als expliziter Robustheits-/Reliability-Wertsatz.</t>
  </si>
  <si>
    <t>Keine Accessibility-/Teilhabeanforderung im KI-Abschnitt.</t>
  </si>
  <si>
    <t>Nachhaltigkeits- und Klimapassagen sind vorhanden, aber nicht als KI-spezifische Wertepassagen verankert.</t>
  </si>
  <si>
    <t>Kundenorientierter Nutzen der KI wird ausdrücklich beschrieben; bleibt auf Ziel-/Prinzipienebene.</t>
  </si>
  <si>
    <t>KI-gestützte Verarbeitung personenbezogener Daten wird ausdrücklich an Datenschutzrecht gebunden.</t>
  </si>
  <si>
    <t>Responsible AI / verantwortungsvoller Einsatz digitaler Technologien ist explizit benannt, aber ohne konkrete Vollzugsmechanik.</t>
  </si>
  <si>
    <t>Keine expliziten Aussagen zu Datenqualität, Repräsentativität, Lineage oder Data Governance im KI-Abschnitt.</t>
  </si>
  <si>
    <t>Kein KI-spezifischer IP-/Vertraulichkeitsanker dokumentiert.</t>
  </si>
  <si>
    <t>Diskriminierungsverbot ist belegt, aber kein expliziter Menschenrechtsrahmen für KI genannt.</t>
  </si>
  <si>
    <t>Bei KI-gestützter Verarbeitung personenbezogener Daten ist Datenschutz zentral.</t>
  </si>
  <si>
    <t>“Complying with data protection law is also of utmost importance”</t>
  </si>
  <si>
    <t>“We aim to avoid discrimination”; “Discrimination based on age, sex, nationality or ethnic background must be prevented”; “Discrimination based on age, sex, nationality or ethnic background must be prevented”</t>
  </si>
  <si>
    <t>Bei der Entwicklung von KI-Algorithmen soll Diskriminierung vermieden werden.; Deutlicher normativer Fairness-Anker.; Zusätzlicher Nicht-Diskriminierungsanker.</t>
  </si>
  <si>
    <t>“offer insurance solutions that are tailored to our customers’ needs”; “easier and quicker for us to assess risks, settle claims”</t>
  </si>
  <si>
    <t>KI soll kundenorientierten Nutzen im Versicherungsgeschäft stiften.; Konkretisiert den Nutzen im KI-Kontext.</t>
  </si>
  <si>
    <t>“Complying with data protection law is also of utmost importance”; “when using artificial intelligence to process personal data”</t>
  </si>
  <si>
    <t>Bei KI-gestützter Verarbeitung personenbezogener Daten ist Datenschutz zentral.; KI-Nutzung wird ausdrücklich an Datenschutzrecht gebunden.</t>
  </si>
  <si>
    <t>“Munich Re aims to apply new digital technologies responsibly”; “guided by the principle of ‘responsible artificial intelligence’”</t>
  </si>
  <si>
    <t>Neue digitale Technologien sollen verantwortungsvoll eingesetzt werden.; Die Arbeit in diesem Feld orientiert sich an Responsible AI.</t>
  </si>
  <si>
    <t>Keine KI-spezifischen Rollen, Owner, Committees oder Verantwortlichen im relevanten KI-Abschnitt benannt.</t>
  </si>
  <si>
    <t>Es gibt Responsible-AI-Prinzipien und Zielaussagen, aber keine dokumentierten KI-Prozessschritte, Gates oder Freigabelogiken.</t>
  </si>
  <si>
    <t>Keine KI-spezifischen Audits, Reviews oder Assurance-Mechaniken dokumentiert.</t>
  </si>
  <si>
    <t>Ausbau digitalen Know-hows wird allgemein erwähnt, aber keine KI-spezifische Schulung mit KI-Anker belegt.</t>
  </si>
  <si>
    <t>Keine KI-spezifische Kontaktstelle oder Eskalationslogik dokumentiert.</t>
  </si>
  <si>
    <t>Kein KI-spezifisches Reporting, keine KPIs und keine Disclosure-Struktur nachweisbar.</t>
  </si>
  <si>
    <t>Bewertungsstandards für Algorithmen werden erwähnt</t>
  </si>
  <si>
    <t>Standard/Check bleibt unbeschrieben und ohne Implementierungsnachweis.</t>
  </si>
  <si>
    <t>“developing standards to evaluate our algorithms”</t>
  </si>
  <si>
    <t>VAL_06 / GOV_02 / GOV_03 / GOV_07</t>
  </si>
  <si>
    <t>Viele Datenschutz- und Informationssicherheitsprozesse stehen im gleichen Abschnitt wie AI, sind aber nicht immer AI-spezifisch formuliert.</t>
  </si>
  <si>
    <t>A: umfassend als KI-Governance mitcodieren. B: nur dort codieren, wo AI im unmittelbaren Satz- oder Absatzkontext mitgetragen wird. Gewählt: B, gemäß KI-Anker-Regel R1.</t>
  </si>
  <si>
    <t>Die Review-Prozesse betreffen IT-gestützte Verarbeitung personenbezogener Daten allgemein, nicht ausdrücklich nur AI.</t>
  </si>
  <si>
    <t>A: GOV_02=0/GOV_03=0. B: GOV_02/GOV_03 &gt; 0, weil die Passage im Responsible-AI-Abschnitt steht und eng an AI-Trainings/Fairness angeschlossen ist. Gewählt: B, aber konservativ nur Score 2.</t>
  </si>
  <si>
    <t>Das dokumentierte Reporting ist datenbezogen; AI-spezifische KPIs oder AI-Berichte werden nicht genannt.</t>
  </si>
  <si>
    <t>A: GOV_07=0. B: GOV_07=1. Gewählt: B, da zumindest eine formale Berichtslinie im AI-/Data-Governance-Kontext sichtbar ist; nicht höher wegen fehlender AI-Spezifik.</t>
  </si>
  <si>
    <t>VAL_18 / VAL_08</t>
  </si>
  <si>
    <t>Die Passage umfasst „unintended consequences“ und „intentional abuse“, was auch als Harm-Prevention gelesen werden könnte.</t>
  </si>
  <si>
    <t>A: VAL_18=1 und VAL_08=1. B: nur VAL_18=1. Gewählt: B, weil der Primärrahmen ausdrücklich menschenrechtsbasiert ist und kein eigener Safety-Wertsatz formuliert wird.</t>
  </si>
  <si>
    <t>Die Passage kann als Transparenz oder als Explainability gelesen werden.</t>
  </si>
  <si>
    <t>A: nur VAL_03=1. B: zusätzlich VAL_04=1. Gewählt: B, da das Illustrieren des AI-Verhaltens über bloße Transparenz hinaus in Richtung Erklärbarkeit weist.</t>
  </si>
  <si>
    <t>GOV_01 / GOV_06</t>
  </si>
  <si>
    <t>Der Kontaktweg ist eher Guidance als formaler Eskalationsprozess.</t>
  </si>
  <si>
    <t>A: GOV_06=2. B: GOV_06=1. Gewählt: B, da ein klarer Kontaktpunkt belegt ist, aber keine mehrstufige Eskalationsarchitektur oder Fallanwendung.</t>
  </si>
  <si>
    <t>Keine explizite Human-in-the-loop-, Override- oder Oversight-Mechanik für AI.</t>
  </si>
  <si>
    <t>Zuständigkeiten für Guidance sind beschrieben, aber kein klarer KI-spezifischer Accountability-Wertsatz.</t>
  </si>
  <si>
    <t>S. 60 „Measures“</t>
  </si>
  <si>
    <t>Algorithmische Transparenz ist explizit benannt, bleibt jedoch sprachlich auf Ziel-/Absichtsniveau.</t>
  </si>
  <si>
    <t>AI-Verhalten soll mit Techniken illustriert werden; dies geht über reine Prinzipienrhetorik hinaus.</t>
  </si>
  <si>
    <t>Diskriminierungsvermeidung ist explizit und durch Prüfungen auf demografische Abdeckung operationalisiert.</t>
  </si>
  <si>
    <t>Datenschutz ist stark präsent, aber die belastbaren Prozessstellen bleiben überwiegend allgemein datenbezogen und nicht eindeutig AI-spezifisch.</t>
  </si>
  <si>
    <t>Information Security ist im Dokument ausführlich, aber nicht hinreichend als eigener AI-Wert mit explizitem KI-Anker formuliert.</t>
  </si>
  <si>
    <t>„Unintended consequences“ erscheint nur im Human-Rights-Kontext; kein klarer Safety-/Harm-Prevention-Wertsatz für AI.</t>
  </si>
  <si>
    <t>Kein expliziter Robustheits-/Reliability-Wertanker für AI-Systeme.</t>
  </si>
  <si>
    <t>Kein Einspruchs-, Beschwerde- oder Redress-Mechanismus für KI-Entscheidungen dokumentiert.</t>
  </si>
  <si>
    <t>Keine Accessibility-/Teilhabeanforderung für AI dokumentiert.</t>
  </si>
  <si>
    <t>Keine AI-spezifische Nachhaltigkeitsnorm im relevanten KI-Abschnitt.</t>
  </si>
  <si>
    <t>S. 58 „Responsible digital transformation…“</t>
  </si>
  <si>
    <t>KI-Nutzung wird über kunden- und prozessbezogenen Nutzen beschrieben; bleibt auf Zielniveau.</t>
  </si>
  <si>
    <t>Responsible AI wird ausdrücklich als Basis für Compliance mit regulatorischen Anforderungen, inkl. EU AI Act, beschrieben.</t>
  </si>
  <si>
    <t>Responsible AI ist Grundprinzip der KI-Arbeit, ohne deontische Prozesssprache.</t>
  </si>
  <si>
    <t>Die Prüfung auf Abdeckung relevanter demografischer Gruppen ist eine konkrete Data-Governance-/Repräsentativitätsprüfung.</t>
  </si>
  <si>
    <t>S. 49 „Human rights“</t>
  </si>
  <si>
    <t>Eine menschenrechtsbasierte AI-Strategie ist ausdrücklich benannt und inhaltlich konkretisiert.</t>
  </si>
  <si>
    <t>Hohe algorithmische Transparenz wird angestrebt.</t>
  </si>
  <si>
    <t>“making our algorithms as transparent as possible”</t>
  </si>
  <si>
    <t>Für KI-Systeme werden Techniken zur Verhaltensdarstellung genutzt.</t>
  </si>
  <si>
    <t>“techniques for illustrating the behaviour of AI systems”</t>
  </si>
  <si>
    <t>Responsible AI ist das Grundprinzip der KI-Arbeit.</t>
  </si>
  <si>
    <t>“The idea of ‘responsible artificial intelligence’ is the foundation”</t>
  </si>
  <si>
    <t>Relevante demografische Gruppen werden geprüft.</t>
  </si>
  <si>
    <t>“we check that our data resources cover all relevant demographic groups”</t>
  </si>
  <si>
    <t>“avoid any type of discrimination through AI”; “age, sex, nationality or ethnic background”; “we check that our data resources cover all relevant demographic groups”</t>
  </si>
  <si>
    <t>KI soll keine Diskriminierung erzeugen.; Konkretisiert Fairness-/Bias-Prüfung.; Belegt Datenrepräsentativität/Data Governance.</t>
  </si>
  <si>
    <t>“offer solutions that are tailored to our clients’ needs”; “easier and quicker for us to assess risks, settle claims”</t>
  </si>
  <si>
    <t>KI soll kundenspezifische Lösungen ermöglichen.; KI soll Risiko- und Schadenprozesse erleichtern.</t>
  </si>
  <si>
    <t>“basis for complying with international regulatory requirements”; “in particular the EU AI Act”</t>
  </si>
  <si>
    <t>Responsible AI wird an regulatorische Anforderungen geknüpft.; Der EU AI Act wird ausdrücklich genannt.</t>
  </si>
  <si>
    <t>“human-rights-based strategy for using artificial intelligence”; “covers data protection, monitoring, discrimination, bias”</t>
  </si>
  <si>
    <t>Es gibt eine menschenrechtsbasierte KI-Strategie.; Stützt Human-Rights-/Safeguards-Bezug.</t>
  </si>
  <si>
    <t>Data Strategy and Governance department als benannte, organisatorisch verankerte Stelle mit AI-Bezug dokumentiert.</t>
  </si>
  <si>
    <t>Privacy impact assessment, GRC-Plattform, Datenabdeckungsprüfung und Explainability-Techniken sind dokumentierte Checks/Tools.</t>
  </si>
  <si>
    <t>Keine AI-spezifischen Audits, Review-Zyklen oder Assurance-Nachweise mit Audit-Charakter dokumentiert.</t>
  </si>
  <si>
    <t>Regelmäßige Trainings, Pflichtbestandteile im Onboarding, zusätzliche AI-Formate und Ausbau des Trustworthy-AI-Trainings sind implementiert belegt.</t>
  </si>
  <si>
    <t>Ein definierter Review-Prozess ist beschrieben</t>
  </si>
  <si>
    <t>nicht höher, da der Prozess primär datenverarbeitungsbezogen und nicht als vollständiger AI-Lifecycle-Prozess ausgeführt ist.</t>
  </si>
  <si>
    <t>Ein klarer interner Kontakt-/Guidance-Weg für AI-Fragen ist benannt</t>
  </si>
  <si>
    <t>keine mehrstufige Eskalationslogik oder Fallbeispiele.</t>
  </si>
  <si>
    <t>AI-bezogene Guidance-Stelle ist dokumentiert</t>
  </si>
  <si>
    <t>explizites AI-Reporting fehlt, daher nur niedrige Stufe.</t>
  </si>
  <si>
    <t>“reviewed using a defined process”</t>
  </si>
  <si>
    <t>“All Munich Re staff can contact this department”</t>
  </si>
  <si>
    <t>“handled by the Data Strategy and Governance department”; “All Munich Re staff can contact this department”</t>
  </si>
  <si>
    <t>“handled by the Data Strategy and Governance department”; “All Munich Re staff can contact this department”; “overseen by the Compliance and Legal division”</t>
  </si>
  <si>
    <t>“identified and monitored through a privacy impact assessment”; “introduced an overarching governance, risk and compliance platform”; “we check that our data resources cover all relevant demographic groups”</t>
  </si>
  <si>
    <t>“staff receive regular training via e-learning programs”; “All new staff are also required to complete”; “online presentations outlining the handling of data, analytics and AI”</t>
  </si>
  <si>
    <t>Die Passage ist eine Überschrift und keine ausformulierte Policy-Regel.</t>
  </si>
  <si>
    <t>A: VAL_15=1, weil „integrity“ explizit im AI-Guidelines-Kontext genannt wird. B: VAL_15=0, weil nur Überschrift ohne Substanz. Gewählt: A, aber konservativ mit BIND=1, da ein expliziter Integrity-Anker vorliegt, jedoch ohne Operationalisierung.</t>
  </si>
  <si>
    <t>DEI kann als Fairness oder als Inclusiveness/Accessibility gelesen werden.</t>
  </si>
  <si>
    <t>A: VAL_05=1 und VAL_11=1. B: nur VAL_05=1. Gewählt: B, weil Diskriminierungsvermeidung und Fairness explizit sind, Accessibility jedoch nicht.</t>
  </si>
  <si>
    <t>VAL_08 / VAL_09 / GOV_03</t>
  </si>
  <si>
    <t>Testing, high-quality data und continuous monitoring können als Reliability, Safety und Check-Logik zugleich gelesen werden.</t>
  </si>
  <si>
    <t>A: nur VAL_09=1. B: VAL_08=1, VAL_09=1 und GOV_03&gt;0. Gewählt: B, weil die Passage zugleich Wert- und Operationalisierungsbezug hat; Score konservativ nur bis 2 bei GOV_03.</t>
  </si>
  <si>
    <t>„risk-based“ kann als bloße Prinzipienrhetorik oder als dokumentierte Prozesslogik gelesen werden.</t>
  </si>
  <si>
    <t>A: GOV_02=1. B: GOV_02=2. Gewählt: B, weil ein konkreter risikobasierter Ansatz explizit benannt ist; nicht höher wegen fehlender Prozessschritte und Rollen.</t>
  </si>
  <si>
    <t>Die Aussage kann als Enablement/Training oder bloß als allgemeiner Innovationssatz gelesen werden.</t>
  </si>
  <si>
    <t>A: GOV_05=1. B: GOV_05=0. Gewählt: B, weil keine expliziten Trainings, Schulungen oder Lernformate genannt werden.</t>
  </si>
  <si>
    <t>S. 2 „Human-Centricity“ / Einleitung</t>
  </si>
  <si>
    <t>Menschenzentrierung und permanente Kontrolle/Supervision sind explizit benannt.</t>
  </si>
  <si>
    <t>Keine klaren Verantwortlichkeits- oder Ownership-Aussagen für KI als eigener Wert.</t>
  </si>
  <si>
    <t>S. 2 „Transparency &amp; Explainability“</t>
  </si>
  <si>
    <t>Transparenz ist ausdrücklich formuliert und auf Zweck, Einsatz und Ergebnisse bezogen.</t>
  </si>
  <si>
    <t>Verständlichkeit/Erklärbarkeit ist explizit adressiert.</t>
  </si>
  <si>
    <t>S. 2 „Diversity, Equity &amp; Inclusion“</t>
  </si>
  <si>
    <t>Diskriminierungsvermeidung wird ausdrücklich genannt.</t>
  </si>
  <si>
    <t>S. 2 „Data Protection &amp; Cybersecurity“</t>
  </si>
  <si>
    <t>Privacy by Design ist konkrete Standard-/Gestaltungsvorgabe.</t>
  </si>
  <si>
    <t>S. 2 „Reliability, Safety &amp; Quality“ / „Data Protection &amp; Cybersecurity“</t>
  </si>
  <si>
    <t>Sichere AI-Infrastruktur plus security by design belegen operative Ausrichtung.</t>
  </si>
  <si>
    <t>S. 2 „Reliability, Safety &amp; Quality“</t>
  </si>
  <si>
    <t>Ongoing testing und continuous monitoring stützen konservativ Safety/Harm-Prevention mit Operationalisierung.</t>
  </si>
  <si>
    <t>Testing, hochwertige Daten und kontinuierliches Monitoring belegen Reliability/Robustness.</t>
  </si>
  <si>
    <t>Keine Einspruchs-, Beschwerde- oder Redress-Mechanik dokumentiert.</t>
  </si>
  <si>
    <t>DEI ist belegt, aber keine explizite Accessibility-/Barrierefreiheitsdimension.</t>
  </si>
  <si>
    <t>S. 2 Einleitung / Schlussabsatz</t>
  </si>
  <si>
    <t>Nachhaltigkeits- und Klimaneutralitätsbezug sind klar, bleiben aber auf Ziel-/Nutzenebene.</t>
  </si>
  <si>
    <t>S. 2 „Human-Centricity“ / Schlussabsatz</t>
  </si>
  <si>
    <t>Stakeholder-Well-being und zuverlässige Energieversorgung belegen gesellschaftlichen Nutzen.</t>
  </si>
  <si>
    <t>Gesetzeskonformität wird explizit gefordert.</t>
  </si>
  <si>
    <t>S. 2 Zwischenüberschrift „Where integrity meets innovation“</t>
  </si>
  <si>
    <t>Integrity wird explizit im AI-Guidelines-Kontext genannt, aber ohne weitere Ausformulierung.</t>
  </si>
  <si>
    <t>Hochwertige Daten werden als konstitutiver Bestandteil der KI-Qualität benannt.</t>
  </si>
  <si>
    <t>S. 2 „Human-Centricity“</t>
  </si>
  <si>
    <t>Menschenrechte werden ausdrücklich als Grundlage genannt.</t>
  </si>
  <si>
    <t>Zweck, Einsatz und Ergebnisse von KI sollen offen und verständlich kommuniziert werden.</t>
  </si>
  <si>
    <t>“purpose, application, and results of our AI are comprehensible”</t>
  </si>
  <si>
    <t>KI soll erklärbar und verstehbar sein.</t>
  </si>
  <si>
    <t>“understandable, and communicated openly”</t>
  </si>
  <si>
    <t>RWE will Diskriminierung aktiv verhindern.</t>
  </si>
  <si>
    <t>“actively prevents discrimination”</t>
  </si>
  <si>
    <t>KI-Prozesse folgen Privacy/Security by Design.</t>
  </si>
  <si>
    <t>“follow a ‘privacy/security by design’ approach”</t>
  </si>
  <si>
    <t>RWE nennt Testing, hochwertige Daten und Monitoring als Qualitätsbasis.</t>
  </si>
  <si>
    <t>“ongoing testing, high-quality data, and continuous monitoring”</t>
  </si>
  <si>
    <t>KI-Prozesse sollen gesetzlichen Anforderungen entsprechen.</t>
  </si>
  <si>
    <t>“comply with legal requirements”</t>
  </si>
  <si>
    <t>Die Richtlinien rahmen KI als Integritätsfrage.</t>
  </si>
  <si>
    <t>“Where integrity meets innovation”</t>
  </si>
  <si>
    <t>KI-Nutzung wird an Menschenrechte gebunden.</t>
  </si>
  <si>
    <t>“based on fundamental values, human rights”</t>
  </si>
  <si>
    <t>“our AI standards place people firmly at the heart of the process”; “AI systems are always controlled and supervised”</t>
  </si>
  <si>
    <t>Die KI-Standards stellen Menschen in den Mittelpunkt.; Expliziter Oversight-Anker</t>
  </si>
  <si>
    <t>“secure AI infrastructure”; “follow a ‘privacy/security by design’ approach”</t>
  </si>
  <si>
    <t>Die KI-Infrastruktur soll sicher sein.; KI-Prozesse folgen Privacy/Security by Design.</t>
  </si>
  <si>
    <t>“towards a more sustainable energy future”; “AI supports our efforts to become climate neutral by 2040”</t>
  </si>
  <si>
    <t>KI wird mit Nachhaltigkeitszielen verknüpft.; KI unterstützt das Klimaneutralitätsziel.</t>
  </si>
  <si>
    <t>“the well-being of all stakeholders”; “ensure a reliable and efficient energy supply”</t>
  </si>
  <si>
    <t>KI-Nutzung wird am Wohlbefinden der Stakeholder ausgerichtet.; KI soll zuverlässige und effiziente Energieversorgung unterstützen.</t>
  </si>
  <si>
    <t>“ongoing testing, high-quality data, and continuous monitoring”; “high-quality data”</t>
  </si>
  <si>
    <t>RWE nennt Testing, hochwertige Daten und Monitoring als Qualitätsbasis.; “ongoing testing, high-quality data, and continuous monitoring”</t>
  </si>
  <si>
    <t>Keine AI-spezifischen Rollen, Owner, Committees oder Verantwortlichen benannt.</t>
  </si>
  <si>
    <t>S. 2 „Data Protection &amp; Cybersecurity“ / „Proportionality“</t>
  </si>
  <si>
    <t>Ongoing testing, continuous monitoring und by-design-Ansatz sind dokumentierte Checks/Standards.</t>
  </si>
  <si>
    <t>Keine Audits, Reviews mit Audit-Charakter oder Assurance-Nachweise dokumentiert.</t>
  </si>
  <si>
    <t>Ressourcen für Teams werden erwähnt, aber kein explizites Training oder E-Learning belegt.</t>
  </si>
  <si>
    <t>Keine Kontaktstelle oder Eskalationslogik für KI-Fragen dokumentiert.</t>
  </si>
  <si>
    <t>Risk-based approach und privacy/security by design dokumentieren Prozesslogik</t>
  </si>
  <si>
    <t>keine Rollen/Frequenzen/KPIs.</t>
  </si>
  <si>
    <t>“ongoing testing, high-quality data, and continuous monitoring”; “follow a ‘privacy/security by design’ approach”</t>
  </si>
  <si>
    <t>“follow a ‘privacy/security by design’ approach”; “Our AI approach is risk-based”</t>
  </si>
  <si>
    <t>VAL_08 / VAL_18</t>
  </si>
  <si>
    <t>Der Abschnitt verbindet Harm Prevention eng mit Menschenrechten und Grundfreiheiten.</t>
  </si>
  <si>
    <t>A: nur VAL_08=1. B: VAL_08=1 und VAL_18=1. Gewählt: B, weil der Text ausdrücklich sowohl „do not harm“ als auch „human rights and fundamental freedoms“ nennt.</t>
  </si>
  <si>
    <t>Die Challenge- und Feedbackmechanik kann als Wert der Contestability oder als Governance-Eskalationsweg gelesen werden.</t>
  </si>
  <si>
    <t>A: nur GOV_06&gt;0. B: VAL_10=1 und GOV_06&gt;0. Gewählt: B, weil ein ausdrückliches Recht zu challengen sowie ein Meldekanal dokumentiert sind.</t>
  </si>
  <si>
    <t>GOV_04 / GOV_07</t>
  </si>
  <si>
    <t>Dokumentierte Evaluationen und das Teilen von Abweichungen können als Audit oder Reporting verstanden werden.</t>
  </si>
  <si>
    <t>A: nur GOV_04=2. B: GOV_04=2 und GOV_07=2. Gewählt: B, weil sowohl Review-/Evaluation als auch interne Dokumentations-/Weitergabepflichten beschrieben sind.</t>
  </si>
  <si>
    <t>VAL_11 / VAL_05</t>
  </si>
  <si>
    <t>Accessibility steht im Fairness-Kapitel und könnte nur als Teil von Fairness interpretiert werden.</t>
  </si>
  <si>
    <t>A: nur VAL_05=1. B: VAL_11=1 zusätzlich. Gewählt: B, weil Accessibility ausdrücklich und eigenständig benannt wird.</t>
  </si>
  <si>
    <t>Die Passage deutet gesellschaftlichen Nutzen an, bleibt aber eher allgemein-programmatisch.</t>
  </si>
  <si>
    <t>A: VAL_13=1. B: VAL_13=0. Gewählt: B, konservativ, weil kein klarer, eigenständiger Well-being-/Benefit-Standard wie in anderen Dokumenten formuliert wird.</t>
  </si>
  <si>
    <t>VAL_16 / GOV_03</t>
  </si>
  <si>
    <t>Repräsentative Datensätze und Dokumentation können als Wert oder als Check-/Governance-Mechanik gelesen werden.</t>
  </si>
  <si>
    <t>A: nur VAL_16=1. B: VAL_16=1 und GOV_03&gt;0. Gewählt: B, weil sowohl ein normativer Datenqualitätsanspruch als auch konkrete Prüf-/Dokumentationsmechaniken vorliegen.</t>
  </si>
  <si>
    <t>SAP verpflichtet sich ausdrücklich zu ethischer KI-Entwicklung und -Nutzung.</t>
  </si>
  <si>
    <t>“ethical development, deployment, use, and sale of AI systems”</t>
  </si>
  <si>
    <t>KI muss die Accessibility Standards einhalten.</t>
  </si>
  <si>
    <t>“must comply with the SAP Accessibility Standards”</t>
  </si>
  <si>
    <t>KI soll Nachhaltigkeit fördern und Schäden vermeiden.</t>
  </si>
  <si>
    <t>“AI systems should foster environmental, economic, and social sustainability”</t>
  </si>
  <si>
    <t>KI muss Datenschutzgesetze respektieren.</t>
  </si>
  <si>
    <t>“respecting privacy and data protection laws”</t>
  </si>
  <si>
    <t>Für jede KI ist menschliche Aufsicht vorzusehen.</t>
  </si>
  <si>
    <t>“Human oversight shall be achieved”</t>
  </si>
  <si>
    <t>Auf Anfrage ist eine Erklärung bereitzustellen.</t>
  </si>
  <si>
    <t>“explanation of how a decision was made”</t>
  </si>
  <si>
    <t>S. 10 „Principle 6“</t>
  </si>
  <si>
    <t>Human oversight ist explizit vorgeschrieben und mit HITL/HOTL/HIC konkretisiert.</t>
  </si>
  <si>
    <t>S. 11 „Principle 8“; S. 6 „Roles and Responsibilities“</t>
  </si>
  <si>
    <t>Verantwortung wird Menschen zugerechnet und über Rollen/Gremien operationalisiert.</t>
  </si>
  <si>
    <t>Transparenz umfasst Disclosure, klare Kommunikation und Dokumentation.</t>
  </si>
  <si>
    <t>S. 11 „Principle 7.3 Explainability“</t>
  </si>
  <si>
    <t>Erklärungen zu KI-Entscheidungen sind auf Anfrage bereitzustellen.</t>
  </si>
  <si>
    <t>S. 8–9 „Principle 3“</t>
  </si>
  <si>
    <t>Bias-Vermeidung, Challenge-Möglichkeit und Corrective Measures sind dokumentiert.</t>
  </si>
  <si>
    <t>S. 9 „Principle 5“</t>
  </si>
  <si>
    <t>Datenschutz ist klar verpflichtend, aber im Dokument selbst weniger prozessual ausbuchstabiert als andere Prinzipien.</t>
  </si>
  <si>
    <t>S. 8 „Principle 2“</t>
  </si>
  <si>
    <t>Safety/Security werden über Testing, Risk Identification und Lifecycle-Absicherung operationalisiert.</t>
  </si>
  <si>
    <t>Harm-Prevention wird durch Impact Classification, Red Lines und Verbotslogik konkretisiert.</t>
  </si>
  <si>
    <t>Extensive Tests und kontinuierliches Monitoring belegen konkrete Robustheitsanforderungen.</t>
  </si>
  <si>
    <t>S. 9 „Principle 3.2“; S. 12 „Governance“</t>
  </si>
  <si>
    <t>Betroffene können Outputs anfechten; zusätzlich existiert ein Meldekanal und Folgemechanik.</t>
  </si>
  <si>
    <t>S. 9 „Principle 3.2 Fairness“</t>
  </si>
  <si>
    <t>Accessibility ist explizit vorgeschrieben, jedoch ohne weitergehende Umsetzungsdetails im Dokument.</t>
  </si>
  <si>
    <t>S. 9 „Principle 4“</t>
  </si>
  <si>
    <t>Nachhaltigkeit ist klarer Grundsatz, bleibt aber auf Policy-/Rahmenebene.</t>
  </si>
  <si>
    <t>Chancen für Gesellschaft werden erwähnt, aber kein hinreichend klarer, eigenständiger Well-being-/Benefit-Wertsatz im Codebook-Sinn belegt.</t>
  </si>
  <si>
    <t>S. 4 „Scope“; S. 9 „Principle 5“</t>
  </si>
  <si>
    <t>Rechtstreue wird ausdrücklich gefordert; konkrete Compliance-Prozesse werden ergänzend, aber nicht vollumfänglich ausbuchstabiert.</t>
  </si>
  <si>
    <t>S. 3 „Introduction“</t>
  </si>
  <si>
    <t>Ethische Entwicklung, Nutzung und Verkauf von KI sind expliziter Policy-Rahmen.</t>
  </si>
  <si>
    <t>S. 9 „Principle 3.1 Data“; S. 10–11 „Documentation“</t>
  </si>
  <si>
    <t>Repräsentative Daten und Dokumentationspflichten konkretisieren Data Governance.</t>
  </si>
  <si>
    <t>Kein expliziter KI-spezifischer IP-/Vertraulichkeitsanker.</t>
  </si>
  <si>
    <t>S. 3 „Introduction“; S. 7 „Principle 1“</t>
  </si>
  <si>
    <t>Menschenrechte sind Grundfundament und über Safeguards/Red Lines operationalisiert.</t>
  </si>
  <si>
    <t>S. 10-11 „Principle 7“</t>
  </si>
  <si>
    <t>S. 7-8 „Principle 1–2“</t>
  </si>
  <si>
    <t>“responsibility must always be attributable to actors”; “Accountable for approving high-risk use cases”; “first point of contact for any AI Ethics related queries”</t>
  </si>
  <si>
    <t>Verantwortung bleibt immer bei Menschen/juristischen Personen.; Belegt formale Zuständigkeit.; Das AI Ethics Office ist zentrale Kontakt- und Koordinationsstelle.</t>
  </si>
  <si>
    <t>“must be communicated clearly”; “End-users must always be aware”;  “promptly documented … and shared with other actors”</t>
  </si>
  <si>
    <t>Fähigkeiten, Grenzen und Zweck der KI sind klar zu kommunizieren.; Belegt interne Reporting-/Dokumentationslogik.; Belegt AI disclosure/identifiability.</t>
  </si>
  <si>
    <t>“avoid discriminatory or biased outcomes”; “enable the affected individuals to evaluate the outputs and object”; “SAP will implement corrective measures”</t>
  </si>
  <si>
    <t>KI soll diskriminierende oder verzerrte Outputs vermeiden.; Belegt Contestability.; Bei berechtigten Einwänden sind Korrekturmaßnahmen vorgesehen.</t>
  </si>
  <si>
    <t>“Safety and security measures must be guaranteed”; “AI systems must be tested extensively”</t>
  </si>
  <si>
    <t>Sicherheitsmaßnahmen müssen über den Lebenszyklus gewährleistet sein.; “AI systems must be tested extensively”</t>
  </si>
  <si>
    <t>“Impact classification mechanisms and measures to prevent harm shall be defined”; “prohibits continuation of the design and development”; “Safety and security measures must be guaranteed”</t>
  </si>
  <si>
    <t>Für Harm-Prevention sind Impact-Mechanismen vorgeschrieben.; Belegt Harm-Prevention/Verbotslogik.; Sicherheitsmaßnahmen müssen über den Lebenszyklus gewährleistet sein.</t>
  </si>
  <si>
    <t>“AI systems must be tested extensively”; “AI system should be monitored continuously”</t>
  </si>
  <si>
    <t>High-risk-KI muss umfassend getestet werden.; Belegt Monitoring/Robustness.</t>
  </si>
  <si>
    <t>“enable the affected individuals to evaluate the outputs and object”; “have a right to challenge”; “they can use the Speak Out tool”</t>
  </si>
  <si>
    <t>Betroffene sollen Outputs prüfen und anfechten können.; Expliziter Melde-/Eskalationsweg.; Betroffene haben ein Recht, Nichtkonformität anzufechten.</t>
  </si>
  <si>
    <t>“must comply with all laws and regulations”; “respecting privacy and data protection laws”</t>
  </si>
  <si>
    <t>Kunden müssen KI im Einklang mit geltendem Recht nutzen.; Expliziter Privacy-/Data-Protection-Anker.</t>
  </si>
  <si>
    <t>“representative, relevant, accurate, and generalizable”; “promptly documented … and shared with other actors”</t>
  </si>
  <si>
    <t>Datensätze sollen repräsentativ und akkurat sein.; Abweichungen müssen dokumentiert und geteilt werden.</t>
  </si>
  <si>
    <t>“uphold and support the Universal Declaration of Human Rights”; “Human rights and fundamental freedoms must be respected”; “prohibits continuation of the design and development”</t>
  </si>
  <si>
    <t>SAP verankert KI-Ethik in einem Menschenrechtsrahmen.; Bestimmte KI-Nutzungen sind über Red Lines verboten.; Starker Human-Rights-Anker.</t>
  </si>
  <si>
    <t>S. 12 „Governance – Use case evaluation“</t>
  </si>
  <si>
    <t>S. 6 „Advisory Panel“; S. 12 „Governance“</t>
  </si>
  <si>
    <t>S. 7 „Trustworthy AI Workstream“; S. 11 „Principle 9“</t>
  </si>
  <si>
    <t>S. 6 „AI Ethics Office“; S. 9 „Principle 3.2“; S. 12 „Governance“</t>
  </si>
  <si>
    <t>S. 6-7 „Roles and Responsibilities“</t>
  </si>
  <si>
    <t>S. 7-9 „Principles 1–3“</t>
  </si>
  <si>
    <t>S. 10-12 „Documentation/Governance“</t>
  </si>
  <si>
    <t>Mehrere AI-Ethics-Gremien und Funktionen mit klaren Zuständigkeiten sind dokumentiert</t>
  </si>
  <si>
    <t>keine KPI-/Reporting-Nachweise.</t>
  </si>
  <si>
    <t>Use-case-Analyse, Kategorisierung und ethische Bewertung sind als Governance-Prozess dokumentiert</t>
  </si>
  <si>
    <t>keine Implementierungsnachweise über Einzelfälle hinaus.</t>
  </si>
  <si>
    <t>Impact Classification, extensive testing, monitoring und Dataset-Anforderungen sind dokumentierte Check-Mechaniken</t>
  </si>
  <si>
    <t>keine Tool- oder KPI-Nachweise.</t>
  </si>
  <si>
    <t>Unabhängiges Panel und periodische dokumentierte Evaluationen sind beschrieben</t>
  </si>
  <si>
    <t>keine Auditberichte oder Assurance-Nachweise.</t>
  </si>
  <si>
    <t>Training, Lernmaterialien, Community und Events sind dokumentiert</t>
  </si>
  <si>
    <t>keine Nachweise zu Teilnahmequoten oder Pflichtabschlüssen.</t>
  </si>
  <si>
    <t>First point of contact, corrective measures und Speak Out sind klar dokumentiert</t>
  </si>
  <si>
    <t>keine geübten Fallbeispiele.</t>
  </si>
  <si>
    <t>Dokumentation, Teilen von Abweichungen und dokumentierte periodische Evaluationen belegen interne Reporting-Logik</t>
  </si>
  <si>
    <t>keine regelmäßigen KPI-/Managementberichte.</t>
  </si>
  <si>
    <t>“Accountable for approving high-risk use cases”; “independent and unbiased feedback and recommendations”; “independent and unbiased feedback and recommendations”; “Providing education and training material”</t>
  </si>
  <si>
    <t>“Each use case is carefully analyzed”; “undergoes an ethical assessment”</t>
  </si>
  <si>
    <t>“Impact classification mechanisms and measures to prevent harm shall be defined”; “AI systems must be tested extensively”; “AI system should be monitored continuously”</t>
  </si>
  <si>
    <t>“independent and unbiased feedback and recommendations”; “must be performed and documented”</t>
  </si>
  <si>
    <t>“Providing education and training material”; “Free courses and learning materials”</t>
  </si>
  <si>
    <t>“first point of contact for any AI Ethics related queries”; “SAP will implement corrective measures”; “SAP will implement corrective measures”</t>
  </si>
  <si>
    <t>“must be performed and documented”; “promptly documented … and shared with other actors”</t>
  </si>
  <si>
    <t>18.02.2026</t>
  </si>
  <si>
    <t>S. 6; S. 13</t>
  </si>
  <si>
    <t>Mehrere deontische Vorgaben zu Human Intervention/Override; lifecycle-bezogen dokumentiert.</t>
  </si>
  <si>
    <t>S. 6; S. 12</t>
  </si>
  <si>
    <t>Verantwortung/Ownership ist benannt und rollenbezogen beschrieben; keine eigenständige Accountability-Standardlogik → nicht 3.</t>
  </si>
  <si>
    <t>S. 14; S. 19</t>
  </si>
  <si>
    <t>Identifizierbarkeit von KI und Dokumentationspflichten sind verbindlich formuliert.</t>
  </si>
  <si>
    <t>S. 15; S. 19</t>
  </si>
  <si>
    <t>Erklärungen für Entscheidungen und Challenge-Fähigkeit sind konkret gefordert.</t>
  </si>
  <si>
    <t>S. 16; S. 22</t>
  </si>
  <si>
    <t>Bias-Erkennung, repräsentative Daten und operative Bias-Prüfung sind dokumentiert.</t>
  </si>
  <si>
    <t>S. 6; S. 16</t>
  </si>
  <si>
    <t>Safeguards und Rechtskonformität für personenbezogene KI-Daten sind verbindlich.</t>
  </si>
  <si>
    <t>Kein expliziter AI-security/cybersecurity/adversarial Schutzanker gefunden; Privacy-Safeguards nicht gleich Security.</t>
  </si>
  <si>
    <t>Schadens- und Missbrauchsvermeidung ist normativ adressiert; kein eigener Prozess-/Kontrollstandard belegt → nicht 3.</t>
  </si>
  <si>
    <t>S. 18; S. 22</t>
  </si>
  <si>
    <t>Extensives Testing und operative Checks stützen Robustheit/Reliability.</t>
  </si>
  <si>
    <t>Anfechtbarkeit wird ausdrücklich über challenge-fähige Erklärungen abgesichert.</t>
  </si>
  <si>
    <t>S. 16</t>
  </si>
  <si>
    <t>Accessibility-Standards sind verbindlich adressiert; als Standardanforderung formuliert.</t>
  </si>
  <si>
    <t>Umweltschaden ist als Red Line normativ ausgeschlossen; keine breitere Nachhaltigkeitsprozessik belegt.</t>
  </si>
  <si>
    <t>S. 11</t>
  </si>
  <si>
    <t>Nutzen für users and society wird als Zielbild beschrieben; keine deontische Pflicht-/Prozessform belegt.</t>
  </si>
  <si>
    <t>Policy-Obligationen plus explizite Pflicht zur Einhaltung anwendbarer Datenschutzgesetze.</t>
  </si>
  <si>
    <t>Ethische Red Lines sind klar verboten; als Policy-Grenze, aber ohne separaten Implementierungsstandard.</t>
  </si>
  <si>
    <t>S. 16; S. 19</t>
  </si>
  <si>
    <t>Repräsentative Datensätze und Dokumentationspflichten für Daten/Prozesse sind konkret vorgeschrieben.</t>
  </si>
  <si>
    <t>Kein expliziter KI-bezogener IP-/Confidentiality-Wert gefunden.</t>
  </si>
  <si>
    <t>Human-Rights-Rahmen wird ausdrücklich pledgemäßig verankert; keine eigene Prozessvorgabe belegt.</t>
  </si>
  <si>
    <t>KI-Entwicklung soll Schaden und Missbrauch vorbeugen.</t>
  </si>
  <si>
    <t>“no harm or misuse is likely to occur”</t>
  </si>
  <si>
    <t>Entscheidungen sollen anfechtbar sein.</t>
  </si>
  <si>
    <t>“grounds to challenge the decision”</t>
  </si>
  <si>
    <t>KI soll barrierearm und für breite Nutzergruppen gestaltet werden.</t>
  </si>
  <si>
    <t>“following relevant accessibility standards”</t>
  </si>
  <si>
    <t>Umweltschaden wird als Red Line adressiert.</t>
  </si>
  <si>
    <t>“shall be conducted with minimum to no explicit damage to the environment.”</t>
  </si>
  <si>
    <t>KI wird als Nutzenversprechen für Menschen und Gesellschaft beschrieben.</t>
  </si>
  <si>
    <t>“strengthen the benefits of users and society in business”</t>
  </si>
  <si>
    <t>Red-Line-Fälle sind sofort zu stoppen.</t>
  </si>
  <si>
    <t>“required to immediately stop developing, deploying, and selling that use case.”</t>
  </si>
  <si>
    <t>Menschenrechtsrahmen wird als Fundament des KI-Ansatzes benannt.</t>
  </si>
  <si>
    <t>“uphold and support the Universal Declaration of Human Rights”</t>
  </si>
  <si>
    <t>“Allow human intervention for all automated decision processes.”; “Decisions by an AI system may always be overruled by a human.”</t>
  </si>
  <si>
    <t>Menschliche Intervention wird für automatisierte Entscheidungen vorgeschrieben.; Konkrete Oversight-Regel</t>
  </si>
  <si>
    <t>“defines intent, expectations and obligations for employees”; “Responsible for the coordination ... end to end across all phases"</t>
  </si>
  <si>
    <t>Die Policy definiert Erwartungen und Pflichten für beteiligte Mitarbeitende.; End-to-End-Verantwortung einer KI-Rolle ist definiert.</t>
  </si>
  <si>
    <t>“AI systems shall be made identifiable as such”; “the data sets and the processes ... shall be documented”</t>
  </si>
  <si>
    <t>Direkt interagierende KI muss erkennbar sein.; Datensätze und Entscheidungsprozesse müssen dokumentiert werden.</t>
  </si>
  <si>
    <t>“Measures to detect bias must be realized.”; “representative, relevant, accurate, and generalizable datasets”; “regularly checks for undesired bias during execution.”</t>
  </si>
  <si>
    <t>Bias-Erkennung ist ausdrücklich gefordert.; Trainings- und Testdaten müssen repräsentativ und generalisierbar sein.; Operativer Check</t>
  </si>
  <si>
    <t>“a clear and simple explanation shall be provided”; “grounds to challenge the decision”</t>
  </si>
  <si>
    <t>Für automatisierte Entscheidungen sind verständliche Erklärungen vorgesehen.; Entscheidungen sollen anfechtbar sein.</t>
  </si>
  <si>
    <t>“Implement safeguards to protect personal data used to train AI models.”; “shall comply with applicable data protection, and privacy laws.”</t>
  </si>
  <si>
    <t>Schutz personenbezogener Trainingsdaten wird verbindlich gefordert.; KI-bezogene Datennutzung muss rechtlichen Vorgaben entsprechen.</t>
  </si>
  <si>
    <t>“tested extensively to avoid unintended behaviour.”; “regularly checks for undesired bias during execution.”</t>
  </si>
  <si>
    <t>Automatisierende KI-Systeme sind umfassend zu testen.; Im Betrieb werden Bias-Prüfungen regelmäßig durchgeführt.</t>
  </si>
  <si>
    <t>“defines intent, expectations and obligations for employees”; “shall comply with applicable data protection, and privacy laws.”</t>
  </si>
  <si>
    <t>Die Policy definiert Erwartungen und Pflichten für beteiligte Mitarbeitende.; Legal compliance</t>
  </si>
  <si>
    <t>“representative, relevant, accurate, and generalizable datasets”; “the data sets and the processes ... shall be documented”</t>
  </si>
  <si>
    <t>Trainings- und Testdaten müssen repräsentativ und generalisierbar sein.; Dokumentation / Traceability</t>
  </si>
  <si>
    <t>S. 8; S. 10</t>
  </si>
  <si>
    <t>S. 9; S. 22</t>
  </si>
  <si>
    <t>Kein explizites AI-Training, Pflichttraining oder Awareness-Programm belegt.</t>
  </si>
  <si>
    <t>Kein explizites Reporting-Setup zu AI-Risiken, Kontrollen oder Vorfällen belegt.</t>
  </si>
  <si>
    <t>Mehrere KI-Rollen mit Aufgaben beschrieben</t>
  </si>
  <si>
    <t>Assessment- und Lifecycle-Logik beschrieben</t>
  </si>
  <si>
    <t>Formulare, Assessments und operative Checks dokumentiert</t>
  </si>
  <si>
    <t>Assessment/Review durch Steering Committee erwähnt</t>
  </si>
  <si>
    <t xml:space="preserve">Auditmechanik/Frequenz fehlen </t>
  </si>
  <si>
    <t>keine berichteten Tool-Ergebnisse/KPIs</t>
  </si>
  <si>
    <t xml:space="preserve">keine KPI-/Review-Nachweise </t>
  </si>
  <si>
    <t>keine Reporting-/Regeltermin-Nachweise</t>
  </si>
  <si>
    <t>Zweistufiger Eskalationsweg beschrieben</t>
  </si>
  <si>
    <t xml:space="preserve">keine Fristen/Case-Reporting/Nachweise </t>
  </si>
  <si>
    <t>“Responsible for the coordination ... end to end across all phases”</t>
  </si>
  <si>
    <t>“must first go through an assessment process”</t>
  </si>
  <si>
    <t>“must first go through an assessment process”; “01. Ideation ... 05. Operations”</t>
  </si>
  <si>
    <t>“Complete the Risk Classification form”; “regularly checks for undesired bias during execution.”</t>
  </si>
  <si>
    <t>“raise any issues ... by their immediate L1 unit”; “inform the AI Ethics Office via an e-mail”</t>
  </si>
  <si>
    <t>Verantwortung erscheint stark über Rollen/Obligationen, aber nicht als eigenständiges Prinzip wie „accountability principle“.</t>
  </si>
  <si>
    <t>A: VAL_02=1, BIND=3 wegen klarer Rollen- und Aufgabenlogik. B: VAL_02=1, BIND=2 wegen benannter Verantwortung ohne eigenen Accountability-Standard. Gewählt: B, konservativ, da Verantwortlichkeit dokumentiert, aber nicht als eigenständige Prozessnorm ausformuliert.</t>
  </si>
  <si>
    <t>Umweltbezug erscheint als Verbots-/Red-Line-Formulierung, nicht als breiter Sustainability-Ansatz.</t>
  </si>
  <si>
    <t>A: VAL_12=1, BIND=2 wegen expliziter normativer Umweltgrenze. B: VAL_12=0, weil keine breitere Sustainability-Governance vorliegt. Gewählt: A, da KI-bezogener Umweltanker explizit vorhanden ist.</t>
  </si>
  <si>
    <t>„Assessment process“ kann als auditähnliche Review gelesen werden, aber Frequenz/Mechanik fehlen.</t>
  </si>
  <si>
    <t>A: GOV_04=2 wegen benannter Review-Instanz (Steering Committee). B: GOV_04=1, da Assessment erwähnt, aber keine Auditmechanik/Frequenz. Gewählt: B, konservativ nach Rubrik.</t>
  </si>
  <si>
    <t>Das Handbook „guides employees“, aber Training/Awareness wird nicht ausdrücklich als Programm beschrieben.</t>
  </si>
  <si>
    <t>A: GOV_05=1 als implizite Awareness-Maßnahme. B: GOV_05=0 mangels explizitem Training/Zielgruppe/Pflichtgrad. Gewählt: B, evidenzkonservativ.</t>
  </si>
  <si>
    <t>Feedback und Weitergabe von Nutzeranfragen könnten als Reporting gelesen werden, aber Reportgegenstand/Frequenz/Empfänger fehlen.</t>
  </si>
  <si>
    <t>A: GOV_07=1 wegen interner Rückmeldung/Weitergabe. B: GOV_07=0, da keine explizite Reporting-Struktur zu Risiken/Kontrollen/Vorfällen vorliegt. Gewählt: B, konservativ nach Codebook.</t>
  </si>
  <si>
    <t>VAL_07, VAL_06</t>
  </si>
  <si>
    <t>„Safeguards“ zum Schutz personenbezogener Daten könnten als Security mitgelesen werden, sind aber primär privacybezogen.</t>
  </si>
  <si>
    <t>A: VAL_07=1 wegen Schutzmaßnahme. B: VAL_07=0 und nur VAL_06=1, weil kein expliziter Cybersecurity-/AI-security-Anker vorliegt. Gewählt: B, konservativ.</t>
  </si>
  <si>
    <t>Kein expliziter KI-bezogener Hinweis auf Human-in-the-loop, Override oder menschliche Übersteuerung.</t>
  </si>
  <si>
    <t>S. 24.</t>
  </si>
  <si>
    <t>Responsibility ist im KI-Kontext genannt, aber nur referenziell über die Global AI Policy beschrieben.</t>
  </si>
  <si>
    <t>Keine explizite Transparenzpflicht zu KI im Dokumenttext; bloße Verweise auf andere Dokumente genügen hier nicht.</t>
  </si>
  <si>
    <t>Keine ausdrückliche Erklärbarkeitsanforderung zu KI im Dokument selbst.</t>
  </si>
  <si>
    <t>Allgemeine Diversity-/Anti-Discrimination-Passagen ohne KI-Anker werden nicht codiert.</t>
  </si>
  <si>
    <t>Datenschutz ist vorhanden, aber im Dokument nicht explizit KI-spezifisch verankert.</t>
  </si>
  <si>
    <t>Keine explizite KI-bezogene Security-/Cybersecurity-Aussage.</t>
  </si>
  <si>
    <t>Risiken/Challenges werden erwähnt, aber keine klare Harm-Prevention-Norm formuliert.</t>
  </si>
  <si>
    <t>Keine ausdrückliche Aussage zu Robustheit, Stabilität, Testing oder Reliability von KI.</t>
  </si>
  <si>
    <t>Kein KI-spezifischer Beschwerde-, Anfechtungs- oder Redress-Mechanismus.</t>
  </si>
  <si>
    <t>Keine KI-spezifische Aussage zu Accessibility oder inklusivem Design.</t>
  </si>
  <si>
    <t>Nachhaltigkeit wird allgemein behandelt, aber nicht KI-bezogen.</t>
  </si>
  <si>
    <t>Klarer KI-Kontext mit gesellschaftlichem Nutzenversprechen; eher Prinzip/Statement als Regel.</t>
  </si>
  <si>
    <t>Expliziter KI-bezogener Legal-Compliance-Satz; keine deontische Detailregel.</t>
  </si>
  <si>
    <t>Ethische KI-Entwicklung/-Bereitstellung wird ausdrücklich genannt, aber nicht operationalisiert.</t>
  </si>
  <si>
    <t>Keine KI-spezifische Aussage zu Datenqualität, Herkunft, Stewardship oder Dokumentation.</t>
  </si>
  <si>
    <t>IP/Confidentiality wird allgemein behandelt, aber ohne KI-Anker.</t>
  </si>
  <si>
    <t>Im AI-Abschnitt nur Verweis auf separates Human-Rights-Dokument, keine inhaltliche KI-bezogene Menschenrechtsaussage im Text.</t>
  </si>
  <si>
    <t>Die KI-Policy wird als zuständigkeitsbezogen beschrieben.</t>
  </si>
  <si>
    <t>“including assignment of clear responsibilities within SAP”</t>
  </si>
  <si>
    <t>KI wird als potenziell gesellschaftlich nützlich beschrieben.</t>
  </si>
  <si>
    <t>“AI has the potential to unlock boundless potential for businesses, governments, and society.”</t>
  </si>
  <si>
    <t>SAP erklärt die Einhaltung relevanter Gesetzgebung für KI.</t>
  </si>
  <si>
    <t>“SAP is committed to complying with all relevant legislation”</t>
  </si>
  <si>
    <t>Ethische Entwicklung, Bereitstellung und Vermarktung von KI wird zugesichert.</t>
  </si>
  <si>
    <t>“the ethical development, deployment, and sale of SAP-developed AI systems”</t>
  </si>
  <si>
    <t>Responsibilities werden nur referenziell erwähnt; keine Rolle/Einheit/Aufgabenlogik im Dokument selbst.</t>
  </si>
  <si>
    <t>„Minimum standard“ über Lifecycle-Phasen wird genannt, aber kein konkreter Prozessschritt, Trigger oder Verantwortlicher.</t>
  </si>
  <si>
    <t>Keine KI-spezifischen Checks, Assessments oder Tools dokumentiert.</t>
  </si>
  <si>
    <t>Keine Audit-, Assessment- oder Review-Mechanik zu KI im Dokumenttext.</t>
  </si>
  <si>
    <t>Allgemeine Compliance-Trainings im Code sind nicht KI-spezifisch.</t>
  </si>
  <si>
    <t>Reporting Channels sind allgemein vorhanden, aber nicht KI-spezifisch beschrieben.</t>
  </si>
  <si>
    <t>Kein KI-bezogenes Reporting-Setup, keine KPIs, Reports oder Berichtspflichten.</t>
  </si>
  <si>
    <t>„clear responsibilities within SAP“ deutet Verantwortlichkeit an, nennt aber keine konkrete Rolle oder Einheit.</t>
  </si>
  <si>
    <t>A: VAL_02=1 und GOV_01=1. B: VAL_02=1 und GOV_01=0. Gewählt: B für GOV_01, da nur Value-Ebene klar erkennbar ist; Evidence-Minimum für Governance-Rollen nicht erfüllt.</t>
  </si>
  <si>
    <t>„groupwide minimum standard for development, deployment, sale, and use“ könnte als Prozessbezug gelesen werden.</t>
  </si>
  <si>
    <t>A: GOV_02=1, weil ein prozessartiger Lifecycle-Bezug anklingt. B: GOV_02=0, weil keine Prozessschritte, Trigger oder Verantwortlichen beschrieben sind. Gewählt: B, konservativ nach Rubrik.</t>
  </si>
  <si>
    <t>„committed to complying“ ist normativ, aber nicht deontisch im Sinne von must/shall formuliert.</t>
  </si>
  <si>
    <t>A: BIND=2 wegen klarer Normorientierung. B: BIND=1 wegen Statement-/Commitment-Charakter. Gewählt: B, da die Formulierung eher Absicht/Prinzip als Policy-Regel im engeren Sinn ist.</t>
  </si>
  <si>
    <t>Risiken und gesellschaftliche Challenges von KI werden erwähnt, aber nicht explizit als Schadensvermeidungsregel ausbuchstabiert.</t>
  </si>
  <si>
    <t>A: VAL_08=1 wegen expliziter Risikobenennung. B: VAL_08=0, weil kein klarer Harm-Prevention-Standard genannt wird. Gewählt: B, konservativ evidence-first.</t>
  </si>
  <si>
    <t>Privacy/Confidentiality stehen direkt nach dem AI-Abschnitt, aber ohne expliziten KI-Bezug.</t>
  </si>
  <si>
    <t>A: VAL_06/17=1 wegen unmittelbarer thematischer Nähe. B: VAL_06/17=0 wegen fehlendem KI-Anker. Gewählt: B, gemäß KI-Anker-Regel.</t>
  </si>
  <si>
    <t>Der Verweis auf den „SAP Global Human Rights Commitment Statement“ steht im AI-Abschnitt, enthält aber selbst keine inhaltliche Human-Rights-Aussage zu KI.</t>
  </si>
  <si>
    <t>A: VAL_18=1 wegen explizitem Human-Rights-Referenzpunkt im AI-Kontext. B: VAL_18=0, weil nur ein Dokumenttitel genannt wird. Gewählt: B, konservativ, da keine substanzielle Textaussage vorliegt.</t>
  </si>
  <si>
    <t>Menschliche Intervention/Kontrolle wird explizit über Governance-Mechanismen entlang des Lifecycles abgesichert.</t>
  </si>
  <si>
    <t>S. 4; S. 12</t>
  </si>
  <si>
    <t>Verantwortung ist als Prinzip benannt und durch Accountability-Zuweisung/Assessments konkretisiert.</t>
  </si>
  <si>
    <t>Offenlegung von KI-Interaktion sowie Kommunikation von Zweck/Fähigkeiten/Grenzen; kein eigener Vollzugsschritt dokumentiert.</t>
  </si>
  <si>
    <t>Erklärbarkeit ist ausdrücklich genannt, aber nur in weicher „we strive“-Form ohne konkrete Prozessik.</t>
  </si>
  <si>
    <t>Fairness wird mit konkreten Assess-/Monitor-Maßnahmen über den Lifecycle operationalisiert.</t>
  </si>
  <si>
    <t>Privacy ist als corporate requirement und regulatorisch gerahmt; kein spezifischer KI-Check beschrieben.</t>
  </si>
  <si>
    <t>Security ist explizit KI-bezogen und mit Qualitätssicherungsprozess/Testing verknüpft.</t>
  </si>
  <si>
    <t>S. 5; S. 6</t>
  </si>
  <si>
    <t>Schadens-/Missbrauchsvermeidung plus Testing unter Realbedingungen stützen eine konkrete Operationalisierung.</t>
  </si>
  <si>
    <t>Qualitätssicherung und Real-World-Testing adressieren Robustheit/Reliability klar.</t>
  </si>
  <si>
    <t>Kein explizites Einspruchs-, Beschwerde- oder Redress-Mechanismus für KI-Entscheidungen.</t>
  </si>
  <si>
    <t>Keine explizite KI-bezogene Aussage zu Accessibility oder inklusivem Design.</t>
  </si>
  <si>
    <t>Nachhaltigkeit wird KI-bezogen adressiert; keine konkrete Sustainability-Assessment- oder Kontrollmechanik dokumentiert.</t>
  </si>
  <si>
    <t>Gesellschaftlicher Nutzen/Verbesserung von Leben wird als Zielbild beschrieben.</t>
  </si>
  <si>
    <t>S. 9; S. 5</t>
  </si>
  <si>
    <t>Regulatorische Anforderungen und Rechts-/Normbezug sind klar, aber ohne ausdifferenzierte Rechts-Compliance-Prozesslogik.</t>
  </si>
  <si>
    <t>S. 2; S. 5</t>
  </si>
  <si>
    <t>Ethische Leitplanken und Vermeidung unangemessener Nutzung sind vorhanden; keine expliziten Red-Line-Prozesse.</t>
  </si>
  <si>
    <t>Keine explizite KI-bezogene Evidenz zu Datenqualität, Repräsentativität oder Data-Governance-Mechanik.</t>
  </si>
  <si>
    <t>Kein expliziter KI-bezogener IP-/Confidentiality-Anker.</t>
  </si>
  <si>
    <t>Menschenrechtsbezug wird ausdrücklich KI-lifecycle-bezogen mit Maßnahmen verknüpft.</t>
  </si>
  <si>
    <t>Es sollen Mechanismen für menschliche Intervention und Kontrolle bestehen.</t>
  </si>
  <si>
    <t>“governance mechanism to achieve human intervention and control”</t>
  </si>
  <si>
    <t>Entscheidungen und Empfehlungen der KI sollen verständlich erklärt werden.</t>
  </si>
  <si>
    <t>“clear and understandable explanations of recommendations and decisions”</t>
  </si>
  <si>
    <t>Fairness soll entlang des Lifecycles aktiv geprüft und überwacht werden.</t>
  </si>
  <si>
    <t>“put measures in place to assess and monitor fairness”</t>
  </si>
  <si>
    <t>Nachhaltigkeitspolitiken sollen in jeder KI-Lifecycle-Phase beachtet werden.</t>
  </si>
  <si>
    <t>“ensure that SAP’s sustainability policies are being followed”</t>
  </si>
  <si>
    <t>KI soll positiven Nutzen für Menschen entfalten.</t>
  </si>
  <si>
    <t>“help the world run better and improve people’s lives”</t>
  </si>
  <si>
    <t>Über den gesamten KI-Lifecycle sollen Maßnahmen an den Menschenrechtsrahmen gebunden sein.</t>
  </si>
  <si>
    <t>“remain true to our human rights commitment statement”</t>
  </si>
  <si>
    <t>“ultimate accountability for high-risk use cases”; “not meant to completely replace human responsibility and accountability”; “impact and policy compliance assessments”</t>
  </si>
  <si>
    <t>Für Hochrisikofälle ist finale Verantwortlichkeit auf Board-Ebene benannt.; Es gibt explizite Impact- und Policy-Compliance-Assessments.; KI soll menschliche Verantwortung nicht ersetzen.</t>
  </si>
  <si>
    <t>“end users are made aware about their interaction with an AI System”; “input, capabilities, intended purpose, and limitations will be communicated clearly”</t>
  </si>
  <si>
    <t>Nutzer sollen erkennen können, dass sie mit KI interagieren.; Transparenz über Einsatz/Zweck</t>
  </si>
  <si>
    <t>“Data protection and privacy are a corporate requirement”; “commitment to all applicable regulatory requirements”</t>
  </si>
  <si>
    <t>Datenschutz und Privacy werden als verbindliche Unternehmensanforderung beschrieben.; Lawfulness/Compliance</t>
  </si>
  <si>
    <t>“quality, safety, reliability, and security”; “subject to our quality assurance process”</t>
  </si>
  <si>
    <t>Sicherheit wird als Standard für KI-Systeme hervorgehoben.; KI-Systeme unterliegen einem Qualitätssicherungsprozess.</t>
  </si>
  <si>
    <t>“prevent any inappropriate use”; “undergo thorough testing under real world scenarios”</t>
  </si>
  <si>
    <t>Unangemessene Nutzung der Technologie soll verhindert werden.; Testing/Robustheit</t>
  </si>
  <si>
    <t>“undergo thorough testing under real world scenarios”; “subject to our quality assurance process”</t>
  </si>
  <si>
    <t>KI-Systeme werden unter realen Bedingungen getestet.; Check-/Kontrollmechanik</t>
  </si>
  <si>
    <t>“commitment to all applicable regulatory requirements”; “remain true to our human rights commitment statement”</t>
  </si>
  <si>
    <t>Privacy/Datenschutz werden mit regulatorischen Anforderungen verknüpft.; Expliziter Human-Rights-Anker</t>
  </si>
  <si>
    <t>“deep and continuous engagement with the wider ethical and socioeconomic challenges of AI”; “prevent any inappropriate use”</t>
  </si>
  <si>
    <t>SAP rahmt KI als ethische Daueraufgabe jenseits bloßer Rechtserfüllung.; Unangemessene Nutzung der Technologie soll verhindert werden.</t>
  </si>
  <si>
    <t>S. 4; S. 10</t>
  </si>
  <si>
    <t>S. 12; S. 6; S. 7</t>
  </si>
  <si>
    <t>S. 13</t>
  </si>
  <si>
    <t>Kein KI-spezifischer Kontakt-, Stufen- oder Eskalationsprozess dokumentiert.</t>
  </si>
  <si>
    <t>Kein expliziter KI-Reportgegenstand, keine Frequenz und keine Berichtsempfängerstruktur dokumentiert.</t>
  </si>
  <si>
    <t>Mehrere KI-Governance-Rollen mit Aufgaben/Freigabebezug beschrieben</t>
  </si>
  <si>
    <t>Hochrisiko-Freigabe und lifecycle-bezogene Oversight-Logik dokumentiert</t>
  </si>
  <si>
    <t>Assessments, Qualitätssicherungsprozess und Fairness-Monitoring sind konkrete Checks</t>
  </si>
  <si>
    <t>Assessments werden erwähnt</t>
  </si>
  <si>
    <t>keine Auditmechanik, Frequenz oder Verantwortlichkeitsroutine</t>
  </si>
  <si>
    <t>Kurse/Lernmaterialien werden bereitgestellt</t>
  </si>
  <si>
    <t>Zielgruppe/Pflichtgrad/Programmstruktur fehlen</t>
  </si>
  <si>
    <t>keine berichteten Ergebnisse/Protokolle</t>
  </si>
  <si>
    <t>keine KPI-/Reviewzyklen</t>
  </si>
  <si>
    <t>“impact and policy compliance assessments”</t>
  </si>
  <si>
    <t>“provide courses and learning materials accessible for everyone”</t>
  </si>
  <si>
    <t>“ultimate accountability for high-risk use cases”; “Orchestrate governance process”</t>
  </si>
  <si>
    <t>“Approves high-risk use cases”; “governance mechanism to achieve human intervention and control”</t>
  </si>
  <si>
    <t>“impact and policy compliance assessments”; “subject to our quality assurance process”; “put measures in place to assess and monitor fairness”</t>
  </si>
  <si>
    <t>VAL_02 / GOV_03 / GOV_04</t>
  </si>
  <si>
    <t>„impact and policy compliance assessments“ kann zugleich als konkreter Check und als allgemeine Audit-/Assessment-Aktivität gelesen werden.</t>
  </si>
  <si>
    <t>A: nur GOV_04=1. B: GOV_03=2 und GOV_04=1. Gewählt: B, da der Checktyp konkret genug für GOV_03 ist; als Audit bleibt mangels Mechanik/Frequenz nur Score 1.</t>
  </si>
  <si>
    <t>Verantwortung kann als Wertprinzip oder als organisatorische Zuständigkeitslogik codiert werden.</t>
  </si>
  <si>
    <t>A: nur VAL_02=1. B: VAL_02=1 und GOV_01=2. Gewählt: B, gemäß Regel Value↔Governance: Prinzip = VAL_02, benannte Rollen/Gremien = GOV_01.</t>
  </si>
  <si>
    <t>Die Seite bündelt Transparenz und Explainability; Abgrenzung zwischen Offenlegung und Erklärbarkeit ist nötig.</t>
  </si>
  <si>
    <t>A: nur VAL_03=1. B: VAL_03=1 und VAL_04=1. Gewählt: B, da Disclosure („made aware“) und Erklärungen von Entscheidungen zwei eigenständige normative Kerne darstellen.</t>
  </si>
  <si>
    <t>„ensure that ... policies are being followed“ klingt operational, benennt aber keinen konkreten Sustainability-Check.</t>
  </si>
  <si>
    <t>A: BIND=3 wegen lifecycle-bezogener Sicherung. B: BIND=2 wegen normativer Vorgabe ohne expliziten Vollzugsschritt. Gewählt: B, konservativ nach BIND-Regel.</t>
  </si>
  <si>
    <t>Das Dokument spricht stark von „ethical AI“, aber Codebook schließt reine Responsible-AI-Rhetorik aus.</t>
  </si>
  <si>
    <t>A: VAL_15=0 wegen bloßer Ethikrhetorik. B: VAL_15=1, weil „prevent any inappropriate use“ eine normative Grenze markiert. Gewählt: B, aber konservativ nur mit BIND=2.</t>
  </si>
  <si>
    <t>Kurse und Lernmaterialien sind genannt, aber Pflichtgrad und Programmstruktur fehlen.</t>
  </si>
  <si>
    <t>A: GOV_05=1. B: GOV_05=2. Gewählt: A, da Score 2 laut Rubrik Zielgruppe plus Pflicht/Struktur erfordert.</t>
  </si>
  <si>
    <t>S. 42; S. 43</t>
  </si>
  <si>
    <t>Human control ist explizit als Prinzip benannt; zusätzliche Prozessintegration in Produkt-/Risikoprozesse belegt höhere Bindigkeit als reine Rhetorik.</t>
  </si>
  <si>
    <t>Verantwortung wird ausdrücklich adressiert; Operationalisierung bleibt auf Anforderungs-/Prozessintegrationsebene.</t>
  </si>
  <si>
    <t>Transparenz ist Prinzip und Teil der integrierten Responsible-AI-Kontrollen; keine konkrete Offenlegungsroutine im Dokument selbst.</t>
  </si>
  <si>
    <t>S. 42</t>
  </si>
  <si>
    <t>Explainability ist explizit genannt, aber ohne konkretisierten Prozess, Tool oder Pflichtcheck.</t>
  </si>
  <si>
    <t>Fairness ist klar als Prinzip enthalten; darüber hinaus keine spezifische Fairness-Prüflogik im Dokument.</t>
  </si>
  <si>
    <t>S. 42; S. 49</t>
  </si>
  <si>
    <t>KI-bezogener Privacy-Wert ist nicht nur prinzipiell, sondern über AI-Fragebogen und verpflichtenden PLM-Meilenstein operationalisiert.</t>
  </si>
  <si>
    <t>Security ist expliziter Responsible-AI-Wert; zentrale kontrollierte GenAI-Plattformen stützen eine anforderungsbezogene Bindigkeit.</t>
  </si>
  <si>
    <t>Risikofrüherkennung und Gegensteuerung werden benannt; kein eigenständiger Safety-Prozess im Dokument ausgewiesen.</t>
  </si>
  <si>
    <t>Robustheit/Reliability ist explizit Prinzip; zusätzlich werden Anforderungen integriert und AI-Use-Cases auditbezogen geprüft.</t>
  </si>
  <si>
    <t>Kein expliziter KI-bezogener Einspruchs-, Beschwerde- oder Redress-Mechanismus nachweisbar.</t>
  </si>
  <si>
    <t>Inklusion ist ausdrücklich genannt; Accessibility im engeren Sinn bleibt jedoch unbelegt.</t>
  </si>
  <si>
    <t>Umweltwirkung von KI wird positiv gerahmt; keine Green-AI-Prozess- oder Ressourcenlogik im Dokument.</t>
  </si>
  <si>
    <t>S. 41–42</t>
  </si>
  <si>
    <t>Positive gesellschaftliche Wirkung wird direkt als Ziel von Responsible AI beschrieben.</t>
  </si>
  <si>
    <t>S. 41; S. 43; S. 49</t>
  </si>
  <si>
    <t>Rechtsbezug (EU AI Act) ist explizit; zusätzliche Prozess-/PLM-Anbindung stützt eine bindigere Einordnung, aber ohne voll ausdifferenzierte Compliance-Mechanik.</t>
  </si>
  <si>
    <t>Ethischer KI-Einsatz ist eindeutig benannt; spezifische „do-not“-Grenzen oder Verbotskataloge fehlen.</t>
  </si>
  <si>
    <t>Datenqualität/-kontrolle ist im KI-Prinzip enthalten; konkrete Data-Stewardship- oder Lineage-Prozesse werden nicht nachgewiesen.</t>
  </si>
  <si>
    <t>Kein expliziter KI-bezogener IP-/Confidentiality-Wert im Dokumenttext.</t>
  </si>
  <si>
    <t>Kein ausdrücklicher Menschenrechtsrahmen für KI im AI-Abschnitt nachweisbar.</t>
  </si>
  <si>
    <t>Erklärungen der KI-Rationale werden gefordert.</t>
  </si>
  <si>
    <t>“explaining the rationale of AI solutions”</t>
  </si>
  <si>
    <t>Fairness wird explizit in den Responsible-AI-Prinzipien genannt.</t>
  </si>
  <si>
    <t>“Ensure diversity, fairness, and inclusion”</t>
  </si>
  <si>
    <t>Risiken und unerwünschte Effekte sollen früh adressiert werden.</t>
  </si>
  <si>
    <t>“address these risks at an early stage”</t>
  </si>
  <si>
    <t>Inklusion wird als eigenes Responsible-AI-Ziel benannt.</t>
  </si>
  <si>
    <t>“foster inclusiveness and shared benefit”</t>
  </si>
  <si>
    <t>KI soll positive ökologische Wirkung entfalten.</t>
  </si>
  <si>
    <t>“positive economic, societal, and environmental impact”</t>
  </si>
  <si>
    <t>Ethischer KI-Einsatz wird ausdrücklich verlangt.</t>
  </si>
  <si>
    <t>“Promote the ethical use of AI technologies”</t>
  </si>
  <si>
    <t>Datenqualität/-kontrolle wird ausdrücklich gefordert.</t>
  </si>
  <si>
    <t>“(quality) control, and accountability of their data”</t>
  </si>
  <si>
    <t>“enable effective human control and decision-making”; “integrate our Responsible AI Principles and controls into our product and solutions development, procurement, and risk management processes”</t>
  </si>
  <si>
    <t>Menschliche Kontrolle soll technisch ermöglicht werden.; Responsible-AI-Kontrollen werden in Kernprozesse integriert.</t>
  </si>
  <si>
    <t>Verantwortungsübernahme soll über klare Policies/Prozesse gestützt werden.; Responsible-AI-Kontrollen werden in Kernprozesse integriert.</t>
  </si>
  <si>
    <t>Transparenz wird als Responsible-AI-Prinzip benannt.; Responsible-AI-Kontrollen werden in Kernprozesse integriert.</t>
  </si>
  <si>
    <t>“Make policies and processes clear and accessible”; “integrate our Responsible AI Principles and controls into our product and solutions development, procurement, and risk management processes”</t>
  </si>
  <si>
    <t>“Endorse transparency and explainable AI”; “integrate our Responsible AI Principles and controls into our product and solutions development, procurement, and risk management processes”</t>
  </si>
  <si>
    <t>“Promote comprehensive data governance and privacy”; “introduced an AI developer questionnaire”;“adding an AI questionnaire”</t>
  </si>
  <si>
    <t>Datenschutz ist Teil der Responsible-AI-Prinzipien.; Ein KI-spezifischer Prüfbaustein wurde eingeführt.; Lieferanten-/Partnerprüfung wurde KI-spezifisch ergänzt.</t>
  </si>
  <si>
    <t>“standards for security and safety”; “central internal Generative AI platform solutions”</t>
  </si>
  <si>
    <t>Sicherheitsanforderungen werden für KI ausdrücklich formuliert.; GenAI-Nutzung wird über zentrale Plattformlösungen gesteuert.</t>
  </si>
  <si>
    <t>“accuracy, reliability, and robustness”; “integrate our Responsible AI Principles and controls into our product and solutions development, procurement, and risk management processes”; “mandated and conducted an audit on Trustworthy AI”</t>
  </si>
  <si>
    <t>Robustheit und Verlässlichkeit werden als Ziel genannt.; Prozessintegration; Ein AI-spezifisches Audit wurde tatsächlich durchgeführt.</t>
  </si>
  <si>
    <t>“achieve positive sustainability impacts”; “positive economic, societal, and environmental impact”</t>
  </si>
  <si>
    <t>KI wird als Hebel für positive Nachhaltigkeitswirkungen beschrieben.; KI soll positive ökologische Wirkung entfalten.</t>
  </si>
  <si>
    <t>“legal requirements, like the EU AI Act”; “integrate our Responsible AI Principles and controls into our product and solutions development, procurement, and risk management processes”; “mandatory milestone in the global Siemens Product Lifecycle Management (PLM) process”</t>
  </si>
  <si>
    <t>Responsible-AI-Prinzipien werden mit Regulierung verknüpft.; Prozessintegration; Privacy-by-design ist als verpflichtender PLM-Meilenstein verankert.</t>
  </si>
  <si>
    <t>Zentrale GenAI-Plattformen sowie AI-Questionnaires für Entwickler und Partner sind konkrete AI-Checks/Mechanismen.</t>
  </si>
  <si>
    <t>S. 43</t>
  </si>
  <si>
    <t>Kein AI-spezifischer Eskalations-, Incident- oder Hotline-Prozess nachweisbar.</t>
  </si>
  <si>
    <t>Kein AI-spezifischer Reportgegenstand, keine Frequenz und keine Empfängerstruktur belegt.</t>
  </si>
  <si>
    <t>“offer tailored trainings focused on (Generative) AI”</t>
  </si>
  <si>
    <t>“cross-functional Generative AI Governance task force”; “oversees the evaluation, development, and implementation”</t>
  </si>
  <si>
    <t>“oversees the evaluation, development, and implementation”; “integrate our Responsible AI Principles and controls into our product and solutions development, procurement, and risk management processes”; “mandatory milestone in the global Siemens Product Lifecycle Management (PLM) process”</t>
  </si>
  <si>
    <t>“central internal Generative AI platform solutions”; “introduced an AI developer questionnaire”; “adding an AI questionnaire”</t>
  </si>
  <si>
    <t>“mandated and conducted an audit on Trustworthy AI”; “evaluating the governance for AI at Siemens”</t>
  </si>
  <si>
    <t>AI-Governance-Task-Force ist mit AI-bezogenem Aufgabenprofil benannt</t>
  </si>
  <si>
    <t>Reporting-/Routinebelege fehlen.</t>
  </si>
  <si>
    <t>Evaluations-, Integrations- und PLM-Meilensteinlogik sind dokumentiert</t>
  </si>
  <si>
    <t>keine regelmäßigen KPI-/Reviewzyklen belegt.</t>
  </si>
  <si>
    <t>Ein AI-spezifisches Audit ist explizit belegt</t>
  </si>
  <si>
    <t>Frequenz, Auditverantwortliche und Zyklus bleiben offen.</t>
  </si>
  <si>
    <t>KI-Trainings werden ausdrücklich angeboten</t>
  </si>
  <si>
    <t>Pflichtgrad, Zielgruppenstruktur und Completion-Nachweise fehlen.</t>
  </si>
  <si>
    <t>„Transparency and explainable AI“ steht in einer gemeinsamen Formulierung.</t>
  </si>
  <si>
    <t>A: nur VAL_03=1. B: VAL_03=1 und VAL_04=1. Gewählt: B, weil der Codebook-Unterschied zwischen Offenlegung/Identifizierbarkeit (VAL_03) und Erklärbarkeit/Rationale (VAL_04) im Text beides trägt.</t>
  </si>
  <si>
    <t>Die Passage koppelt fairness und inclusion; Accessibility im engeren Sinn fehlt.</t>
  </si>
  <si>
    <t>A: nur VAL_05=1. B: VAL_05=1 und VAL_11=1. Gewählt: B, da „inclusiveness“ explizit genannt wird; BIND bleibt konservativ bei 1, weil Accessibility/Designmechanik fehlt.</t>
  </si>
  <si>
    <t>BIND bei VAL_01/02/03/07/09/14</t>
  </si>
  <si>
    <t>Reicht die Existenz von „Responsible Generative AI Requirements“ schon für BIND=3?</t>
  </si>
  <si>
    <t>A: BIND=3 wegen „Requirements“. B: BIND=2, weil zwar Anforderungen/Integration benannt sind, aber keine konkreten Schrittfolgen pro Wert dokumentiert werden. Gewählt: B, konservativ nach BIND-Regel.</t>
  </si>
  <si>
    <t>VAL_06 / GOV_03 / GOV_02</t>
  </si>
  <si>
    <t>Der AI developer questionnaire ist zugleich Privacy-Wert, Tool/Check und Prozesselement.</t>
  </si>
  <si>
    <t>A: nur GOV_03=2. B: VAL_06=1 plus GOV_03=2 plus GOV_02=2. Gewählt: B, da der Fragebogen sowohl inhaltlich Privacy-Risiken adressiert als auch als konkreter Check in einem Pflichtprozess verankert ist.</t>
  </si>
  <si>
    <t>GOV_03 / GOV_04 / VAL_09</t>
  </si>
  <si>
    <t>Das Audit ist ein Check, aber auch Auditaktivität; zudem stützt es Robustheit/Trustworthiness.</t>
  </si>
  <si>
    <t>A: nur GOV_04=1. B: GOV_04=1 und zusätzlich VAL_09 stützen; GOV_03 nur über andere Mechanismen. Gewählt: B, weil das Audit Robustheits-/Trustworthiness-Bezug hat, aber für GOV_03 bereits stärkere Tool-Evidenz über Fragebögen/Plattformen vorliegt.</t>
  </si>
  <si>
    <t>Die Formulierungen verbinden Umwelt-, Sozial- und Wirtschaftsbezug.</t>
  </si>
  <si>
    <t>A: nur VAL_13=1. B: VAL_12=1 und VAL_13=1. Gewählt: B, da der Text explizit „environmental“ und „societal“ im KI-Kontext benennt; BIND bleibt jeweils nur 1.</t>
  </si>
  <si>
    <t>Mensch-KI-Team und begrenzte Autonomie werden benannt; keine explizite Override-/Interventionslogik.</t>
  </si>
  <si>
    <t>Policy- und Pflichtbezug sind vorhanden; konkrete Rollen-/Owner-Zuweisung fehlt.</t>
  </si>
  <si>
    <t>Transparenz und ehrliche Kommunikation über KI-Fähigkeiten sind ausdrücklich formuliert.</t>
  </si>
  <si>
    <t>Keine explizite Evidenz zu Erklärbarkeit von Entscheidungen/Empfehlungen.</t>
  </si>
  <si>
    <t>Keine klare KI-bezogene Fairness-/Bias-Aussage; Partnerschafts-Fairness reicht konservativ nicht aus.</t>
  </si>
  <si>
    <t>Anonymisierung, verbindliche GDPR-Prinzipien, Consent-Rechte und privacy by design/default sind konkret belegt.</t>
  </si>
  <si>
    <t>Standardisierte Sicherheitsprozedur, ISO-zertifiziertes Cybersecurity-Management und SDL sprechen für konkrete Operationalisierung.</t>
  </si>
  <si>
    <t>Regulierter Test- und Zulassungsprozess sowie Sicherheitsnachweis im Patientenkontext sind klar dokumentiert.</t>
  </si>
  <si>
    <t>S. 3; S. 6; S. 8</t>
  </si>
  <si>
    <t>Hohe wissenschaftliche Standards, Datenqualitätsarbeit und laufendes Performance-Monitoring stützen robuste KI.</t>
  </si>
  <si>
    <t>Consent-Rechte beziehen sich auf Datennutzung, nicht auf Anfechtung von KI-Entscheidungen.</t>
  </si>
  <si>
    <t>Zugänglichkeit „für Patienten überall“ ist benannt; keine Accessibility-Standards oder inklusiven Designprozesse.</t>
  </si>
  <si>
    <t>Nachhaltige Infrastruktur (100 % erneuerbarer Strom) ist deskriptiv, aber nicht als KI-Ethikprinzip operationalisiert.</t>
  </si>
  <si>
    <t>Patientennutzen, Public Health und medizinischer Fortschritt sind explizit als Zweckbild beschrieben.</t>
  </si>
  <si>
    <t>S. 6; S. 9</t>
  </si>
  <si>
    <t>Regulierter Zulassungsprozess plus weltweit verbindliche interne GDPR-Direktiven belegen starke Normbindung.</t>
  </si>
  <si>
    <t>Ethische Erwartungen, menschliche Werte und zweckgebundene Datennutzung sind klar formuliert; keine Red-Line-Logik.</t>
  </si>
  <si>
    <t>Datenprüfung, Annotation, standardisierte Prozeduren und Lifecycle-Kontrollpunkte sind konkret beschrieben.</t>
  </si>
  <si>
    <t>Vertraulichkeit erscheint als Datenschutz-/Security-Aspekt, nicht als eigenständiger KI-IP-/Confidentiality-Wert.</t>
  </si>
  <si>
    <t>Rechte- und Souveränitätsbezug vorhanden, aber kein expliziter Menschenrechtsrahmen für KI.</t>
  </si>
  <si>
    <t>S. 3; S. 9-10</t>
  </si>
  <si>
    <t>S. 4; S. 9-10</t>
  </si>
  <si>
    <t>S. 8-9</t>
  </si>
  <si>
    <t>S. 3-5</t>
  </si>
  <si>
    <t>Mensch und KI werden als gemeinsames Team gerahmt.</t>
  </si>
  <si>
    <t>“healthcare professionals together with AI solutions are a strong team.”</t>
  </si>
  <si>
    <t>Algorithmen werden reguliert getestet und zugelassen.</t>
  </si>
  <si>
    <t>“government-regulated testing and approval process”</t>
  </si>
  <si>
    <t>KI soll für Patient:innen breit zugänglich sein.</t>
  </si>
  <si>
    <t>“make AI solutions accessible to patients everywhere.”</t>
  </si>
  <si>
    <t>“Our AI factory is run by a strict corporate policy”; “are mandatory for Siemens Healthineers worldwide”</t>
  </si>
  <si>
    <t>Die KI-Fabrik sei an eine strikte Unternehmenspolicy gebunden.; Rechtlich-normativer Standard</t>
  </si>
  <si>
    <t>“AI development needs to be transparent.”; “speak honestly about the capabilities of our AI solutions.”</t>
  </si>
  <si>
    <t>KI-Entwicklung soll transparent sein.; Über Fähigkeiten der KI soll offen kommuniziert werden.</t>
  </si>
  <si>
    <t>“rigorous anonymization process”; “are mandatory for Siemens Healthineers worldwide”; “right to grant or revoke consent”</t>
  </si>
  <si>
    <t>Vor Forschungseinsatz werden Daten anonymisiert.; GDPR-Prinzipien sind weltweit intern verpflichtend.; Individuen sollen Transparenz und Kontrolle über Gesundheitsdaten haben.</t>
  </si>
  <si>
    <t>“rigorous, standardized procedure”; “ISO-certified cybersecurity management system”; “secure development lifecycle (SDL)”</t>
  </si>
  <si>
    <t>Vor Nutzung greift ein standardisiertes Integritäts-/Sicherheitsverfahren.; Security-/Cybersecurity-Anker; Entwicklungspraktiken umfassen SDL sowie privacy by design/default.</t>
  </si>
  <si>
    <t>“highest scientific standards.”; “thoroughly examine each data point”</t>
  </si>
  <si>
    <t>Wissenschaftliche Standards werden als Maßstab benannt.; Data quality / governance</t>
  </si>
  <si>
    <t>“support patients’ desires for more personalized medicine”; “serves the public interest and our public health.”</t>
  </si>
  <si>
    <t>KI soll personalisierte Medizin und Patientennutzen fördern.; KI-Entwicklung wird mit öffentlichem Interesse und Public Health verknüpft.</t>
  </si>
  <si>
    <t>“government-regulated testing and approval process”; “Our AI factory is run by a strict corporate policy”; “are mandatory for Siemens Healthineers worldwide”</t>
  </si>
  <si>
    <t>Algorithmen werden reguliert getestet und zugelassen.; Compliance-/Policy-Anker; Rechtlich-normativer Standard</t>
  </si>
  <si>
    <t>“balanced with ethical expectations and human values.”; “We only use data in a purpose-bound manner”</t>
  </si>
  <si>
    <t>KI-Autonomie soll an Ethik und menschliche Werte gebunden bleiben.; Ethical-use-/Integrity-Anker</t>
  </si>
  <si>
    <t>“thoroughly examine each data point”; “rigorous, standardized procedure”; “Validate data”</t>
  </si>
  <si>
    <t>Daten werden qualitätsgesichert und annotiert.; Vor Nutzung greift ein standardisiertes Integritäts-/Sicherheitsverfahren.; Prozessschritte inkl. Register, Curate, KPIs, Control access</t>
  </si>
  <si>
    <t>Teams/Expert:innen werden erwähnt, aber keine klaren AI-Rollen mit Zuständigkeitsprofilen.</t>
  </si>
  <si>
    <t>S. 5; S. 6; S. 10</t>
  </si>
  <si>
    <t>Training zu Cybersecurity/Datenschutz ist belegt, aber nicht explizit als KI-spezifisches Schulungsprogramm.</t>
  </si>
  <si>
    <t>Kein KI-spezifischer Eskalations- oder Incident-Prozess nachweisbar.</t>
  </si>
  <si>
    <t>Keine KI-spezifische Reporting-Struktur, keine Reports, KPIs oder Berichtsempfänger benannt.</t>
  </si>
  <si>
    <t>Data-Lifecycle, 7-Step-Algorithmusprozess und SDL sind dokumentiert</t>
  </si>
  <si>
    <t>keine regelmäßigen Review-/KPI-Nachweise, daher nicht 3.</t>
  </si>
  <si>
    <t>Standardisierte Prozeduren, Datenvalidierung/KPIs/Kontrollpunkte sowie SDL sind konkrete Checks</t>
  </si>
  <si>
    <t>keine Nachweisberichte, daher nicht 3.</t>
  </si>
  <si>
    <t>Regulierter Test-/Zulassungsprozess ist assessment-nah erwähnt</t>
  </si>
  <si>
    <t>keine Auditfrequenz oder Auditarchitektur, daher nicht 2/3.</t>
  </si>
  <si>
    <t>S. 4-5; S. 10</t>
  </si>
  <si>
    <t>“Validate data”; “seven key steps”; “secure development lifecycle (SDL)”</t>
  </si>
  <si>
    <t>“rigorous, standardized procedure”; “Validate data”; “secure development lifecycle (SDL)”</t>
  </si>
  <si>
    <t>„strong team“ und begrenzte Autonomie deuten auf menschliche Einbindung, nennen aber keine explizite Intervention/Override.</t>
  </si>
  <si>
    <t>A: VAL_01=1, BIND=1. B: VAL_01=0. Gewählt: A, da der Human-AI-Teamgedanke und Autonomiebegrenzung einen klaren Oversight-Kern tragen, aber nur auf Statement-Niveau.</t>
  </si>
  <si>
    <t>„fair access“ und „foundation of fairness and transparency“ betreffen Partnerschaften, nicht eindeutig algorithmische Fairness/Bias.</t>
  </si>
  <si>
    <t>A: VAL_05=1. B: VAL_05=0. Gewählt: B, konservativ nach KI-Wertdefinition; Fairnessbezug ist nicht klar modell-/entscheidungsbezogen.</t>
  </si>
  <si>
    <t>„100 % Renewable electricity“ beschreibt nachhaltige AI-Infrastruktur, aber kein explizites Ethikprinzip oder Governance-Standard.</t>
  </si>
  <si>
    <t>A: VAL_12=1, BIND=1. B: VAL_12=0. Gewählt: B, da deskriptive Infrastrukturangabe ohne normativen KI-Prinzipienbezug.</t>
  </si>
  <si>
    <t>VAL_10 / VAL_06</t>
  </si>
  <si>
    <t>Das Recht, Einwilligung zu erteilen oder zu widerrufen, ist datenschutzrechtlich stark, aber keine Anfechtung von KI-Ergebnissen.</t>
  </si>
  <si>
    <t>A: VAL_10=1. B: VAL_06=1 und VAL_10=0. Gewählt: B, da der Fokus auf Datenverarbeitung/Consent liegt, nicht auf contestability von AI outputs.</t>
  </si>
  <si>
    <t>Training ist vorhanden, aber nicht eindeutig AI-spezifisch.</t>
  </si>
  <si>
    <t>A: GOV_05=1. B: GOV_05=0. Gewählt: B, konservativ nach KI-Anker-Regel; das Training bezieht sich auf Cybersecurity/Data Protection allgemein.</t>
  </si>
  <si>
    <t>Regulierter Test-/Zulassungsprozess ist review-nah, aber kein Audit im engeren Sinn.</t>
  </si>
  <si>
    <t>A: GOV_04=1. B: GOV_04=0. Gewählt: A, da eine formale Prüf-/Approval-Logik ausdrücklich genannt ist; für Score 2/3 fehlen Auditmechanik und Nachweisroutine.</t>
  </si>
  <si>
    <t>Vertraulichkeit erscheint im Kontext von Datenschutz/Security, aber nicht als eigenständiger IP-/Confidentiality-Wert.</t>
  </si>
  <si>
    <t>A: VAL_17=1. B: VAL_17=0. Gewählt: B, da der Text primär Privacy/Security operationalisiert.</t>
  </si>
  <si>
    <t>S. 2.</t>
  </si>
  <si>
    <t>Human oversight ist explizit genannt, aber ohne Prozess- oder Interventionsmechanik.</t>
  </si>
  <si>
    <t>Accountability wird ausdrücklich genannt, aber ohne Rollen-/Owner-Zuweisung.</t>
  </si>
  <si>
    <t>Nutzung und Zweck von KI sollen transparent sein; reine Prinzipienformulierung.</t>
  </si>
  <si>
    <t>Keine explizite Aussage zur Erklärbarkeit von Outputs, Entscheidungen oder Modelllogik.</t>
  </si>
  <si>
    <t>Fairness ist ausdrücklich benannt; keine konkrete Bias-/Prüfmechanik.</t>
  </si>
  <si>
    <t>Datenschutz in KI-Systemen wird klar genannt, aber ohne operative Ausgestaltung.</t>
  </si>
  <si>
    <t>Keine explizite Aussage zu Cybersecurity, Angriffsschutz oder Manipulationsschutz von KI-Systemen.</t>
  </si>
  <si>
    <t>Safety wird ausdrücklich genannt; Formulierung bleibt auf Ziel-/Prinzipienebene.</t>
  </si>
  <si>
    <t>Technische Robustheit ist explizit genannt; „clear and measurable criteria“ reicht hier nicht für höhere Bindigkeit.</t>
  </si>
  <si>
    <t>Kein Einspruchs-, Beschwerde- oder Redress-Mechanismus erkennbar.</t>
  </si>
  <si>
    <t>Keine explizite Accessibility-/Teilhabe-Aussage zu KI-Systemen.</t>
  </si>
  <si>
    <t>Umwelt- und Nachhaltigkeitsbezug ist im KI-Kontext ausdrücklich formuliert.</t>
  </si>
  <si>
    <t>„Society“ und „human labor“ sind vorhanden, aber kein klarer Nutzen-/Well-being-Satz im engeren Codebook-Sinn.</t>
  </si>
  <si>
    <t>Compliance-Kontakt allein belegt keine KI-spezifische Rechts-/Regelkonformitätsnorm.</t>
  </si>
  <si>
    <t>Der respektvolle, komplementäre Einsatz von KI markiert eine ethische Leitplanke jenseits bloßer Responsible-AI-Rhetorik.</t>
  </si>
  <si>
    <t>Keine Aussage zu Datenqualität, Herkunft, Repräsentativität oder Dataset-Governance.</t>
  </si>
  <si>
    <t>Kein expliziter KI-bezogener IP-/Confidentiality-Bezug.</t>
  </si>
  <si>
    <t>Menschenrechte werden ausdrücklich als für KI anwendbar benannt.</t>
  </si>
  <si>
    <t>Human Oversight und Accountability werden explizit genannt.</t>
  </si>
  <si>
    <t>“We enable human oversight and accountability”</t>
  </si>
  <si>
    <t>Zweck und Nutzung von KI sollen transparent sein.</t>
  </si>
  <si>
    <t>“make the usage and purpose of AI transparent”</t>
  </si>
  <si>
    <t>Fairness und Diversity werden als Maßstab für KI genannt.</t>
  </si>
  <si>
    <t>“Our AI systems are in line with our values in diversity and fairness”</t>
  </si>
  <si>
    <t>Datenschutz wird ausdrücklich auf KI-Systeme bezogen.</t>
  </si>
  <si>
    <t>“We respect and enable the protection of data within AI systems”</t>
  </si>
  <si>
    <t>Safety und technische Robustheit werden mit Kriterien verknüpft.</t>
  </si>
  <si>
    <t>“ensure safety and technical robustness through clear and measurable criteria”</t>
  </si>
  <si>
    <t>KI wird mit Nachhaltigkeit und Umweltbezug verknüpft.</t>
  </si>
  <si>
    <t>“Our AI systems are in line with our efforts for sustainability and the environment”</t>
  </si>
  <si>
    <t>KI soll menschliche Arbeit ergänzen und vorsichtig eingeführt werden.</t>
  </si>
  <si>
    <t>“We respect human labor with careful and complementary introduction of AI systems”</t>
  </si>
  <si>
    <t>Menschenrechte werden ausdrücklich auf KI-Systeme bezogen.</t>
  </si>
  <si>
    <t>“Our commitments to society and human rights apply”</t>
  </si>
  <si>
    <t>Keine AI-bezogene Rolle, Einheit oder Ownership benannt.</t>
  </si>
  <si>
    <t>Keine Prozessschritte, Freigaben, Lifecycle-Logik oder Trigger dokumentiert.</t>
  </si>
  <si>
    <t>„clear and measurable criteria“ deutet Anforderungen an, benennt aber keinen Checktyp, Einsatzzeitpunkt oder Mechanismus.</t>
  </si>
  <si>
    <t>Keine Audit-, Assessment- oder Review-Mechanik genannt.</t>
  </si>
  <si>
    <t>Kein Training, keine Awareness-Maßnahme und kein Schulungsprogramm erwähnt.</t>
  </si>
  <si>
    <t>Allgemeine Compliance-Kontaktadresse vorhanden, aber kein expliziter AI-spezifischer Eskalationsweg.</t>
  </si>
  <si>
    <t>Kein Reporting, keine KPIs und keine Disclosure-Struktur zu KI benannt.</t>
  </si>
  <si>
    <t>VAL_09 / GOV_03</t>
  </si>
  <si>
    <t>„clear and measurable criteria“ kann als reine Wertkonkretisierung oder als allgemeiner Checkhinweis gelesen werden.</t>
  </si>
  <si>
    <t>A: VAL_09=1, BIND=1 und GOV_03=1. B: VAL_09=1, BIND=1 und GOV_03=0. Gewählt: B, da kein klar benannter Checktyp, Einsatzzeitpunkt oder Mechanismus vorliegt.</t>
  </si>
  <si>
    <t>VAL_18 / VAL_13</t>
  </si>
  <si>
    <t>Die Passage nennt sowohl society als auch human rights. Unklar ist, ob daraus zusätzlich Social Benefit folgt.</t>
  </si>
  <si>
    <t>A: VAL_18=1 und VAL_13=1. B: nur VAL_18=1. Gewählt: B, da kein konkreter Nutzen-/Well-being-Satz formuliert ist; „society“ allein reicht konservativ nicht.</t>
  </si>
  <si>
    <t>VAL_15 / VAL_13 / VAL_11</t>
  </si>
  <si>
    <t>Die Passage kann als ethische Leitplanke, sozialer Nutzen oder Teilhabe/Inklusion gelesen werden.</t>
  </si>
  <si>
    <t>A: VAL_15=1. B: VAL_13=1 oder VAL_11=1. Gewählt: A, da der Satz primär eine normative Grenze für den KI-Einsatz markiert, nicht Accessibility oder expliziten Well-being-Nutzen.</t>
  </si>
  <si>
    <t>Transparenz über Nutzung/Zweck kann nah an Explainability liegen.</t>
  </si>
  <si>
    <t>A: VAL_03=1 und VAL_04=1. B: nur VAL_03=1. Gewählt: B, da keine Erklärung von Outputs, Entscheidungslogik oder Modellverhalten verlangt wird.</t>
  </si>
  <si>
    <t>GOV_06 / VAL_14</t>
  </si>
  <si>
    <t>Die allgemeine Compliance-Mailadresse könnte als Eskalations- oder Compliance-Anker gelesen werden.</t>
  </si>
  <si>
    <t>A: GOV_06=1 und/oder VAL_14=1. B: GOV_06=0 und VAL_14=0. Gewählt: B, da weder AI-spezifischer Eskalationsprozess noch KI-bezogene Compliance-Norm erkennbar sind.</t>
  </si>
  <si>
    <t>VAL_01 / VAL_02 / GOV_01</t>
  </si>
  <si>
    <t>Accountability ist explizit genannt, aber ohne organisatorische Zuständigkeitslogik.</t>
  </si>
  <si>
    <t>A: VAL_01=1, VAL_02=1 und GOV_01=1. B: VAL_01=1 und VAL_02=1, GOV_01=0. Gewählt: B, da Werte klar benannt sind, aber keine Rolle/Einheit/Ownership im Governance-Sinn.</t>
  </si>
  <si>
    <t>Menschliche Kontrolle und Eingriffsmöglichkeit werden in MLOps-/Ops-Prozessen konkret abgesichert.</t>
  </si>
  <si>
    <t>S. 11; S. 14</t>
  </si>
  <si>
    <t>Verantwortliche für ML-Modelle und ein zentrales Fairness-Team sind explizit benannt.</t>
  </si>
  <si>
    <t>S. 11; S. 21</t>
  </si>
  <si>
    <t>Transparenz wird intern über Dokumentation/ML-Plattform und extern über Erklärhinweise im Kaufprozess operationalisiert.</t>
  </si>
  <si>
    <t>S. 21; S. 56</t>
  </si>
  <si>
    <t>Erklärungen zu datenbasierten Empfehlungen sind direkt in den Produktfluss eingebettet.</t>
  </si>
  <si>
    <t>S. 10–14; S. 31; S. 43</t>
  </si>
  <si>
    <t>Bias wird erhoben, analysiert, gemessen, korrigiert und über Metriken/Assessments überwacht.</t>
  </si>
  <si>
    <t>S. 17; S. 31; S. 43</t>
  </si>
  <si>
    <t>KI-/ML-bezogene Privacy-Pipelines, Vulnerability-Tests und AIaaS-Kontrollen sind konkret dokumentiert.</t>
  </si>
  <si>
    <t>Allgemeine Security-Passagen sind vorhanden, aber kein hinreichend klarer KI-/ML-spezifischer Security-Anker.</t>
  </si>
  <si>
    <t>S. 12; S. 40; S. 43</t>
  </si>
  <si>
    <t>Potenzielle Schäden, Präventionsmaßnahmen, Harm-Sources und unethisches Nutzerverhalten werden systematisch adressiert.</t>
  </si>
  <si>
    <t>S. 13; S. 31; S. 39</t>
  </si>
  <si>
    <t>Kontinuierliches Monitoring, Metriken und regelmäßige Prüfungen komplexer Modelle stützen Robustheit/Reliability.</t>
  </si>
  <si>
    <t>Keine explizite Anfechtungs-, Beschwerde- oder Redress-Struktur für KI-/ML-Entscheidungen.</t>
  </si>
  <si>
    <t>Inklusions- und Accessibility-Passagen im Bericht sind überwiegend nicht KI-/ML-spezifisch.</t>
  </si>
  <si>
    <t>Kein klarer KI-/ML-bezogener Nachhaltigkeits- oder Umweltwert nachweisbar.</t>
  </si>
  <si>
    <t>Kund*innennutzen erscheint punktuell, aber nicht hinreichend klar als eigenständiger KI-/ML-Wertanker.</t>
  </si>
  <si>
    <t>S. 15; S. 23; S. 43; S. 44</t>
  </si>
  <si>
    <t>AI-Act-Bezug, interne Privacy Principles und zusätzliche AI-Governance-Maßnahmen zeigen konkrete Compliance-Operationalisierung.</t>
  </si>
  <si>
    <t>S. 43; S. 44; S. 56</t>
  </si>
  <si>
    <t>Responsible/ethical AI wird explizit adressiert; konkrete Verbots- oder Red-Line-Struktur bleibt unbelegt.</t>
  </si>
  <si>
    <t>S. 11; S. 17; S. 31</t>
  </si>
  <si>
    <t>Dataset-Dokumentation, Bewertungs-Pipelines und Metrik-/Monitoringlogiken belegen starke Operationalisierung.</t>
  </si>
  <si>
    <t>Kein expliziter KI-/ML-bezogener IP- oder Confidentiality-Wert.</t>
  </si>
  <si>
    <t>Kein ausdrücklicher menschenrechtlicher KI-/ML-Rahmen in den relevanten Passagen.</t>
  </si>
  <si>
    <t>MLOps gewährleistet Monitoring und frühes Eingreifen durch verantwortliche Teams.</t>
  </si>
  <si>
    <t>“kontinuierliches Monitoring und frühzeitiges Eingreifen”</t>
  </si>
  <si>
    <t>“Informationen und Verantwortliche für unsere Machine-Learning-Modelle”; “zentrale Team ‘Algorithmic Privacy &amp; Fairness’”</t>
  </si>
  <si>
    <t>Die ML-Plattform weist Modellinformationen und Verantwortliche aus.; Explizite AI/ML-Zuständigkeit</t>
  </si>
  <si>
    <t>“mögliche Bias, dokumentieren die Ergebnisse intern transparent”; “Informationen und Verantwortliche für unsere Machine-Learning-Modelle”; “erklären innerhalb des Kaufprozesses, welche Daten wir verwendet haben”</t>
  </si>
  <si>
    <t>Algorithmische Bias werden analysiert, intern dokumentiert und auf Akzeptierbarkeit bewertet.; Explainability-/Erklärungsanker; Responsibility + Transparency + Tool</t>
  </si>
  <si>
    <t>“erklären innerhalb des Kaufprozesses, welche Daten wir verwendet haben”; “Weiterbildung ‘Verantwortungsvolle KI’”</t>
  </si>
  <si>
    <t>Kund*innen wird im Kaufprozess erklärt, welche Daten für Empfehlungen genutzt wurden.; Es gibt Responsible-AI-Trainings und Onboarding für Applied Science.</t>
  </si>
  <si>
    <t>“jährlich eine Befragung zum Bewusstsein für die ethischen Risiken des maschinellen Lernens”; “mögliche Bias, dokumentieren die Ergebnisse intern transparent”; “potenzieller Schäden und der Sensibilität von Daten priorisieren”; “identifiziert, misst und korrigiert”</t>
  </si>
  <si>
    <t>Zalando erhebt jährlich Awareness zu ethischen Risiken von ML und leitet Trainings daraus ab.; Fairness + Dokumentation + Check; Für ML-Datensätze werden Dokumentationsmethoden getestet.; Starker Fairness-/Check-/Training-Anker</t>
  </si>
  <si>
    <t>“Pipeline zur Bewertung von Fairness und Datenschutz”; “Datenschutz-Schwachstellen von Machine-Learning-Modellen zu testen”; “kontinuierliche Überwachung ... Datenschutz-Schwachstellen und Fairness-Metriken”</t>
  </si>
  <si>
    <t>Es gibt eine Fairness- und Datenschutz-Bewertungspipeline für ein konkretes Projekt.; KI-spezifischer Privacy-Check; Konkreter Monitoring-/Metrikanker</t>
  </si>
  <si>
    <t>“potenzieller Schäden und der Sensibilität von Daten priorisieren”; “Schadensquellen und Quellen von Verzerrungen”; “Schadensquellen und Quellen von Verzerrungen”</t>
  </si>
  <si>
    <t>Systeme werden nach potenziellen Schäden und Datensensibilität priorisiert; Präventionsmaßnahmen werden durchgeführt.; Verantwortungsvolles ML wird geschult; behandelt werden Schadensquellen, Bias, Fairness, Vertrauen und ML-Privacy-Risiken.; Ethical-use-/Fairness-Anker</t>
  </si>
  <si>
    <t>“kontinuierliches Monitoring und frühzeitiges Eingreifen”; “kontinuierliche Überwachung ... Datenschutz-Schwachstellen und Fairness-Metriken”; “interne und externe Auditoren, die regelmäßig”</t>
  </si>
  <si>
    <t>MLOps gewährleistet Monitoring und frühes Eingreifen durch verantwortliche Teams.; Konkreter Monitoring-/Metrikanker; Konkreter Monitoring-/Metrikanker</t>
  </si>
  <si>
    <t>“Rechtssicherheit im Kontext der EU-Verordnung über Künstliche Intelligenz”; “abstrakte rechtliche Bestimmungen zum Datenschutz”; “zusätzliche AI-Governance-Maßnahmen”</t>
  </si>
  <si>
    <t>Standards sollen Rechtssicherheit im Kontext des EU AI Act erhöhen.; Data Privacy Principles übersetzen abstrakte rechtliche Bestimmungen in interne Leitlinien.; Konkreter AI-Governance-/Compliance-Anker</t>
  </si>
  <si>
    <t>“zusätzliche AI-Governance-Maßnahmen”; “wie Fairness und Voreingenommenheit (Bias)”; “DIN-Normung für verantwortungsvolle ML-Entwicklung”</t>
  </si>
  <si>
    <t>Für AIaaS/LLMs gelten zusätzliche AI-Governance-Maßnahmen aus dem AI-Act-Programm.; Ethical-use-/Fairness-Anker; Zalando engagiert sich in ETAMI und DIN für verantwortungsvolle ML-Entwicklung.</t>
  </si>
  <si>
    <t>“Dokumentationsmethoden für Datensätze”; “Pipeline zur Bewertung von Fairness und Datenschutz”; “kontinuierliche Überwachung ... Datenschutz-Schwachstellen und Fairness-Metriken”</t>
  </si>
  <si>
    <t>Für ML-Datensätze werden Dokumentationsmethoden getestet.; Es gibt eine Fairness- und Datenschutz-Bewertungspipeline für ein konkretes Projekt.; Ein internes Toolkit überwacht Privacy-Schwachstellen und Fairness-Metriken kontinuierlich.</t>
  </si>
  <si>
    <t>S. 11; S. 14; S. 22</t>
  </si>
  <si>
    <t>S. 11; S. 14; S. 17; S. 31</t>
  </si>
  <si>
    <t>S. 39</t>
  </si>
  <si>
    <t>S. 10; S. 14; S. 40; S. 56</t>
  </si>
  <si>
    <t>Frühes Eingreifen ist beschrieben, aber kein expliziter KI-/ML-spezifischer Eskalationspfad mit Stufen/Anlaufstellen.</t>
  </si>
  <si>
    <t>Kein implementiertes KI-/ML-Reporting, keine AI-Reports oder KPI-Disclosure-Struktur.</t>
  </si>
  <si>
    <t>S. 11113; S. 43</t>
  </si>
  <si>
    <t>Zentrales Algorithmic Privacy &amp; Fairness Team, Modellverantwortliche und eingebettete Koordinator*innen sind benannt</t>
  </si>
  <si>
    <t>keine Nachweislogik für Regeltermine/Reports.</t>
  </si>
  <si>
    <t>Produktentwicklungszyklus, Priorisierungslogik, MLOps und AIaaS-Governance sind dokumentiert</t>
  </si>
  <si>
    <t xml:space="preserve">keine KPI-/Reviewberichte </t>
  </si>
  <si>
    <t>ML-Plattform, Assessments, Bewertungspipeline, Privacy-Vulnerability-Tool und Fairness-Metriken sind konkrete Checks</t>
  </si>
  <si>
    <t xml:space="preserve">keine Ergebnis-/Reportnachweise </t>
  </si>
  <si>
    <t>Regelmäßige interne und externe Audits/Prüfungen komplexer Modelle/Use Cases sind dokumentiert</t>
  </si>
  <si>
    <t xml:space="preserve">keine Auditberichte/KPI-Outputs </t>
  </si>
  <si>
    <t>Mehrere KI-/ML-spezifische Trainingsformate, teils regelmäßig und teils zielgruppenspezifisch</t>
  </si>
  <si>
    <t>keine Completion-/Reportnachweise</t>
  </si>
  <si>
    <t>“interne und externe Auditoren, die regelmäßig”</t>
  </si>
  <si>
    <t>“während des gesamten Produktentwicklungszyklus”; “Informationen und Verantwortliche für unsere Machine-Learning-Modelle”; “zentrale Team ‘Algorithmic Privacy &amp; Fairness’”; “eingebettete Datenschutzkoordinator*innen”</t>
  </si>
  <si>
    <t>“während des gesamten Produktentwicklungszyklus”; “potenzieller Schäden und der Sensibilität von Daten priorisieren”; “kontinuierliches Monitoring und frühzeitiges Eingreifen”; “zusätzliche AI-Governance-Maßnahmen”</t>
  </si>
  <si>
    <t>“mögliche Bias, dokumentieren die Ergebnisse intern transparent”; “Informationen und Verantwortliche für unsere Machine-Learning-Modelle”; “identifiziert, misst und korrigiert”; “Pipeline zur Bewertung von Fairness und Datenschutz”; “Datenschutz-Schwachstellen von Machine-Learning-Modellen zu testen”</t>
  </si>
  <si>
    <t>“jährlich eine Befragung zum Bewusstsein für die ethischen Risiken des maschinellen Lernens”; “identifiziert, misst und korrigiert”; “Schadensquellen und Quellen von Verzerrungen”; “Weiterbildung ‘Verantwortungsvolle KI’”</t>
  </si>
  <si>
    <t>evidence_quote_strongest</t>
  </si>
  <si>
    <t>company_name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</si>
  <si>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</si>
  <si>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</si>
  <si>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</si>
  <si>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</si>
  <si>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</si>
  <si>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</si>
  <si>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</si>
  <si>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</si>
  <si>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</si>
  <si>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</si>
  <si>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</si>
  <si>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</si>
  <si>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</si>
  <si>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</si>
  <si>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</si>
  <si>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</si>
  <si>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</si>
  <si>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</si>
  <si>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</si>
  <si>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</si>
  <si>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</si>
  <si>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</si>
  <si>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</si>
  <si>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</si>
  <si>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</si>
  <si>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</si>
  <si>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</si>
  <si>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</si>
  <si>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</si>
  <si>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</si>
  <si>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</si>
  <si>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</si>
  <si>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</si>
  <si>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</si>
  <si>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</si>
  <si>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</si>
  <si>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</si>
  <si>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</si>
  <si>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</si>
  <si>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</si>
  <si>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WENN([@[company_id]]="";"";LET(c1;Tabelle30[[#Kopfzeilen];[1]];c2;[@[company_id]];WENN(c1=c2;1;LET(v;EINDEUTIG(Tabelle4[value_id]);p1;XVERWEIS((v;FILTER(Tabelle18[value_id];Tabelle18[company_id]=c1);FILTER(Tabelle18[value_points_company];Tabelle18[company_id]=c1);0);p2;XVERWEIS(v;FILTER(Tabelle18[value_id];Tabelle18[company_id]=c2;FILTER(Tabelle18[value_points_company];Tabelle18[company_id]=c2);0);s1;p1&gt;0;s2;p2&gt;0;inter;SUMME(--(s1*s2));uni;SUMME(--((s1+s2)&gt;0));WENN(uni=0;0;inter/uni)))))</t>
  </si>
  <si>
    <t>=WENN(I$1="";"";WENN($H2=I$1;1;WENNFEHLER(SUMME(--((XVERWEIS(EINDEUTIG(Tabelle4[value_id]);FILTER(Tabelle18[value_id];Tabelle18[company_id]=$H2);FILTER(Tabelle18[value_points_company];Tabelle18[company_id]=$H2);0)&gt;0)*(XVERWEIS(EINDEUTIG(Tabelle4[value_id]);FILTER(Tabelle18[value_id];Tabelle18[company_id]=I$1);FILTER(Tabelle18[value_points_company];Tabelle18[company_id]=I$1);0)&gt;0)))/SUMME(--(((XVERWEIS(EINDEUTIG(Tabelle4[value_id]);FILTER(Tabelle18[value_id];Tabelle18[company_id]=$H2);FILTER(Tabelle18[value_points_company];Tabelle18[company_id]=$H2);0)&gt;0)+(XVERWEIS(EINDEUTIG(Tabelle4[value_id]);FILTER(Tabelle18[value_id];Tabelle18[company_id]=I$1);FILTER(Tabelle18[value_points_company];Tabelle18[company_id]=I$1);0)&gt;0))&gt;0));0)))</t>
  </si>
  <si>
    <t>Formeln</t>
  </si>
  <si>
    <t>Skala: 0 = keine Überlappung der Werte-Sets; 1 = identisch. Diagonale = 1,00.</t>
  </si>
  <si>
    <t>company_i</t>
  </si>
  <si>
    <t>company_j</t>
  </si>
  <si>
    <t>jaccard_similarity</t>
  </si>
  <si>
    <t>jaccard_distance</t>
  </si>
  <si>
    <t>intersection_size</t>
  </si>
  <si>
    <t>union_size</t>
  </si>
  <si>
    <t>Wertepräsenz</t>
  </si>
  <si>
    <t>n_companies_present</t>
  </si>
  <si>
    <t>share_companies_present</t>
  </si>
  <si>
    <t>mean_points_present</t>
  </si>
  <si>
    <t>count_binding_1</t>
  </si>
  <si>
    <t>share_binding_1_given_present</t>
  </si>
  <si>
    <t>count_binding_2</t>
  </si>
  <si>
    <t>share_binding_2_given_present</t>
  </si>
  <si>
    <t>count_binding_3</t>
  </si>
  <si>
    <t>share_binding_3_given_present</t>
  </si>
  <si>
    <t>n_values_present</t>
  </si>
  <si>
    <t>share_values_present</t>
  </si>
  <si>
    <t>count_score0</t>
  </si>
  <si>
    <t>count_score1</t>
  </si>
  <si>
    <t>count_score2</t>
  </si>
  <si>
    <t>count_score3</t>
  </si>
  <si>
    <t>share_score2_3</t>
  </si>
  <si>
    <t>n_companies</t>
  </si>
  <si>
    <t>mean_n_values_present</t>
  </si>
  <si>
    <t>median_n_values_present</t>
  </si>
  <si>
    <t>mean_governance_index</t>
  </si>
  <si>
    <t>median_governance_index</t>
  </si>
  <si>
    <t>TOP_value_id</t>
  </si>
  <si>
    <t>governance_index_0_100</t>
  </si>
  <si>
    <t>cluster_k3</t>
  </si>
  <si>
    <t>cluster_k4</t>
  </si>
  <si>
    <t>cluster_k5</t>
  </si>
  <si>
    <t>empty_valueset_flag</t>
  </si>
  <si>
    <t>excluded from values clustering: union=0 against other empty sets</t>
  </si>
  <si>
    <t>included</t>
  </si>
  <si>
    <t>gov_cluster_k3</t>
  </si>
  <si>
    <t>gov_cluster_k4</t>
  </si>
  <si>
    <t>gov_cluster_k5</t>
  </si>
  <si>
    <t>gov_notes</t>
  </si>
  <si>
    <t>gov_excluded_missing_flag</t>
  </si>
  <si>
    <t>step</t>
  </si>
  <si>
    <t>cluster_a_raw</t>
  </si>
  <si>
    <t>cluster_b_raw</t>
  </si>
  <si>
    <t>cluster_a_label</t>
  </si>
  <si>
    <t>cluster_b_label</t>
  </si>
  <si>
    <t>merge_distance</t>
  </si>
  <si>
    <t>new_cluster_raw</t>
  </si>
  <si>
    <t>new_cluster_label</t>
  </si>
  <si>
    <t>new_cluster_size</t>
  </si>
  <si>
    <t>C3: Allianz</t>
  </si>
  <si>
    <t>C25: Merck</t>
  </si>
  <si>
    <t>N26</t>
  </si>
  <si>
    <t>C15: Deutsche Telekom</t>
  </si>
  <si>
    <t>C32: SAP</t>
  </si>
  <si>
    <t>N27</t>
  </si>
  <si>
    <t>C34: Siemens</t>
  </si>
  <si>
    <t>N28</t>
  </si>
  <si>
    <t>C17: Fresenius</t>
  </si>
  <si>
    <t>N29</t>
  </si>
  <si>
    <t>N30</t>
  </si>
  <si>
    <t>C5: Bayer</t>
  </si>
  <si>
    <t>C19: GEA Group</t>
  </si>
  <si>
    <t>N31</t>
  </si>
  <si>
    <t>C9: Commerzbank</t>
  </si>
  <si>
    <t>C12: Deutsche Bank</t>
  </si>
  <si>
    <t>N32</t>
  </si>
  <si>
    <t>C2: Airbus</t>
  </si>
  <si>
    <t>C23: Infineon</t>
  </si>
  <si>
    <t>N33</t>
  </si>
  <si>
    <t>C4: BASF</t>
  </si>
  <si>
    <t>C36: Siemens Healthineers</t>
  </si>
  <si>
    <t>N34</t>
  </si>
  <si>
    <t>C24: Mercedes-Benz Group</t>
  </si>
  <si>
    <t>C31: RWE</t>
  </si>
  <si>
    <t>N35</t>
  </si>
  <si>
    <t>C7: BMW</t>
  </si>
  <si>
    <t>N36</t>
  </si>
  <si>
    <t>C40: Zalando</t>
  </si>
  <si>
    <t>N37</t>
  </si>
  <si>
    <t>N38</t>
  </si>
  <si>
    <t>N39</t>
  </si>
  <si>
    <t>N40</t>
  </si>
  <si>
    <t>N41</t>
  </si>
  <si>
    <t>N42</t>
  </si>
  <si>
    <t>C22: Henkel</t>
  </si>
  <si>
    <t>C38: Volkswagen</t>
  </si>
  <si>
    <t>N43</t>
  </si>
  <si>
    <t>C10: Continental</t>
  </si>
  <si>
    <t>C27: Münchener Rück</t>
  </si>
  <si>
    <t>N44</t>
  </si>
  <si>
    <t>C6: Beiersdorf</t>
  </si>
  <si>
    <t>N45</t>
  </si>
  <si>
    <t>N46</t>
  </si>
  <si>
    <t>C13: Deutsche Börse</t>
  </si>
  <si>
    <t>N47</t>
  </si>
  <si>
    <t>N48</t>
  </si>
  <si>
    <t>C11: Daimler Truck</t>
  </si>
  <si>
    <t>C20: Hannover Rück</t>
  </si>
  <si>
    <t>N49</t>
  </si>
  <si>
    <t>N50</t>
  </si>
  <si>
    <t>C1: Adidas</t>
  </si>
  <si>
    <t>C8: Brenntag</t>
  </si>
  <si>
    <t>C14: Deutsche Post</t>
  </si>
  <si>
    <t>C16: E.ON</t>
  </si>
  <si>
    <t>C18: Fresenius Medical Care</t>
  </si>
  <si>
    <t>C21: Heidelberg Materials</t>
  </si>
  <si>
    <t>C26: MTU Aero Engines</t>
  </si>
  <si>
    <t>C28: Porsche Automobil Holding</t>
  </si>
  <si>
    <t>C29: Qiagen</t>
  </si>
  <si>
    <t>N51</t>
  </si>
  <si>
    <t>C30: Rheinmetall</t>
  </si>
  <si>
    <t>N52</t>
  </si>
  <si>
    <t>C33: Scout24</t>
  </si>
  <si>
    <t>N53</t>
  </si>
  <si>
    <t>C35: Siemens Energy</t>
  </si>
  <si>
    <t>N54</t>
  </si>
  <si>
    <t>C37: Symrise</t>
  </si>
  <si>
    <t>N55</t>
  </si>
  <si>
    <t>N56</t>
  </si>
  <si>
    <t>C39: Vonovia</t>
  </si>
  <si>
    <t>N57</t>
  </si>
  <si>
    <t>N58</t>
  </si>
  <si>
    <t>N59</t>
  </si>
  <si>
    <t>N60</t>
  </si>
  <si>
    <t>N61</t>
  </si>
  <si>
    <t>N62</t>
  </si>
  <si>
    <t>N63</t>
  </si>
  <si>
    <t>N64</t>
  </si>
  <si>
    <t>N65</t>
  </si>
  <si>
    <t>N66</t>
  </si>
  <si>
    <t>N67</t>
  </si>
  <si>
    <t>N68</t>
  </si>
  <si>
    <t>N69</t>
  </si>
  <si>
    <t>N70</t>
  </si>
  <si>
    <t>N71</t>
  </si>
  <si>
    <t>N72</t>
  </si>
  <si>
    <t>N73</t>
  </si>
  <si>
    <t>N74</t>
  </si>
  <si>
    <t>N75</t>
  </si>
  <si>
    <t>N76</t>
  </si>
  <si>
    <t>N77</t>
  </si>
  <si>
    <t>N78</t>
  </si>
  <si>
    <t>k</t>
  </si>
  <si>
    <t>cluster_id</t>
  </si>
  <si>
    <t>cluster_size</t>
  </si>
  <si>
    <t>cluster_share_present</t>
  </si>
  <si>
    <t>mean_score</t>
  </si>
  <si>
    <t>median_score</t>
  </si>
  <si>
    <t>analysis</t>
  </si>
  <si>
    <t>small_cluster_lt3_flag</t>
  </si>
  <si>
    <t>values</t>
  </si>
  <si>
    <t>governance</t>
  </si>
  <si>
    <t>cluster_VAL_k</t>
  </si>
  <si>
    <t>cluster_GOV_k</t>
  </si>
  <si>
    <t>count_companies</t>
  </si>
  <si>
    <t>raw_node_id</t>
  </si>
  <si>
    <t>company_id_i</t>
  </si>
  <si>
    <t>company_id_j</t>
  </si>
  <si>
    <t>euclidean_distance_z</t>
  </si>
  <si>
    <t>sector</t>
  </si>
  <si>
    <t>values_index_weighted_0_1</t>
  </si>
  <si>
    <t>values_index_presence_0_1</t>
  </si>
  <si>
    <t>missing_flags</t>
  </si>
  <si>
    <t>values_index_variant</t>
  </si>
  <si>
    <t>rho</t>
  </si>
  <si>
    <t>p_value</t>
  </si>
  <si>
    <t>n_complete_cases</t>
  </si>
  <si>
    <t>ci_95_lower</t>
  </si>
  <si>
    <t>ci_95_upper</t>
  </si>
  <si>
    <t>values_index_weighted_0_1_recalc</t>
  </si>
  <si>
    <t>SPEARMAN</t>
  </si>
  <si>
    <t>n</t>
  </si>
  <si>
    <t>n_too_small</t>
  </si>
  <si>
    <t>SPEARMAN BY SECTOR</t>
  </si>
  <si>
    <t>values_index_weighted_mean</t>
  </si>
  <si>
    <t>values_index_weighted_median</t>
  </si>
  <si>
    <t>values_index_presence_mean</t>
  </si>
  <si>
    <t>values_index_presence_median</t>
  </si>
  <si>
    <t>governance_index_mean</t>
  </si>
  <si>
    <t>governance_index_median</t>
  </si>
  <si>
    <t>SECTOR SUMMARY</t>
  </si>
  <si>
    <t>RANGE CHECKS</t>
  </si>
  <si>
    <t>variable</t>
  </si>
  <si>
    <t>min</t>
  </si>
  <si>
    <t>max</t>
  </si>
  <si>
    <t>expected_range</t>
  </si>
  <si>
    <t>within_range</t>
  </si>
  <si>
    <t>[0,1]</t>
  </si>
  <si>
    <t>[0,100]</t>
  </si>
  <si>
    <t>VARIANTS DEFINITION</t>
  </si>
  <si>
    <t>variant_name</t>
  </si>
  <si>
    <t>computable</t>
  </si>
  <si>
    <t>formula</t>
  </si>
  <si>
    <t>weights</t>
  </si>
  <si>
    <t>used_columns</t>
  </si>
  <si>
    <t>max_value</t>
  </si>
  <si>
    <t>BASELINE</t>
  </si>
  <si>
    <t>values_index = 06_Derived_Indices.convergence_index_0_1; governance_index = 06_Derived_Indices.gov_index_0_100</t>
  </si>
  <si>
    <t>values: implicit baseline value_points_company; governance: all GOV_* weight 1</t>
  </si>
  <si>
    <t>06_Derived_Indices.convergence_index_0_1; 06_Derived_Indices.gov_index_0_100</t>
  </si>
  <si>
    <t>values [0,1]; governance [0,100]</t>
  </si>
  <si>
    <t>Existing workbook baseline</t>
  </si>
  <si>
    <t>V_VAL_02_PRESENCE_ONLY</t>
  </si>
  <si>
    <t>values_index = SUM(value_present_company)/18; governance_index = baseline_governance_index</t>
  </si>
  <si>
    <t>all VAL_* equal; binary presence only</t>
  </si>
  <si>
    <t>03b_Values_Company_Level.value_present_company; 05/06 baseline governance</t>
  </si>
  <si>
    <t>values max=1; governance [0,100]</t>
  </si>
  <si>
    <t>Presence-only alternative to weighted values index</t>
  </si>
  <si>
    <t>V_VAL_03_WEIGHTED_ALTERNATIVE</t>
  </si>
  <si>
    <t>not computable</t>
  </si>
  <si>
    <t>binding/value_points vorhanden, aber keine explizite alternative BIND→Points-Mapping im Workbook</t>
  </si>
  <si>
    <t>n/a</t>
  </si>
  <si>
    <t>Keine neuen Punktwerte erfunden</t>
  </si>
  <si>
    <t>V_GOV_02_AUDIT_REPORTING_X2</t>
  </si>
  <si>
    <t>governance_index = (SUM(score_0_3 * w_i) / (3*SUM(w_i))) * 100; w_GOV_04=2; w_GOV_07=2; sonst 1; values_index = baseline_values_index</t>
  </si>
  <si>
    <t>GOV_04=2; GOV_07=2; GOV_01/GOV_02/GOV_03/GOV_05/GOV_06=1</t>
  </si>
  <si>
    <t>05b_Governance_Company_Level.score_0_3 by gov_crit_id; 06 baseline values</t>
  </si>
  <si>
    <t>governance weighted max raw = 27</t>
  </si>
  <si>
    <t>Audit/Reporting höher gewichtet</t>
  </si>
  <si>
    <t>V_GOV_03_AUDIT_ESCALATION_X2</t>
  </si>
  <si>
    <t>governance_index = (SUM(score_0_3 * w_i) / (3*SUM(w_i))) * 100; w_GOV_04=2; w_GOV_06=2; sonst 1; values_index = baseline_values_index</t>
  </si>
  <si>
    <t>GOV_04=2; GOV_06=2; GOV_01/GOV_02/GOV_03/GOV_05/GOV_07=1</t>
  </si>
  <si>
    <t>Compliance-heavy Variante</t>
  </si>
  <si>
    <t>V_MISS_01_COMPLETE_CASES</t>
  </si>
  <si>
    <t>not applicable</t>
  </si>
  <si>
    <t>Baseline auf complete cases</t>
  </si>
  <si>
    <t>03b/05b/06</t>
  </si>
  <si>
    <t>Keine fehlenden Kern-Indexwerte in den 40 Company-Level-Fällen</t>
  </si>
  <si>
    <t>V_MISS_02_MISSING_AS_0</t>
  </si>
  <si>
    <t>Missing kann nicht als semantisch gleichbedeutend mit 0 unterstellt werden; zudem keine fehlenden Kern-Indexwerte vorhanden</t>
  </si>
  <si>
    <t>variant</t>
  </si>
  <si>
    <t>values_index</t>
  </si>
  <si>
    <t>governance_index</t>
  </si>
  <si>
    <t>Baseline aus 06_Derived_Indices</t>
  </si>
  <si>
    <t>Werteindex nur Präsenz 0/1; Governance unverändert Baseline</t>
  </si>
  <si>
    <t>Governance gewichtet: GOV_04=2, GOV_07=2; Werte unverändert Baseline</t>
  </si>
  <si>
    <t>Governance gewichtet: GOV_04=2, GOV_06=2; Werte unverändert Baseline</t>
  </si>
  <si>
    <t>INDICED BY VARIANT</t>
  </si>
  <si>
    <t xml:space="preserve">RANK STABILITY </t>
  </si>
  <si>
    <t>baseline_vs_variant</t>
  </si>
  <si>
    <t>dimension</t>
  </si>
  <si>
    <t>spearman_rank_corr</t>
  </si>
  <si>
    <t>top10_overlap</t>
  </si>
  <si>
    <t>median_abs_rank_change</t>
  </si>
  <si>
    <t>rank_rule</t>
  </si>
  <si>
    <t>BASELINE vs BASELINE</t>
  </si>
  <si>
    <t>ordinal ranks; sort desc by index, tie-break company_id asc</t>
  </si>
  <si>
    <t>BASELINE vs V_VAL_02_PRESENCE_ONLY</t>
  </si>
  <si>
    <t>BASELINE vs V_GOV_02_AUDIT_REPORTING_X2</t>
  </si>
  <si>
    <t>BASELINE vs V_GOV_03_AUDIT_ESCALATION_X2</t>
  </si>
  <si>
    <t>SPEARMAN BY VARIANT</t>
  </si>
  <si>
    <t>values_source</t>
  </si>
  <si>
    <t>governance_source</t>
  </si>
  <si>
    <t>variant values_index</t>
  </si>
  <si>
    <t>variant governance_index</t>
  </si>
  <si>
    <t>CLUSTER STABILITY</t>
  </si>
  <si>
    <t>domain</t>
  </si>
  <si>
    <t>method</t>
  </si>
  <si>
    <t>ari</t>
  </si>
  <si>
    <t>identity to baseline (same binary presence basis as 07c Jaccard clustering)</t>
  </si>
  <si>
    <t>No recomputation required; baseline values clustering already presence-based</t>
  </si>
  <si>
    <t>BASELINE_REPRO</t>
  </si>
  <si>
    <t>Ward on z-standardized GOV scores</t>
  </si>
  <si>
    <t>Reproduces stored baseline if ARI=1</t>
  </si>
  <si>
    <t>Ward on z-standardized GOV scores with sqrt(weight) feature scaling</t>
  </si>
  <si>
    <t>Cross-tabs exported separately</t>
  </si>
  <si>
    <t>CLUSTER CROSSTABS</t>
  </si>
  <si>
    <t>baseline_cluster</t>
  </si>
  <si>
    <t>variant_cluster</t>
  </si>
  <si>
    <t>INSTABILITY FLAGS</t>
  </si>
  <si>
    <t>max_abs_rank_change</t>
  </si>
  <si>
    <t>company_id_max_shift</t>
  </si>
  <si>
    <t>company_name_max_shift</t>
  </si>
  <si>
    <t>baseline_rank</t>
  </si>
  <si>
    <t>variant_rank</t>
  </si>
  <si>
    <t>Die Passage kann als Transparenz über Datennutzung oder als Explainability von Empfehlungssystemen gelesen werden.</t>
  </si>
  <si>
    <t>A: nur VAL_03=1. B: VAL_03=1 und VAL_04=1. Gewählt: B, da der Text nicht nur Offenlegung, sondern eine konkrete Erklärung der Empfehlungslogik aus Nutzungsdaten bietet.</t>
  </si>
  <si>
    <t>VAL_06 / VAL_07 / GOV_03</t>
  </si>
  <si>
    <t>Das Tool adressiert Schwachstellen von ML-Modellen. Unklar ist, ob dies auch als KI-Security zählt.</t>
  </si>
  <si>
    <t>A: VAL_06=1 und VAL_07=1. B: VAL_06=1 und VAL_07=0. Gewählt: B, konservativ, da der Text explizit Privacy-Vulnerabilities nennt, nicht Cybersecurity im engeren Sinn.</t>
  </si>
  <si>
    <t>Die Passage nennt regelmäßige interne und externe Auditoren, bleibt aber bei Aufbau/Frequenz/Output unspezifisch.</t>
  </si>
  <si>
    <t>A: GOV_04=2. B: GOV_04=1. Gewählt: A, da hier mehr als bloße Audit-Erwähnung vorliegt: Regelmäßigkeit und Prüfgegenstände sind ausdrücklich genannt; für 3 fehlen Berichte/KPIs.</t>
  </si>
  <si>
    <t>Trainings sind vielfältig und teils verpflichtend. Unklar ist, ob dies bereits Score 3 rechtfertigt.</t>
  </si>
  <si>
    <t>A: GOV_05=3. B: GOV_05=2. Gewählt: B, da zwar Regelmäßigkeit, Zielgruppen und Inhalte dokumentiert sind, aber keine Nachweise zu Completion/KPIs/Reports vorliegen.</t>
  </si>
  <si>
    <t>VAL_14 / VAL_15 / GOV_02</t>
  </si>
  <si>
    <t>Die zusätzlichen AI-Governance-Maßnahmen können als Compliance-Wert, Ethical-Use-Wert und Prozess zugleich gelesen werden.</t>
  </si>
  <si>
    <t>A: nur VAL_14=1. B: VAL_14=1, VAL_15=1 und GOV_02=2. Gewählt: B, da der Text sowohl Regulierungsbezug als auch konkrete Governance-Erwägungen zu Fairness, Bias und unethischem Verhalten enthält.</t>
  </si>
  <si>
    <t>VAL_06 / GOV_01 / GOV_02</t>
  </si>
  <si>
    <t>Viel starke Governance-Evidenz ist privacy-bezogen, aber nicht immer explizit KI-/ML-anchored.</t>
  </si>
  <si>
    <t>A: voll für KI codieren. B: nur dort KI-codieren, wo ML/algorithmische Systeme/AIaaS ausdrücklich genannt sind. Gewählt: B, gemäß KI-Anker-Regel.</t>
  </si>
  <si>
    <t>VAL_13 / VAL_01 / VAL_03</t>
  </si>
  <si>
    <t>Kund*innennutzen ist genannt, aber der KI-Anker bleibt indirekter als bei Bias-/ML-Passagen.</t>
  </si>
  <si>
    <t>A: VAL_13=1. B: VAL_13=0. Gewählt: B, konservativ, da die Passage zwar anschlussfähig ist, aber keinen gleich starken KI-/ML-Anker wie andere Evidenzen besitzt.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</si>
</sst>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0"/>
  </numFmts>
  <fonts count="12" x14ac:knownFonts="1">
    <font>
      <sz val="11"/>
      <color theme="1"/>
      <name val="Aptos Narrow"/>
      <family val="2"/>
      <scheme val="minor"/>
    </font>
    <font>
      <sz val="8"/>
      <name val="Aptos Narrow"/>
      <family val="2"/>
      <scheme val="minor"/>
    </font>
    <font>
      <sz val="11"/>
      <color theme="1"/>
      <name val="Arial"/>
      <family val="2"/>
    </font>
    <font>
      <sz val="11"/>
      <color theme="1"/>
      <name val="Aptos"/>
      <family val="2"/>
    </font>
    <font>
      <sz val="11"/>
      <color theme="1"/>
      <name val="Segoe UI"/>
      <family val="2"/>
    </font>
    <font>
      <b/>
      <sz val="11"/>
      <color theme="1"/>
      <name val="Aptos Narrow"/>
      <family val="2"/>
      <scheme val="minor"/>
    </font>
    <font>
      <sz val="11"/>
      <color theme="0"/>
      <name val="Aptos Narrow"/>
      <family val="2"/>
      <scheme val="minor"/>
    </font>
    <font>
      <b/>
      <u/>
      <sz val="11"/>
      <color theme="1"/>
      <name val="Aptos Narrow"/>
      <family val="2"/>
      <scheme val="minor"/>
    </font>
    <font>
      <b/>
      <sz val="11"/>
      <name val="Calibri"/>
    </font>
    <font>
      <b/>
      <sz val="11"/>
      <color theme="0"/>
      <name val="Calibri"/>
      <family val="2"/>
    </font>
    <font>
      <b/>
      <sz val="11"/>
      <color rgb="FFFFFFFF"/>
      <name val="Calibri"/>
      <family val="2"/>
    </font>
    <font>
      <b/>
      <sz val="11"/>
      <color rgb="FFFFFFFF"/>
      <name val="Calibri"/>
    </font>
  </fonts>
  <fills count="14">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gray0625">
        <bgColor theme="3" tint="0.89996032593768116"/>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bgColor indexed="64"/>
      </patternFill>
    </fill>
    <fill>
      <patternFill patternType="solid">
        <fgColor theme="5"/>
        <bgColor indexed="64"/>
      </patternFill>
    </fill>
    <fill>
      <patternFill patternType="solid">
        <fgColor theme="0" tint="-4.9989318521683403E-2"/>
        <bgColor indexed="64"/>
      </patternFill>
    </fill>
    <fill>
      <patternFill patternType="solid">
        <fgColor theme="1"/>
        <bgColor indexed="64"/>
      </patternFill>
    </fill>
    <fill>
      <patternFill patternType="solid">
        <fgColor rgb="FF1F4E78"/>
      </patternFill>
    </fill>
    <fill>
      <patternFill patternType="solid">
        <fgColor rgb="FFF7FBFF"/>
      </patternFill>
    </fill>
  </fills>
  <borders count="18">
    <border>
      <left/>
      <right/>
      <top/>
      <bottom/>
      <diagonal/>
    </border>
    <border>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4"/>
      </top>
      <bottom style="thin">
        <color theme="4"/>
      </bottom>
      <diagonal/>
    </border>
    <border>
      <left/>
      <right/>
      <top style="thin">
        <color theme="1"/>
      </top>
      <bottom/>
      <diagonal/>
    </border>
    <border>
      <left style="thin">
        <color auto="1"/>
      </left>
      <right style="thin">
        <color auto="1"/>
      </right>
      <top style="thin">
        <color auto="1"/>
      </top>
      <bottom style="thin">
        <color auto="1"/>
      </bottom>
      <diagonal/>
    </border>
    <border>
      <left/>
      <right/>
      <top/>
      <bottom style="thin">
        <color rgb="FFD9E2F3"/>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right/>
      <top/>
      <bottom style="thin">
        <color rgb="FFD9E1F2"/>
      </bottom>
      <diagonal/>
    </border>
  </borders>
  <cellStyleXfs count="1">
    <xf numFmtId="0" fontId="0" fillId="0" borderId="0"/>
  </cellStyleXfs>
  <cellXfs count="83">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1" xfId="0" applyBorder="1"/>
    <xf numFmtId="4" fontId="0" fillId="0" borderId="0" xfId="0" applyNumberFormat="1"/>
    <xf numFmtId="0" fontId="0" fillId="6" borderId="0" xfId="0" applyFill="1"/>
    <xf numFmtId="17" fontId="0" fillId="0" borderId="0" xfId="0" applyNumberFormat="1"/>
    <xf numFmtId="17" fontId="0" fillId="5" borderId="0" xfId="0" applyNumberFormat="1" applyFill="1"/>
    <xf numFmtId="14" fontId="0" fillId="5" borderId="0" xfId="0" applyNumberFormat="1" applyFill="1"/>
    <xf numFmtId="14" fontId="0" fillId="0" borderId="0" xfId="0" applyNumberFormat="1"/>
    <xf numFmtId="0" fontId="0" fillId="7" borderId="0" xfId="0" applyFill="1"/>
    <xf numFmtId="0" fontId="0" fillId="8" borderId="0" xfId="0" applyFill="1"/>
    <xf numFmtId="0" fontId="0" fillId="9" borderId="0" xfId="0" applyFill="1"/>
    <xf numFmtId="0" fontId="3" fillId="0" borderId="0" xfId="0" applyFont="1"/>
    <xf numFmtId="0" fontId="4" fillId="0" borderId="0" xfId="0" applyFont="1"/>
    <xf numFmtId="0" fontId="3" fillId="5" borderId="0" xfId="0" applyFont="1" applyFill="1"/>
    <xf numFmtId="0" fontId="0" fillId="3" borderId="2" xfId="0" applyFill="1" applyBorder="1"/>
    <xf numFmtId="0" fontId="0" fillId="3" borderId="3" xfId="0" applyFill="1" applyBorder="1"/>
    <xf numFmtId="0" fontId="0" fillId="4" borderId="3" xfId="0" applyFill="1" applyBorder="1"/>
    <xf numFmtId="0" fontId="0" fillId="2" borderId="3" xfId="0" applyFill="1" applyBorder="1"/>
    <xf numFmtId="0" fontId="0" fillId="0" borderId="3" xfId="0" applyBorder="1"/>
    <xf numFmtId="0" fontId="0" fillId="5" borderId="4" xfId="0" applyFill="1" applyBorder="1"/>
    <xf numFmtId="0" fontId="0" fillId="3" borderId="5" xfId="0" applyFill="1" applyBorder="1"/>
    <xf numFmtId="0" fontId="0" fillId="5" borderId="6" xfId="0" applyFill="1" applyBorder="1"/>
    <xf numFmtId="0" fontId="0" fillId="3" borderId="7" xfId="0" applyFill="1" applyBorder="1"/>
    <xf numFmtId="0" fontId="0" fillId="3" borderId="8" xfId="0" applyFill="1" applyBorder="1"/>
    <xf numFmtId="0" fontId="0" fillId="4" borderId="8" xfId="0" applyFill="1" applyBorder="1"/>
    <xf numFmtId="0" fontId="0" fillId="2" borderId="8" xfId="0" applyFill="1" applyBorder="1"/>
    <xf numFmtId="0" fontId="0" fillId="0" borderId="8" xfId="0" applyBorder="1"/>
    <xf numFmtId="0" fontId="0" fillId="5" borderId="9" xfId="0" applyFill="1" applyBorder="1"/>
    <xf numFmtId="0" fontId="0" fillId="0" borderId="4" xfId="0" applyBorder="1"/>
    <xf numFmtId="0" fontId="0" fillId="0" borderId="6" xfId="0" applyBorder="1"/>
    <xf numFmtId="0" fontId="0" fillId="0" borderId="9" xfId="0" applyBorder="1"/>
    <xf numFmtId="0" fontId="0" fillId="0" borderId="2" xfId="0" applyBorder="1"/>
    <xf numFmtId="0" fontId="0" fillId="0" borderId="5" xfId="0" applyBorder="1"/>
    <xf numFmtId="0" fontId="0" fillId="0" borderId="7" xfId="0" applyBorder="1"/>
    <xf numFmtId="0" fontId="5" fillId="0" borderId="0" xfId="0" applyFont="1"/>
    <xf numFmtId="0" fontId="0" fillId="10" borderId="0" xfId="0" applyFill="1"/>
    <xf numFmtId="0" fontId="0" fillId="10" borderId="2" xfId="0" applyFill="1" applyBorder="1"/>
    <xf numFmtId="0" fontId="0" fillId="10" borderId="3" xfId="0" applyFill="1" applyBorder="1"/>
    <xf numFmtId="0" fontId="0" fillId="10" borderId="4" xfId="0" applyFill="1" applyBorder="1"/>
    <xf numFmtId="0" fontId="0" fillId="10" borderId="5" xfId="0" applyFill="1" applyBorder="1"/>
    <xf numFmtId="0" fontId="0" fillId="10" borderId="6" xfId="0" applyFill="1" applyBorder="1"/>
    <xf numFmtId="0" fontId="0" fillId="10" borderId="7" xfId="0" applyFill="1" applyBorder="1"/>
    <xf numFmtId="0" fontId="0" fillId="10" borderId="8" xfId="0" applyFill="1" applyBorder="1"/>
    <xf numFmtId="0" fontId="0" fillId="10" borderId="9" xfId="0" applyFill="1" applyBorder="1"/>
    <xf numFmtId="0" fontId="0" fillId="5" borderId="3" xfId="0" applyFill="1" applyBorder="1"/>
    <xf numFmtId="0" fontId="0" fillId="5" borderId="8" xfId="0" applyFill="1" applyBorder="1"/>
    <xf numFmtId="0" fontId="0" fillId="3" borderId="4" xfId="0" applyFill="1" applyBorder="1"/>
    <xf numFmtId="0" fontId="0" fillId="3" borderId="6" xfId="0" applyFill="1" applyBorder="1"/>
    <xf numFmtId="0" fontId="0" fillId="3" borderId="9" xfId="0" applyFill="1" applyBorder="1"/>
    <xf numFmtId="2" fontId="0" fillId="0" borderId="0" xfId="0" applyNumberFormat="1"/>
    <xf numFmtId="0" fontId="0" fillId="0" borderId="11" xfId="0" applyBorder="1"/>
    <xf numFmtId="0" fontId="0" fillId="0" borderId="11" xfId="0" quotePrefix="1" applyBorder="1"/>
    <xf numFmtId="0" fontId="7" fillId="0" borderId="0" xfId="0" applyFont="1"/>
    <xf numFmtId="0" fontId="6" fillId="11" borderId="0" xfId="0" applyFont="1" applyFill="1" applyAlignment="1">
      <alignment horizontal="center" vertical="center"/>
    </xf>
    <xf numFmtId="0" fontId="6" fillId="11" borderId="1" xfId="0" applyFont="1" applyFill="1" applyBorder="1" applyAlignment="1">
      <alignment horizontal="center" vertical="center"/>
    </xf>
    <xf numFmtId="0" fontId="6" fillId="11" borderId="10" xfId="0" applyFont="1" applyFill="1" applyBorder="1" applyAlignment="1">
      <alignment horizontal="center" vertical="center"/>
    </xf>
    <xf numFmtId="0" fontId="0" fillId="0" borderId="0" xfId="0" applyAlignment="1">
      <alignment horizontal="center"/>
    </xf>
    <xf numFmtId="0" fontId="6" fillId="11" borderId="0" xfId="0" applyFont="1" applyFill="1" applyAlignment="1">
      <alignment horizontal="left" vertical="center"/>
    </xf>
    <xf numFmtId="164" fontId="0" fillId="0" borderId="0" xfId="0" applyNumberFormat="1"/>
    <xf numFmtId="164" fontId="0" fillId="11" borderId="0" xfId="0" applyNumberFormat="1" applyFill="1"/>
    <xf numFmtId="0" fontId="8" fillId="0" borderId="12" xfId="0" applyFont="1" applyBorder="1" applyAlignment="1">
      <alignment horizontal="center" vertical="top"/>
    </xf>
    <xf numFmtId="0" fontId="9" fillId="0" borderId="12" xfId="0" applyFont="1" applyBorder="1" applyAlignment="1">
      <alignment horizontal="center" vertical="top"/>
    </xf>
    <xf numFmtId="0" fontId="10" fillId="12" borderId="13" xfId="0" applyFont="1" applyFill="1" applyBorder="1" applyAlignment="1">
      <alignment horizontal="center" vertical="center" wrapText="1"/>
    </xf>
    <xf numFmtId="0" fontId="0" fillId="0" borderId="0" xfId="0"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0" fontId="9" fillId="11" borderId="14" xfId="0" applyFont="1" applyFill="1" applyBorder="1" applyAlignment="1">
      <alignment horizontal="center" vertical="top"/>
    </xf>
    <xf numFmtId="0" fontId="9" fillId="11" borderId="15" xfId="0" applyFont="1" applyFill="1" applyBorder="1" applyAlignment="1">
      <alignment horizontal="center" vertical="top"/>
    </xf>
    <xf numFmtId="0" fontId="9" fillId="11" borderId="0" xfId="0" applyFont="1" applyFill="1" applyAlignment="1">
      <alignment horizontal="center" vertical="top"/>
    </xf>
    <xf numFmtId="0" fontId="9" fillId="11" borderId="16" xfId="0" applyFont="1" applyFill="1" applyBorder="1" applyAlignment="1">
      <alignment horizontal="center" vertical="top"/>
    </xf>
    <xf numFmtId="0" fontId="11" fillId="12" borderId="17" xfId="0" applyFont="1" applyFill="1" applyBorder="1" applyAlignment="1">
      <alignment horizontal="center" vertical="center" wrapText="1"/>
    </xf>
    <xf numFmtId="0" fontId="0" fillId="13" borderId="0" xfId="0" applyFill="1" applyAlignment="1">
      <alignment vertical="center"/>
    </xf>
    <xf numFmtId="0" fontId="0" fillId="13" borderId="0" xfId="0" applyFill="1" applyAlignment="1">
      <alignment horizontal="left" vertical="center" wrapText="1"/>
    </xf>
    <xf numFmtId="0" fontId="0" fillId="0" borderId="0" xfId="0" applyAlignment="1">
      <alignment vertical="center"/>
    </xf>
    <xf numFmtId="0" fontId="0" fillId="0" borderId="0" xfId="0" applyAlignment="1">
      <alignment horizontal="left" vertical="center" wrapText="1"/>
    </xf>
    <xf numFmtId="0" fontId="8" fillId="0" borderId="0" xfId="0" applyFont="1" applyAlignment="1">
      <alignment horizontal="center" vertical="top"/>
    </xf>
    <xf numFmtId="2" fontId="0" fillId="0" borderId="0" xfId="0" applyNumberFormat="1" applyAlignment="1">
      <alignment vertical="center" wrapText="1"/>
    </xf>
    <xf numFmtId="164" fontId="8" fillId="0" borderId="12" xfId="0" applyNumberFormat="1" applyFont="1" applyBorder="1" applyAlignment="1">
      <alignment horizontal="center" vertical="top"/>
    </xf>
    <xf numFmtId="166" fontId="0" fillId="0" borderId="0" xfId="0" applyNumberFormat="1"/>
  </cellXfs>
  <cellStyles count="1">
    <cellStyle name="Standard" xfId="0" builtinId="0"/>
  </cellStyles>
  <dxfs count="111">
    <dxf>
      <fill>
        <patternFill patternType="solid">
          <fgColor indexed="64"/>
          <bgColor theme="3" tint="0.89999084444715716"/>
        </patternFill>
      </fill>
    </dxf>
    <dxf>
      <fill>
        <patternFill patternType="solid">
          <fgColor indexed="64"/>
          <bgColor theme="3" tint="0.89999084444715716"/>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numFmt numFmtId="165" formatCode="0.0%"/>
      <alignment horizontal="general" vertical="center" textRotation="0" wrapText="1" indent="0" justifyLastLine="0" shrinkToFit="0" readingOrder="0"/>
    </dxf>
    <dxf>
      <alignment horizontal="general" vertical="center" textRotation="0" wrapText="1" indent="0" justifyLastLine="0" shrinkToFit="0" readingOrder="0"/>
    </dxf>
    <dxf>
      <numFmt numFmtId="165" formatCode="0.0%"/>
      <alignment horizontal="general" vertical="center" textRotation="0" wrapText="1" indent="0" justifyLastLine="0" shrinkToFit="0" readingOrder="0"/>
    </dxf>
    <dxf>
      <alignment horizontal="general" vertical="center" textRotation="0" wrapText="1" indent="0" justifyLastLine="0" shrinkToFit="0" readingOrder="0"/>
    </dxf>
    <dxf>
      <numFmt numFmtId="165" formatCode="0.0%"/>
      <alignment horizontal="general" vertical="center" textRotation="0" wrapText="1" indent="0" justifyLastLine="0" shrinkToFit="0" readingOrder="0"/>
    </dxf>
    <dxf>
      <alignment horizontal="general" vertical="center" textRotation="0" wrapText="1" indent="0" justifyLastLine="0" shrinkToFit="0" readingOrder="0"/>
    </dxf>
    <dxf>
      <numFmt numFmtId="164" formatCode="0.000"/>
      <alignment horizontal="general" vertical="center" textRotation="0" wrapText="1" indent="0" justifyLastLine="0" shrinkToFit="0" readingOrder="0"/>
    </dxf>
    <dxf>
      <numFmt numFmtId="165" formatCode="0.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border outline="0">
        <bottom style="thin">
          <color rgb="FFD9E2F3"/>
        </bottom>
      </border>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center" vertical="center" textRotation="0" wrapText="1" indent="0" justifyLastLine="0" shrinkToFit="0" readingOrder="0"/>
    </dxf>
    <dxf>
      <numFmt numFmtId="165" formatCode="0.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font>
        <b val="0"/>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 vertical="center" textRotation="0" wrapText="0" indent="0" justifyLastLine="0" shrinkToFit="0" readingOrder="0"/>
      <border diagonalUp="0" diagonalDown="0" outline="0">
        <left/>
        <right/>
        <top style="thin">
          <color theme="4"/>
        </top>
        <bottom/>
      </border>
    </dxf>
    <dxf>
      <alignment horizontal="center" textRotation="0" wrapText="0" indent="0" justifyLastLine="0" shrinkToFit="0" readingOrder="0"/>
    </dxf>
    <dxf>
      <numFmt numFmtId="2" formatCode="0.00"/>
    </dxf>
    <dxf>
      <numFmt numFmtId="0" formatCode="General"/>
    </dxf>
    <dxf>
      <numFmt numFmtId="2" formatCode="0.00"/>
    </dxf>
    <dxf>
      <numFmt numFmtId="0" formatCode="General"/>
    </dxf>
    <dxf>
      <numFmt numFmtId="0" formatCode="General"/>
    </dxf>
    <dxf>
      <numFmt numFmtId="0" formatCode="General"/>
    </dxf>
    <dxf>
      <numFmt numFmtId="0" formatCode="General"/>
      <fill>
        <patternFill patternType="solid">
          <fgColor indexed="64"/>
          <bgColor theme="3" tint="0.89999084444715716"/>
        </patternFill>
      </fill>
      <border diagonalUp="0" diagonalDown="0">
        <left/>
        <right style="medium">
          <color indexed="64"/>
        </right>
        <top/>
        <bottom/>
        <vertical/>
        <horizontal/>
      </border>
    </dxf>
    <dxf>
      <numFmt numFmtId="0" formatCode="General"/>
    </dxf>
    <dxf>
      <numFmt numFmtId="0" formatCode="General"/>
      <fill>
        <patternFill patternType="gray0625">
          <fgColor indexed="64"/>
          <bgColor theme="3" tint="0.89996032593768116"/>
        </patternFill>
      </fill>
    </dxf>
    <dxf>
      <numFmt numFmtId="0" formatCode="General"/>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border diagonalUp="0" diagonalDown="0">
        <left style="medium">
          <color indexed="64"/>
        </left>
        <right/>
        <top/>
        <bottom/>
        <vertical/>
        <horizontal/>
      </border>
    </dxf>
    <dxf>
      <numFmt numFmtId="0" formatCode="General"/>
      <border diagonalUp="0" diagonalDown="0">
        <left/>
        <right style="medium">
          <color indexed="64"/>
        </right>
        <top/>
        <bottom/>
        <vertical/>
        <horizontal/>
      </border>
    </dxf>
    <dxf>
      <numFmt numFmtId="0" formatCode="General"/>
    </dxf>
    <dxf>
      <numFmt numFmtId="0" formatCode="Genera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border diagonalUp="0" diagonalDown="0">
        <left style="medium">
          <color indexed="64"/>
        </left>
        <right/>
        <top/>
        <bottom/>
        <vertical/>
        <horizontal/>
      </border>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numFmt numFmtId="4" formatCode="#,##0.00"/>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rgb="FF202122"/>
        <name val="Arial"/>
        <family val="2"/>
        <scheme val="none"/>
      </font>
      <fill>
        <patternFill patternType="solid">
          <fgColor indexed="64"/>
          <bgColor rgb="FFF8F9FA"/>
        </patternFill>
      </fill>
      <alignment horizontal="general" vertical="center" textRotation="0" wrapText="1" indent="0" justifyLastLine="0" shrinkToFit="0" readingOrder="0"/>
      <border diagonalUp="0" diagonalDown="0" outline="0">
        <left/>
        <right style="medium">
          <color rgb="FFA2A9B1"/>
        </right>
        <top style="medium">
          <color rgb="FFA2A9B1"/>
        </top>
        <bottom style="medium">
          <color rgb="FFA2A9B1"/>
        </bottom>
      </border>
    </dxf>
    <dxf>
      <fill>
        <patternFill patternType="solid">
          <fgColor indexed="64"/>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5F7CB6-F92F-4876-92F1-18C4F9419872}" name="Tabelle2" displayName="Tabelle2" ref="A1:I41" totalsRowShown="0">
  <autoFilter ref="A1:I41" xr:uid="{905F7CB6-F92F-4876-92F1-18C4F9419872}"/>
  <sortState xmlns:xlrd2="http://schemas.microsoft.com/office/spreadsheetml/2017/richdata2" ref="A2:I41">
    <sortCondition ref="A1:A41"/>
  </sortState>
  <tableColumns count="9">
    <tableColumn id="1" xr3:uid="{F13703A1-9AD3-4A61-9D17-7267FEB917F7}" name="company_id"/>
    <tableColumn id="2" xr3:uid="{AE63EE6F-E741-40D6-BA35-90E2E306C996}" name="company_name_official"/>
    <tableColumn id="3" xr3:uid="{70DD3B3C-5891-451A-9F8A-39C550D68958}" name="brand_short"/>
    <tableColumn id="4" xr3:uid="{CD9E1FD4-9D85-4974-9C77-38AF61DF0079}" name="sector_cluster" dataDxfId="110"/>
    <tableColumn id="5" xr3:uid="{1B3C9A2D-DF88-4E06-B0EF-3525113D0681}" name="industry_detail" dataDxfId="109"/>
    <tableColumn id="6" xr3:uid="{967B7F66-7E83-4117-AF93-D44A5214E26B}" name="hq_country" dataDxfId="108"/>
    <tableColumn id="7" xr3:uid="{93FC8DC6-D939-4F19-8CD1-78BFAC7BF713}" name="dax_member_as_of_date"/>
    <tableColumn id="9" xr3:uid="{1AE89A45-B6BF-407A-BFE3-8B1D0FF7087C}" name="Marktkapitalisierung in Mio. € (Stand: 04.01.2026)" dataDxfId="107"/>
    <tableColumn id="8" xr3:uid="{C6FB5ECC-6866-44A0-944A-B0186B9868C8}" name="notes_sampling"/>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268FB6-58B2-48BE-BA4C-58A56E8AD2A0}" name="Tabelle3" displayName="Tabelle3" ref="A1:O327" totalsRowShown="0">
  <autoFilter ref="A1:O327" xr:uid="{71268FB6-58B2-48BE-BA4C-58A56E8AD2A0}"/>
  <tableColumns count="15">
    <tableColumn id="1" xr3:uid="{7709EBB1-9160-4260-9962-34AFE64EBD42}" name="doc_id"/>
    <tableColumn id="2" xr3:uid="{3D167A6F-8F70-4AE0-B60C-5E99ED0E59DE}" name="company_id"/>
    <tableColumn id="3" xr3:uid="{CF63D659-45B5-4A5B-9D60-5DF55169654E}" name="doc_title"/>
    <tableColumn id="4" xr3:uid="{BE315387-A8E7-4AC6-B0E4-9331E3D7238D}" name="doc_type" dataDxfId="106"/>
    <tableColumn id="5" xr3:uid="{DFF57BFA-E5EE-45B5-A22E-F92199A52C35}" name="publisher"/>
    <tableColumn id="6" xr3:uid="{D919ADEF-DD4E-4853-A98F-9C9FA15F5AF2}" name="publication_date"/>
    <tableColumn id="7" xr3:uid="{105C54B4-A6F7-4E84-83A2-876962F796BD}" name="version"/>
    <tableColumn id="8" xr3:uid="{CE4D399E-8DED-4CBF-B4CC-CC5F4E57D376}" name="language" dataDxfId="105"/>
    <tableColumn id="9" xr3:uid="{BF8D90C3-6268-49B0-A825-24455A52EB45}" name="url"/>
    <tableColumn id="10" xr3:uid="{B75D7657-E985-46C5-9DE4-991A7B76E01B}" name="access_date"/>
    <tableColumn id="11" xr3:uid="{BEC38D1C-B91E-47D2-9FC8-BD142F3B6ED0}" name="file_name_local"/>
    <tableColumn id="12" xr3:uid="{B69DA6A0-8F42-4BBB-8975-BC40C2190B95}" name="inclusion_status"/>
    <tableColumn id="13" xr3:uid="{4450993E-0A8E-49AC-8432-B72C5D226B34}" name="exclusion_reason" dataDxfId="104"/>
    <tableColumn id="14" xr3:uid="{79CF5412-0617-46AD-89D2-35B9A81F31C8}" name="relevance_notes"/>
    <tableColumn id="15" xr3:uid="{159AE422-855E-440E-9244-2A67A397C72C}" name="Inkludiert in Pilot? "/>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0A811C-5BC7-46E4-8405-0246B591DBD6}" name="Tabelle4" displayName="Tabelle4" ref="A1:H19" totalsRowShown="0">
  <autoFilter ref="A1:H19" xr:uid="{7B0A811C-5BC7-46E4-8405-0246B591DBD6}"/>
  <tableColumns count="8">
    <tableColumn id="1" xr3:uid="{4D7BB10F-3BF6-4441-BE78-1C08237BB8E4}" name="value_id"/>
    <tableColumn id="2" xr3:uid="{6A69BBE3-69ED-467D-A0FE-8ECDCC89D78E}" name="value_name"/>
    <tableColumn id="3" xr3:uid="{41EA2E61-E6E8-444B-BDD5-2CA1E9D05EAF}" name="definition_short"/>
    <tableColumn id="4" xr3:uid="{3F93D639-9849-40EA-A331-7B37547E2CBF}" name="include_rules"/>
    <tableColumn id="5" xr3:uid="{1F9BF2E9-ABED-4295-BE84-5CD158E0CEA2}" name="exclude_rules"/>
    <tableColumn id="6" xr3:uid="{A63B0504-C8A1-46F4-ADD6-E8CF3B3FEEB0}" name="synonyms_terms"/>
    <tableColumn id="7" xr3:uid="{FD91BA0D-1033-480B-B466-98174210B2E9}" name="example_phrases"/>
    <tableColumn id="8" xr3:uid="{89B3ACB5-7B0F-4360-BA60-87828FDF9890}" name="notes_boundary_cas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3C6045-F9E6-494C-AF06-57E384745887}" name="Tabelle6" displayName="Tabelle6" ref="A1:H8" totalsRowShown="0">
  <autoFilter ref="A1:H8" xr:uid="{303C6045-F9E6-494C-AF06-57E384745887}"/>
  <tableColumns count="8">
    <tableColumn id="1" xr3:uid="{06995F0F-90CF-464C-87F6-C6F5237AB4A7}" name="gov_crit_id"/>
    <tableColumn id="2" xr3:uid="{9A634668-8CD7-494D-A2AF-D696C8BDEC53}" name="criterion_name"/>
    <tableColumn id="3" xr3:uid="{BE5DEDD2-249C-493D-B056-F33F9E3B5AF0}" name="score_0_definition"/>
    <tableColumn id="4" xr3:uid="{7D39CA96-5B23-4059-94AF-311B94477FDC}" name="score_1_definition"/>
    <tableColumn id="5" xr3:uid="{8FC90C61-9D2E-4BDE-ABF1-9CA7B8EA3915}" name="score_2_definition"/>
    <tableColumn id="6" xr3:uid="{214B385D-55EC-4AF5-A4C3-ED9DF08F4E6A}" name="score_3_definition"/>
    <tableColumn id="7" xr3:uid="{4DB346F4-8C80-455E-A1C3-54857CA1B633}" name="evidence_minimum"/>
    <tableColumn id="8" xr3:uid="{F07BC023-DB6B-4D9D-B74E-CBB986207895}" name="typical_evidence_terms"/>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4649AF-DA1E-48ED-8099-0B33A67C2B55}" name="Tabelle5" displayName="Tabelle5" ref="A1:K1045" totalsRowShown="0">
  <autoFilter ref="A1:K1045" xr:uid="{794649AF-DA1E-48ED-8099-0B33A67C2B55}"/>
  <tableColumns count="11">
    <tableColumn id="1" xr3:uid="{B25DAA88-1496-4A1D-9CDC-F3F7FC263E6B}" name="company_id" dataDxfId="103"/>
    <tableColumn id="2" xr3:uid="{C403EEEA-311E-4936-9681-331B844B0893}" name="doc_id" dataDxfId="102"/>
    <tableColumn id="3" xr3:uid="{06C75828-DC84-408A-817F-C1DB23B8E593}" name="value_id" dataDxfId="101"/>
    <tableColumn id="4" xr3:uid="{F51FA92F-A9DB-48FF-894C-B05D1F7CB091}" name="value_present" dataDxfId="100"/>
    <tableColumn id="5" xr3:uid="{EDEB478B-823A-4414-9B33-6C8500F4A064}" name="binding_level" dataDxfId="99"/>
    <tableColumn id="6" xr3:uid="{7FDF1259-AC6F-4C3D-9585-2B499639CFA0}" name="binding_justification"/>
    <tableColumn id="7" xr3:uid="{CABA95D1-768F-4D99-88A4-F78F55F5A980}" name="evidence_quote"/>
    <tableColumn id="8" xr3:uid="{E6723090-EB1F-4F50-AD38-7C248DC9EFF2}" name="evidence_location"/>
    <tableColumn id="9" xr3:uid="{EBE231B4-6A9B-4E51-A1A0-67FC8BDF7FBB}" name="coder_confidence" dataDxfId="98"/>
    <tableColumn id="10" xr3:uid="{852F73B7-B49E-466F-B2C5-1DD6216E5DEF}" name="notes"/>
    <tableColumn id="11" xr3:uid="{804E6649-063F-44AA-B9CC-713F2123053D}" name="value_points" dataDxfId="97">
      <calculatedColumnFormula>Tabelle5[[#This Row],[value_present]]*Tabelle5[[#This Row],[binding_level]]</calculatedColumnFormula>
    </tableColum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F3CC75-2124-480E-A9D0-3C4C8CD282B3}" name="Tabelle7" displayName="Tabelle7" ref="A1:I407" totalsRowShown="0">
  <autoFilter ref="A1:I407" xr:uid="{5BF3CC75-2124-480E-A9D0-3C4C8CD282B3}"/>
  <tableColumns count="9">
    <tableColumn id="1" xr3:uid="{BF5C5559-EC90-409A-B29D-4F4C8531718E}" name="company_id"/>
    <tableColumn id="2" xr3:uid="{80A63A8B-8A78-4E29-BD7C-039B928A7C9C}" name="doc_id"/>
    <tableColumn id="3" xr3:uid="{FD002F1F-FDA9-4017-99E4-E4D7D3ACC4F6}" name="gov_id"/>
    <tableColumn id="4" xr3:uid="{0AE14E49-0279-4075-BA96-0A792C9B82DD}" name="score_0_3"/>
    <tableColumn id="5" xr3:uid="{743C646B-67CA-4EF5-BC0D-638DFD77C603}" name="evidence_quote"/>
    <tableColumn id="6" xr3:uid="{68E921FD-E152-4405-BCFC-92D451A3ED34}" name="evidence_location"/>
    <tableColumn id="7" xr3:uid="{8096C3A7-F132-4E19-9B62-F53669D1E8C6}" name="why_not_higher"/>
    <tableColumn id="8" xr3:uid="{5C3500B9-A904-4C39-A7E0-6D464083D68F}" name="coder_confidence"/>
    <tableColumn id="9" xr3:uid="{506FF6EE-0D40-41F0-B87F-B4FDD23DAA3C}" name="notes"/>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B870605-C630-4F9E-ABF7-1A621B539F80}" name="Tabelle19" displayName="Tabelle19" ref="A1:J370" totalsRowShown="0">
  <autoFilter ref="A1:J370" xr:uid="{DB870605-C630-4F9E-ABF7-1A621B539F80}"/>
  <tableColumns count="10">
    <tableColumn id="1" xr3:uid="{7C8BAC63-A423-4EBF-85AB-670D21DA1424}" name="case_id"/>
    <tableColumn id="2" xr3:uid="{E87CD229-E600-418A-977A-3A0092884A74}" name="date"/>
    <tableColumn id="3" xr3:uid="{8393344E-1864-49F5-B549-489C7AD77B81}" name="company_id"/>
    <tableColumn id="4" xr3:uid="{FB835817-0AD2-4CF3-8946-3BEB45A1726A}" name="doc_id"/>
    <tableColumn id="5" xr3:uid="{B8D8A9C9-2F2C-4579-A689-593BDF3BB5CF}" name="dimension(values/governance)"/>
    <tableColumn id="6" xr3:uid="{D1C2B9FC-804B-4A3D-9D5A-66FFDBDBBE6D}" name="value_id_or_gov_crit_id"/>
    <tableColumn id="7" xr3:uid="{8F4776D8-1172-4E8F-849A-214834AC614C}" name="problem_description"/>
    <tableColumn id="8" xr3:uid="{B507322A-F87B-4342-8FD0-D1F222F80BCB}" name="decision"/>
    <tableColumn id="9" xr3:uid="{A0701B6F-A70A-4C58-8060-CC0AC64D3B47}" name="rule_added_to_codebook"/>
    <tableColumn id="10" xr3:uid="{5A835F72-F43C-4348-9622-D76A878A2C0D}" name="codebook_version"/>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64A48CE-06EE-42F4-94A6-51ACE53C974F}" name="Tabelle18" displayName="Tabelle18" ref="A1:H721" totalsRowShown="0">
  <autoFilter ref="A1:H721" xr:uid="{B64A48CE-06EE-42F4-94A6-51ACE53C974F}"/>
  <tableColumns count="8">
    <tableColumn id="1" xr3:uid="{B9E96A4C-98BD-43A4-9C59-CDF8496C81CD}" name="company_id" dataDxfId="96"/>
    <tableColumn id="2" xr3:uid="{B50BDFE2-33C2-4AED-8AD7-8F6F08203132}" name="value_id"/>
    <tableColumn id="3" xr3:uid="{59FB6D8C-27CA-4103-A128-7A0F91F5EBC1}" name="value_present_company" dataDxfId="95">
      <calculatedColumnFormula>IF(Tabelle18[[#This Row],[binding_level_company]]&gt;=1,1,0)</calculatedColumnFormula>
    </tableColumn>
    <tableColumn id="4" xr3:uid="{57C3D191-F2E8-43DB-A883-B6EFD2FD0A34}" name="binding_level_company" dataDxfId="94">
      <calculatedColumnFormula>IFERROR(_xlfn.MAXIFS(Tabelle5[binding_level],Tabelle5[company_id],Tabelle18[[#This Row],[company_id]],Tabelle5[value_id],Tabelle18[[#This Row],[value_id]],Tabelle5[value_present],1),0)</calculatedColumnFormula>
    </tableColumn>
    <tableColumn id="5" xr3:uid="{743B3508-7961-47CD-A4AB-390D694EF848}" name="value_points_company" dataDxfId="93">
      <calculatedColumnFormula>IFERROR(_xlfn.MAXIFS(Tabelle5[value_points],Tabelle5[company_id],Tabelle18[[#This Row],[company_id]],Tabelle5[value_id],Tabelle18[[#This Row],[value_id]]),0)</calculatedColumnFormula>
    </tableColumn>
    <tableColumn id="6" xr3:uid="{34CBCA3B-E547-4918-AF42-CB723ABE3471}" name="doc_id_strongest" dataDxfId="92">
      <calculatedColumnFormula>IF(Tabelle18[[#This Row],[value_points_company]]=0,"",IFERROR(_xlfn.MINIFS(Tabelle5[doc_id],Tabelle5[company_id],Tabelle18[[#This Row],[company_id]],Tabelle5[value_id],Tabelle18[[#This Row],[value_id]],Tabelle5[value_points],Tabelle18[[#This Row],[value_points_company]]),""))</calculatedColumnFormula>
    </tableColumn>
    <tableColumn id="7" xr3:uid="{50811FE7-8B45-4ED5-9EE3-35F93B4A1C44}" name="evidence_location_strongest" dataDxfId="91">
      <calculatedColumnFormula array="1">IF(Tabelle18[[#This Row],[doc_id_strongest]]="","",IFERROR(INDEX(Tabelle5[evidence_location],MATCH(1,(Tabelle5[company_id]=Tabelle18[[#This Row],[company_id]])*(Tabelle5[value_id]=Tabelle18[[#This Row],[value_id]])*(Tabelle5[doc_id]=Tabelle18[[#This Row],[doc_id_strongest]]),0)),""))</calculatedColumnFormula>
    </tableColumn>
    <tableColumn id="8" xr3:uid="{01FF704B-3D19-434F-934E-6910A57B9364}" name="evidence_quote_strongest" dataDxfId="90">
      <calculatedColumnFormula array="1">IF(Tabelle18[[#This Row],[doc_id_strongest]]="","",IFERROR(INDEX(Tabelle5[evidence_quote],MATCH(1,(Tabelle5[company_id]=Tabelle18[[#This Row],[company_id]])*(Tabelle5[value_id]=Tabelle18[[#This Row],[value_id]])*(Tabelle5[doc_id]=Tabelle18[[#This Row],[doc_id_strongest]]),0)),""))</calculatedColumnFormula>
    </tableColumn>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461DAA-EB9C-4DAC-A291-63F86E726CE2}" name="Tabelle728" displayName="Tabelle728" ref="A1:F281" totalsRowShown="0">
  <autoFilter ref="A1:F281" xr:uid="{5BF3CC75-2124-480E-A9D0-3C4C8CD282B3}"/>
  <tableColumns count="6">
    <tableColumn id="1" xr3:uid="{84635E92-62CA-411C-A759-799039D3A662}" name="company_id" dataDxfId="89"/>
    <tableColumn id="2" xr3:uid="{E59C8DC0-5747-4272-B0BB-E2DF629DF822}" name="gov_crit_id" dataDxfId="88"/>
    <tableColumn id="3" xr3:uid="{E0FAAC11-A54F-432E-A9F0-E764DEC324B2}" name="doc_id_primary_evidence" dataDxfId="87">
      <calculatedColumnFormula>IF(Tabelle728[[#This Row],[score_0_3]]=0,"",IFERROR(_xlfn.MINIFS(Tabelle7[doc_id],Tabelle7[company_id],Tabelle728[[#This Row],[company_id]],Tabelle7[gov_id],Tabelle728[[#This Row],[gov_crit_id]],Tabelle7[score_0_3],Tabelle728[[#This Row],[score_0_3]]),""))</calculatedColumnFormula>
    </tableColumn>
    <tableColumn id="4" xr3:uid="{0C7ED326-FAB0-431F-8875-6C92C5249661}" name="score_0_3" dataDxfId="86">
      <calculatedColumnFormula>IFERROR(_xlfn.MAXIFS(Tabelle7[score_0_3],Tabelle7[company_id],Tabelle728[[#This Row],[company_id]],Tabelle7[gov_id],Tabelle728[[#This Row],[gov_crit_id]]),0)</calculatedColumnFormula>
    </tableColumn>
    <tableColumn id="5" xr3:uid="{66962E15-31F9-43EB-BAAE-38FEA4A1F93F}" name="evidence_quote" dataDxfId="85">
      <calculatedColumnFormula array="1">IF(Tabelle728[[#This Row],[doc_id_primary_evidence]]="","",IFERROR(INDEX(Tabelle7[evidence_quote],MATCH(1,(Tabelle7[company_id]=Tabelle728[[#This Row],[company_id]])*(Tabelle7[gov_id]=Tabelle728[[#This Row],[gov_crit_id]])*(Tabelle7[doc_id]=Tabelle728[[#This Row],[doc_id_primary_evidence]]),0)),""))</calculatedColumnFormula>
    </tableColumn>
    <tableColumn id="6" xr3:uid="{FBA737C0-187C-4155-9768-1DD21D5C7BB2}" name="evidence_location" dataDxfId="84">
      <calculatedColumnFormula array="1">IF(Tabelle728[[#This Row],[doc_id_primary_evidence]]="","",IFERROR(INDEX(Tabelle7[evidence_location],MATCH(1,(Tabelle7[company_id]=Tabelle728[[#This Row],[company_id]])*(Tabelle7[gov_id]=Tabelle728[[#This Row],[gov_crit_id]])*(Tabelle7[doc_id]=Tabelle728[[#This Row],[doc_id_primary_evidence]]),0)),""))</calculatedColumnFormula>
    </tableColumn>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00F797-EBDF-41AA-A94D-BD5CEF308E47}" name="Tabelle8" displayName="Tabelle8" ref="A1:H41" totalsRowShown="0">
  <autoFilter ref="A1:H41" xr:uid="{C300F797-EBDF-41AA-A94D-BD5CEF308E47}"/>
  <tableColumns count="8">
    <tableColumn id="1" xr3:uid="{A87505CC-BAEB-4999-83AD-57465CB9AF11}" name="company_id"/>
    <tableColumn id="8" xr3:uid="{5EA52D49-5E8E-4DDE-BF73-9D9D4CF4E44B}" name="company_name">
      <calculatedColumnFormula>_xlfn.XLOOKUP(Tabelle8[[#This Row],[company_id]],'00_DAX_Master'!A:A,'00_DAX_Master'!B:B)</calculatedColumnFormula>
    </tableColumn>
    <tableColumn id="2" xr3:uid="{507B5BA7-8172-4BFA-9DC8-176E5DF5B744}" name="sector_cluster" dataDxfId="83">
      <calculatedColumnFormula>_xlfn.XLOOKUP(Tabelle8[[#This Row],[company_id]],'00_DAX_Master'!A:A,'00_DAX_Master'!D:D)</calculatedColumnFormula>
    </tableColumn>
    <tableColumn id="3" xr3:uid="{00B38A82-5FE2-4A9D-BD2C-75C7C716FA37}" name="values_raw_points" dataDxfId="82">
      <calculatedColumnFormula>IFERROR(SUMIFS(Tabelle18[value_points_company],Tabelle18[company_id],Tabelle8[[#This Row],[company_id]]),0)</calculatedColumnFormula>
    </tableColumn>
    <tableColumn id="4" xr3:uid="{07D74540-FCE8-45CD-81E0-9EBDC51759F0}" name="values_max_points" dataDxfId="81">
      <calculatedColumnFormula>COUNTA(Tabelle4[value_id])*3</calculatedColumnFormula>
    </tableColumn>
    <tableColumn id="5" xr3:uid="{5D9B4697-9784-4EF7-9C63-C3CE63563C3C}" name="convergence_index_0_1" dataDxfId="80">
      <calculatedColumnFormula>IFERROR(Tabelle8[[#This Row],[values_raw_points]]/Tabelle8[[#This Row],[values_max_points]],0)</calculatedColumnFormula>
    </tableColumn>
    <tableColumn id="6" xr3:uid="{606FD58E-B2AB-401F-B1F0-BA796F03FD52}" name="gov_points_sum" dataDxfId="79">
      <calculatedColumnFormula>IFERROR(SUMIFS(Tabelle728[score_0_3],Tabelle728[company_id],Tabelle8[[#This Row],[company_id]]),0)</calculatedColumnFormula>
    </tableColumn>
    <tableColumn id="7" xr3:uid="{F0AC04B4-A92E-4E8F-9B76-9B19CD8BC4DA}" name="gov_index_0_100" dataDxfId="78">
      <calculatedColumnFormula>IFERROR((Tabelle8[[#This Row],[gov_points_sum]]/(COUNTA(Tabelle6[gov_crit_id])*3))*100,0)</calculatedColumnFormula>
    </tableColumn>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F21827E-1D67-45AE-B94B-B4315EDAD1D1}" name="Tabelle3029" displayName="Tabelle3029" ref="A1:AO41" totalsRowShown="0" headerRowDxfId="77">
  <autoFilter ref="A1:AO41" xr:uid="{28DCE666-2051-43AE-A2E1-92D3C448F618}"/>
  <tableColumns count="41">
    <tableColumn id="1" xr3:uid="{A37380F4-7E99-4807-9166-98F852BED8F4}" name="company_id" dataDxfId="76"/>
    <tableColumn id="2" xr3:uid="{24A4FF9B-67C3-4587-B407-ED8E6CB7A849}" name="1" dataDxfId="75"/>
    <tableColumn id="3" xr3:uid="{7DB3EE94-B4ED-4BFF-947D-1079FCFB2FE6}" name="2" dataDxfId="74"/>
    <tableColumn id="4" xr3:uid="{D9525645-5C4D-4C5C-836A-59BEBECD4D70}" name="3" dataDxfId="73"/>
    <tableColumn id="5" xr3:uid="{8C91A6EE-79D9-4E82-BCD2-AD803D3530C2}" name="4" dataDxfId="72"/>
    <tableColumn id="6" xr3:uid="{198B23B4-7A75-4244-94E3-A9C09F081B00}" name="5" dataDxfId="71"/>
    <tableColumn id="7" xr3:uid="{9BD42480-B955-4E11-A0E3-1CED5690FE29}" name="6" dataDxfId="70"/>
    <tableColumn id="8" xr3:uid="{28E862F1-1ED6-4268-BC0C-9F9B3084329E}" name="7" dataDxfId="69"/>
    <tableColumn id="9" xr3:uid="{F27B9721-5F35-48B2-A873-F3678714FA38}" name="8" dataDxfId="68"/>
    <tableColumn id="10" xr3:uid="{CFDB3C82-F302-4902-81FD-C081728563CF}" name="9" dataDxfId="67"/>
    <tableColumn id="11" xr3:uid="{7EB0D353-5A2D-49C1-BCF7-D4FC1697F198}" name="10" dataDxfId="66"/>
    <tableColumn id="12" xr3:uid="{C165338D-BE34-4403-BED5-F4B0A56F9887}" name="11" dataDxfId="65"/>
    <tableColumn id="13" xr3:uid="{730F55E5-9149-4E30-8838-253769447A2B}" name="12" dataDxfId="64"/>
    <tableColumn id="14" xr3:uid="{4F42C974-D69A-4D45-9877-9EAC98345613}" name="13" dataDxfId="63"/>
    <tableColumn id="15" xr3:uid="{97F31731-DB21-42AB-B0AC-CD3E6BFE15E4}" name="14" dataDxfId="62"/>
    <tableColumn id="16" xr3:uid="{3FAD83E2-C111-432D-9CD4-BC80B0C9DED1}" name="15" dataDxfId="61"/>
    <tableColumn id="17" xr3:uid="{35A83CED-AF68-408E-9B3D-A05822F234E4}" name="16" dataDxfId="60"/>
    <tableColumn id="18" xr3:uid="{14E4D98A-C79F-400B-8E12-F95F64CC8132}" name="17" dataDxfId="59"/>
    <tableColumn id="19" xr3:uid="{DBAD417B-5056-493E-903C-A30AC2DE0874}" name="18" dataDxfId="58"/>
    <tableColumn id="20" xr3:uid="{1A6A9C53-71C0-43DB-8F37-ED1EFD541C0D}" name="19" dataDxfId="57"/>
    <tableColumn id="21" xr3:uid="{09431422-1364-4F5D-8B4F-A49953D400DA}" name="20" dataDxfId="56"/>
    <tableColumn id="22" xr3:uid="{41FB07E0-9537-4652-98D2-4E222FF9424B}" name="21" dataDxfId="55"/>
    <tableColumn id="23" xr3:uid="{EBDE84B2-5CFA-47D5-A7BA-DAC1720BED9B}" name="22" dataDxfId="54"/>
    <tableColumn id="24" xr3:uid="{8F36BAB9-C20D-4368-9055-6208748EDF3C}" name="23" dataDxfId="53"/>
    <tableColumn id="25" xr3:uid="{CEEAAB9C-3820-415A-BC69-C63CB0B80FF0}" name="24" dataDxfId="52"/>
    <tableColumn id="26" xr3:uid="{129B4DBF-7ED3-4FEA-8CED-80B913168B14}" name="25" dataDxfId="51"/>
    <tableColumn id="27" xr3:uid="{F687D3B8-B4EB-4A05-8409-C88F3AF1A5D9}" name="26" dataDxfId="50"/>
    <tableColumn id="28" xr3:uid="{046F2D9E-B110-4DF2-89E9-75E00AC7F8F9}" name="27" dataDxfId="49"/>
    <tableColumn id="29" xr3:uid="{0135729D-2E3A-4312-88B4-6CBAE792D029}" name="28" dataDxfId="48"/>
    <tableColumn id="30" xr3:uid="{E12C0697-FFF9-455B-866B-298E2F71611F}" name="29" dataDxfId="47"/>
    <tableColumn id="31" xr3:uid="{7956FAA5-32F1-4917-A9CB-DA6E989ECB5A}" name="30" dataDxfId="46"/>
    <tableColumn id="32" xr3:uid="{4065793A-F967-4FDB-91BC-7BF0BA6EDE79}" name="31" dataDxfId="45"/>
    <tableColumn id="33" xr3:uid="{8A77F6F5-F615-4DC7-AF85-F16F11C4A599}" name="32" dataDxfId="44"/>
    <tableColumn id="34" xr3:uid="{FE784CCB-5F9C-40CD-A5AA-5CAD04C130AC}" name="33" dataDxfId="43"/>
    <tableColumn id="35" xr3:uid="{82F43DB0-7FE8-4614-BC06-A771B713A946}" name="34" dataDxfId="42"/>
    <tableColumn id="36" xr3:uid="{A07FC87E-D0A9-4408-987D-44809B7645CE}" name="35" dataDxfId="41"/>
    <tableColumn id="37" xr3:uid="{08CADA3E-5DDD-42E4-8452-8CAE3E81BF0B}" name="36" dataDxfId="40"/>
    <tableColumn id="38" xr3:uid="{51437D76-E875-497B-B41D-6FBC7F208CB4}" name="37" dataDxfId="39"/>
    <tableColumn id="39" xr3:uid="{B364CF37-AC32-4F7D-843F-2C6E363CF2A1}" name="38" dataDxfId="38"/>
    <tableColumn id="40" xr3:uid="{B6D1763A-24B1-4AAE-B2CF-939FE8CC1C12}" name="39" dataDxfId="37"/>
    <tableColumn id="41" xr3:uid="{10638941-39A8-45D2-88AD-BB364C753087}" name="40" dataDxfId="36"/>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29C6940-D1E6-48FF-B41E-DF584F2BF4AE}" name="Tabelle30" displayName="Tabelle30" ref="AR1:AW781" totalsRowShown="0" headerRowDxfId="35">
  <autoFilter ref="AR1:AW781" xr:uid="{629C6940-D1E6-48FF-B41E-DF584F2BF4AE}"/>
  <tableColumns count="6">
    <tableColumn id="1" xr3:uid="{F117E9AE-FAC1-4DE8-8FB7-F9D5D336FAC6}" name="company_i"/>
    <tableColumn id="2" xr3:uid="{012C9E06-91E8-4DB0-A181-AE11A1655E6F}" name="company_j"/>
    <tableColumn id="3" xr3:uid="{D9D5AFF8-3BD2-40FA-988A-B6B8A4B73088}" name="jaccard_similarity"/>
    <tableColumn id="4" xr3:uid="{06781539-FE1A-4113-A13C-8047B6313AB1}" name="jaccard_distance"/>
    <tableColumn id="5" xr3:uid="{6DC1E14A-A5D0-47D9-A1D0-031F6E585503}" name="intersection_size"/>
    <tableColumn id="6" xr3:uid="{A4D4235B-316D-4F2B-BBC0-7176D8BA5E16}" name="union_size"/>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0A69C2E-9B0D-4104-9C2F-F9E1B499364B}" name="Tabelle29" displayName="Tabelle29" ref="A1:W41" totalsRowShown="0" headerRowDxfId="34">
  <autoFilter ref="A1:W41" xr:uid="{70A69C2E-9B0D-4104-9C2F-F9E1B499364B}"/>
  <tableColumns count="23">
    <tableColumn id="1" xr3:uid="{5BE8093C-19CE-4A9B-AB19-2203313B2247}" name="Wertepräsenz" dataDxfId="33"/>
    <tableColumn id="2" xr3:uid="{9BC2D709-FFC1-4AF9-BB20-8C2912D8D281}" name="VAL_01"/>
    <tableColumn id="3" xr3:uid="{726F90E4-66F8-4870-9018-6D88B264B2B3}" name="VAL_02"/>
    <tableColumn id="4" xr3:uid="{8BB25692-7598-43BD-A82F-A3A713506249}" name="VAL_03"/>
    <tableColumn id="5" xr3:uid="{EC079AA1-6BBF-4937-AA00-689A7E05F4CF}" name="VAL_04"/>
    <tableColumn id="6" xr3:uid="{74B866CB-011D-4C16-9925-07E57E416122}" name="VAL_05"/>
    <tableColumn id="7" xr3:uid="{57B764F6-6E4E-4D15-85DE-136EC2449705}" name="VAL_06"/>
    <tableColumn id="8" xr3:uid="{62E0D6B7-44A9-45E2-B481-D7D63656A237}" name="VAL_07"/>
    <tableColumn id="9" xr3:uid="{69881D9D-CCF9-43F3-B366-671D9DA99AA7}" name="VAL_08"/>
    <tableColumn id="10" xr3:uid="{DCA3662D-73B8-45E4-BD21-282438D7CA17}" name="VAL_09"/>
    <tableColumn id="11" xr3:uid="{C0EBF71F-62D2-4585-B1AB-80FBA9D02EBF}" name="VAL_10"/>
    <tableColumn id="12" xr3:uid="{1850C458-15B3-4C64-BF31-B1C5FDE68431}" name="VAL_11"/>
    <tableColumn id="13" xr3:uid="{3807F89B-BA1F-4723-8627-A0BB3BB14DE0}" name="VAL_12"/>
    <tableColumn id="14" xr3:uid="{E0D46EF7-F81B-455E-9723-BE6E432E211E}" name="VAL_13"/>
    <tableColumn id="15" xr3:uid="{E2156C7F-4BB0-4D07-A079-8C083607A473}" name="VAL_14"/>
    <tableColumn id="16" xr3:uid="{3D20F76D-4074-448D-ADF2-32BF0AE1D112}" name="VAL_15"/>
    <tableColumn id="17" xr3:uid="{D7514E0B-BF2B-4AF4-AB5B-BE050691110B}" name="VAL_16"/>
    <tableColumn id="18" xr3:uid="{84DE233E-FDBC-459E-8E65-3E4E59951A15}" name="VAL_17"/>
    <tableColumn id="19" xr3:uid="{0DFE5C91-2F83-43CE-9766-DCD1BF297936}" name="VAL_18"/>
    <tableColumn id="20" xr3:uid="{0A9607EA-9DCE-4CE3-BF13-275F7475D46B}" name="company_name" dataDxfId="32"/>
    <tableColumn id="21" xr3:uid="{95132A1F-F27B-44CD-AAC1-ECF7FD0D409C}" name="sector_cluster" dataDxfId="31"/>
    <tableColumn id="22" xr3:uid="{7F364067-5399-4CDB-818B-61914862E223}" name="n_values_present" dataDxfId="30"/>
    <tableColumn id="23" xr3:uid="{631DB52A-2C2E-438D-BB1D-1580B084D145}" name="share_values_present" dataDxfId="29"/>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223D19E-C0F9-4BEC-8B15-A7C31D6E3693}" name="Tabelle31" displayName="Tabelle31" ref="A44:J62" totalsRowShown="0" headerRowDxfId="28" dataDxfId="26" headerRowBorderDxfId="27">
  <autoFilter ref="A44:J62" xr:uid="{E223D19E-C0F9-4BEC-8B15-A7C31D6E3693}"/>
  <tableColumns count="10">
    <tableColumn id="1" xr3:uid="{04604A50-64FE-408B-BD46-62C37B20810A}" name="value_id" dataDxfId="25"/>
    <tableColumn id="2" xr3:uid="{D851E5CA-5EE4-4FEB-8FF8-537320C5AEFE}" name="n_companies_present" dataDxfId="24"/>
    <tableColumn id="3" xr3:uid="{C3D6C348-A9C6-49D3-B7DC-1A52CCFB9BA6}" name="share_companies_present" dataDxfId="23"/>
    <tableColumn id="4" xr3:uid="{543B63C4-0BB4-4857-9B7E-91DBFDEEBD53}" name="mean_points_present" dataDxfId="22"/>
    <tableColumn id="5" xr3:uid="{07BC1AB7-7D22-4312-990B-99B4D51790B6}" name="count_binding_1" dataDxfId="21"/>
    <tableColumn id="6" xr3:uid="{C88C4080-BBB0-4808-A546-4ACE7BB4BAFC}" name="share_binding_1_given_present" dataDxfId="20"/>
    <tableColumn id="7" xr3:uid="{8D558588-31F9-44D8-B0D0-9CAD23BE2B7A}" name="count_binding_2" dataDxfId="19"/>
    <tableColumn id="8" xr3:uid="{D012152A-D596-4550-89CB-5DBFF85665C2}" name="share_binding_2_given_present" dataDxfId="18"/>
    <tableColumn id="9" xr3:uid="{E6D5690B-3787-43FE-AA59-271CDC968A4C}" name="count_binding_3" dataDxfId="17"/>
    <tableColumn id="10" xr3:uid="{1981FA59-CC41-4C84-9B5C-282BD96D5D44}" name="share_binding_3_given_present" dataDxfId="16"/>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77634FD-84B3-471C-9CB5-84D399B709AF}" name="Tabelle20" displayName="Tabelle20" ref="A1:G30" totalsRowShown="0">
  <autoFilter ref="A1:G30" xr:uid="{577634FD-84B3-471C-9CB5-84D399B709AF}"/>
  <tableColumns count="7">
    <tableColumn id="1" xr3:uid="{FB2C78EA-E7D9-49EB-92E6-05FF7F48117D}" name="codebook_version"/>
    <tableColumn id="2" xr3:uid="{AB1578BF-373C-4703-A977-CE8BF06A7DFB}" name="date"/>
    <tableColumn id="3" xr3:uid="{97FF56D2-CEDE-4E78-8A33-7645F273F78D}" name="change_type(add/modify/remove)"/>
    <tableColumn id="4" xr3:uid="{ABD716F3-11BD-4F91-92F9-78BD91F09541}" name="item_id(value_id/gov_crit_id)"/>
    <tableColumn id="5" xr3:uid="{0A74C992-658C-423A-987F-B30958DD3C13}" name="what_changed"/>
    <tableColumn id="6" xr3:uid="{B686907A-7861-4F0C-BCF0-59162A50B687}" name="why_changed"/>
    <tableColumn id="7" xr3:uid="{F6679470-05AD-460D-9AF2-61DDF4DE14D4}" name="impact_on_previous_coding(recode_needed yes/no)"/>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7CA7051-1183-4466-BE01-54A6931D8D9E}" name="Tabelle21" displayName="Tabelle21" ref="A1:E41" totalsRowShown="0">
  <autoFilter ref="A1:E41" xr:uid="{77CA7051-1183-4466-BE01-54A6931D8D9E}"/>
  <tableColumns count="5">
    <tableColumn id="1" xr3:uid="{D8A5DB88-0B1A-4FF5-A074-122BC6B37A42}" name="company_id"/>
    <tableColumn id="2" xr3:uid="{8B29CFA1-2B19-45F5-BA51-5F4F71BC46DC}" name="overall_notes"/>
    <tableColumn id="3" xr3:uid="{8EA9E8BF-0F77-4E41-94A6-552A7F35FB7C}" name="key_documents_used"/>
    <tableColumn id="4" xr3:uid="{8BB562BD-CE16-46F2-85DF-3CFE4A0B3297}" name="areas_of_uncertainty"/>
    <tableColumn id="5" xr3:uid="{D51E101B-62C1-4BBF-BEEC-4950D45C4E87}" name="follow_up_needed"/>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BD6ADE-5CDE-469D-A5F8-F4F7B51A2264}" name="Tabelle9" displayName="Tabelle9" ref="A1:A9" totalsRowShown="0">
  <autoFilter ref="A1:A9" xr:uid="{9BBD6ADE-5CDE-469D-A5F8-F4F7B51A2264}"/>
  <tableColumns count="1">
    <tableColumn id="1" xr3:uid="{358E3F9F-8340-4455-960D-1A6B1A199A94}" name="Sektoren"/>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F11BA6-DC82-4C08-AB40-6D3293BC9504}" name="Tabelle10" displayName="Tabelle10" ref="C1:C11" totalsRowShown="0">
  <autoFilter ref="C1:C11" xr:uid="{7AF11BA6-DC82-4C08-AB40-6D3293BC9504}"/>
  <tableColumns count="1">
    <tableColumn id="1" xr3:uid="{28A7C821-4137-4DD4-A6BF-7F27BF5C2B1D}" name="Dokumententyp"/>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A07CFA5-DDFC-4557-8D4B-5432F6C185D4}" name="Tabelle11" displayName="Tabelle11" ref="E1:E5" totalsRowShown="0">
  <autoFilter ref="E1:E5" xr:uid="{5A07CFA5-DDFC-4557-8D4B-5432F6C185D4}"/>
  <tableColumns count="1">
    <tableColumn id="1" xr3:uid="{17E1C0AF-850C-4054-98A9-680F2DBD9C51}" name="Sprache"/>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18B3DF1-8863-4DEB-BB7B-0CECB36DB8D4}" name="Tabelle12" displayName="Tabelle12" ref="G1:G4" totalsRowShown="0">
  <autoFilter ref="G1:G4" xr:uid="{518B3DF1-8863-4DEB-BB7B-0CECB36DB8D4}"/>
  <tableColumns count="1">
    <tableColumn id="1" xr3:uid="{7B0A6103-4604-484D-8818-44E43C6E3DF6}" name="Inkludierungsstatus"/>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36FAD69-DF79-48A5-AD47-4FF0736AD218}" name="Tabelle13" displayName="Tabelle13" ref="I1:I7" totalsRowShown="0">
  <autoFilter ref="I1:I7" xr:uid="{536FAD69-DF79-48A5-AD47-4FF0736AD218}"/>
  <tableColumns count="1">
    <tableColumn id="1" xr3:uid="{96E22817-6B23-4C2A-96D2-7C1EF4AF930F}" name="Ausschlussgrund"/>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3F1694A-031C-485A-9505-7DBFEE9D00F2}" name="Tabelle14" displayName="Tabelle14" ref="K1:K4" totalsRowShown="0">
  <autoFilter ref="K1:K4" xr:uid="{13F1694A-031C-485A-9505-7DBFEE9D00F2}"/>
  <tableColumns count="1">
    <tableColumn id="1" xr3:uid="{D16AC83B-5796-4B93-8319-4B9A6CE8CC2D}" name="Kodierungskonfidenz"/>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676E1C5-826D-40B0-9AE4-59554DE78A7A}" name="Tabelle15" displayName="Tabelle15" ref="M1:M4" totalsRowShown="0">
  <autoFilter ref="M1:M4" xr:uid="{4676E1C5-826D-40B0-9AE4-59554DE78A7A}"/>
  <tableColumns count="1">
    <tableColumn id="1" xr3:uid="{ACA7A75B-428C-468F-A87C-CC163947EC83}" name="Bindigkeitsniveau"/>
  </tableColumns>
  <tableStyleInfo name="TableStyleLight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471D5AB-7EB3-4BDA-AD98-89690BCA4E10}" name="Tabelle16" displayName="Tabelle16" ref="O1:O3" totalsRowShown="0">
  <autoFilter ref="O1:O3" xr:uid="{2471D5AB-7EB3-4BDA-AD98-89690BCA4E10}"/>
  <tableColumns count="1">
    <tableColumn id="1" xr3:uid="{6FA35486-3F38-499E-8C7A-08CA6D5187F9}" name="Value_present"/>
  </tableColumns>
  <tableStyleInfo name="TableStyleLight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52BF9B-E401-4F9A-BC34-9F0B4CE96371}" name="Tabelle17" displayName="Tabelle17" ref="Q1:Q5" totalsRowShown="0">
  <autoFilter ref="Q1:Q5" xr:uid="{3552BF9B-E401-4F9A-BC34-9F0B4CE96371}"/>
  <tableColumns count="1">
    <tableColumn id="1" xr3:uid="{D4A6D96B-2C53-476A-86CF-E427067FBE75}" name="Score_0_3"/>
  </tableColumns>
  <tableStyleInfo name="TableStyleLight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B1AA61-6814-4A3C-8739-DE8C1D8241FB}" name="Tabelle52" displayName="Tabelle52" ref="A1:K572" totalsRowShown="0">
  <autoFilter ref="A1:K572" xr:uid="{794649AF-DA1E-48ED-8099-0B33A67C2B55}"/>
  <tableColumns count="11">
    <tableColumn id="1" xr3:uid="{A5B1236C-269B-4CCB-919B-AC84CE420482}" name="company_id" dataDxfId="15"/>
    <tableColumn id="2" xr3:uid="{88EA2C3D-FF7D-45DE-B6F7-BB1229554F82}" name="doc_id" dataDxfId="14"/>
    <tableColumn id="3" xr3:uid="{E23EAC11-3FE3-46C2-A886-9966BC003CDA}" name="value_id" dataDxfId="13"/>
    <tableColumn id="4" xr3:uid="{77D00F30-A9A5-47C3-B3BB-BFF34AC97B9C}" name="value_present" dataDxfId="12"/>
    <tableColumn id="5" xr3:uid="{E434E720-1C6A-4241-8ECE-D9040CCDAA2B}" name="binding_level" dataDxfId="11"/>
    <tableColumn id="6" xr3:uid="{C45A50FA-2ACE-4B26-9C7B-E4D5BE6F4B6D}" name="binding_justification"/>
    <tableColumn id="7" xr3:uid="{282FA07F-5C8A-4CD1-86F3-4AF4DB1108E8}" name="evidence_quote"/>
    <tableColumn id="8" xr3:uid="{F410D5B9-12DC-4698-B08E-426E336FE253}" name="evidence_location"/>
    <tableColumn id="9" xr3:uid="{BD5197D5-04B8-40D1-BCBA-5D225444280A}" name="coder_confidence" dataDxfId="10"/>
    <tableColumn id="10" xr3:uid="{7F3AA6F7-EE79-4770-860B-817A57FFE071}" name="notes"/>
    <tableColumn id="11" xr3:uid="{26B53E04-6A5F-4A1D-9E7B-B4A2316116E1}" name="value_points" dataDxfId="9">
      <calculatedColumnFormula>Tabelle52[[#This Row],[value_present]]*Tabelle52[[#This Row],[binding_level]]</calculatedColumnFormula>
    </tableColumn>
  </tableColumns>
  <tableStyleInfo name="TableStyleLight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11AF420-2225-42C0-BDFB-BF933B4447C3}" name="Tabelle5225" displayName="Tabelle5225" ref="A1:K464" totalsRowShown="0">
  <autoFilter ref="A1:K464" xr:uid="{794649AF-DA1E-48ED-8099-0B33A67C2B55}"/>
  <tableColumns count="11">
    <tableColumn id="1" xr3:uid="{AFCF1A2E-7C51-4D16-8447-4825A8304C2A}" name="company_id" dataDxfId="8"/>
    <tableColumn id="2" xr3:uid="{28144327-D237-4B65-948E-9055C5BCCA4B}" name="doc_id" dataDxfId="7"/>
    <tableColumn id="3" xr3:uid="{7356C4A2-D4E8-4678-B63A-A2F57CF7A60F}" name="value_id" dataDxfId="6"/>
    <tableColumn id="4" xr3:uid="{DBC3A27D-F748-40F1-9045-6F4A050BD2E3}" name="value_present" dataDxfId="5"/>
    <tableColumn id="5" xr3:uid="{C3681E92-2973-41CD-A350-4DB5D313885C}" name="binding_level" dataDxfId="4"/>
    <tableColumn id="6" xr3:uid="{B37DDF94-1958-4E33-8B11-7F0571193B4A}" name="binding_justification"/>
    <tableColumn id="7" xr3:uid="{8E229820-49BE-446A-BBFE-34783B444191}" name="evidence_quote"/>
    <tableColumn id="8" xr3:uid="{35E2EE5C-206A-4B9A-A2DC-BE475116991C}" name="evidence_location"/>
    <tableColumn id="9" xr3:uid="{706CB451-29D2-42C4-A434-0834BFC363D9}" name="coder_confidence" dataDxfId="3"/>
    <tableColumn id="10" xr3:uid="{26B78528-5CF0-490F-B3B8-7A22E5217B5F}" name="notes"/>
    <tableColumn id="11" xr3:uid="{BD49E03A-F982-49D3-A92C-C4CCC90D083D}" name="value_points" dataDxfId="2">
      <calculatedColumnFormula>Tabelle5225[[#This Row],[value_present]]*Tabelle5225[[#This Row],[binding_level]]</calculatedColumnFormula>
    </tableColumn>
  </tableColumns>
  <tableStyleInfo name="TableStyleLight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7875EB2-4339-44C9-ACF8-1A51E915688F}" name="Tabelle26" displayName="Tabelle26" ref="N2:V9" totalsRowShown="0">
  <autoFilter ref="N2:V9" xr:uid="{37875EB2-4339-44C9-ACF8-1A51E915688F}"/>
  <tableColumns count="9">
    <tableColumn id="1" xr3:uid="{06B304E5-1A10-4230-8211-FBE337BE162F}" name="company_id"/>
    <tableColumn id="2" xr3:uid="{A26DBD49-B660-42B0-9701-6AA369F67A06}" name="value_id"/>
    <tableColumn id="3" xr3:uid="{E5B2A3EE-9137-45DA-99D1-C833800C986E}" name="pilot_value_present"/>
    <tableColumn id="4" xr3:uid="{4F11EA7D-5EE8-4DBB-A41E-CD8E9F54CA20}" name="recode_value_present"/>
    <tableColumn id="5" xr3:uid="{657D30F7-862D-4093-869C-8D27057AF141}" name="pilot_binding_level"/>
    <tableColumn id="6" xr3:uid="{60C4467B-765F-43FA-9CE5-D28858607C0C}" name="recode_binding_level"/>
    <tableColumn id="7" xr3:uid="{FA0C2DD5-0BDB-4CE0-BAAC-85900F0055FB}" name="delta_type"/>
    <tableColumn id="8" xr3:uid="{55FDB410-670E-452A-B5E2-22977C57EF26}" name="change_cause"/>
    <tableColumn id="9" xr3:uid="{6EFA9730-616A-4145-BBD2-1E4DC07295DD}" name="evidence_anchor_recode"/>
  </tableColumns>
  <tableStyleInfo name="TableStyleLight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07C706D-5469-4AAE-9F37-C7AD9A4ED241}" name="Tabelle723" displayName="Tabelle723" ref="A1:J210" totalsRowShown="0">
  <autoFilter ref="A1:J210" xr:uid="{5BF3CC75-2124-480E-A9D0-3C4C8CD282B3}"/>
  <tableColumns count="10">
    <tableColumn id="1" xr3:uid="{89C166D1-9F7A-4448-8A70-9EA646208E34}" name="company_id"/>
    <tableColumn id="10" xr3:uid="{7DB5D055-5FFD-4D17-9C78-3F4388CF5530}" name="doc_id" dataDxfId="1"/>
    <tableColumn id="2" xr3:uid="{677C47DF-F100-4409-A8DB-3E0EDCBFB51C}" name="gov_crit_id"/>
    <tableColumn id="3" xr3:uid="{3244DFBB-54D2-4355-A150-937DFC81EDA3}" name="doc_id_primary_evidence"/>
    <tableColumn id="4" xr3:uid="{075ABDE2-5A71-46FA-B5CE-B757E107B432}" name="score_0_3"/>
    <tableColumn id="5" xr3:uid="{B29FCD9B-7825-4B6B-91F7-70F46A199185}" name="evidence_quote"/>
    <tableColumn id="6" xr3:uid="{F1C18F0B-7172-4E2F-9D56-CDB485880E5F}" name="evidence_location"/>
    <tableColumn id="7" xr3:uid="{C34A82AA-E397-4560-BBAD-5163279DC4ED}" name="why_not_higher"/>
    <tableColumn id="8" xr3:uid="{CB8C4A3F-14D1-4DAB-9E4D-6EAB21F361EC}" name="coder_confidence"/>
    <tableColumn id="9" xr3:uid="{5C1AB7D6-DF0C-49C8-B8DE-1DB2D166B8A0}" name="notes"/>
  </tableColumns>
  <tableStyleInfo name="TableStyleLight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131299A-DA98-407B-B0CD-51BF88647511}" name="Tabelle72326" displayName="Tabelle72326" ref="A1:J168" totalsRowShown="0">
  <autoFilter ref="A1:J168" xr:uid="{5BF3CC75-2124-480E-A9D0-3C4C8CD282B3}"/>
  <tableColumns count="10">
    <tableColumn id="1" xr3:uid="{68266203-1FA8-4162-9832-35FD9B7BB575}" name="company_id"/>
    <tableColumn id="10" xr3:uid="{DA9A1AD6-04B4-4CDF-9CB1-07CF9526EFCE}" name="doc_id" dataDxfId="0"/>
    <tableColumn id="2" xr3:uid="{82E996EB-3ED5-4F62-80CF-409DF5552801}" name="gov_crit_id"/>
    <tableColumn id="3" xr3:uid="{FB482236-9A4B-4F35-BF83-3E5BC37842DA}" name="doc_id_primary_evidence"/>
    <tableColumn id="4" xr3:uid="{5425F886-7428-4FDB-85A5-B504543C5BB0}" name="score_0_3"/>
    <tableColumn id="5" xr3:uid="{59BB959F-C8A3-4F2A-8DBD-7244AA4872DA}" name="evidence_quote"/>
    <tableColumn id="6" xr3:uid="{1480EDBA-C72B-4546-97E4-F024540106E4}" name="evidence_location"/>
    <tableColumn id="7" xr3:uid="{CC474F54-FE56-48E1-9776-7789F61CA04D}" name="why_not_higher"/>
    <tableColumn id="8" xr3:uid="{9CE2961C-DC9E-469F-B1C6-DCED3F056CED}" name="coder_confidence"/>
    <tableColumn id="9" xr3:uid="{641D911C-E85C-4652-BDA9-A362E6FEA9E4}" name="notes"/>
  </tableColumns>
  <tableStyleInfo name="TableStyleLight9"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86FF978-FD14-4C6E-8765-0F759D7118E9}" name="Tabelle23" displayName="Tabelle23" ref="A1:F15" totalsRowShown="0">
  <autoFilter ref="A1:F15" xr:uid="{686FF978-FD14-4C6E-8765-0F759D7118E9}"/>
  <tableColumns count="6">
    <tableColumn id="1" xr3:uid="{685EC582-3C3E-486D-87E0-89AB0AFAAF2B}" name="Regel-ID"/>
    <tableColumn id="2" xr3:uid="{B2F8FA29-F8B1-47DF-B710-2E929A37357B}" name="Kategorie"/>
    <tableColumn id="3" xr3:uid="{7FAD001F-C31B-4E12-A8AB-8F1DCB9AC2BD}" name="Regeltext"/>
    <tableColumn id="4" xr3:uid="{C307FC7B-8D06-4363-99F7-3A941673F37F}" name="Betroffene Codes"/>
    <tableColumn id="5" xr3:uid="{34ADE2CA-2DFB-4CB8-AE47-D0364368CFAA}" name="Trigger"/>
    <tableColumn id="6" xr3:uid="{010B4888-DC34-44B2-9DC0-6E497B59B857}" name="Testfrage"/>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printerSettings" Target="../printerSettings/printerSettings1.bin"/><Relationship Id="rId6" Type="http://schemas.openxmlformats.org/officeDocument/2006/relationships/table" Target="../tables/table21.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table" Target="../tables/table27.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E40C-2567-4F37-80E9-918F97463CB5}">
  <sheetPr>
    <tabColor rgb="FFFFFF00"/>
  </sheetPr>
  <dimension ref="A1:I41"/>
  <sheetViews>
    <sheetView topLeftCell="A33" workbookViewId="0">
      <selection sqref="A1:I41"/>
    </sheetView>
  </sheetViews>
  <sheetFormatPr baseColWidth="10" defaultRowHeight="15" x14ac:dyDescent="0.25"/>
  <cols>
    <col min="1" max="1" width="13.85546875" customWidth="1"/>
    <col min="2" max="2" width="24.7109375" bestFit="1" customWidth="1"/>
    <col min="3" max="3" width="14" bestFit="1" customWidth="1"/>
    <col min="4" max="4" width="16.140625" bestFit="1" customWidth="1"/>
    <col min="5" max="5" width="36.85546875" customWidth="1"/>
    <col min="6" max="6" width="20.7109375" bestFit="1" customWidth="1"/>
    <col min="7" max="7" width="25.5703125" bestFit="1" customWidth="1"/>
    <col min="8" max="8" width="25.5703125" customWidth="1"/>
    <col min="9" max="9" width="17.42578125" bestFit="1" customWidth="1"/>
  </cols>
  <sheetData>
    <row r="1" spans="1:9" x14ac:dyDescent="0.25">
      <c r="A1" t="s">
        <v>0</v>
      </c>
      <c r="B1" t="s">
        <v>1</v>
      </c>
      <c r="C1" t="s">
        <v>2</v>
      </c>
      <c r="D1" t="s">
        <v>3</v>
      </c>
      <c r="E1" t="s">
        <v>4</v>
      </c>
      <c r="F1" t="s">
        <v>5</v>
      </c>
      <c r="G1" t="s">
        <v>6</v>
      </c>
      <c r="H1" t="s">
        <v>585</v>
      </c>
      <c r="I1" t="s">
        <v>7</v>
      </c>
    </row>
    <row r="2" spans="1:9" x14ac:dyDescent="0.25">
      <c r="A2">
        <v>1</v>
      </c>
      <c r="B2" s="14" t="s">
        <v>303</v>
      </c>
      <c r="C2" t="s">
        <v>304</v>
      </c>
      <c r="D2" s="1" t="s">
        <v>240</v>
      </c>
      <c r="E2" t="s">
        <v>305</v>
      </c>
      <c r="F2" s="5" t="s">
        <v>434</v>
      </c>
      <c r="G2" t="s">
        <v>307</v>
      </c>
      <c r="H2" s="6">
        <v>28070.86</v>
      </c>
      <c r="I2" t="s">
        <v>446</v>
      </c>
    </row>
    <row r="3" spans="1:9" x14ac:dyDescent="0.25">
      <c r="A3">
        <v>2</v>
      </c>
      <c r="B3" s="12" t="s">
        <v>306</v>
      </c>
      <c r="C3" t="s">
        <v>308</v>
      </c>
      <c r="D3" s="1" t="s">
        <v>236</v>
      </c>
      <c r="E3" t="s">
        <v>309</v>
      </c>
      <c r="F3" s="5" t="s">
        <v>435</v>
      </c>
      <c r="G3" t="s">
        <v>310</v>
      </c>
      <c r="H3" s="6">
        <v>146046.49</v>
      </c>
      <c r="I3" t="s">
        <v>478</v>
      </c>
    </row>
    <row r="4" spans="1:9" x14ac:dyDescent="0.25">
      <c r="A4">
        <v>3</v>
      </c>
      <c r="B4" s="12" t="s">
        <v>311</v>
      </c>
      <c r="C4" t="s">
        <v>312</v>
      </c>
      <c r="D4" s="1" t="s">
        <v>237</v>
      </c>
      <c r="E4" t="s">
        <v>313</v>
      </c>
      <c r="F4" s="5" t="s">
        <v>434</v>
      </c>
      <c r="G4" t="s">
        <v>314</v>
      </c>
      <c r="H4" s="6">
        <v>138065.07999999999</v>
      </c>
      <c r="I4" t="s">
        <v>507</v>
      </c>
    </row>
    <row r="5" spans="1:9" x14ac:dyDescent="0.25">
      <c r="A5">
        <v>4</v>
      </c>
      <c r="B5" s="12" t="s">
        <v>315</v>
      </c>
      <c r="C5" t="s">
        <v>316</v>
      </c>
      <c r="D5" s="1" t="s">
        <v>242</v>
      </c>
      <c r="E5" t="s">
        <v>317</v>
      </c>
      <c r="F5" s="5" t="s">
        <v>436</v>
      </c>
      <c r="G5" t="s">
        <v>314</v>
      </c>
      <c r="H5" s="6">
        <v>36934</v>
      </c>
      <c r="I5" t="s">
        <v>530</v>
      </c>
    </row>
    <row r="6" spans="1:9" x14ac:dyDescent="0.25">
      <c r="A6">
        <v>5</v>
      </c>
      <c r="B6" s="13" t="s">
        <v>318</v>
      </c>
      <c r="C6" t="s">
        <v>319</v>
      </c>
      <c r="D6" s="1" t="s">
        <v>242</v>
      </c>
      <c r="E6" t="s">
        <v>320</v>
      </c>
      <c r="F6" s="5" t="s">
        <v>437</v>
      </c>
      <c r="G6" t="s">
        <v>314</v>
      </c>
      <c r="H6" s="6">
        <v>33814.35</v>
      </c>
      <c r="I6" t="s">
        <v>566</v>
      </c>
    </row>
    <row r="7" spans="1:9" x14ac:dyDescent="0.25">
      <c r="A7">
        <v>6</v>
      </c>
      <c r="B7" s="12" t="s">
        <v>321</v>
      </c>
      <c r="C7" t="s">
        <v>322</v>
      </c>
      <c r="D7" s="1" t="s">
        <v>240</v>
      </c>
      <c r="E7" t="s">
        <v>323</v>
      </c>
      <c r="F7" s="5" t="s">
        <v>438</v>
      </c>
      <c r="G7" t="s">
        <v>324</v>
      </c>
      <c r="H7" s="6">
        <v>19043.54</v>
      </c>
      <c r="I7" t="s">
        <v>571</v>
      </c>
    </row>
    <row r="8" spans="1:9" x14ac:dyDescent="0.25">
      <c r="A8">
        <v>7</v>
      </c>
      <c r="B8" s="13" t="s">
        <v>325</v>
      </c>
      <c r="C8" t="s">
        <v>325</v>
      </c>
      <c r="D8" s="1" t="s">
        <v>236</v>
      </c>
      <c r="E8" t="s">
        <v>326</v>
      </c>
      <c r="F8" s="5" t="s">
        <v>434</v>
      </c>
      <c r="G8" t="s">
        <v>314</v>
      </c>
      <c r="H8" s="6">
        <v>52864.52</v>
      </c>
      <c r="I8" t="s">
        <v>566</v>
      </c>
    </row>
    <row r="9" spans="1:9" x14ac:dyDescent="0.25">
      <c r="A9">
        <v>8</v>
      </c>
      <c r="B9" s="14" t="s">
        <v>327</v>
      </c>
      <c r="C9" t="s">
        <v>328</v>
      </c>
      <c r="D9" s="1" t="s">
        <v>242</v>
      </c>
      <c r="E9" t="s">
        <v>329</v>
      </c>
      <c r="F9" s="5" t="s">
        <v>437</v>
      </c>
      <c r="G9" t="s">
        <v>310</v>
      </c>
      <c r="H9" s="6">
        <v>6654.82</v>
      </c>
      <c r="I9" t="s">
        <v>606</v>
      </c>
    </row>
    <row r="10" spans="1:9" x14ac:dyDescent="0.25">
      <c r="A10">
        <v>9</v>
      </c>
      <c r="B10" s="13" t="s">
        <v>330</v>
      </c>
      <c r="C10" t="s">
        <v>331</v>
      </c>
      <c r="D10" s="1" t="s">
        <v>237</v>
      </c>
      <c r="E10" t="s">
        <v>332</v>
      </c>
      <c r="F10" s="5" t="s">
        <v>439</v>
      </c>
      <c r="G10" t="s">
        <v>333</v>
      </c>
      <c r="H10" s="6">
        <v>37853.56</v>
      </c>
      <c r="I10" t="s">
        <v>626</v>
      </c>
    </row>
    <row r="11" spans="1:9" x14ac:dyDescent="0.25">
      <c r="A11">
        <v>10</v>
      </c>
      <c r="B11" s="13" t="s">
        <v>334</v>
      </c>
      <c r="C11" t="s">
        <v>335</v>
      </c>
      <c r="D11" s="1" t="s">
        <v>236</v>
      </c>
      <c r="E11" t="s">
        <v>336</v>
      </c>
      <c r="F11" s="5" t="s">
        <v>440</v>
      </c>
      <c r="G11" t="s">
        <v>337</v>
      </c>
      <c r="H11" s="6">
        <v>12640.94</v>
      </c>
      <c r="I11" t="s">
        <v>657</v>
      </c>
    </row>
    <row r="12" spans="1:9" x14ac:dyDescent="0.25">
      <c r="A12">
        <v>11</v>
      </c>
      <c r="B12" s="12" t="s">
        <v>338</v>
      </c>
      <c r="C12" t="s">
        <v>339</v>
      </c>
      <c r="D12" s="1" t="s">
        <v>236</v>
      </c>
      <c r="E12" t="s">
        <v>340</v>
      </c>
      <c r="F12" s="5" t="s">
        <v>441</v>
      </c>
      <c r="G12" t="s">
        <v>341</v>
      </c>
      <c r="H12" s="6">
        <v>25660.46</v>
      </c>
      <c r="I12" t="s">
        <v>672</v>
      </c>
    </row>
    <row r="13" spans="1:9" x14ac:dyDescent="0.25">
      <c r="A13">
        <v>12</v>
      </c>
      <c r="B13" s="13" t="s">
        <v>342</v>
      </c>
      <c r="C13" t="s">
        <v>343</v>
      </c>
      <c r="D13" s="1" t="s">
        <v>237</v>
      </c>
      <c r="E13" t="s">
        <v>332</v>
      </c>
      <c r="F13" s="5" t="s">
        <v>439</v>
      </c>
      <c r="G13" t="s">
        <v>314</v>
      </c>
      <c r="H13" s="6">
        <v>57682.6</v>
      </c>
      <c r="I13" t="s">
        <v>706</v>
      </c>
    </row>
    <row r="14" spans="1:9" x14ac:dyDescent="0.25">
      <c r="A14">
        <v>13</v>
      </c>
      <c r="B14" s="12" t="s">
        <v>344</v>
      </c>
      <c r="C14" t="s">
        <v>345</v>
      </c>
      <c r="D14" s="1" t="s">
        <v>237</v>
      </c>
      <c r="E14" t="s">
        <v>346</v>
      </c>
      <c r="F14" s="5" t="s">
        <v>439</v>
      </c>
      <c r="G14" t="s">
        <v>347</v>
      </c>
      <c r="H14" s="6">
        <v>38233.440000000002</v>
      </c>
      <c r="I14" t="s">
        <v>730</v>
      </c>
    </row>
    <row r="15" spans="1:9" x14ac:dyDescent="0.25">
      <c r="A15">
        <v>14</v>
      </c>
      <c r="B15" s="14" t="s">
        <v>348</v>
      </c>
      <c r="C15" t="s">
        <v>349</v>
      </c>
      <c r="D15" s="1" t="s">
        <v>243</v>
      </c>
      <c r="E15" t="s">
        <v>350</v>
      </c>
      <c r="F15" s="5" t="s">
        <v>437</v>
      </c>
      <c r="G15" t="s">
        <v>351</v>
      </c>
      <c r="H15" s="6">
        <v>47026.95</v>
      </c>
      <c r="I15" t="s">
        <v>791</v>
      </c>
    </row>
    <row r="16" spans="1:9" x14ac:dyDescent="0.25">
      <c r="A16">
        <v>15</v>
      </c>
      <c r="B16" s="13" t="s">
        <v>352</v>
      </c>
      <c r="C16" t="s">
        <v>353</v>
      </c>
      <c r="D16" s="1" t="s">
        <v>241</v>
      </c>
      <c r="E16" t="s">
        <v>354</v>
      </c>
      <c r="F16" s="5" t="s">
        <v>437</v>
      </c>
      <c r="G16" t="s">
        <v>355</v>
      </c>
      <c r="H16" s="6">
        <v>126057.53</v>
      </c>
      <c r="I16" t="s">
        <v>792</v>
      </c>
    </row>
    <row r="17" spans="1:9" x14ac:dyDescent="0.25">
      <c r="A17">
        <v>16</v>
      </c>
      <c r="B17" s="14" t="s">
        <v>356</v>
      </c>
      <c r="C17" t="s">
        <v>357</v>
      </c>
      <c r="D17" s="1" t="s">
        <v>241</v>
      </c>
      <c r="E17" t="s">
        <v>358</v>
      </c>
      <c r="F17" s="5" t="s">
        <v>437</v>
      </c>
      <c r="G17" t="s">
        <v>444</v>
      </c>
      <c r="H17" s="6">
        <v>39186.39</v>
      </c>
      <c r="I17" t="s">
        <v>839</v>
      </c>
    </row>
    <row r="18" spans="1:9" x14ac:dyDescent="0.25">
      <c r="A18">
        <v>17</v>
      </c>
      <c r="B18" s="13" t="s">
        <v>359</v>
      </c>
      <c r="C18" t="s">
        <v>360</v>
      </c>
      <c r="D18" s="1" t="s">
        <v>238</v>
      </c>
      <c r="E18" t="s">
        <v>361</v>
      </c>
      <c r="F18" s="5" t="s">
        <v>439</v>
      </c>
      <c r="G18" t="s">
        <v>362</v>
      </c>
      <c r="H18" s="6">
        <v>25656.23</v>
      </c>
      <c r="I18" t="s">
        <v>857</v>
      </c>
    </row>
    <row r="19" spans="1:9" x14ac:dyDescent="0.25">
      <c r="A19">
        <v>18</v>
      </c>
      <c r="B19" s="14" t="s">
        <v>363</v>
      </c>
      <c r="C19" t="s">
        <v>364</v>
      </c>
      <c r="D19" s="1" t="s">
        <v>238</v>
      </c>
      <c r="E19" t="s">
        <v>365</v>
      </c>
      <c r="F19" s="5" t="s">
        <v>434</v>
      </c>
      <c r="G19" t="s">
        <v>366</v>
      </c>
      <c r="H19" s="6">
        <v>10987.23</v>
      </c>
      <c r="I19" t="s">
        <v>878</v>
      </c>
    </row>
    <row r="20" spans="1:9" x14ac:dyDescent="0.25">
      <c r="A20">
        <v>19</v>
      </c>
      <c r="B20" s="12" t="s">
        <v>367</v>
      </c>
      <c r="C20" t="s">
        <v>368</v>
      </c>
      <c r="D20" s="1" t="s">
        <v>236</v>
      </c>
      <c r="E20" t="s">
        <v>369</v>
      </c>
      <c r="F20" s="5" t="s">
        <v>437</v>
      </c>
      <c r="G20" t="s">
        <v>370</v>
      </c>
      <c r="H20" s="6">
        <v>8239.01</v>
      </c>
      <c r="I20" t="s">
        <v>896</v>
      </c>
    </row>
    <row r="21" spans="1:9" x14ac:dyDescent="0.25">
      <c r="A21">
        <v>20</v>
      </c>
      <c r="B21" s="12" t="s">
        <v>371</v>
      </c>
      <c r="C21" t="s">
        <v>372</v>
      </c>
      <c r="D21" s="1" t="s">
        <v>237</v>
      </c>
      <c r="E21" t="s">
        <v>313</v>
      </c>
      <c r="F21" s="5" t="s">
        <v>440</v>
      </c>
      <c r="G21" t="s">
        <v>341</v>
      </c>
      <c r="H21" s="6">
        <v>29852.05</v>
      </c>
      <c r="I21" t="s">
        <v>926</v>
      </c>
    </row>
    <row r="22" spans="1:9" x14ac:dyDescent="0.25">
      <c r="A22">
        <v>21</v>
      </c>
      <c r="B22" s="14" t="s">
        <v>373</v>
      </c>
      <c r="C22" t="s">
        <v>374</v>
      </c>
      <c r="D22" s="1" t="s">
        <v>242</v>
      </c>
      <c r="E22" t="s">
        <v>375</v>
      </c>
      <c r="F22" s="5" t="s">
        <v>441</v>
      </c>
      <c r="G22" t="s">
        <v>376</v>
      </c>
      <c r="H22" s="6">
        <v>36922.57</v>
      </c>
      <c r="I22" t="s">
        <v>953</v>
      </c>
    </row>
    <row r="23" spans="1:9" x14ac:dyDescent="0.25">
      <c r="A23">
        <v>22</v>
      </c>
      <c r="B23" s="12" t="s">
        <v>377</v>
      </c>
      <c r="C23" t="s">
        <v>378</v>
      </c>
      <c r="D23" s="1" t="s">
        <v>242</v>
      </c>
      <c r="E23" t="s">
        <v>379</v>
      </c>
      <c r="F23" s="5" t="s">
        <v>437</v>
      </c>
      <c r="G23" t="s">
        <v>314</v>
      </c>
      <c r="H23" s="6">
        <v>25541.89</v>
      </c>
      <c r="I23" t="s">
        <v>970</v>
      </c>
    </row>
    <row r="24" spans="1:9" x14ac:dyDescent="0.25">
      <c r="A24">
        <v>23</v>
      </c>
      <c r="B24" s="13" t="s">
        <v>380</v>
      </c>
      <c r="C24" t="s">
        <v>381</v>
      </c>
      <c r="D24" s="1" t="s">
        <v>238</v>
      </c>
      <c r="E24" t="s">
        <v>382</v>
      </c>
      <c r="F24" s="5" t="s">
        <v>434</v>
      </c>
      <c r="G24" t="s">
        <v>383</v>
      </c>
      <c r="H24" s="6">
        <v>45690.61</v>
      </c>
      <c r="I24" t="s">
        <v>1025</v>
      </c>
    </row>
    <row r="25" spans="1:9" x14ac:dyDescent="0.25">
      <c r="A25">
        <v>24</v>
      </c>
      <c r="B25" s="13" t="s">
        <v>384</v>
      </c>
      <c r="C25" t="s">
        <v>385</v>
      </c>
      <c r="D25" s="1" t="s">
        <v>236</v>
      </c>
      <c r="E25" t="s">
        <v>326</v>
      </c>
      <c r="F25" s="5" t="s">
        <v>441</v>
      </c>
      <c r="G25" t="s">
        <v>445</v>
      </c>
      <c r="H25" s="6">
        <v>53792.73</v>
      </c>
      <c r="I25" t="s">
        <v>792</v>
      </c>
    </row>
    <row r="26" spans="1:9" x14ac:dyDescent="0.25">
      <c r="A26">
        <v>25</v>
      </c>
      <c r="B26" s="13" t="s">
        <v>386</v>
      </c>
      <c r="C26" t="s">
        <v>387</v>
      </c>
      <c r="D26" s="1" t="s">
        <v>242</v>
      </c>
      <c r="E26" t="s">
        <v>320</v>
      </c>
      <c r="F26" s="5" t="s">
        <v>439</v>
      </c>
      <c r="G26" t="s">
        <v>388</v>
      </c>
      <c r="H26" s="6">
        <v>49572.480000000003</v>
      </c>
      <c r="I26" t="s">
        <v>1044</v>
      </c>
    </row>
    <row r="27" spans="1:9" x14ac:dyDescent="0.25">
      <c r="A27">
        <v>26</v>
      </c>
      <c r="B27" s="14" t="s">
        <v>389</v>
      </c>
      <c r="C27" t="s">
        <v>390</v>
      </c>
      <c r="D27" s="1" t="s">
        <v>236</v>
      </c>
      <c r="E27" t="s">
        <v>391</v>
      </c>
      <c r="F27" s="5" t="s">
        <v>434</v>
      </c>
      <c r="G27" t="s">
        <v>392</v>
      </c>
      <c r="H27" s="6">
        <v>17772.21</v>
      </c>
      <c r="I27" t="s">
        <v>1067</v>
      </c>
    </row>
    <row r="28" spans="1:9" x14ac:dyDescent="0.25">
      <c r="A28">
        <v>27</v>
      </c>
      <c r="B28" s="12" t="s">
        <v>393</v>
      </c>
      <c r="C28" t="s">
        <v>394</v>
      </c>
      <c r="D28" s="1" t="s">
        <v>237</v>
      </c>
      <c r="E28" t="s">
        <v>313</v>
      </c>
      <c r="F28" s="5" t="s">
        <v>434</v>
      </c>
      <c r="G28" t="s">
        <v>395</v>
      </c>
      <c r="H28" s="6">
        <v>67763.8</v>
      </c>
      <c r="I28" t="s">
        <v>1079</v>
      </c>
    </row>
    <row r="29" spans="1:9" x14ac:dyDescent="0.25">
      <c r="A29">
        <v>28</v>
      </c>
      <c r="B29" s="14" t="s">
        <v>396</v>
      </c>
      <c r="C29" t="s">
        <v>397</v>
      </c>
      <c r="D29" s="1" t="s">
        <v>236</v>
      </c>
      <c r="E29" t="s">
        <v>398</v>
      </c>
      <c r="F29" s="5" t="s">
        <v>441</v>
      </c>
      <c r="G29" t="s">
        <v>310</v>
      </c>
      <c r="H29" s="6">
        <v>11369.72</v>
      </c>
      <c r="I29" t="s">
        <v>1067</v>
      </c>
    </row>
    <row r="30" spans="1:9" x14ac:dyDescent="0.25">
      <c r="A30">
        <v>29</v>
      </c>
      <c r="B30" s="14" t="s">
        <v>399</v>
      </c>
      <c r="C30" t="s">
        <v>400</v>
      </c>
      <c r="D30" s="1" t="s">
        <v>238</v>
      </c>
      <c r="E30" t="s">
        <v>401</v>
      </c>
      <c r="F30" s="5" t="s">
        <v>435</v>
      </c>
      <c r="G30" t="s">
        <v>310</v>
      </c>
      <c r="H30" s="6">
        <v>7781.46</v>
      </c>
      <c r="I30" t="s">
        <v>1067</v>
      </c>
    </row>
    <row r="31" spans="1:9" x14ac:dyDescent="0.25">
      <c r="A31">
        <v>30</v>
      </c>
      <c r="B31" s="14" t="s">
        <v>402</v>
      </c>
      <c r="C31" t="s">
        <v>403</v>
      </c>
      <c r="D31" s="1" t="s">
        <v>236</v>
      </c>
      <c r="E31" t="s">
        <v>404</v>
      </c>
      <c r="F31" s="5" t="s">
        <v>437</v>
      </c>
      <c r="G31" t="s">
        <v>405</v>
      </c>
      <c r="H31" s="6">
        <v>66606.820000000007</v>
      </c>
      <c r="I31" t="s">
        <v>1067</v>
      </c>
    </row>
    <row r="32" spans="1:9" x14ac:dyDescent="0.25">
      <c r="A32">
        <v>31</v>
      </c>
      <c r="B32" s="12" t="s">
        <v>406</v>
      </c>
      <c r="C32" t="s">
        <v>406</v>
      </c>
      <c r="D32" s="1" t="s">
        <v>241</v>
      </c>
      <c r="E32" t="s">
        <v>358</v>
      </c>
      <c r="F32" s="5" t="s">
        <v>437</v>
      </c>
      <c r="G32" t="s">
        <v>314</v>
      </c>
      <c r="H32" s="6">
        <v>30562.07</v>
      </c>
      <c r="I32" t="s">
        <v>1168</v>
      </c>
    </row>
    <row r="33" spans="1:9" x14ac:dyDescent="0.25">
      <c r="A33">
        <v>32</v>
      </c>
      <c r="B33" s="13" t="s">
        <v>407</v>
      </c>
      <c r="C33" t="s">
        <v>407</v>
      </c>
      <c r="D33" s="1" t="s">
        <v>238</v>
      </c>
      <c r="E33" t="s">
        <v>408</v>
      </c>
      <c r="F33" s="5" t="s">
        <v>441</v>
      </c>
      <c r="G33" t="s">
        <v>409</v>
      </c>
      <c r="H33" s="6">
        <v>220619.35</v>
      </c>
      <c r="I33" t="s">
        <v>566</v>
      </c>
    </row>
    <row r="34" spans="1:9" x14ac:dyDescent="0.25">
      <c r="A34">
        <v>33</v>
      </c>
      <c r="B34" s="14" t="s">
        <v>410</v>
      </c>
      <c r="C34" t="s">
        <v>411</v>
      </c>
      <c r="D34" s="1" t="s">
        <v>238</v>
      </c>
      <c r="E34" t="s">
        <v>412</v>
      </c>
      <c r="F34" s="5" t="s">
        <v>434</v>
      </c>
      <c r="G34" t="s">
        <v>370</v>
      </c>
      <c r="H34" s="6">
        <v>5762.36</v>
      </c>
      <c r="I34" t="s">
        <v>1190</v>
      </c>
    </row>
    <row r="35" spans="1:9" x14ac:dyDescent="0.25">
      <c r="A35">
        <v>34</v>
      </c>
      <c r="B35" s="12" t="s">
        <v>413</v>
      </c>
      <c r="C35" t="s">
        <v>414</v>
      </c>
      <c r="D35" s="1" t="s">
        <v>236</v>
      </c>
      <c r="E35" t="s">
        <v>415</v>
      </c>
      <c r="F35" s="5" t="s">
        <v>442</v>
      </c>
      <c r="G35" t="s">
        <v>314</v>
      </c>
      <c r="H35" s="6">
        <v>173538.17</v>
      </c>
      <c r="I35" t="s">
        <v>1208</v>
      </c>
    </row>
    <row r="36" spans="1:9" x14ac:dyDescent="0.25">
      <c r="A36">
        <v>35</v>
      </c>
      <c r="B36" s="14" t="s">
        <v>416</v>
      </c>
      <c r="C36" t="s">
        <v>417</v>
      </c>
      <c r="D36" s="1" t="s">
        <v>236</v>
      </c>
      <c r="E36" t="s">
        <v>418</v>
      </c>
      <c r="F36" s="5" t="s">
        <v>434</v>
      </c>
      <c r="G36" t="s">
        <v>419</v>
      </c>
      <c r="H36" s="6">
        <v>95774.61</v>
      </c>
      <c r="I36" t="s">
        <v>1242</v>
      </c>
    </row>
    <row r="37" spans="1:9" x14ac:dyDescent="0.25">
      <c r="A37">
        <v>36</v>
      </c>
      <c r="B37" s="12" t="s">
        <v>420</v>
      </c>
      <c r="C37" t="s">
        <v>421</v>
      </c>
      <c r="D37" s="1" t="s">
        <v>238</v>
      </c>
      <c r="E37" t="s">
        <v>365</v>
      </c>
      <c r="F37" s="5" t="s">
        <v>434</v>
      </c>
      <c r="G37" t="s">
        <v>310</v>
      </c>
      <c r="H37" s="6">
        <v>46655.15</v>
      </c>
      <c r="I37" t="s">
        <v>1260</v>
      </c>
    </row>
    <row r="38" spans="1:9" x14ac:dyDescent="0.25">
      <c r="A38">
        <v>37</v>
      </c>
      <c r="B38" s="14" t="s">
        <v>422</v>
      </c>
      <c r="C38" t="s">
        <v>423</v>
      </c>
      <c r="D38" s="1" t="s">
        <v>240</v>
      </c>
      <c r="E38" t="s">
        <v>424</v>
      </c>
      <c r="F38" s="5" t="s">
        <v>440</v>
      </c>
      <c r="G38" t="s">
        <v>310</v>
      </c>
      <c r="H38" s="6">
        <v>8953.57</v>
      </c>
      <c r="I38" t="s">
        <v>953</v>
      </c>
    </row>
    <row r="39" spans="1:9" x14ac:dyDescent="0.25">
      <c r="A39">
        <v>38</v>
      </c>
      <c r="B39" s="12" t="s">
        <v>425</v>
      </c>
      <c r="C39" t="s">
        <v>426</v>
      </c>
      <c r="D39" s="1" t="s">
        <v>236</v>
      </c>
      <c r="E39" t="s">
        <v>326</v>
      </c>
      <c r="F39" s="5" t="s">
        <v>440</v>
      </c>
      <c r="G39" t="s">
        <v>314</v>
      </c>
      <c r="H39" s="6">
        <v>48556.67</v>
      </c>
      <c r="I39" t="s">
        <v>1260</v>
      </c>
    </row>
    <row r="40" spans="1:9" x14ac:dyDescent="0.25">
      <c r="A40">
        <v>39</v>
      </c>
      <c r="B40" s="14" t="s">
        <v>427</v>
      </c>
      <c r="C40" t="s">
        <v>428</v>
      </c>
      <c r="D40" s="1" t="s">
        <v>240</v>
      </c>
      <c r="E40" t="s">
        <v>429</v>
      </c>
      <c r="F40" s="5" t="s">
        <v>437</v>
      </c>
      <c r="G40" t="s">
        <v>430</v>
      </c>
      <c r="H40" s="6">
        <v>19358.16</v>
      </c>
      <c r="I40" t="s">
        <v>953</v>
      </c>
    </row>
    <row r="41" spans="1:9" x14ac:dyDescent="0.25">
      <c r="A41">
        <v>40</v>
      </c>
      <c r="B41" s="12" t="s">
        <v>431</v>
      </c>
      <c r="C41" t="s">
        <v>432</v>
      </c>
      <c r="D41" s="1" t="s">
        <v>240</v>
      </c>
      <c r="E41" t="s">
        <v>433</v>
      </c>
      <c r="F41" s="5" t="s">
        <v>443</v>
      </c>
      <c r="G41" t="s">
        <v>310</v>
      </c>
      <c r="H41" s="6">
        <v>6113.98</v>
      </c>
      <c r="I41" t="s">
        <v>1333</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F8B64492-7699-4D8A-8B49-F3CF1582D36C}">
          <x14:formula1>
            <xm:f>'99_Lookups'!$A$2:$A$9</xm:f>
          </x14:formula1>
          <xm:sqref>D2:D41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7120-F569-48B3-B7F6-CFE9F1CA7956}">
  <sheetPr>
    <tabColor rgb="FFFFFF00"/>
  </sheetPr>
  <dimension ref="A1:O398"/>
  <sheetViews>
    <sheetView topLeftCell="A319" workbookViewId="0">
      <selection sqref="A1:O327"/>
    </sheetView>
  </sheetViews>
  <sheetFormatPr baseColWidth="10" defaultRowHeight="15" x14ac:dyDescent="0.25"/>
  <cols>
    <col min="2" max="2" width="13.85546875" customWidth="1"/>
    <col min="3" max="3" width="36" customWidth="1"/>
    <col min="5" max="5" width="21.140625" customWidth="1"/>
    <col min="6" max="6" width="18" hidden="1" customWidth="1"/>
    <col min="7" max="7" width="0" hidden="1" customWidth="1"/>
    <col min="10" max="10" width="14" customWidth="1"/>
    <col min="11" max="11" width="34.5703125" customWidth="1"/>
    <col min="12" max="12" width="17.7109375" customWidth="1"/>
    <col min="13" max="13" width="19.140625" bestFit="1" customWidth="1"/>
    <col min="14" max="14" width="18.140625" bestFit="1" customWidth="1"/>
  </cols>
  <sheetData>
    <row r="1" spans="1:15" x14ac:dyDescent="0.25">
      <c r="A1" t="s">
        <v>8</v>
      </c>
      <c r="B1" t="s">
        <v>0</v>
      </c>
      <c r="C1" t="s">
        <v>9</v>
      </c>
      <c r="D1" t="s">
        <v>10</v>
      </c>
      <c r="E1" t="s">
        <v>11</v>
      </c>
      <c r="F1" t="s">
        <v>12</v>
      </c>
      <c r="G1" t="s">
        <v>13</v>
      </c>
      <c r="H1" t="s">
        <v>14</v>
      </c>
      <c r="I1" t="s">
        <v>15</v>
      </c>
      <c r="J1" t="s">
        <v>16</v>
      </c>
      <c r="K1" t="s">
        <v>17</v>
      </c>
      <c r="L1" t="s">
        <v>18</v>
      </c>
      <c r="M1" t="s">
        <v>19</v>
      </c>
      <c r="N1" t="s">
        <v>20</v>
      </c>
      <c r="O1" t="s">
        <v>1362</v>
      </c>
    </row>
    <row r="2" spans="1:15" x14ac:dyDescent="0.25">
      <c r="A2">
        <v>1</v>
      </c>
      <c r="B2">
        <v>1</v>
      </c>
      <c r="C2" t="s">
        <v>447</v>
      </c>
      <c r="D2" s="1" t="s">
        <v>249</v>
      </c>
      <c r="E2" t="s">
        <v>448</v>
      </c>
      <c r="F2" t="s">
        <v>449</v>
      </c>
      <c r="G2" t="s">
        <v>449</v>
      </c>
      <c r="H2" s="1" t="s">
        <v>258</v>
      </c>
      <c r="I2" t="s">
        <v>450</v>
      </c>
      <c r="J2" t="s">
        <v>454</v>
      </c>
      <c r="K2" t="s">
        <v>451</v>
      </c>
      <c r="L2" s="1" t="s">
        <v>263</v>
      </c>
      <c r="M2" s="1" t="s">
        <v>266</v>
      </c>
      <c r="N2" t="s">
        <v>452</v>
      </c>
    </row>
    <row r="3" spans="1:15" x14ac:dyDescent="0.25">
      <c r="A3">
        <v>2</v>
      </c>
      <c r="B3">
        <v>1</v>
      </c>
      <c r="C3" t="s">
        <v>453</v>
      </c>
      <c r="D3" s="1" t="s">
        <v>249</v>
      </c>
      <c r="E3" t="s">
        <v>448</v>
      </c>
      <c r="F3" t="s">
        <v>449</v>
      </c>
      <c r="G3" t="s">
        <v>449</v>
      </c>
      <c r="H3" s="1" t="s">
        <v>258</v>
      </c>
      <c r="I3" t="s">
        <v>450</v>
      </c>
      <c r="J3" t="s">
        <v>454</v>
      </c>
      <c r="K3" t="s">
        <v>475</v>
      </c>
      <c r="L3" s="1" t="s">
        <v>263</v>
      </c>
      <c r="M3" s="1" t="s">
        <v>266</v>
      </c>
      <c r="N3" t="s">
        <v>455</v>
      </c>
    </row>
    <row r="4" spans="1:15" x14ac:dyDescent="0.25">
      <c r="A4">
        <v>3</v>
      </c>
      <c r="B4">
        <v>1</v>
      </c>
      <c r="C4" t="s">
        <v>456</v>
      </c>
      <c r="D4" s="1" t="s">
        <v>255</v>
      </c>
      <c r="E4" t="s">
        <v>448</v>
      </c>
      <c r="F4" t="s">
        <v>457</v>
      </c>
      <c r="G4" t="s">
        <v>449</v>
      </c>
      <c r="H4" s="1" t="s">
        <v>258</v>
      </c>
      <c r="I4" t="s">
        <v>458</v>
      </c>
      <c r="J4" t="s">
        <v>454</v>
      </c>
      <c r="K4" t="s">
        <v>463</v>
      </c>
      <c r="L4" s="1" t="s">
        <v>263</v>
      </c>
      <c r="M4" s="1" t="s">
        <v>266</v>
      </c>
      <c r="N4" t="s">
        <v>567</v>
      </c>
    </row>
    <row r="5" spans="1:15" x14ac:dyDescent="0.25">
      <c r="A5">
        <v>4</v>
      </c>
      <c r="B5">
        <v>1</v>
      </c>
      <c r="C5" t="s">
        <v>459</v>
      </c>
      <c r="D5" s="1" t="s">
        <v>249</v>
      </c>
      <c r="E5" t="s">
        <v>460</v>
      </c>
      <c r="F5" t="s">
        <v>449</v>
      </c>
      <c r="G5" t="s">
        <v>449</v>
      </c>
      <c r="H5" s="1" t="s">
        <v>258</v>
      </c>
      <c r="I5" t="s">
        <v>461</v>
      </c>
      <c r="J5" t="s">
        <v>454</v>
      </c>
      <c r="K5" t="s">
        <v>462</v>
      </c>
      <c r="L5" s="1" t="s">
        <v>263</v>
      </c>
      <c r="M5" s="1" t="s">
        <v>266</v>
      </c>
    </row>
    <row r="6" spans="1:15" x14ac:dyDescent="0.25">
      <c r="A6">
        <v>5</v>
      </c>
      <c r="B6">
        <v>1</v>
      </c>
      <c r="C6" t="s">
        <v>464</v>
      </c>
      <c r="D6" s="1" t="s">
        <v>249</v>
      </c>
      <c r="E6" t="s">
        <v>460</v>
      </c>
      <c r="F6" t="s">
        <v>449</v>
      </c>
      <c r="G6" t="s">
        <v>449</v>
      </c>
      <c r="H6" s="1" t="s">
        <v>258</v>
      </c>
      <c r="I6" t="s">
        <v>461</v>
      </c>
      <c r="J6" t="s">
        <v>454</v>
      </c>
      <c r="K6" t="s">
        <v>476</v>
      </c>
      <c r="L6" s="1" t="s">
        <v>263</v>
      </c>
      <c r="M6" s="1" t="s">
        <v>266</v>
      </c>
    </row>
    <row r="7" spans="1:15" x14ac:dyDescent="0.25">
      <c r="A7">
        <v>6</v>
      </c>
      <c r="B7">
        <v>1</v>
      </c>
      <c r="C7" t="s">
        <v>466</v>
      </c>
      <c r="D7" s="1" t="s">
        <v>252</v>
      </c>
      <c r="E7" t="s">
        <v>467</v>
      </c>
      <c r="F7" t="s">
        <v>468</v>
      </c>
      <c r="G7" t="s">
        <v>449</v>
      </c>
      <c r="H7" s="1" t="s">
        <v>258</v>
      </c>
      <c r="I7" t="s">
        <v>465</v>
      </c>
      <c r="J7" t="s">
        <v>454</v>
      </c>
      <c r="K7" t="s">
        <v>477</v>
      </c>
      <c r="L7" s="1" t="s">
        <v>263</v>
      </c>
      <c r="M7" s="1" t="s">
        <v>266</v>
      </c>
    </row>
    <row r="8" spans="1:15" x14ac:dyDescent="0.25">
      <c r="A8">
        <v>7</v>
      </c>
      <c r="B8">
        <v>1</v>
      </c>
      <c r="C8" t="s">
        <v>469</v>
      </c>
      <c r="D8" s="1" t="s">
        <v>251</v>
      </c>
      <c r="E8" t="s">
        <v>470</v>
      </c>
      <c r="F8" t="s">
        <v>471</v>
      </c>
      <c r="G8" t="s">
        <v>671</v>
      </c>
      <c r="H8" s="1" t="s">
        <v>258</v>
      </c>
      <c r="I8" t="s">
        <v>473</v>
      </c>
      <c r="J8" t="s">
        <v>454</v>
      </c>
      <c r="K8" t="s">
        <v>474</v>
      </c>
      <c r="L8" s="1" t="s">
        <v>263</v>
      </c>
      <c r="M8" s="1" t="s">
        <v>266</v>
      </c>
    </row>
    <row r="9" spans="1:15" x14ac:dyDescent="0.25">
      <c r="A9" s="7"/>
      <c r="B9" s="7">
        <v>1</v>
      </c>
      <c r="C9" s="7"/>
      <c r="D9" s="7" t="s">
        <v>246</v>
      </c>
      <c r="E9" s="7" t="s">
        <v>470</v>
      </c>
      <c r="F9" s="7"/>
      <c r="G9" s="7"/>
      <c r="H9" s="7"/>
      <c r="I9" s="7"/>
      <c r="J9" s="7"/>
      <c r="K9" s="7"/>
      <c r="L9" s="7" t="s">
        <v>264</v>
      </c>
      <c r="M9" s="7"/>
      <c r="N9" s="7" t="s">
        <v>568</v>
      </c>
    </row>
    <row r="10" spans="1:15" x14ac:dyDescent="0.25">
      <c r="A10" s="7"/>
      <c r="B10" s="7">
        <v>1</v>
      </c>
      <c r="C10" s="7"/>
      <c r="D10" s="7" t="s">
        <v>247</v>
      </c>
      <c r="E10" s="7" t="s">
        <v>470</v>
      </c>
      <c r="F10" s="7"/>
      <c r="G10" s="7"/>
      <c r="H10" s="7"/>
      <c r="I10" s="7"/>
      <c r="J10" s="7"/>
      <c r="K10" s="7"/>
      <c r="L10" s="7" t="s">
        <v>264</v>
      </c>
      <c r="M10" s="7"/>
      <c r="N10" s="7" t="s">
        <v>568</v>
      </c>
    </row>
    <row r="11" spans="1:15" x14ac:dyDescent="0.25">
      <c r="A11" s="7"/>
      <c r="B11" s="7">
        <v>1</v>
      </c>
      <c r="C11" s="7"/>
      <c r="D11" s="7" t="s">
        <v>248</v>
      </c>
      <c r="E11" s="7" t="s">
        <v>470</v>
      </c>
      <c r="F11" s="7"/>
      <c r="G11" s="7"/>
      <c r="H11" s="7"/>
      <c r="I11" s="7"/>
      <c r="J11" s="7"/>
      <c r="K11" s="7"/>
      <c r="L11" s="7" t="s">
        <v>264</v>
      </c>
      <c r="M11" s="7"/>
      <c r="N11" s="7" t="s">
        <v>568</v>
      </c>
    </row>
    <row r="12" spans="1:15" x14ac:dyDescent="0.25">
      <c r="A12" s="4">
        <v>8</v>
      </c>
      <c r="B12" s="4">
        <v>2</v>
      </c>
      <c r="C12" s="4" t="s">
        <v>480</v>
      </c>
      <c r="D12" s="4" t="s">
        <v>247</v>
      </c>
      <c r="E12" s="4" t="s">
        <v>479</v>
      </c>
      <c r="F12" s="4" t="s">
        <v>449</v>
      </c>
      <c r="G12" s="4" t="s">
        <v>449</v>
      </c>
      <c r="H12" s="4" t="s">
        <v>258</v>
      </c>
      <c r="I12" s="4" t="s">
        <v>488</v>
      </c>
      <c r="J12" s="4" t="s">
        <v>454</v>
      </c>
      <c r="K12" s="4" t="s">
        <v>487</v>
      </c>
      <c r="L12" s="4" t="s">
        <v>262</v>
      </c>
      <c r="M12" s="4"/>
      <c r="N12" s="4"/>
    </row>
    <row r="13" spans="1:15" x14ac:dyDescent="0.25">
      <c r="A13" s="4">
        <v>9</v>
      </c>
      <c r="B13" s="4">
        <v>2</v>
      </c>
      <c r="C13" s="4" t="s">
        <v>481</v>
      </c>
      <c r="D13" s="4" t="s">
        <v>249</v>
      </c>
      <c r="E13" s="4" t="s">
        <v>479</v>
      </c>
      <c r="F13" s="4" t="s">
        <v>449</v>
      </c>
      <c r="G13" s="4" t="s">
        <v>449</v>
      </c>
      <c r="H13" s="4" t="s">
        <v>258</v>
      </c>
      <c r="I13" s="4" t="s">
        <v>489</v>
      </c>
      <c r="J13" s="4" t="s">
        <v>454</v>
      </c>
      <c r="K13" s="4" t="s">
        <v>490</v>
      </c>
      <c r="L13" s="4" t="s">
        <v>262</v>
      </c>
      <c r="M13" s="4"/>
      <c r="N13" s="4"/>
    </row>
    <row r="14" spans="1:15" x14ac:dyDescent="0.25">
      <c r="A14">
        <v>10</v>
      </c>
      <c r="B14">
        <v>2</v>
      </c>
      <c r="C14" t="s">
        <v>482</v>
      </c>
      <c r="D14" s="1" t="s">
        <v>249</v>
      </c>
      <c r="E14" t="s">
        <v>479</v>
      </c>
      <c r="F14" t="s">
        <v>449</v>
      </c>
      <c r="G14" t="s">
        <v>449</v>
      </c>
      <c r="H14" s="1" t="s">
        <v>258</v>
      </c>
      <c r="I14" t="s">
        <v>495</v>
      </c>
      <c r="J14" t="s">
        <v>454</v>
      </c>
      <c r="K14" t="s">
        <v>496</v>
      </c>
      <c r="L14" s="1" t="s">
        <v>263</v>
      </c>
      <c r="M14" s="1" t="s">
        <v>266</v>
      </c>
    </row>
    <row r="15" spans="1:15" x14ac:dyDescent="0.25">
      <c r="A15">
        <v>11</v>
      </c>
      <c r="B15">
        <v>2</v>
      </c>
      <c r="C15" t="s">
        <v>483</v>
      </c>
      <c r="D15" s="1" t="s">
        <v>255</v>
      </c>
      <c r="E15" t="s">
        <v>479</v>
      </c>
      <c r="F15" t="s">
        <v>449</v>
      </c>
      <c r="G15" t="s">
        <v>449</v>
      </c>
      <c r="H15" s="1" t="s">
        <v>258</v>
      </c>
      <c r="I15" t="s">
        <v>497</v>
      </c>
      <c r="J15" t="s">
        <v>454</v>
      </c>
      <c r="K15" t="s">
        <v>498</v>
      </c>
      <c r="L15" s="1" t="s">
        <v>263</v>
      </c>
      <c r="M15" s="1" t="s">
        <v>266</v>
      </c>
    </row>
    <row r="16" spans="1:15" x14ac:dyDescent="0.25">
      <c r="A16">
        <v>12</v>
      </c>
      <c r="B16">
        <v>2</v>
      </c>
      <c r="C16" t="s">
        <v>484</v>
      </c>
      <c r="D16" s="1" t="s">
        <v>251</v>
      </c>
      <c r="E16" t="s">
        <v>479</v>
      </c>
      <c r="F16">
        <v>2025</v>
      </c>
      <c r="G16" t="s">
        <v>449</v>
      </c>
      <c r="H16" s="1" t="s">
        <v>258</v>
      </c>
      <c r="I16" t="s">
        <v>499</v>
      </c>
      <c r="J16" t="s">
        <v>454</v>
      </c>
      <c r="K16" t="s">
        <v>500</v>
      </c>
      <c r="L16" s="1" t="s">
        <v>263</v>
      </c>
      <c r="M16" s="1" t="s">
        <v>266</v>
      </c>
    </row>
    <row r="17" spans="1:15" x14ac:dyDescent="0.25">
      <c r="A17">
        <v>13</v>
      </c>
      <c r="B17">
        <v>2</v>
      </c>
      <c r="C17" t="s">
        <v>485</v>
      </c>
      <c r="D17" s="1" t="s">
        <v>254</v>
      </c>
      <c r="E17" t="s">
        <v>479</v>
      </c>
      <c r="F17" t="s">
        <v>502</v>
      </c>
      <c r="G17" t="s">
        <v>449</v>
      </c>
      <c r="H17" s="1" t="s">
        <v>258</v>
      </c>
      <c r="I17" t="s">
        <v>501</v>
      </c>
      <c r="J17" t="s">
        <v>454</v>
      </c>
      <c r="K17" t="s">
        <v>503</v>
      </c>
      <c r="L17" s="1" t="s">
        <v>263</v>
      </c>
      <c r="M17" s="1" t="s">
        <v>270</v>
      </c>
    </row>
    <row r="18" spans="1:15" x14ac:dyDescent="0.25">
      <c r="A18">
        <v>14</v>
      </c>
      <c r="B18">
        <v>2</v>
      </c>
      <c r="C18" t="s">
        <v>486</v>
      </c>
      <c r="D18" s="1" t="s">
        <v>252</v>
      </c>
      <c r="E18" t="s">
        <v>479</v>
      </c>
      <c r="F18" t="s">
        <v>506</v>
      </c>
      <c r="G18" t="s">
        <v>449</v>
      </c>
      <c r="H18" s="1"/>
      <c r="I18" t="s">
        <v>504</v>
      </c>
      <c r="J18" t="s">
        <v>454</v>
      </c>
      <c r="K18" t="s">
        <v>505</v>
      </c>
      <c r="L18" s="1" t="s">
        <v>263</v>
      </c>
      <c r="M18" s="1" t="s">
        <v>266</v>
      </c>
    </row>
    <row r="19" spans="1:15" x14ac:dyDescent="0.25">
      <c r="A19">
        <v>15</v>
      </c>
      <c r="B19">
        <v>2</v>
      </c>
      <c r="C19" t="s">
        <v>492</v>
      </c>
      <c r="D19" s="1" t="s">
        <v>253</v>
      </c>
      <c r="E19" t="s">
        <v>479</v>
      </c>
      <c r="F19" t="s">
        <v>449</v>
      </c>
      <c r="G19" t="s">
        <v>449</v>
      </c>
      <c r="H19" s="1" t="s">
        <v>258</v>
      </c>
      <c r="I19" t="s">
        <v>491</v>
      </c>
      <c r="J19" t="s">
        <v>454</v>
      </c>
      <c r="K19" t="s">
        <v>493</v>
      </c>
      <c r="L19" s="1" t="s">
        <v>263</v>
      </c>
      <c r="M19" s="1" t="s">
        <v>270</v>
      </c>
      <c r="N19" t="s">
        <v>494</v>
      </c>
    </row>
    <row r="20" spans="1:15" x14ac:dyDescent="0.25">
      <c r="A20" s="7"/>
      <c r="B20" s="7">
        <v>2</v>
      </c>
      <c r="C20" s="7"/>
      <c r="D20" s="7" t="s">
        <v>246</v>
      </c>
      <c r="E20" s="7" t="s">
        <v>479</v>
      </c>
      <c r="F20" s="7"/>
      <c r="G20" s="7"/>
      <c r="H20" s="7"/>
      <c r="I20" s="7"/>
      <c r="J20" s="7"/>
      <c r="K20" s="7"/>
      <c r="L20" s="7" t="s">
        <v>264</v>
      </c>
      <c r="M20" s="7"/>
      <c r="N20" s="7" t="s">
        <v>569</v>
      </c>
    </row>
    <row r="21" spans="1:15" x14ac:dyDescent="0.25">
      <c r="A21" s="7"/>
      <c r="B21" s="7">
        <v>2</v>
      </c>
      <c r="C21" s="7"/>
      <c r="D21" s="7" t="s">
        <v>248</v>
      </c>
      <c r="E21" s="7" t="s">
        <v>479</v>
      </c>
      <c r="F21" s="7"/>
      <c r="G21" s="7"/>
      <c r="H21" s="7"/>
      <c r="I21" s="7"/>
      <c r="J21" s="7"/>
      <c r="K21" s="7"/>
      <c r="L21" s="7" t="s">
        <v>264</v>
      </c>
      <c r="M21" s="7"/>
      <c r="N21" s="7" t="s">
        <v>569</v>
      </c>
    </row>
    <row r="22" spans="1:15" x14ac:dyDescent="0.25">
      <c r="A22" s="4">
        <v>16</v>
      </c>
      <c r="B22" s="4">
        <v>3</v>
      </c>
      <c r="C22" s="4" t="s">
        <v>508</v>
      </c>
      <c r="D22" s="4" t="s">
        <v>248</v>
      </c>
      <c r="E22" s="4" t="s">
        <v>514</v>
      </c>
      <c r="F22" s="4" t="s">
        <v>449</v>
      </c>
      <c r="G22" s="4" t="s">
        <v>449</v>
      </c>
      <c r="H22" s="4" t="s">
        <v>258</v>
      </c>
      <c r="I22" s="4" t="s">
        <v>516</v>
      </c>
      <c r="J22" s="4" t="s">
        <v>454</v>
      </c>
      <c r="K22" s="4" t="s">
        <v>517</v>
      </c>
      <c r="L22" s="4" t="s">
        <v>262</v>
      </c>
      <c r="M22" s="4"/>
      <c r="N22" s="4"/>
      <c r="O22" t="s">
        <v>1363</v>
      </c>
    </row>
    <row r="23" spans="1:15" x14ac:dyDescent="0.25">
      <c r="A23" s="4">
        <v>17</v>
      </c>
      <c r="B23" s="4">
        <v>3</v>
      </c>
      <c r="C23" s="4" t="s">
        <v>509</v>
      </c>
      <c r="D23" s="4" t="s">
        <v>249</v>
      </c>
      <c r="E23" s="4" t="s">
        <v>514</v>
      </c>
      <c r="F23" s="4">
        <v>2025</v>
      </c>
      <c r="G23" s="4" t="s">
        <v>449</v>
      </c>
      <c r="H23" s="4" t="s">
        <v>258</v>
      </c>
      <c r="I23" s="4" t="s">
        <v>518</v>
      </c>
      <c r="J23" s="4" t="s">
        <v>454</v>
      </c>
      <c r="K23" s="4" t="s">
        <v>519</v>
      </c>
      <c r="L23" s="4" t="s">
        <v>262</v>
      </c>
      <c r="M23" s="4"/>
      <c r="N23" s="4"/>
      <c r="O23" t="s">
        <v>1363</v>
      </c>
    </row>
    <row r="24" spans="1:15" x14ac:dyDescent="0.25">
      <c r="A24" s="4">
        <v>18</v>
      </c>
      <c r="B24" s="4">
        <v>3</v>
      </c>
      <c r="C24" s="4" t="s">
        <v>510</v>
      </c>
      <c r="D24" s="4" t="s">
        <v>255</v>
      </c>
      <c r="E24" s="4" t="s">
        <v>514</v>
      </c>
      <c r="F24" s="4">
        <v>2025</v>
      </c>
      <c r="G24" s="4" t="s">
        <v>449</v>
      </c>
      <c r="H24" s="4" t="s">
        <v>258</v>
      </c>
      <c r="I24" s="4" t="s">
        <v>520</v>
      </c>
      <c r="J24" s="4" t="s">
        <v>454</v>
      </c>
      <c r="K24" s="4" t="s">
        <v>521</v>
      </c>
      <c r="L24" s="4" t="s">
        <v>262</v>
      </c>
      <c r="M24" s="4"/>
      <c r="N24" s="4"/>
    </row>
    <row r="25" spans="1:15" x14ac:dyDescent="0.25">
      <c r="A25">
        <v>19</v>
      </c>
      <c r="B25">
        <v>3</v>
      </c>
      <c r="C25" t="s">
        <v>511</v>
      </c>
      <c r="D25" s="1" t="s">
        <v>255</v>
      </c>
      <c r="E25" t="s">
        <v>514</v>
      </c>
      <c r="F25" s="8">
        <v>43221</v>
      </c>
      <c r="G25" t="s">
        <v>523</v>
      </c>
      <c r="H25" s="1" t="s">
        <v>258</v>
      </c>
      <c r="I25" t="s">
        <v>522</v>
      </c>
      <c r="J25" t="s">
        <v>454</v>
      </c>
      <c r="K25" t="s">
        <v>524</v>
      </c>
      <c r="L25" s="1" t="s">
        <v>263</v>
      </c>
      <c r="M25" s="1" t="s">
        <v>267</v>
      </c>
    </row>
    <row r="26" spans="1:15" x14ac:dyDescent="0.25">
      <c r="A26">
        <v>20</v>
      </c>
      <c r="B26">
        <v>3</v>
      </c>
      <c r="C26" t="s">
        <v>512</v>
      </c>
      <c r="D26" s="1" t="s">
        <v>251</v>
      </c>
      <c r="E26" t="s">
        <v>514</v>
      </c>
      <c r="F26">
        <v>2023</v>
      </c>
      <c r="G26" t="s">
        <v>449</v>
      </c>
      <c r="H26" s="1" t="s">
        <v>258</v>
      </c>
      <c r="I26" t="s">
        <v>525</v>
      </c>
      <c r="J26" t="s">
        <v>454</v>
      </c>
      <c r="K26" t="s">
        <v>526</v>
      </c>
      <c r="L26" s="1" t="s">
        <v>263</v>
      </c>
      <c r="M26" s="1" t="s">
        <v>267</v>
      </c>
    </row>
    <row r="27" spans="1:15" x14ac:dyDescent="0.25">
      <c r="A27" s="4">
        <v>21</v>
      </c>
      <c r="B27" s="4">
        <v>3</v>
      </c>
      <c r="C27" s="4" t="s">
        <v>513</v>
      </c>
      <c r="D27" s="4" t="s">
        <v>248</v>
      </c>
      <c r="E27" s="4" t="s">
        <v>515</v>
      </c>
      <c r="F27" s="4" t="s">
        <v>449</v>
      </c>
      <c r="G27" s="4" t="s">
        <v>449</v>
      </c>
      <c r="H27" s="4" t="s">
        <v>258</v>
      </c>
      <c r="I27" s="4" t="s">
        <v>527</v>
      </c>
      <c r="J27" s="4" t="s">
        <v>454</v>
      </c>
      <c r="K27" s="4" t="s">
        <v>528</v>
      </c>
      <c r="L27" s="4" t="s">
        <v>262</v>
      </c>
      <c r="M27" s="4"/>
      <c r="N27" s="4" t="s">
        <v>529</v>
      </c>
    </row>
    <row r="28" spans="1:15" x14ac:dyDescent="0.25">
      <c r="A28" s="7"/>
      <c r="B28" s="7">
        <v>3</v>
      </c>
      <c r="C28" s="7"/>
      <c r="D28" s="7" t="s">
        <v>246</v>
      </c>
      <c r="E28" s="7" t="s">
        <v>514</v>
      </c>
      <c r="F28" s="7"/>
      <c r="G28" s="7"/>
      <c r="H28" s="7"/>
      <c r="I28" s="7"/>
      <c r="J28" s="7"/>
      <c r="K28" s="7"/>
      <c r="L28" s="7" t="s">
        <v>264</v>
      </c>
      <c r="M28" s="7"/>
      <c r="N28" s="7" t="s">
        <v>570</v>
      </c>
    </row>
    <row r="29" spans="1:15" x14ac:dyDescent="0.25">
      <c r="A29" s="7"/>
      <c r="B29" s="7">
        <v>3</v>
      </c>
      <c r="C29" s="7"/>
      <c r="D29" s="7" t="s">
        <v>247</v>
      </c>
      <c r="E29" s="7" t="s">
        <v>514</v>
      </c>
      <c r="F29" s="7"/>
      <c r="G29" s="7"/>
      <c r="H29" s="7"/>
      <c r="I29" s="7"/>
      <c r="J29" s="7"/>
      <c r="K29" s="7"/>
      <c r="L29" s="7" t="s">
        <v>264</v>
      </c>
      <c r="M29" s="7"/>
      <c r="N29" s="7" t="s">
        <v>570</v>
      </c>
    </row>
    <row r="30" spans="1:15" x14ac:dyDescent="0.25">
      <c r="A30" s="4">
        <v>22</v>
      </c>
      <c r="B30" s="4">
        <v>4</v>
      </c>
      <c r="C30" s="4" t="s">
        <v>531</v>
      </c>
      <c r="D30" s="4" t="s">
        <v>248</v>
      </c>
      <c r="E30" s="4" t="s">
        <v>536</v>
      </c>
      <c r="F30" s="4" t="s">
        <v>449</v>
      </c>
      <c r="G30" s="4" t="s">
        <v>449</v>
      </c>
      <c r="H30" s="4" t="s">
        <v>258</v>
      </c>
      <c r="I30" s="4" t="s">
        <v>537</v>
      </c>
      <c r="J30" s="4" t="s">
        <v>454</v>
      </c>
      <c r="K30" s="4" t="s">
        <v>538</v>
      </c>
      <c r="L30" s="4" t="s">
        <v>262</v>
      </c>
      <c r="M30" s="4"/>
      <c r="N30" s="4"/>
      <c r="O30" t="s">
        <v>1363</v>
      </c>
    </row>
    <row r="31" spans="1:15" x14ac:dyDescent="0.25">
      <c r="A31" s="4">
        <v>23</v>
      </c>
      <c r="B31" s="4">
        <v>4</v>
      </c>
      <c r="C31" s="4" t="s">
        <v>532</v>
      </c>
      <c r="D31" s="4" t="s">
        <v>249</v>
      </c>
      <c r="E31" s="4" t="s">
        <v>536</v>
      </c>
      <c r="F31" s="4" t="s">
        <v>449</v>
      </c>
      <c r="G31" s="4" t="s">
        <v>449</v>
      </c>
      <c r="H31" s="4" t="s">
        <v>258</v>
      </c>
      <c r="I31" s="4" t="s">
        <v>539</v>
      </c>
      <c r="J31" s="4" t="s">
        <v>454</v>
      </c>
      <c r="K31" s="4" t="s">
        <v>540</v>
      </c>
      <c r="L31" s="4" t="s">
        <v>262</v>
      </c>
      <c r="M31" s="4"/>
      <c r="N31" s="4"/>
      <c r="O31" t="s">
        <v>1363</v>
      </c>
    </row>
    <row r="32" spans="1:15" x14ac:dyDescent="0.25">
      <c r="A32" s="4">
        <v>24</v>
      </c>
      <c r="B32" s="4">
        <v>4</v>
      </c>
      <c r="C32" s="4" t="s">
        <v>533</v>
      </c>
      <c r="D32" s="4" t="s">
        <v>255</v>
      </c>
      <c r="E32" s="4" t="s">
        <v>536</v>
      </c>
      <c r="F32" s="4" t="s">
        <v>449</v>
      </c>
      <c r="G32" s="4" t="s">
        <v>449</v>
      </c>
      <c r="H32" s="4" t="s">
        <v>258</v>
      </c>
      <c r="I32" s="4" t="s">
        <v>541</v>
      </c>
      <c r="J32" s="4" t="s">
        <v>454</v>
      </c>
      <c r="K32" s="4" t="s">
        <v>542</v>
      </c>
      <c r="L32" s="4" t="s">
        <v>262</v>
      </c>
      <c r="M32" s="4"/>
      <c r="N32" s="4"/>
    </row>
    <row r="33" spans="1:15" x14ac:dyDescent="0.25">
      <c r="A33">
        <v>25</v>
      </c>
      <c r="B33">
        <v>4</v>
      </c>
      <c r="C33" t="s">
        <v>534</v>
      </c>
      <c r="D33" s="1" t="s">
        <v>255</v>
      </c>
      <c r="E33" t="s">
        <v>536</v>
      </c>
      <c r="F33" t="s">
        <v>449</v>
      </c>
      <c r="G33" t="s">
        <v>449</v>
      </c>
      <c r="H33" s="1" t="s">
        <v>258</v>
      </c>
      <c r="I33" t="s">
        <v>543</v>
      </c>
      <c r="J33" t="s">
        <v>454</v>
      </c>
      <c r="K33" t="s">
        <v>544</v>
      </c>
      <c r="L33" s="1" t="s">
        <v>263</v>
      </c>
      <c r="M33" s="1" t="s">
        <v>266</v>
      </c>
    </row>
    <row r="34" spans="1:15" x14ac:dyDescent="0.25">
      <c r="A34">
        <v>26</v>
      </c>
      <c r="B34">
        <v>4</v>
      </c>
      <c r="C34" t="s">
        <v>535</v>
      </c>
      <c r="D34" s="1" t="s">
        <v>249</v>
      </c>
      <c r="E34" t="s">
        <v>536</v>
      </c>
      <c r="F34" s="8">
        <v>45474</v>
      </c>
      <c r="G34" t="s">
        <v>449</v>
      </c>
      <c r="H34" s="1" t="s">
        <v>258</v>
      </c>
      <c r="I34" t="s">
        <v>545</v>
      </c>
      <c r="J34" t="s">
        <v>454</v>
      </c>
      <c r="K34" t="s">
        <v>546</v>
      </c>
      <c r="L34" s="1" t="s">
        <v>263</v>
      </c>
      <c r="M34" s="1" t="s">
        <v>266</v>
      </c>
    </row>
    <row r="35" spans="1:15" x14ac:dyDescent="0.25">
      <c r="A35" s="7"/>
      <c r="B35" s="7">
        <v>4</v>
      </c>
      <c r="C35" s="7"/>
      <c r="D35" s="7" t="s">
        <v>246</v>
      </c>
      <c r="E35" s="7" t="s">
        <v>536</v>
      </c>
      <c r="F35" s="7"/>
      <c r="G35" s="7"/>
      <c r="H35" s="7"/>
      <c r="I35" s="7"/>
      <c r="J35" s="7"/>
      <c r="K35" s="7"/>
      <c r="L35" s="7" t="s">
        <v>264</v>
      </c>
      <c r="M35" s="7"/>
      <c r="N35" s="7" t="s">
        <v>570</v>
      </c>
    </row>
    <row r="36" spans="1:15" x14ac:dyDescent="0.25">
      <c r="A36" s="7"/>
      <c r="B36" s="7">
        <v>4</v>
      </c>
      <c r="C36" s="7"/>
      <c r="D36" s="7" t="s">
        <v>247</v>
      </c>
      <c r="E36" s="7" t="s">
        <v>536</v>
      </c>
      <c r="F36" s="7"/>
      <c r="G36" s="7"/>
      <c r="H36" s="7"/>
      <c r="I36" s="7"/>
      <c r="J36" s="7"/>
      <c r="K36" s="7"/>
      <c r="L36" s="7" t="s">
        <v>264</v>
      </c>
      <c r="M36" s="7"/>
      <c r="N36" s="7" t="s">
        <v>570</v>
      </c>
    </row>
    <row r="37" spans="1:15" x14ac:dyDescent="0.25">
      <c r="A37" s="4">
        <v>27</v>
      </c>
      <c r="B37" s="4">
        <v>5</v>
      </c>
      <c r="C37" s="4" t="s">
        <v>550</v>
      </c>
      <c r="D37" s="4" t="s">
        <v>246</v>
      </c>
      <c r="E37" s="4" t="s">
        <v>547</v>
      </c>
      <c r="F37" s="4" t="s">
        <v>449</v>
      </c>
      <c r="G37" s="4" t="s">
        <v>449</v>
      </c>
      <c r="H37" s="4" t="s">
        <v>258</v>
      </c>
      <c r="I37" s="4" t="s">
        <v>548</v>
      </c>
      <c r="J37" s="4" t="s">
        <v>454</v>
      </c>
      <c r="K37" s="4" t="s">
        <v>549</v>
      </c>
      <c r="L37" s="4" t="s">
        <v>262</v>
      </c>
      <c r="M37" s="4"/>
      <c r="N37" s="4"/>
      <c r="O37" t="s">
        <v>1363</v>
      </c>
    </row>
    <row r="38" spans="1:15" x14ac:dyDescent="0.25">
      <c r="A38" s="4">
        <v>28</v>
      </c>
      <c r="B38" s="4">
        <v>5</v>
      </c>
      <c r="C38" s="4" t="s">
        <v>551</v>
      </c>
      <c r="D38" s="4" t="s">
        <v>247</v>
      </c>
      <c r="E38" s="4" t="s">
        <v>547</v>
      </c>
      <c r="F38" s="4" t="s">
        <v>558</v>
      </c>
      <c r="G38" s="4" t="s">
        <v>557</v>
      </c>
      <c r="H38" s="4" t="s">
        <v>258</v>
      </c>
      <c r="I38" s="4" t="s">
        <v>555</v>
      </c>
      <c r="J38" s="4" t="s">
        <v>454</v>
      </c>
      <c r="K38" s="4" t="s">
        <v>556</v>
      </c>
      <c r="L38" s="4" t="s">
        <v>262</v>
      </c>
      <c r="M38" s="4"/>
      <c r="N38" s="4"/>
      <c r="O38" t="s">
        <v>1363</v>
      </c>
    </row>
    <row r="39" spans="1:15" x14ac:dyDescent="0.25">
      <c r="A39" s="4">
        <v>29</v>
      </c>
      <c r="B39" s="4">
        <v>5</v>
      </c>
      <c r="C39" s="4" t="s">
        <v>552</v>
      </c>
      <c r="D39" s="4" t="s">
        <v>249</v>
      </c>
      <c r="E39" s="4" t="s">
        <v>547</v>
      </c>
      <c r="F39" s="4" t="s">
        <v>449</v>
      </c>
      <c r="G39" s="4" t="s">
        <v>449</v>
      </c>
      <c r="H39" s="4" t="s">
        <v>258</v>
      </c>
      <c r="I39" s="4" t="s">
        <v>559</v>
      </c>
      <c r="J39" s="4" t="s">
        <v>454</v>
      </c>
      <c r="K39" s="4" t="s">
        <v>560</v>
      </c>
      <c r="L39" s="4" t="s">
        <v>263</v>
      </c>
      <c r="M39" s="4" t="s">
        <v>266</v>
      </c>
      <c r="N39" s="4" t="s">
        <v>2982</v>
      </c>
    </row>
    <row r="40" spans="1:15" x14ac:dyDescent="0.25">
      <c r="A40" s="4">
        <v>30</v>
      </c>
      <c r="B40" s="4">
        <v>5</v>
      </c>
      <c r="C40" s="4" t="s">
        <v>553</v>
      </c>
      <c r="D40" s="4" t="s">
        <v>248</v>
      </c>
      <c r="E40" s="4" t="s">
        <v>547</v>
      </c>
      <c r="F40" s="4" t="s">
        <v>449</v>
      </c>
      <c r="G40" s="4" t="s">
        <v>449</v>
      </c>
      <c r="H40" s="4" t="s">
        <v>258</v>
      </c>
      <c r="I40" s="4" t="s">
        <v>561</v>
      </c>
      <c r="J40" s="4" t="s">
        <v>454</v>
      </c>
      <c r="K40" s="4" t="s">
        <v>562</v>
      </c>
      <c r="L40" s="4" t="s">
        <v>262</v>
      </c>
      <c r="M40" s="4"/>
      <c r="N40" s="4"/>
    </row>
    <row r="41" spans="1:15" x14ac:dyDescent="0.25">
      <c r="A41" s="4">
        <v>31</v>
      </c>
      <c r="B41" s="4">
        <v>5</v>
      </c>
      <c r="C41" s="4" t="s">
        <v>554</v>
      </c>
      <c r="D41" s="4" t="s">
        <v>255</v>
      </c>
      <c r="E41" s="4" t="s">
        <v>547</v>
      </c>
      <c r="F41" s="9">
        <v>45261</v>
      </c>
      <c r="G41" s="4" t="s">
        <v>449</v>
      </c>
      <c r="H41" s="4" t="s">
        <v>258</v>
      </c>
      <c r="I41" s="4" t="s">
        <v>563</v>
      </c>
      <c r="J41" s="4" t="s">
        <v>454</v>
      </c>
      <c r="K41" s="4" t="s">
        <v>565</v>
      </c>
      <c r="L41" s="4" t="s">
        <v>262</v>
      </c>
      <c r="M41" s="4"/>
      <c r="N41" s="4" t="s">
        <v>564</v>
      </c>
    </row>
    <row r="42" spans="1:15" x14ac:dyDescent="0.25">
      <c r="A42" s="4">
        <v>32</v>
      </c>
      <c r="B42" s="4">
        <v>6</v>
      </c>
      <c r="C42" s="4" t="s">
        <v>572</v>
      </c>
      <c r="D42" s="4" t="s">
        <v>249</v>
      </c>
      <c r="E42" s="4" t="s">
        <v>576</v>
      </c>
      <c r="F42" s="4">
        <v>2024</v>
      </c>
      <c r="G42" s="4" t="s">
        <v>449</v>
      </c>
      <c r="H42" s="4" t="s">
        <v>258</v>
      </c>
      <c r="I42" s="4" t="s">
        <v>577</v>
      </c>
      <c r="J42" s="4" t="s">
        <v>454</v>
      </c>
      <c r="K42" s="4" t="s">
        <v>578</v>
      </c>
      <c r="L42" s="4" t="s">
        <v>263</v>
      </c>
      <c r="M42" s="4" t="s">
        <v>266</v>
      </c>
      <c r="N42" s="4" t="s">
        <v>1619</v>
      </c>
      <c r="O42" t="s">
        <v>1363</v>
      </c>
    </row>
    <row r="43" spans="1:15" x14ac:dyDescent="0.25">
      <c r="A43">
        <v>33</v>
      </c>
      <c r="B43">
        <v>6</v>
      </c>
      <c r="C43" t="s">
        <v>573</v>
      </c>
      <c r="D43" s="1" t="s">
        <v>250</v>
      </c>
      <c r="E43" t="s">
        <v>576</v>
      </c>
      <c r="F43">
        <v>2023</v>
      </c>
      <c r="G43" t="s">
        <v>449</v>
      </c>
      <c r="H43" s="1" t="s">
        <v>258</v>
      </c>
      <c r="I43" t="s">
        <v>579</v>
      </c>
      <c r="J43" t="s">
        <v>454</v>
      </c>
      <c r="K43" t="s">
        <v>580</v>
      </c>
      <c r="L43" s="1" t="s">
        <v>263</v>
      </c>
      <c r="M43" s="1" t="s">
        <v>266</v>
      </c>
    </row>
    <row r="44" spans="1:15" x14ac:dyDescent="0.25">
      <c r="A44" s="4">
        <v>34</v>
      </c>
      <c r="B44" s="4">
        <v>6</v>
      </c>
      <c r="C44" s="4" t="s">
        <v>574</v>
      </c>
      <c r="D44" s="4" t="s">
        <v>252</v>
      </c>
      <c r="E44" s="4" t="s">
        <v>576</v>
      </c>
      <c r="F44" s="4">
        <v>2024</v>
      </c>
      <c r="G44" s="4" t="s">
        <v>449</v>
      </c>
      <c r="H44" s="4" t="s">
        <v>258</v>
      </c>
      <c r="I44" s="4" t="s">
        <v>581</v>
      </c>
      <c r="J44" s="4" t="s">
        <v>454</v>
      </c>
      <c r="K44" s="4" t="s">
        <v>584</v>
      </c>
      <c r="L44" s="4" t="s">
        <v>262</v>
      </c>
      <c r="M44" s="4"/>
      <c r="N44" s="4"/>
      <c r="O44" t="s">
        <v>1363</v>
      </c>
    </row>
    <row r="45" spans="1:15" x14ac:dyDescent="0.25">
      <c r="A45" s="4">
        <v>36</v>
      </c>
      <c r="B45" s="4">
        <v>6</v>
      </c>
      <c r="C45" s="4" t="s">
        <v>575</v>
      </c>
      <c r="D45" s="4" t="s">
        <v>255</v>
      </c>
      <c r="E45" s="4" t="s">
        <v>576</v>
      </c>
      <c r="F45" s="4" t="s">
        <v>583</v>
      </c>
      <c r="G45" s="4" t="s">
        <v>449</v>
      </c>
      <c r="H45" s="4" t="s">
        <v>258</v>
      </c>
      <c r="I45" s="4" t="s">
        <v>582</v>
      </c>
      <c r="J45" s="4" t="s">
        <v>454</v>
      </c>
      <c r="K45" s="4" t="s">
        <v>1361</v>
      </c>
      <c r="L45" s="4" t="s">
        <v>262</v>
      </c>
      <c r="M45" s="4"/>
      <c r="N45" s="4" t="s">
        <v>564</v>
      </c>
    </row>
    <row r="46" spans="1:15" x14ac:dyDescent="0.25">
      <c r="A46" s="7"/>
      <c r="B46" s="7">
        <v>6</v>
      </c>
      <c r="C46" s="7"/>
      <c r="D46" s="7" t="s">
        <v>246</v>
      </c>
      <c r="E46" s="7" t="s">
        <v>576</v>
      </c>
      <c r="F46" s="7"/>
      <c r="G46" s="7"/>
      <c r="H46" s="7"/>
      <c r="I46" s="7"/>
      <c r="J46" s="7"/>
      <c r="K46" s="7"/>
      <c r="L46" s="7" t="s">
        <v>264</v>
      </c>
      <c r="M46" s="7"/>
      <c r="N46" s="7" t="s">
        <v>568</v>
      </c>
    </row>
    <row r="47" spans="1:15" x14ac:dyDescent="0.25">
      <c r="A47" s="7"/>
      <c r="B47" s="7">
        <v>6</v>
      </c>
      <c r="C47" s="7"/>
      <c r="D47" s="7" t="s">
        <v>247</v>
      </c>
      <c r="E47" s="7" t="s">
        <v>576</v>
      </c>
      <c r="F47" s="7"/>
      <c r="G47" s="7"/>
      <c r="H47" s="7"/>
      <c r="I47" s="7"/>
      <c r="J47" s="7"/>
      <c r="K47" s="7"/>
      <c r="L47" s="7" t="s">
        <v>264</v>
      </c>
      <c r="M47" s="7"/>
      <c r="N47" s="7" t="s">
        <v>568</v>
      </c>
    </row>
    <row r="48" spans="1:15" x14ac:dyDescent="0.25">
      <c r="A48" s="7"/>
      <c r="B48" s="7">
        <v>6</v>
      </c>
      <c r="C48" s="7"/>
      <c r="D48" s="7" t="s">
        <v>248</v>
      </c>
      <c r="E48" s="7" t="s">
        <v>576</v>
      </c>
      <c r="F48" s="7"/>
      <c r="G48" s="7"/>
      <c r="H48" s="7"/>
      <c r="I48" s="7"/>
      <c r="J48" s="7"/>
      <c r="K48" s="7"/>
      <c r="L48" s="7" t="s">
        <v>264</v>
      </c>
      <c r="M48" s="7"/>
      <c r="N48" s="7" t="s">
        <v>568</v>
      </c>
    </row>
    <row r="49" spans="1:15" x14ac:dyDescent="0.25">
      <c r="A49" s="4">
        <v>37</v>
      </c>
      <c r="B49" s="4">
        <v>7</v>
      </c>
      <c r="C49" s="4" t="s">
        <v>586</v>
      </c>
      <c r="D49" s="4" t="s">
        <v>246</v>
      </c>
      <c r="E49" s="4" t="s">
        <v>591</v>
      </c>
      <c r="F49" s="4" t="s">
        <v>592</v>
      </c>
      <c r="G49" s="4" t="s">
        <v>449</v>
      </c>
      <c r="H49" s="4" t="s">
        <v>258</v>
      </c>
      <c r="I49" s="4" t="s">
        <v>593</v>
      </c>
      <c r="J49" s="4" t="s">
        <v>454</v>
      </c>
      <c r="K49" s="4" t="s">
        <v>594</v>
      </c>
      <c r="L49" s="4" t="s">
        <v>262</v>
      </c>
      <c r="M49" s="4"/>
      <c r="N49" s="4"/>
      <c r="O49" t="s">
        <v>1363</v>
      </c>
    </row>
    <row r="50" spans="1:15" x14ac:dyDescent="0.25">
      <c r="A50" s="4">
        <v>38</v>
      </c>
      <c r="B50" s="4">
        <v>7</v>
      </c>
      <c r="C50" s="4" t="s">
        <v>587</v>
      </c>
      <c r="D50" s="4" t="s">
        <v>248</v>
      </c>
      <c r="E50" s="4" t="s">
        <v>591</v>
      </c>
      <c r="F50" s="4" t="s">
        <v>596</v>
      </c>
      <c r="G50" s="4" t="s">
        <v>449</v>
      </c>
      <c r="H50" s="4" t="s">
        <v>258</v>
      </c>
      <c r="I50" s="4" t="s">
        <v>595</v>
      </c>
      <c r="J50" s="4" t="s">
        <v>454</v>
      </c>
      <c r="K50" s="4" t="s">
        <v>597</v>
      </c>
      <c r="L50" s="4" t="s">
        <v>262</v>
      </c>
      <c r="M50" s="4"/>
      <c r="N50" s="4"/>
      <c r="O50" t="s">
        <v>1363</v>
      </c>
    </row>
    <row r="51" spans="1:15" x14ac:dyDescent="0.25">
      <c r="A51">
        <v>39</v>
      </c>
      <c r="B51">
        <v>7</v>
      </c>
      <c r="C51" t="s">
        <v>588</v>
      </c>
      <c r="D51" s="1" t="s">
        <v>249</v>
      </c>
      <c r="E51" t="s">
        <v>591</v>
      </c>
      <c r="F51" t="s">
        <v>599</v>
      </c>
      <c r="G51" t="s">
        <v>449</v>
      </c>
      <c r="H51" s="1" t="s">
        <v>258</v>
      </c>
      <c r="I51" t="s">
        <v>598</v>
      </c>
      <c r="J51" t="s">
        <v>454</v>
      </c>
      <c r="K51" t="s">
        <v>600</v>
      </c>
      <c r="L51" s="1" t="s">
        <v>263</v>
      </c>
      <c r="M51" s="1" t="s">
        <v>266</v>
      </c>
    </row>
    <row r="52" spans="1:15" x14ac:dyDescent="0.25">
      <c r="A52">
        <v>40</v>
      </c>
      <c r="B52">
        <v>7</v>
      </c>
      <c r="C52" t="s">
        <v>590</v>
      </c>
      <c r="D52" s="1" t="s">
        <v>249</v>
      </c>
      <c r="E52" t="s">
        <v>591</v>
      </c>
      <c r="F52" t="s">
        <v>599</v>
      </c>
      <c r="G52" t="s">
        <v>449</v>
      </c>
      <c r="H52" s="1" t="s">
        <v>258</v>
      </c>
      <c r="I52" t="s">
        <v>601</v>
      </c>
      <c r="J52" t="s">
        <v>454</v>
      </c>
      <c r="K52" t="s">
        <v>602</v>
      </c>
      <c r="L52" s="1" t="s">
        <v>263</v>
      </c>
      <c r="M52" s="1" t="s">
        <v>266</v>
      </c>
    </row>
    <row r="53" spans="1:15" x14ac:dyDescent="0.25">
      <c r="A53">
        <v>41</v>
      </c>
      <c r="B53">
        <v>7</v>
      </c>
      <c r="C53" t="s">
        <v>589</v>
      </c>
      <c r="D53" s="1" t="s">
        <v>250</v>
      </c>
      <c r="E53" t="s">
        <v>591</v>
      </c>
      <c r="F53" t="s">
        <v>449</v>
      </c>
      <c r="G53" t="s">
        <v>449</v>
      </c>
      <c r="H53" s="1" t="s">
        <v>258</v>
      </c>
      <c r="I53" t="s">
        <v>603</v>
      </c>
      <c r="J53" t="s">
        <v>454</v>
      </c>
      <c r="K53" t="s">
        <v>604</v>
      </c>
      <c r="L53" s="1" t="s">
        <v>263</v>
      </c>
      <c r="M53" s="1" t="s">
        <v>266</v>
      </c>
    </row>
    <row r="54" spans="1:15" x14ac:dyDescent="0.25">
      <c r="A54" s="7"/>
      <c r="B54" s="7">
        <v>7</v>
      </c>
      <c r="C54" s="7"/>
      <c r="D54" s="7" t="s">
        <v>247</v>
      </c>
      <c r="E54" s="7" t="s">
        <v>591</v>
      </c>
      <c r="F54" s="7"/>
      <c r="G54" s="7"/>
      <c r="H54" s="7"/>
      <c r="I54" s="7"/>
      <c r="J54" s="7"/>
      <c r="K54" s="7"/>
      <c r="L54" s="7" t="s">
        <v>264</v>
      </c>
      <c r="M54" s="7"/>
      <c r="N54" s="7" t="s">
        <v>605</v>
      </c>
    </row>
    <row r="55" spans="1:15" x14ac:dyDescent="0.25">
      <c r="A55">
        <v>42</v>
      </c>
      <c r="B55">
        <v>8</v>
      </c>
      <c r="C55" t="s">
        <v>609</v>
      </c>
      <c r="D55" s="1" t="s">
        <v>249</v>
      </c>
      <c r="E55" t="s">
        <v>607</v>
      </c>
      <c r="F55">
        <v>2024</v>
      </c>
      <c r="G55" t="s">
        <v>449</v>
      </c>
      <c r="H55" s="1" t="s">
        <v>258</v>
      </c>
      <c r="I55" t="s">
        <v>613</v>
      </c>
      <c r="J55" t="s">
        <v>608</v>
      </c>
      <c r="K55" t="s">
        <v>614</v>
      </c>
      <c r="L55" s="1" t="s">
        <v>263</v>
      </c>
      <c r="M55" s="1" t="s">
        <v>266</v>
      </c>
      <c r="N55" t="s">
        <v>622</v>
      </c>
    </row>
    <row r="56" spans="1:15" x14ac:dyDescent="0.25">
      <c r="A56">
        <v>43</v>
      </c>
      <c r="B56">
        <v>8</v>
      </c>
      <c r="C56" t="s">
        <v>610</v>
      </c>
      <c r="D56" s="1" t="s">
        <v>249</v>
      </c>
      <c r="E56" t="s">
        <v>607</v>
      </c>
      <c r="F56">
        <v>2023</v>
      </c>
      <c r="G56" t="s">
        <v>449</v>
      </c>
      <c r="H56" s="1" t="s">
        <v>258</v>
      </c>
      <c r="I56" t="s">
        <v>615</v>
      </c>
      <c r="J56" t="s">
        <v>608</v>
      </c>
      <c r="K56" t="s">
        <v>617</v>
      </c>
      <c r="L56" s="1" t="s">
        <v>263</v>
      </c>
      <c r="M56" s="1" t="s">
        <v>266</v>
      </c>
      <c r="N56" t="s">
        <v>623</v>
      </c>
    </row>
    <row r="57" spans="1:15" x14ac:dyDescent="0.25">
      <c r="A57">
        <v>44</v>
      </c>
      <c r="B57">
        <v>8</v>
      </c>
      <c r="C57" t="s">
        <v>611</v>
      </c>
      <c r="D57" s="1" t="s">
        <v>251</v>
      </c>
      <c r="E57" t="s">
        <v>607</v>
      </c>
      <c r="F57" t="s">
        <v>449</v>
      </c>
      <c r="G57" t="s">
        <v>449</v>
      </c>
      <c r="H57" s="1" t="s">
        <v>258</v>
      </c>
      <c r="I57" t="s">
        <v>616</v>
      </c>
      <c r="J57" t="s">
        <v>608</v>
      </c>
      <c r="K57" t="s">
        <v>618</v>
      </c>
      <c r="L57" s="1" t="s">
        <v>263</v>
      </c>
      <c r="M57" s="1" t="s">
        <v>266</v>
      </c>
      <c r="N57" t="s">
        <v>624</v>
      </c>
    </row>
    <row r="58" spans="1:15" x14ac:dyDescent="0.25">
      <c r="A58">
        <v>45</v>
      </c>
      <c r="B58">
        <v>8</v>
      </c>
      <c r="C58" t="s">
        <v>612</v>
      </c>
      <c r="D58" s="1" t="s">
        <v>254</v>
      </c>
      <c r="E58" t="s">
        <v>607</v>
      </c>
      <c r="F58" t="s">
        <v>620</v>
      </c>
      <c r="G58" t="s">
        <v>449</v>
      </c>
      <c r="H58" s="1" t="s">
        <v>258</v>
      </c>
      <c r="I58" t="s">
        <v>619</v>
      </c>
      <c r="J58" t="s">
        <v>608</v>
      </c>
      <c r="K58" t="s">
        <v>621</v>
      </c>
      <c r="L58" s="1" t="s">
        <v>263</v>
      </c>
      <c r="M58" s="1" t="s">
        <v>270</v>
      </c>
    </row>
    <row r="59" spans="1:15" x14ac:dyDescent="0.25">
      <c r="A59" s="7"/>
      <c r="B59" s="7">
        <v>8</v>
      </c>
      <c r="C59" s="7"/>
      <c r="D59" s="7" t="s">
        <v>246</v>
      </c>
      <c r="E59" s="7" t="s">
        <v>607</v>
      </c>
      <c r="F59" s="7"/>
      <c r="G59" s="7"/>
      <c r="H59" s="7"/>
      <c r="I59" s="7"/>
      <c r="J59" s="7"/>
      <c r="K59" s="7"/>
      <c r="L59" s="7" t="s">
        <v>264</v>
      </c>
      <c r="M59" s="7"/>
      <c r="N59" s="7" t="s">
        <v>625</v>
      </c>
    </row>
    <row r="60" spans="1:15" x14ac:dyDescent="0.25">
      <c r="A60" s="7"/>
      <c r="B60" s="7">
        <v>8</v>
      </c>
      <c r="C60" s="7"/>
      <c r="D60" s="7" t="s">
        <v>247</v>
      </c>
      <c r="E60" s="7" t="s">
        <v>607</v>
      </c>
      <c r="F60" s="7"/>
      <c r="G60" s="7"/>
      <c r="H60" s="7"/>
      <c r="I60" s="7"/>
      <c r="J60" s="7"/>
      <c r="K60" s="7"/>
      <c r="L60" s="7" t="s">
        <v>264</v>
      </c>
      <c r="M60" s="7"/>
      <c r="N60" s="7" t="s">
        <v>625</v>
      </c>
    </row>
    <row r="61" spans="1:15" x14ac:dyDescent="0.25">
      <c r="A61" s="7"/>
      <c r="B61" s="7">
        <v>8</v>
      </c>
      <c r="C61" s="7"/>
      <c r="D61" s="7" t="s">
        <v>248</v>
      </c>
      <c r="E61" s="7" t="s">
        <v>607</v>
      </c>
      <c r="F61" s="7"/>
      <c r="G61" s="7"/>
      <c r="H61" s="7"/>
      <c r="I61" s="7"/>
      <c r="J61" s="7"/>
      <c r="K61" s="7"/>
      <c r="L61" s="7" t="s">
        <v>264</v>
      </c>
      <c r="M61" s="7"/>
      <c r="N61" s="7" t="s">
        <v>625</v>
      </c>
    </row>
    <row r="62" spans="1:15" x14ac:dyDescent="0.25">
      <c r="A62" s="4">
        <v>46</v>
      </c>
      <c r="B62" s="4">
        <v>9</v>
      </c>
      <c r="C62" s="4" t="s">
        <v>627</v>
      </c>
      <c r="D62" s="4" t="s">
        <v>246</v>
      </c>
      <c r="E62" s="4" t="s">
        <v>632</v>
      </c>
      <c r="F62" s="4" t="s">
        <v>633</v>
      </c>
      <c r="G62" s="4" t="s">
        <v>472</v>
      </c>
      <c r="H62" s="4" t="s">
        <v>259</v>
      </c>
      <c r="I62" s="4" t="s">
        <v>635</v>
      </c>
      <c r="J62" s="4" t="s">
        <v>608</v>
      </c>
      <c r="K62" s="4" t="s">
        <v>634</v>
      </c>
      <c r="L62" s="4" t="s">
        <v>262</v>
      </c>
      <c r="M62" s="4"/>
      <c r="N62" s="4" t="s">
        <v>647</v>
      </c>
    </row>
    <row r="63" spans="1:15" x14ac:dyDescent="0.25">
      <c r="A63">
        <v>47</v>
      </c>
      <c r="B63">
        <v>9</v>
      </c>
      <c r="C63" t="s">
        <v>628</v>
      </c>
      <c r="D63" s="1" t="s">
        <v>254</v>
      </c>
      <c r="E63" t="s">
        <v>632</v>
      </c>
      <c r="F63" t="s">
        <v>636</v>
      </c>
      <c r="G63" t="s">
        <v>449</v>
      </c>
      <c r="H63" s="1" t="s">
        <v>259</v>
      </c>
      <c r="I63" t="s">
        <v>637</v>
      </c>
      <c r="J63" t="s">
        <v>608</v>
      </c>
      <c r="K63" t="s">
        <v>638</v>
      </c>
      <c r="L63" s="1" t="s">
        <v>263</v>
      </c>
      <c r="M63" s="1" t="s">
        <v>270</v>
      </c>
    </row>
    <row r="64" spans="1:15" x14ac:dyDescent="0.25">
      <c r="A64" s="4">
        <v>48</v>
      </c>
      <c r="B64" s="4">
        <v>9</v>
      </c>
      <c r="C64" s="4" t="s">
        <v>629</v>
      </c>
      <c r="D64" s="4" t="s">
        <v>247</v>
      </c>
      <c r="E64" s="4" t="s">
        <v>632</v>
      </c>
      <c r="F64" s="4" t="s">
        <v>639</v>
      </c>
      <c r="G64" s="4" t="s">
        <v>472</v>
      </c>
      <c r="H64" s="4" t="s">
        <v>259</v>
      </c>
      <c r="I64" s="4" t="s">
        <v>640</v>
      </c>
      <c r="J64" s="4" t="s">
        <v>608</v>
      </c>
      <c r="K64" s="4" t="s">
        <v>641</v>
      </c>
      <c r="L64" s="4" t="s">
        <v>262</v>
      </c>
      <c r="M64" s="4"/>
      <c r="N64" s="4"/>
    </row>
    <row r="65" spans="1:14" x14ac:dyDescent="0.25">
      <c r="A65">
        <v>49</v>
      </c>
      <c r="B65">
        <v>9</v>
      </c>
      <c r="C65" t="s">
        <v>630</v>
      </c>
      <c r="D65" s="1" t="s">
        <v>249</v>
      </c>
      <c r="E65" t="s">
        <v>632</v>
      </c>
      <c r="F65">
        <v>2024</v>
      </c>
      <c r="G65" t="s">
        <v>643</v>
      </c>
      <c r="H65" s="1" t="s">
        <v>259</v>
      </c>
      <c r="I65" t="s">
        <v>642</v>
      </c>
      <c r="J65" t="s">
        <v>608</v>
      </c>
      <c r="K65" t="s">
        <v>644</v>
      </c>
      <c r="L65" s="1" t="s">
        <v>263</v>
      </c>
      <c r="M65" s="1" t="s">
        <v>266</v>
      </c>
    </row>
    <row r="66" spans="1:14" x14ac:dyDescent="0.25">
      <c r="A66">
        <v>50</v>
      </c>
      <c r="B66">
        <v>9</v>
      </c>
      <c r="C66" t="s">
        <v>631</v>
      </c>
      <c r="D66" s="1" t="s">
        <v>250</v>
      </c>
      <c r="E66" t="s">
        <v>632</v>
      </c>
      <c r="F66" t="s">
        <v>449</v>
      </c>
      <c r="G66" t="s">
        <v>449</v>
      </c>
      <c r="H66" s="1" t="s">
        <v>258</v>
      </c>
      <c r="I66" t="s">
        <v>645</v>
      </c>
      <c r="J66" t="s">
        <v>608</v>
      </c>
      <c r="K66" t="s">
        <v>646</v>
      </c>
      <c r="L66" s="1" t="s">
        <v>263</v>
      </c>
      <c r="M66" s="1" t="s">
        <v>266</v>
      </c>
    </row>
    <row r="67" spans="1:14" x14ac:dyDescent="0.25">
      <c r="A67">
        <v>51</v>
      </c>
      <c r="B67">
        <v>10</v>
      </c>
      <c r="C67" t="s">
        <v>648</v>
      </c>
      <c r="D67" s="1" t="s">
        <v>254</v>
      </c>
      <c r="E67" t="s">
        <v>649</v>
      </c>
      <c r="F67" t="s">
        <v>654</v>
      </c>
      <c r="G67" t="s">
        <v>449</v>
      </c>
      <c r="H67" s="1" t="s">
        <v>258</v>
      </c>
      <c r="I67" t="s">
        <v>658</v>
      </c>
      <c r="J67" t="s">
        <v>608</v>
      </c>
      <c r="K67" t="s">
        <v>659</v>
      </c>
      <c r="L67" s="1" t="s">
        <v>263</v>
      </c>
      <c r="M67" s="1" t="s">
        <v>270</v>
      </c>
    </row>
    <row r="68" spans="1:14" x14ac:dyDescent="0.25">
      <c r="A68" s="4">
        <v>52</v>
      </c>
      <c r="B68" s="4">
        <v>10</v>
      </c>
      <c r="C68" s="4" t="s">
        <v>650</v>
      </c>
      <c r="D68" s="4" t="s">
        <v>249</v>
      </c>
      <c r="E68" s="4" t="s">
        <v>649</v>
      </c>
      <c r="F68" s="9">
        <v>46023</v>
      </c>
      <c r="G68" s="9" t="s">
        <v>655</v>
      </c>
      <c r="H68" s="4" t="s">
        <v>258</v>
      </c>
      <c r="I68" s="4" t="s">
        <v>660</v>
      </c>
      <c r="J68" s="4" t="s">
        <v>608</v>
      </c>
      <c r="K68" s="4" t="s">
        <v>661</v>
      </c>
      <c r="L68" s="4" t="s">
        <v>262</v>
      </c>
      <c r="M68" s="4"/>
      <c r="N68" s="4"/>
    </row>
    <row r="69" spans="1:14" x14ac:dyDescent="0.25">
      <c r="A69" s="4">
        <v>53</v>
      </c>
      <c r="B69" s="4">
        <v>10</v>
      </c>
      <c r="C69" s="4" t="s">
        <v>651</v>
      </c>
      <c r="D69" s="4" t="s">
        <v>249</v>
      </c>
      <c r="E69" s="4" t="s">
        <v>649</v>
      </c>
      <c r="F69" s="4" t="s">
        <v>449</v>
      </c>
      <c r="G69" s="4" t="s">
        <v>656</v>
      </c>
      <c r="H69" s="4" t="s">
        <v>258</v>
      </c>
      <c r="I69" s="4" t="s">
        <v>662</v>
      </c>
      <c r="J69" s="4" t="s">
        <v>608</v>
      </c>
      <c r="K69" s="4" t="s">
        <v>663</v>
      </c>
      <c r="L69" s="4" t="s">
        <v>262</v>
      </c>
      <c r="M69" s="4"/>
      <c r="N69" s="4" t="s">
        <v>664</v>
      </c>
    </row>
    <row r="70" spans="1:14" x14ac:dyDescent="0.25">
      <c r="A70">
        <v>54</v>
      </c>
      <c r="B70">
        <v>10</v>
      </c>
      <c r="C70" t="s">
        <v>653</v>
      </c>
      <c r="D70" s="1" t="s">
        <v>254</v>
      </c>
      <c r="E70" t="s">
        <v>649</v>
      </c>
      <c r="F70" t="s">
        <v>666</v>
      </c>
      <c r="G70" t="s">
        <v>449</v>
      </c>
      <c r="H70" s="1" t="s">
        <v>258</v>
      </c>
      <c r="I70" t="s">
        <v>665</v>
      </c>
      <c r="J70" t="s">
        <v>608</v>
      </c>
      <c r="K70" t="s">
        <v>667</v>
      </c>
      <c r="L70" s="1" t="s">
        <v>263</v>
      </c>
      <c r="M70" s="1" t="s">
        <v>270</v>
      </c>
    </row>
    <row r="71" spans="1:14" x14ac:dyDescent="0.25">
      <c r="A71">
        <v>55</v>
      </c>
      <c r="B71">
        <v>10</v>
      </c>
      <c r="C71" t="s">
        <v>652</v>
      </c>
      <c r="D71" s="1" t="s">
        <v>251</v>
      </c>
      <c r="E71" t="s">
        <v>649</v>
      </c>
      <c r="F71">
        <v>2022</v>
      </c>
      <c r="G71" t="s">
        <v>449</v>
      </c>
      <c r="H71" s="1" t="s">
        <v>258</v>
      </c>
      <c r="I71" t="s">
        <v>668</v>
      </c>
      <c r="J71" t="s">
        <v>608</v>
      </c>
      <c r="K71" t="s">
        <v>669</v>
      </c>
      <c r="L71" s="1" t="s">
        <v>263</v>
      </c>
      <c r="M71" s="1" t="s">
        <v>267</v>
      </c>
      <c r="N71" t="s">
        <v>670</v>
      </c>
    </row>
    <row r="72" spans="1:14" x14ac:dyDescent="0.25">
      <c r="A72" s="7"/>
      <c r="B72" s="7">
        <v>10</v>
      </c>
      <c r="C72" s="7"/>
      <c r="D72" s="7" t="s">
        <v>246</v>
      </c>
      <c r="E72" s="7" t="s">
        <v>649</v>
      </c>
      <c r="F72" s="7"/>
      <c r="G72" s="7"/>
      <c r="H72" s="7"/>
      <c r="I72" s="7"/>
      <c r="J72" s="7"/>
      <c r="K72" s="7"/>
      <c r="L72" s="7" t="s">
        <v>264</v>
      </c>
      <c r="M72" s="7"/>
      <c r="N72" s="7" t="s">
        <v>625</v>
      </c>
    </row>
    <row r="73" spans="1:14" x14ac:dyDescent="0.25">
      <c r="A73" s="7"/>
      <c r="B73" s="7">
        <v>10</v>
      </c>
      <c r="C73" s="7"/>
      <c r="D73" s="7" t="s">
        <v>247</v>
      </c>
      <c r="E73" s="7" t="s">
        <v>649</v>
      </c>
      <c r="F73" s="7"/>
      <c r="G73" s="7"/>
      <c r="H73" s="7"/>
      <c r="I73" s="7"/>
      <c r="J73" s="7"/>
      <c r="K73" s="7"/>
      <c r="L73" s="7" t="s">
        <v>264</v>
      </c>
      <c r="M73" s="7"/>
      <c r="N73" s="7" t="s">
        <v>625</v>
      </c>
    </row>
    <row r="74" spans="1:14" x14ac:dyDescent="0.25">
      <c r="A74" s="7"/>
      <c r="B74" s="7">
        <v>10</v>
      </c>
      <c r="C74" s="7"/>
      <c r="D74" s="7" t="s">
        <v>248</v>
      </c>
      <c r="E74" s="7" t="s">
        <v>649</v>
      </c>
      <c r="F74" s="7"/>
      <c r="G74" s="7"/>
      <c r="H74" s="7"/>
      <c r="I74" s="7"/>
      <c r="J74" s="7"/>
      <c r="K74" s="7"/>
      <c r="L74" s="7" t="s">
        <v>264</v>
      </c>
      <c r="M74" s="7"/>
      <c r="N74" s="7" t="s">
        <v>625</v>
      </c>
    </row>
    <row r="75" spans="1:14" x14ac:dyDescent="0.25">
      <c r="A75" s="4">
        <v>56</v>
      </c>
      <c r="B75" s="4">
        <v>11</v>
      </c>
      <c r="C75" s="4" t="s">
        <v>673</v>
      </c>
      <c r="D75" s="4" t="s">
        <v>249</v>
      </c>
      <c r="E75" s="4" t="s">
        <v>679</v>
      </c>
      <c r="F75" s="4" t="s">
        <v>449</v>
      </c>
      <c r="G75" s="4" t="s">
        <v>449</v>
      </c>
      <c r="H75" s="4" t="s">
        <v>258</v>
      </c>
      <c r="I75" s="4" t="s">
        <v>680</v>
      </c>
      <c r="J75" s="4" t="s">
        <v>608</v>
      </c>
      <c r="K75" s="4" t="s">
        <v>685</v>
      </c>
      <c r="L75" s="4" t="s">
        <v>262</v>
      </c>
      <c r="M75" s="4"/>
      <c r="N75" s="4" t="s">
        <v>693</v>
      </c>
    </row>
    <row r="76" spans="1:14" x14ac:dyDescent="0.25">
      <c r="A76" s="4">
        <v>57</v>
      </c>
      <c r="B76" s="4">
        <v>11</v>
      </c>
      <c r="C76" s="4" t="s">
        <v>674</v>
      </c>
      <c r="D76" s="4" t="s">
        <v>246</v>
      </c>
      <c r="E76" s="4" t="s">
        <v>679</v>
      </c>
      <c r="F76" s="4" t="s">
        <v>686</v>
      </c>
      <c r="G76" s="4" t="s">
        <v>449</v>
      </c>
      <c r="H76" s="4" t="s">
        <v>258</v>
      </c>
      <c r="I76" s="4" t="s">
        <v>681</v>
      </c>
      <c r="J76" s="4" t="s">
        <v>608</v>
      </c>
      <c r="K76" s="4" t="s">
        <v>687</v>
      </c>
      <c r="L76" s="4" t="s">
        <v>262</v>
      </c>
      <c r="M76" s="4"/>
      <c r="N76" s="4" t="s">
        <v>694</v>
      </c>
    </row>
    <row r="77" spans="1:14" x14ac:dyDescent="0.25">
      <c r="A77">
        <v>58</v>
      </c>
      <c r="B77">
        <v>11</v>
      </c>
      <c r="C77" t="s">
        <v>675</v>
      </c>
      <c r="D77" s="1" t="s">
        <v>255</v>
      </c>
      <c r="E77" t="s">
        <v>679</v>
      </c>
      <c r="F77" s="8">
        <v>44866</v>
      </c>
      <c r="G77" t="s">
        <v>449</v>
      </c>
      <c r="H77" s="1" t="s">
        <v>258</v>
      </c>
      <c r="I77" t="s">
        <v>682</v>
      </c>
      <c r="J77" t="s">
        <v>608</v>
      </c>
      <c r="K77" t="s">
        <v>688</v>
      </c>
      <c r="L77" s="1" t="s">
        <v>263</v>
      </c>
      <c r="M77" s="1" t="s">
        <v>267</v>
      </c>
    </row>
    <row r="78" spans="1:14" x14ac:dyDescent="0.25">
      <c r="A78">
        <v>59</v>
      </c>
      <c r="B78">
        <v>11</v>
      </c>
      <c r="C78" t="s">
        <v>676</v>
      </c>
      <c r="D78" s="1" t="s">
        <v>249</v>
      </c>
      <c r="E78" t="s">
        <v>679</v>
      </c>
      <c r="F78" t="s">
        <v>449</v>
      </c>
      <c r="G78" t="s">
        <v>449</v>
      </c>
      <c r="H78" s="1" t="s">
        <v>258</v>
      </c>
      <c r="I78" t="s">
        <v>683</v>
      </c>
      <c r="J78" t="s">
        <v>608</v>
      </c>
      <c r="K78" t="s">
        <v>689</v>
      </c>
      <c r="L78" s="1" t="s">
        <v>263</v>
      </c>
      <c r="M78" s="1" t="s">
        <v>266</v>
      </c>
    </row>
    <row r="79" spans="1:14" x14ac:dyDescent="0.25">
      <c r="A79">
        <v>60</v>
      </c>
      <c r="B79">
        <v>11</v>
      </c>
      <c r="C79" t="s">
        <v>677</v>
      </c>
      <c r="D79" s="1" t="s">
        <v>255</v>
      </c>
      <c r="E79" t="s">
        <v>679</v>
      </c>
      <c r="F79" t="s">
        <v>449</v>
      </c>
      <c r="G79" t="s">
        <v>449</v>
      </c>
      <c r="H79" s="1" t="s">
        <v>258</v>
      </c>
      <c r="I79" t="s">
        <v>684</v>
      </c>
      <c r="J79" t="s">
        <v>608</v>
      </c>
      <c r="K79" t="s">
        <v>690</v>
      </c>
      <c r="L79" s="1" t="s">
        <v>263</v>
      </c>
      <c r="M79" s="1" t="s">
        <v>266</v>
      </c>
    </row>
    <row r="80" spans="1:14" x14ac:dyDescent="0.25">
      <c r="A80">
        <v>61</v>
      </c>
      <c r="B80">
        <v>11</v>
      </c>
      <c r="C80" t="s">
        <v>678</v>
      </c>
      <c r="D80" s="1" t="s">
        <v>250</v>
      </c>
      <c r="E80" t="s">
        <v>679</v>
      </c>
      <c r="F80" t="s">
        <v>449</v>
      </c>
      <c r="G80">
        <v>2024</v>
      </c>
      <c r="H80" s="1" t="s">
        <v>258</v>
      </c>
      <c r="I80" t="s">
        <v>691</v>
      </c>
      <c r="J80" t="s">
        <v>608</v>
      </c>
      <c r="K80" t="s">
        <v>692</v>
      </c>
      <c r="L80" s="1" t="s">
        <v>263</v>
      </c>
      <c r="M80" s="1" t="s">
        <v>266</v>
      </c>
    </row>
    <row r="81" spans="1:15" x14ac:dyDescent="0.25">
      <c r="A81" s="7"/>
      <c r="B81" s="7">
        <v>11</v>
      </c>
      <c r="C81" s="7"/>
      <c r="D81" s="7" t="s">
        <v>247</v>
      </c>
      <c r="E81" s="7" t="s">
        <v>679</v>
      </c>
      <c r="F81" s="7"/>
      <c r="G81" s="7"/>
      <c r="H81" s="7"/>
      <c r="I81" s="7"/>
      <c r="J81" s="7"/>
      <c r="K81" s="7"/>
      <c r="L81" s="7" t="s">
        <v>264</v>
      </c>
      <c r="M81" s="7"/>
      <c r="N81" s="7" t="s">
        <v>695</v>
      </c>
    </row>
    <row r="82" spans="1:15" x14ac:dyDescent="0.25">
      <c r="A82" s="7"/>
      <c r="B82" s="7">
        <v>11</v>
      </c>
      <c r="C82" s="7"/>
      <c r="D82" s="7" t="s">
        <v>248</v>
      </c>
      <c r="E82" s="7" t="s">
        <v>679</v>
      </c>
      <c r="F82" s="7"/>
      <c r="G82" s="7"/>
      <c r="H82" s="7"/>
      <c r="I82" s="7"/>
      <c r="J82" s="7"/>
      <c r="K82" s="7"/>
      <c r="L82" s="7" t="s">
        <v>264</v>
      </c>
      <c r="M82" s="7"/>
      <c r="N82" s="7" t="s">
        <v>695</v>
      </c>
    </row>
    <row r="83" spans="1:15" x14ac:dyDescent="0.25">
      <c r="A83" s="4">
        <v>62</v>
      </c>
      <c r="B83" s="4">
        <v>12</v>
      </c>
      <c r="C83" s="4" t="s">
        <v>696</v>
      </c>
      <c r="D83" s="4" t="s">
        <v>249</v>
      </c>
      <c r="E83" s="4" t="s">
        <v>697</v>
      </c>
      <c r="F83" s="9">
        <v>45778</v>
      </c>
      <c r="G83" s="4" t="s">
        <v>449</v>
      </c>
      <c r="H83" s="4" t="s">
        <v>258</v>
      </c>
      <c r="I83" s="4" t="s">
        <v>707</v>
      </c>
      <c r="J83" s="4" t="s">
        <v>608</v>
      </c>
      <c r="K83" s="4" t="s">
        <v>716</v>
      </c>
      <c r="L83" s="4" t="s">
        <v>262</v>
      </c>
      <c r="M83" s="4"/>
      <c r="N83" s="4" t="s">
        <v>717</v>
      </c>
      <c r="O83" t="s">
        <v>1363</v>
      </c>
    </row>
    <row r="84" spans="1:15" x14ac:dyDescent="0.25">
      <c r="A84">
        <v>63</v>
      </c>
      <c r="B84">
        <v>12</v>
      </c>
      <c r="C84" t="s">
        <v>698</v>
      </c>
      <c r="D84" s="1" t="s">
        <v>249</v>
      </c>
      <c r="E84" t="s">
        <v>697</v>
      </c>
      <c r="F84" t="s">
        <v>449</v>
      </c>
      <c r="G84" t="s">
        <v>449</v>
      </c>
      <c r="H84" s="1" t="s">
        <v>258</v>
      </c>
      <c r="I84" t="s">
        <v>709</v>
      </c>
      <c r="J84" t="s">
        <v>608</v>
      </c>
      <c r="K84" t="s">
        <v>718</v>
      </c>
      <c r="L84" s="1" t="s">
        <v>263</v>
      </c>
      <c r="M84" s="1" t="s">
        <v>266</v>
      </c>
    </row>
    <row r="85" spans="1:15" x14ac:dyDescent="0.25">
      <c r="A85" s="4">
        <v>64</v>
      </c>
      <c r="B85" s="4">
        <v>12</v>
      </c>
      <c r="C85" s="4" t="s">
        <v>699</v>
      </c>
      <c r="D85" s="4" t="s">
        <v>250</v>
      </c>
      <c r="E85" s="4" t="s">
        <v>697</v>
      </c>
      <c r="F85" s="4">
        <v>2023</v>
      </c>
      <c r="G85" s="4" t="s">
        <v>449</v>
      </c>
      <c r="H85" s="4" t="s">
        <v>258</v>
      </c>
      <c r="I85" s="4" t="s">
        <v>708</v>
      </c>
      <c r="J85" s="4" t="s">
        <v>608</v>
      </c>
      <c r="K85" s="4" t="s">
        <v>719</v>
      </c>
      <c r="L85" s="4" t="s">
        <v>262</v>
      </c>
      <c r="M85" s="4"/>
      <c r="N85" s="4" t="s">
        <v>720</v>
      </c>
    </row>
    <row r="86" spans="1:15" x14ac:dyDescent="0.25">
      <c r="A86">
        <v>65</v>
      </c>
      <c r="B86">
        <v>12</v>
      </c>
      <c r="C86" t="s">
        <v>700</v>
      </c>
      <c r="D86" s="1" t="s">
        <v>250</v>
      </c>
      <c r="E86" t="s">
        <v>697</v>
      </c>
      <c r="F86" t="s">
        <v>449</v>
      </c>
      <c r="G86" t="s">
        <v>449</v>
      </c>
      <c r="H86" s="1" t="s">
        <v>258</v>
      </c>
      <c r="I86" t="s">
        <v>711</v>
      </c>
      <c r="J86" t="s">
        <v>608</v>
      </c>
      <c r="K86" t="s">
        <v>721</v>
      </c>
      <c r="L86" s="1" t="s">
        <v>263</v>
      </c>
      <c r="M86" s="1" t="s">
        <v>266</v>
      </c>
    </row>
    <row r="87" spans="1:15" x14ac:dyDescent="0.25">
      <c r="A87">
        <v>66</v>
      </c>
      <c r="B87">
        <v>12</v>
      </c>
      <c r="C87" t="s">
        <v>701</v>
      </c>
      <c r="D87" s="1" t="s">
        <v>253</v>
      </c>
      <c r="E87" t="s">
        <v>697</v>
      </c>
      <c r="F87" t="s">
        <v>449</v>
      </c>
      <c r="G87" t="s">
        <v>449</v>
      </c>
      <c r="H87" s="1" t="s">
        <v>258</v>
      </c>
      <c r="I87" t="s">
        <v>710</v>
      </c>
      <c r="J87" t="s">
        <v>608</v>
      </c>
      <c r="K87" t="s">
        <v>722</v>
      </c>
      <c r="L87" s="1" t="s">
        <v>263</v>
      </c>
      <c r="M87" s="1" t="s">
        <v>269</v>
      </c>
      <c r="N87" t="s">
        <v>723</v>
      </c>
    </row>
    <row r="88" spans="1:15" x14ac:dyDescent="0.25">
      <c r="A88">
        <v>67</v>
      </c>
      <c r="B88">
        <v>12</v>
      </c>
      <c r="C88" t="s">
        <v>702</v>
      </c>
      <c r="D88" s="1" t="s">
        <v>253</v>
      </c>
      <c r="E88" t="s">
        <v>697</v>
      </c>
      <c r="F88" t="s">
        <v>449</v>
      </c>
      <c r="G88" t="s">
        <v>449</v>
      </c>
      <c r="H88" s="1" t="s">
        <v>258</v>
      </c>
      <c r="I88" t="s">
        <v>712</v>
      </c>
      <c r="J88" t="s">
        <v>608</v>
      </c>
      <c r="K88" t="s">
        <v>724</v>
      </c>
      <c r="L88" s="1" t="s">
        <v>263</v>
      </c>
      <c r="M88" s="1" t="s">
        <v>269</v>
      </c>
      <c r="N88" t="s">
        <v>725</v>
      </c>
    </row>
    <row r="89" spans="1:15" x14ac:dyDescent="0.25">
      <c r="A89">
        <v>68</v>
      </c>
      <c r="B89">
        <v>12</v>
      </c>
      <c r="C89" t="s">
        <v>703</v>
      </c>
      <c r="D89" s="1"/>
      <c r="E89" t="s">
        <v>697</v>
      </c>
      <c r="F89" t="s">
        <v>726</v>
      </c>
      <c r="G89" t="s">
        <v>449</v>
      </c>
      <c r="H89" s="1" t="s">
        <v>258</v>
      </c>
      <c r="I89" t="s">
        <v>713</v>
      </c>
      <c r="J89" t="s">
        <v>608</v>
      </c>
      <c r="K89" t="s">
        <v>727</v>
      </c>
      <c r="L89" s="1" t="s">
        <v>263</v>
      </c>
      <c r="M89" s="1" t="s">
        <v>269</v>
      </c>
    </row>
    <row r="90" spans="1:15" x14ac:dyDescent="0.25">
      <c r="A90" s="4">
        <v>69</v>
      </c>
      <c r="B90" s="4">
        <v>12</v>
      </c>
      <c r="C90" s="4" t="s">
        <v>704</v>
      </c>
      <c r="D90" s="4" t="s">
        <v>247</v>
      </c>
      <c r="E90" s="4" t="s">
        <v>697</v>
      </c>
      <c r="F90" s="9">
        <v>44348</v>
      </c>
      <c r="G90" s="4" t="s">
        <v>449</v>
      </c>
      <c r="H90" s="4" t="s">
        <v>258</v>
      </c>
      <c r="I90" s="4" t="s">
        <v>714</v>
      </c>
      <c r="J90" s="4" t="s">
        <v>608</v>
      </c>
      <c r="K90" s="4" t="s">
        <v>728</v>
      </c>
      <c r="L90" s="4" t="s">
        <v>262</v>
      </c>
      <c r="M90" s="4"/>
      <c r="N90" s="4"/>
      <c r="O90" t="s">
        <v>1363</v>
      </c>
    </row>
    <row r="91" spans="1:15" x14ac:dyDescent="0.25">
      <c r="A91" s="4">
        <v>70</v>
      </c>
      <c r="B91" s="4">
        <v>12</v>
      </c>
      <c r="C91" s="4" t="s">
        <v>705</v>
      </c>
      <c r="D91" s="4" t="s">
        <v>247</v>
      </c>
      <c r="E91" s="4" t="s">
        <v>697</v>
      </c>
      <c r="F91" s="4" t="s">
        <v>449</v>
      </c>
      <c r="G91" s="4" t="s">
        <v>449</v>
      </c>
      <c r="H91" s="4" t="s">
        <v>258</v>
      </c>
      <c r="I91" s="4" t="s">
        <v>715</v>
      </c>
      <c r="J91" s="4" t="s">
        <v>608</v>
      </c>
      <c r="K91" s="4" t="s">
        <v>729</v>
      </c>
      <c r="L91" s="4" t="s">
        <v>262</v>
      </c>
      <c r="M91" s="4"/>
      <c r="N91" s="4"/>
    </row>
    <row r="92" spans="1:15" x14ac:dyDescent="0.25">
      <c r="A92">
        <v>71</v>
      </c>
      <c r="B92">
        <v>13</v>
      </c>
      <c r="C92" t="s">
        <v>731</v>
      </c>
      <c r="D92" s="1" t="s">
        <v>255</v>
      </c>
      <c r="E92" t="s">
        <v>732</v>
      </c>
      <c r="F92" s="8">
        <v>43983</v>
      </c>
      <c r="G92" t="s">
        <v>449</v>
      </c>
      <c r="H92" s="1" t="s">
        <v>258</v>
      </c>
      <c r="I92" t="s">
        <v>742</v>
      </c>
      <c r="J92" t="s">
        <v>608</v>
      </c>
      <c r="K92" t="s">
        <v>747</v>
      </c>
      <c r="L92" s="1" t="s">
        <v>263</v>
      </c>
      <c r="M92" s="1" t="s">
        <v>267</v>
      </c>
    </row>
    <row r="93" spans="1:15" x14ac:dyDescent="0.25">
      <c r="A93">
        <v>72</v>
      </c>
      <c r="B93">
        <v>13</v>
      </c>
      <c r="C93" t="s">
        <v>733</v>
      </c>
      <c r="D93" s="1" t="s">
        <v>255</v>
      </c>
      <c r="E93" t="s">
        <v>732</v>
      </c>
      <c r="F93" t="s">
        <v>745</v>
      </c>
      <c r="G93" t="s">
        <v>449</v>
      </c>
      <c r="H93" s="1" t="s">
        <v>258</v>
      </c>
      <c r="I93" t="s">
        <v>743</v>
      </c>
      <c r="J93" t="s">
        <v>608</v>
      </c>
      <c r="K93" t="s">
        <v>746</v>
      </c>
      <c r="L93" s="1" t="s">
        <v>263</v>
      </c>
      <c r="M93" s="1"/>
    </row>
    <row r="94" spans="1:15" x14ac:dyDescent="0.25">
      <c r="A94" s="4">
        <v>73</v>
      </c>
      <c r="B94" s="4">
        <v>13</v>
      </c>
      <c r="C94" s="4" t="s">
        <v>734</v>
      </c>
      <c r="D94" s="4" t="s">
        <v>255</v>
      </c>
      <c r="E94" s="4" t="s">
        <v>732</v>
      </c>
      <c r="F94" s="4" t="s">
        <v>749</v>
      </c>
      <c r="G94" s="4" t="s">
        <v>449</v>
      </c>
      <c r="H94" s="4" t="s">
        <v>258</v>
      </c>
      <c r="I94" s="4" t="s">
        <v>748</v>
      </c>
      <c r="J94" s="4" t="s">
        <v>608</v>
      </c>
      <c r="K94" s="4" t="s">
        <v>750</v>
      </c>
      <c r="L94" s="4" t="s">
        <v>262</v>
      </c>
      <c r="M94" s="4"/>
      <c r="N94" s="4" t="s">
        <v>767</v>
      </c>
    </row>
    <row r="95" spans="1:15" x14ac:dyDescent="0.25">
      <c r="A95" s="4">
        <v>74</v>
      </c>
      <c r="B95" s="4">
        <v>13</v>
      </c>
      <c r="C95" s="4" t="s">
        <v>735</v>
      </c>
      <c r="D95" s="4" t="s">
        <v>255</v>
      </c>
      <c r="E95" s="4" t="s">
        <v>732</v>
      </c>
      <c r="F95" s="4" t="s">
        <v>752</v>
      </c>
      <c r="G95" s="4" t="s">
        <v>736</v>
      </c>
      <c r="H95" s="4" t="s">
        <v>258</v>
      </c>
      <c r="I95" s="4" t="s">
        <v>751</v>
      </c>
      <c r="J95" s="4" t="s">
        <v>608</v>
      </c>
      <c r="K95" s="4" t="s">
        <v>753</v>
      </c>
      <c r="L95" s="4" t="s">
        <v>262</v>
      </c>
      <c r="M95" s="4"/>
      <c r="N95" s="4" t="s">
        <v>766</v>
      </c>
    </row>
    <row r="96" spans="1:15" x14ac:dyDescent="0.25">
      <c r="A96">
        <v>75</v>
      </c>
      <c r="B96">
        <v>13</v>
      </c>
      <c r="C96" t="s">
        <v>737</v>
      </c>
      <c r="D96" s="1" t="s">
        <v>249</v>
      </c>
      <c r="E96" t="s">
        <v>732</v>
      </c>
      <c r="F96" t="s">
        <v>449</v>
      </c>
      <c r="G96" t="s">
        <v>449</v>
      </c>
      <c r="H96" s="1" t="s">
        <v>258</v>
      </c>
      <c r="I96" t="s">
        <v>754</v>
      </c>
      <c r="J96" t="s">
        <v>608</v>
      </c>
      <c r="K96" t="s">
        <v>755</v>
      </c>
      <c r="L96" s="1" t="s">
        <v>263</v>
      </c>
      <c r="M96" s="1" t="s">
        <v>266</v>
      </c>
    </row>
    <row r="97" spans="1:14" x14ac:dyDescent="0.25">
      <c r="A97">
        <v>76</v>
      </c>
      <c r="B97">
        <v>13</v>
      </c>
      <c r="C97" t="s">
        <v>738</v>
      </c>
      <c r="D97" s="1" t="s">
        <v>249</v>
      </c>
      <c r="E97" t="s">
        <v>732</v>
      </c>
      <c r="F97" t="s">
        <v>757</v>
      </c>
      <c r="G97" t="s">
        <v>449</v>
      </c>
      <c r="H97" s="1" t="s">
        <v>258</v>
      </c>
      <c r="I97" t="s">
        <v>756</v>
      </c>
      <c r="J97" t="s">
        <v>608</v>
      </c>
      <c r="K97" t="s">
        <v>758</v>
      </c>
      <c r="L97" s="1" t="s">
        <v>263</v>
      </c>
      <c r="M97" s="1" t="s">
        <v>266</v>
      </c>
    </row>
    <row r="98" spans="1:14" x14ac:dyDescent="0.25">
      <c r="A98">
        <v>77</v>
      </c>
      <c r="B98">
        <v>13</v>
      </c>
      <c r="C98" t="s">
        <v>739</v>
      </c>
      <c r="D98" s="1" t="s">
        <v>250</v>
      </c>
      <c r="E98" t="s">
        <v>732</v>
      </c>
      <c r="F98" t="s">
        <v>760</v>
      </c>
      <c r="G98" t="s">
        <v>449</v>
      </c>
      <c r="H98" s="1" t="s">
        <v>258</v>
      </c>
      <c r="I98" t="s">
        <v>759</v>
      </c>
      <c r="J98" t="s">
        <v>608</v>
      </c>
      <c r="K98" t="s">
        <v>761</v>
      </c>
      <c r="L98" s="1" t="s">
        <v>263</v>
      </c>
      <c r="M98" s="1" t="s">
        <v>266</v>
      </c>
    </row>
    <row r="99" spans="1:14" x14ac:dyDescent="0.25">
      <c r="A99">
        <v>78</v>
      </c>
      <c r="B99">
        <v>13</v>
      </c>
      <c r="C99" t="s">
        <v>740</v>
      </c>
      <c r="D99" s="1" t="s">
        <v>253</v>
      </c>
      <c r="E99" t="s">
        <v>732</v>
      </c>
      <c r="F99" t="s">
        <v>449</v>
      </c>
      <c r="G99" t="s">
        <v>449</v>
      </c>
      <c r="H99" s="1" t="s">
        <v>257</v>
      </c>
      <c r="I99" t="s">
        <v>762</v>
      </c>
      <c r="J99" t="s">
        <v>608</v>
      </c>
      <c r="K99" t="s">
        <v>763</v>
      </c>
      <c r="L99" s="1" t="s">
        <v>263</v>
      </c>
      <c r="M99" s="1" t="s">
        <v>266</v>
      </c>
    </row>
    <row r="100" spans="1:14" x14ac:dyDescent="0.25">
      <c r="A100">
        <v>79</v>
      </c>
      <c r="B100">
        <v>13</v>
      </c>
      <c r="C100" t="s">
        <v>741</v>
      </c>
      <c r="D100" s="1" t="s">
        <v>254</v>
      </c>
      <c r="E100" t="s">
        <v>732</v>
      </c>
      <c r="F100" t="s">
        <v>764</v>
      </c>
      <c r="G100" t="s">
        <v>449</v>
      </c>
      <c r="H100" s="1" t="s">
        <v>258</v>
      </c>
      <c r="I100" t="s">
        <v>744</v>
      </c>
      <c r="J100" t="s">
        <v>608</v>
      </c>
      <c r="K100" t="s">
        <v>765</v>
      </c>
      <c r="L100" s="1" t="s">
        <v>263</v>
      </c>
      <c r="M100" s="1" t="s">
        <v>270</v>
      </c>
    </row>
    <row r="101" spans="1:14" x14ac:dyDescent="0.25">
      <c r="A101" s="7"/>
      <c r="B101" s="7">
        <v>13</v>
      </c>
      <c r="C101" s="7"/>
      <c r="D101" s="7" t="s">
        <v>246</v>
      </c>
      <c r="E101" s="7" t="s">
        <v>732</v>
      </c>
      <c r="F101" s="7"/>
      <c r="G101" s="7"/>
      <c r="H101" s="7"/>
      <c r="I101" s="7"/>
      <c r="J101" s="7"/>
      <c r="K101" s="7"/>
      <c r="L101" s="7" t="s">
        <v>264</v>
      </c>
      <c r="M101" s="7"/>
      <c r="N101" s="7" t="s">
        <v>625</v>
      </c>
    </row>
    <row r="102" spans="1:14" x14ac:dyDescent="0.25">
      <c r="A102" s="7"/>
      <c r="B102" s="7">
        <v>13</v>
      </c>
      <c r="C102" s="7"/>
      <c r="D102" s="7" t="s">
        <v>247</v>
      </c>
      <c r="E102" s="7" t="s">
        <v>732</v>
      </c>
      <c r="F102" s="7"/>
      <c r="G102" s="7"/>
      <c r="H102" s="7"/>
      <c r="I102" s="7"/>
      <c r="J102" s="7"/>
      <c r="K102" s="7"/>
      <c r="L102" s="7" t="s">
        <v>264</v>
      </c>
      <c r="M102" s="7"/>
      <c r="N102" s="7" t="s">
        <v>625</v>
      </c>
    </row>
    <row r="103" spans="1:14" x14ac:dyDescent="0.25">
      <c r="A103" s="7"/>
      <c r="B103" s="7">
        <v>13</v>
      </c>
      <c r="C103" s="7"/>
      <c r="D103" s="7" t="s">
        <v>248</v>
      </c>
      <c r="E103" s="7" t="s">
        <v>732</v>
      </c>
      <c r="F103" s="7"/>
      <c r="G103" s="7"/>
      <c r="H103" s="7"/>
      <c r="I103" s="7"/>
      <c r="J103" s="7"/>
      <c r="K103" s="7"/>
      <c r="L103" s="7" t="s">
        <v>264</v>
      </c>
      <c r="M103" s="7"/>
      <c r="N103" s="7" t="s">
        <v>625</v>
      </c>
    </row>
    <row r="104" spans="1:14" x14ac:dyDescent="0.25">
      <c r="A104">
        <v>80</v>
      </c>
      <c r="B104">
        <v>14</v>
      </c>
      <c r="C104" t="s">
        <v>770</v>
      </c>
      <c r="D104" s="1" t="s">
        <v>255</v>
      </c>
      <c r="E104" t="s">
        <v>769</v>
      </c>
      <c r="F104" t="s">
        <v>449</v>
      </c>
      <c r="G104" t="s">
        <v>449</v>
      </c>
      <c r="H104" s="1" t="s">
        <v>258</v>
      </c>
      <c r="I104" t="s">
        <v>778</v>
      </c>
      <c r="J104" t="s">
        <v>768</v>
      </c>
      <c r="K104" t="s">
        <v>784</v>
      </c>
      <c r="L104" s="1" t="s">
        <v>263</v>
      </c>
      <c r="M104" s="1" t="s">
        <v>266</v>
      </c>
    </row>
    <row r="105" spans="1:14" x14ac:dyDescent="0.25">
      <c r="A105">
        <v>81</v>
      </c>
      <c r="B105">
        <v>14</v>
      </c>
      <c r="C105" t="s">
        <v>771</v>
      </c>
      <c r="D105" s="1" t="s">
        <v>255</v>
      </c>
      <c r="E105" t="s">
        <v>769</v>
      </c>
      <c r="F105" s="8">
        <v>45870</v>
      </c>
      <c r="G105" t="s">
        <v>777</v>
      </c>
      <c r="H105" s="1" t="s">
        <v>258</v>
      </c>
      <c r="I105" t="s">
        <v>780</v>
      </c>
      <c r="J105" t="s">
        <v>768</v>
      </c>
      <c r="K105" t="s">
        <v>785</v>
      </c>
      <c r="L105" s="1" t="s">
        <v>263</v>
      </c>
      <c r="M105" s="1" t="s">
        <v>266</v>
      </c>
    </row>
    <row r="106" spans="1:14" x14ac:dyDescent="0.25">
      <c r="A106">
        <v>82</v>
      </c>
      <c r="B106">
        <v>14</v>
      </c>
      <c r="C106" t="s">
        <v>772</v>
      </c>
      <c r="D106" s="1" t="s">
        <v>249</v>
      </c>
      <c r="E106" t="s">
        <v>769</v>
      </c>
      <c r="F106" t="s">
        <v>449</v>
      </c>
      <c r="G106" t="s">
        <v>449</v>
      </c>
      <c r="H106" s="1" t="s">
        <v>258</v>
      </c>
      <c r="I106" t="s">
        <v>779</v>
      </c>
      <c r="J106" t="s">
        <v>768</v>
      </c>
      <c r="K106" t="s">
        <v>788</v>
      </c>
      <c r="L106" s="1" t="s">
        <v>263</v>
      </c>
      <c r="M106" s="1" t="s">
        <v>266</v>
      </c>
    </row>
    <row r="107" spans="1:14" x14ac:dyDescent="0.25">
      <c r="A107">
        <v>83</v>
      </c>
      <c r="B107">
        <v>14</v>
      </c>
      <c r="C107" t="s">
        <v>773</v>
      </c>
      <c r="D107" s="1" t="s">
        <v>249</v>
      </c>
      <c r="E107" t="s">
        <v>769</v>
      </c>
      <c r="F107">
        <v>2020</v>
      </c>
      <c r="G107" t="s">
        <v>786</v>
      </c>
      <c r="H107" s="1" t="s">
        <v>258</v>
      </c>
      <c r="I107" t="s">
        <v>781</v>
      </c>
      <c r="J107" t="s">
        <v>768</v>
      </c>
      <c r="K107" t="s">
        <v>787</v>
      </c>
      <c r="L107" s="1" t="s">
        <v>263</v>
      </c>
      <c r="M107" s="1" t="s">
        <v>266</v>
      </c>
    </row>
    <row r="108" spans="1:14" x14ac:dyDescent="0.25">
      <c r="A108">
        <v>84</v>
      </c>
      <c r="B108">
        <v>14</v>
      </c>
      <c r="C108" t="s">
        <v>774</v>
      </c>
      <c r="D108" s="1" t="s">
        <v>253</v>
      </c>
      <c r="E108" t="s">
        <v>769</v>
      </c>
      <c r="F108" t="s">
        <v>449</v>
      </c>
      <c r="G108" t="s">
        <v>449</v>
      </c>
      <c r="H108" s="1" t="s">
        <v>258</v>
      </c>
      <c r="I108" t="s">
        <v>782</v>
      </c>
      <c r="J108" t="s">
        <v>768</v>
      </c>
      <c r="K108" t="s">
        <v>789</v>
      </c>
      <c r="L108" s="1" t="s">
        <v>263</v>
      </c>
      <c r="M108" s="1" t="s">
        <v>266</v>
      </c>
    </row>
    <row r="109" spans="1:14" x14ac:dyDescent="0.25">
      <c r="A109">
        <v>85</v>
      </c>
      <c r="B109">
        <v>14</v>
      </c>
      <c r="C109" t="s">
        <v>775</v>
      </c>
      <c r="D109" s="1" t="s">
        <v>251</v>
      </c>
      <c r="E109" t="s">
        <v>769</v>
      </c>
      <c r="F109" t="s">
        <v>449</v>
      </c>
      <c r="G109" t="s">
        <v>449</v>
      </c>
      <c r="H109" s="1" t="s">
        <v>258</v>
      </c>
      <c r="I109" t="s">
        <v>783</v>
      </c>
      <c r="J109" t="s">
        <v>768</v>
      </c>
      <c r="K109" t="s">
        <v>790</v>
      </c>
      <c r="L109" s="1" t="s">
        <v>263</v>
      </c>
      <c r="M109" s="1" t="s">
        <v>266</v>
      </c>
    </row>
    <row r="110" spans="1:14" x14ac:dyDescent="0.25">
      <c r="A110" s="7"/>
      <c r="B110" s="7">
        <v>14</v>
      </c>
      <c r="C110" s="7"/>
      <c r="D110" s="7" t="s">
        <v>246</v>
      </c>
      <c r="E110" s="7" t="s">
        <v>769</v>
      </c>
      <c r="F110" s="7"/>
      <c r="G110" s="7"/>
      <c r="H110" s="7"/>
      <c r="I110" s="7"/>
      <c r="J110" s="7"/>
      <c r="K110" s="7"/>
      <c r="L110" s="7" t="s">
        <v>264</v>
      </c>
      <c r="M110" s="7"/>
      <c r="N110" s="7" t="s">
        <v>776</v>
      </c>
    </row>
    <row r="111" spans="1:14" x14ac:dyDescent="0.25">
      <c r="A111" s="7"/>
      <c r="B111" s="7">
        <v>14</v>
      </c>
      <c r="C111" s="7"/>
      <c r="D111" s="7" t="s">
        <v>247</v>
      </c>
      <c r="E111" s="7" t="s">
        <v>769</v>
      </c>
      <c r="F111" s="7"/>
      <c r="G111" s="7"/>
      <c r="H111" s="7"/>
      <c r="I111" s="7"/>
      <c r="J111" s="7"/>
      <c r="K111" s="7"/>
      <c r="L111" s="7" t="s">
        <v>264</v>
      </c>
      <c r="M111" s="7"/>
      <c r="N111" s="7" t="s">
        <v>776</v>
      </c>
    </row>
    <row r="112" spans="1:14" x14ac:dyDescent="0.25">
      <c r="A112" s="7"/>
      <c r="B112" s="7">
        <v>14</v>
      </c>
      <c r="C112" s="7"/>
      <c r="D112" s="7" t="s">
        <v>248</v>
      </c>
      <c r="E112" s="7" t="s">
        <v>769</v>
      </c>
      <c r="F112" s="7"/>
      <c r="G112" s="7"/>
      <c r="H112" s="7"/>
      <c r="I112" s="7"/>
      <c r="J112" s="7"/>
      <c r="K112" s="7"/>
      <c r="L112" s="7" t="s">
        <v>264</v>
      </c>
      <c r="M112" s="7"/>
      <c r="N112" s="7" t="s">
        <v>776</v>
      </c>
    </row>
    <row r="113" spans="1:15" x14ac:dyDescent="0.25">
      <c r="A113" s="4">
        <v>86</v>
      </c>
      <c r="B113" s="4">
        <v>15</v>
      </c>
      <c r="C113" s="4" t="s">
        <v>794</v>
      </c>
      <c r="D113" s="4" t="s">
        <v>248</v>
      </c>
      <c r="E113" s="4" t="s">
        <v>793</v>
      </c>
      <c r="F113" s="4" t="s">
        <v>820</v>
      </c>
      <c r="G113" s="4" t="s">
        <v>796</v>
      </c>
      <c r="H113" s="4" t="s">
        <v>258</v>
      </c>
      <c r="I113" s="4" t="s">
        <v>795</v>
      </c>
      <c r="J113" s="4" t="s">
        <v>768</v>
      </c>
      <c r="K113" s="4" t="s">
        <v>826</v>
      </c>
      <c r="L113" s="4" t="s">
        <v>262</v>
      </c>
      <c r="M113" s="4"/>
      <c r="N113" s="4"/>
      <c r="O113" t="s">
        <v>1363</v>
      </c>
    </row>
    <row r="114" spans="1:15" x14ac:dyDescent="0.25">
      <c r="A114">
        <v>87</v>
      </c>
      <c r="B114">
        <v>15</v>
      </c>
      <c r="C114" t="s">
        <v>797</v>
      </c>
      <c r="D114" s="1" t="s">
        <v>253</v>
      </c>
      <c r="E114" t="s">
        <v>793</v>
      </c>
      <c r="F114" t="s">
        <v>821</v>
      </c>
      <c r="G114" t="s">
        <v>449</v>
      </c>
      <c r="H114" s="1" t="s">
        <v>258</v>
      </c>
      <c r="I114" t="s">
        <v>798</v>
      </c>
      <c r="J114" t="s">
        <v>768</v>
      </c>
      <c r="K114" t="s">
        <v>827</v>
      </c>
      <c r="L114" s="1" t="s">
        <v>263</v>
      </c>
      <c r="M114" s="1" t="s">
        <v>267</v>
      </c>
    </row>
    <row r="115" spans="1:15" x14ac:dyDescent="0.25">
      <c r="A115" s="4">
        <v>88</v>
      </c>
      <c r="B115" s="4">
        <v>15</v>
      </c>
      <c r="C115" s="4" t="s">
        <v>799</v>
      </c>
      <c r="D115" s="4" t="s">
        <v>246</v>
      </c>
      <c r="E115" s="4" t="s">
        <v>793</v>
      </c>
      <c r="F115" s="4">
        <v>2024</v>
      </c>
      <c r="G115" s="4" t="s">
        <v>449</v>
      </c>
      <c r="H115" s="4" t="s">
        <v>258</v>
      </c>
      <c r="I115" s="4" t="s">
        <v>800</v>
      </c>
      <c r="J115" s="4" t="s">
        <v>768</v>
      </c>
      <c r="K115" s="4" t="s">
        <v>828</v>
      </c>
      <c r="L115" s="4" t="s">
        <v>262</v>
      </c>
      <c r="M115" s="4"/>
      <c r="N115" s="4"/>
      <c r="O115" t="s">
        <v>1363</v>
      </c>
    </row>
    <row r="116" spans="1:15" x14ac:dyDescent="0.25">
      <c r="A116">
        <v>89</v>
      </c>
      <c r="B116">
        <v>15</v>
      </c>
      <c r="C116" t="s">
        <v>801</v>
      </c>
      <c r="D116" s="1" t="s">
        <v>249</v>
      </c>
      <c r="E116" t="s">
        <v>793</v>
      </c>
      <c r="F116" t="s">
        <v>449</v>
      </c>
      <c r="G116" t="s">
        <v>449</v>
      </c>
      <c r="H116" s="1" t="s">
        <v>258</v>
      </c>
      <c r="I116" t="s">
        <v>802</v>
      </c>
      <c r="J116" t="s">
        <v>768</v>
      </c>
      <c r="K116" t="s">
        <v>829</v>
      </c>
      <c r="L116" s="1" t="s">
        <v>263</v>
      </c>
      <c r="M116" s="1" t="s">
        <v>267</v>
      </c>
    </row>
    <row r="117" spans="1:15" x14ac:dyDescent="0.25">
      <c r="A117" s="4">
        <v>90</v>
      </c>
      <c r="B117" s="4">
        <v>15</v>
      </c>
      <c r="C117" s="4" t="s">
        <v>803</v>
      </c>
      <c r="D117" s="4" t="s">
        <v>249</v>
      </c>
      <c r="E117" s="4" t="s">
        <v>793</v>
      </c>
      <c r="F117" s="4" t="s">
        <v>822</v>
      </c>
      <c r="G117" s="4" t="s">
        <v>805</v>
      </c>
      <c r="H117" s="4" t="s">
        <v>258</v>
      </c>
      <c r="I117" s="4" t="s">
        <v>804</v>
      </c>
      <c r="J117" s="4" t="s">
        <v>768</v>
      </c>
      <c r="K117" s="4" t="s">
        <v>830</v>
      </c>
      <c r="L117" s="4" t="s">
        <v>262</v>
      </c>
      <c r="M117" s="4"/>
      <c r="N117" s="4"/>
    </row>
    <row r="118" spans="1:15" x14ac:dyDescent="0.25">
      <c r="A118" s="4">
        <v>91</v>
      </c>
      <c r="B118" s="4">
        <v>15</v>
      </c>
      <c r="C118" s="4" t="s">
        <v>806</v>
      </c>
      <c r="D118" s="4" t="s">
        <v>253</v>
      </c>
      <c r="E118" s="4" t="s">
        <v>793</v>
      </c>
      <c r="F118" s="4" t="s">
        <v>823</v>
      </c>
      <c r="G118" s="4" t="s">
        <v>449</v>
      </c>
      <c r="H118" s="4" t="s">
        <v>258</v>
      </c>
      <c r="I118" s="4" t="s">
        <v>807</v>
      </c>
      <c r="J118" s="4" t="s">
        <v>768</v>
      </c>
      <c r="K118" s="4" t="s">
        <v>4332</v>
      </c>
      <c r="L118" s="4" t="s">
        <v>262</v>
      </c>
      <c r="M118" s="4"/>
      <c r="N118" s="4"/>
    </row>
    <row r="119" spans="1:15" x14ac:dyDescent="0.25">
      <c r="A119" s="4">
        <v>92</v>
      </c>
      <c r="B119" s="4">
        <v>15</v>
      </c>
      <c r="C119" s="4" t="s">
        <v>808</v>
      </c>
      <c r="D119" s="4" t="s">
        <v>253</v>
      </c>
      <c r="E119" s="4" t="s">
        <v>793</v>
      </c>
      <c r="F119" s="4" t="s">
        <v>824</v>
      </c>
      <c r="G119" s="4" t="s">
        <v>449</v>
      </c>
      <c r="H119" s="4" t="s">
        <v>258</v>
      </c>
      <c r="I119" s="4" t="s">
        <v>809</v>
      </c>
      <c r="J119" s="4" t="s">
        <v>768</v>
      </c>
      <c r="K119" s="4" t="s">
        <v>831</v>
      </c>
      <c r="L119" s="4" t="s">
        <v>262</v>
      </c>
      <c r="M119" s="4"/>
      <c r="N119" s="4"/>
    </row>
    <row r="120" spans="1:15" x14ac:dyDescent="0.25">
      <c r="A120" s="4">
        <v>93</v>
      </c>
      <c r="B120" s="4">
        <v>15</v>
      </c>
      <c r="C120" s="4" t="s">
        <v>810</v>
      </c>
      <c r="D120" s="4" t="s">
        <v>253</v>
      </c>
      <c r="E120" s="4" t="s">
        <v>793</v>
      </c>
      <c r="F120" s="4">
        <v>2023</v>
      </c>
      <c r="G120" s="4" t="s">
        <v>449</v>
      </c>
      <c r="H120" s="4" t="s">
        <v>258</v>
      </c>
      <c r="I120" s="4" t="s">
        <v>811</v>
      </c>
      <c r="J120" s="4" t="s">
        <v>768</v>
      </c>
      <c r="K120" s="4" t="s">
        <v>837</v>
      </c>
      <c r="L120" s="4" t="s">
        <v>262</v>
      </c>
      <c r="M120" s="4"/>
      <c r="N120" s="4"/>
    </row>
    <row r="121" spans="1:15" x14ac:dyDescent="0.25">
      <c r="A121" s="4">
        <v>94</v>
      </c>
      <c r="B121" s="4">
        <v>15</v>
      </c>
      <c r="C121" s="4" t="s">
        <v>812</v>
      </c>
      <c r="D121" s="4" t="s">
        <v>247</v>
      </c>
      <c r="E121" s="4" t="s">
        <v>793</v>
      </c>
      <c r="F121" s="4" t="s">
        <v>825</v>
      </c>
      <c r="G121" s="4" t="s">
        <v>814</v>
      </c>
      <c r="H121" s="4" t="s">
        <v>259</v>
      </c>
      <c r="I121" s="4" t="s">
        <v>813</v>
      </c>
      <c r="J121" s="4" t="s">
        <v>768</v>
      </c>
      <c r="K121" s="4" t="s">
        <v>833</v>
      </c>
      <c r="L121" s="4" t="s">
        <v>262</v>
      </c>
      <c r="M121" s="4"/>
      <c r="N121" s="4"/>
      <c r="O121" t="s">
        <v>1363</v>
      </c>
    </row>
    <row r="122" spans="1:15" x14ac:dyDescent="0.25">
      <c r="A122" s="4">
        <v>95</v>
      </c>
      <c r="B122" s="4">
        <v>15</v>
      </c>
      <c r="C122" s="4" t="s">
        <v>815</v>
      </c>
      <c r="D122" s="4" t="s">
        <v>247</v>
      </c>
      <c r="E122" s="4" t="s">
        <v>793</v>
      </c>
      <c r="F122" s="4" t="s">
        <v>449</v>
      </c>
      <c r="G122" s="4" t="s">
        <v>449</v>
      </c>
      <c r="H122" s="4" t="s">
        <v>258</v>
      </c>
      <c r="I122" s="4" t="s">
        <v>816</v>
      </c>
      <c r="J122" s="4" t="s">
        <v>768</v>
      </c>
      <c r="K122" s="4" t="s">
        <v>832</v>
      </c>
      <c r="L122" s="4" t="s">
        <v>263</v>
      </c>
      <c r="M122" s="4" t="s">
        <v>266</v>
      </c>
      <c r="N122" s="4" t="s">
        <v>4712</v>
      </c>
    </row>
    <row r="123" spans="1:15" x14ac:dyDescent="0.25">
      <c r="A123" s="4">
        <v>96</v>
      </c>
      <c r="B123" s="4">
        <v>15</v>
      </c>
      <c r="C123" s="4" t="s">
        <v>817</v>
      </c>
      <c r="D123" s="4" t="s">
        <v>250</v>
      </c>
      <c r="E123" s="4" t="s">
        <v>793</v>
      </c>
      <c r="F123" s="4">
        <v>2024</v>
      </c>
      <c r="G123" s="4" t="s">
        <v>819</v>
      </c>
      <c r="H123" s="4" t="s">
        <v>258</v>
      </c>
      <c r="I123" s="4" t="s">
        <v>818</v>
      </c>
      <c r="J123" s="4" t="s">
        <v>768</v>
      </c>
      <c r="K123" s="4" t="s">
        <v>838</v>
      </c>
      <c r="L123" s="4" t="s">
        <v>262</v>
      </c>
      <c r="M123" s="4"/>
      <c r="N123" s="4"/>
    </row>
    <row r="124" spans="1:15" x14ac:dyDescent="0.25">
      <c r="A124" s="4">
        <v>97</v>
      </c>
      <c r="B124" s="4">
        <v>15</v>
      </c>
      <c r="C124" s="4" t="s">
        <v>834</v>
      </c>
      <c r="D124" s="4" t="s">
        <v>253</v>
      </c>
      <c r="E124" s="4" t="s">
        <v>793</v>
      </c>
      <c r="F124" s="10">
        <v>45324</v>
      </c>
      <c r="G124" s="4" t="s">
        <v>449</v>
      </c>
      <c r="H124" s="4" t="s">
        <v>258</v>
      </c>
      <c r="I124" s="4" t="s">
        <v>836</v>
      </c>
      <c r="J124" s="4" t="s">
        <v>768</v>
      </c>
      <c r="K124" s="4" t="s">
        <v>835</v>
      </c>
      <c r="L124" s="4" t="s">
        <v>262</v>
      </c>
      <c r="M124" s="4"/>
      <c r="N124" s="4"/>
    </row>
    <row r="125" spans="1:15" x14ac:dyDescent="0.25">
      <c r="A125">
        <v>98</v>
      </c>
      <c r="B125">
        <v>16</v>
      </c>
      <c r="C125" t="s">
        <v>848</v>
      </c>
      <c r="D125" s="1" t="s">
        <v>254</v>
      </c>
      <c r="E125" t="s">
        <v>845</v>
      </c>
      <c r="F125" t="s">
        <v>847</v>
      </c>
      <c r="G125" t="s">
        <v>449</v>
      </c>
      <c r="H125" s="1" t="s">
        <v>258</v>
      </c>
      <c r="I125" t="s">
        <v>846</v>
      </c>
      <c r="J125" t="s">
        <v>843</v>
      </c>
      <c r="K125" t="s">
        <v>849</v>
      </c>
      <c r="L125" s="1" t="s">
        <v>263</v>
      </c>
      <c r="M125" s="1" t="s">
        <v>270</v>
      </c>
      <c r="N125" t="s">
        <v>850</v>
      </c>
    </row>
    <row r="126" spans="1:15" x14ac:dyDescent="0.25">
      <c r="A126">
        <v>99</v>
      </c>
      <c r="B126">
        <v>16</v>
      </c>
      <c r="C126" t="s">
        <v>840</v>
      </c>
      <c r="D126" s="1" t="s">
        <v>249</v>
      </c>
      <c r="E126" t="s">
        <v>845</v>
      </c>
      <c r="F126" t="s">
        <v>449</v>
      </c>
      <c r="G126" t="s">
        <v>449</v>
      </c>
      <c r="H126" s="1" t="s">
        <v>258</v>
      </c>
      <c r="I126" t="s">
        <v>851</v>
      </c>
      <c r="J126" t="s">
        <v>843</v>
      </c>
      <c r="K126" t="s">
        <v>852</v>
      </c>
      <c r="L126" s="1" t="s">
        <v>263</v>
      </c>
      <c r="M126" s="1" t="s">
        <v>266</v>
      </c>
    </row>
    <row r="127" spans="1:15" x14ac:dyDescent="0.25">
      <c r="A127">
        <v>100</v>
      </c>
      <c r="B127">
        <v>16</v>
      </c>
      <c r="C127" t="s">
        <v>841</v>
      </c>
      <c r="D127" s="1" t="s">
        <v>249</v>
      </c>
      <c r="E127" t="s">
        <v>845</v>
      </c>
      <c r="F127">
        <v>2023</v>
      </c>
      <c r="G127" t="s">
        <v>449</v>
      </c>
      <c r="H127" s="1" t="s">
        <v>258</v>
      </c>
      <c r="I127" t="s">
        <v>853</v>
      </c>
      <c r="J127" t="s">
        <v>843</v>
      </c>
      <c r="K127" t="s">
        <v>854</v>
      </c>
      <c r="L127" s="1" t="s">
        <v>263</v>
      </c>
      <c r="M127" s="1" t="s">
        <v>266</v>
      </c>
    </row>
    <row r="128" spans="1:15" x14ac:dyDescent="0.25">
      <c r="A128">
        <v>101</v>
      </c>
      <c r="B128">
        <v>16</v>
      </c>
      <c r="C128" t="s">
        <v>842</v>
      </c>
      <c r="D128" s="1" t="s">
        <v>252</v>
      </c>
      <c r="E128" t="s">
        <v>845</v>
      </c>
      <c r="F128">
        <v>2024</v>
      </c>
      <c r="G128" t="s">
        <v>449</v>
      </c>
      <c r="H128" s="1" t="s">
        <v>258</v>
      </c>
      <c r="I128" t="s">
        <v>856</v>
      </c>
      <c r="J128" t="s">
        <v>843</v>
      </c>
      <c r="K128" t="s">
        <v>855</v>
      </c>
      <c r="L128" s="1" t="s">
        <v>263</v>
      </c>
      <c r="M128" s="1" t="s">
        <v>266</v>
      </c>
    </row>
    <row r="129" spans="1:14" x14ac:dyDescent="0.25">
      <c r="A129" s="7"/>
      <c r="B129" s="7">
        <v>16</v>
      </c>
      <c r="C129" s="7"/>
      <c r="D129" s="7" t="s">
        <v>246</v>
      </c>
      <c r="E129" s="7" t="s">
        <v>845</v>
      </c>
      <c r="F129" s="7"/>
      <c r="G129" s="7"/>
      <c r="H129" s="7"/>
      <c r="I129" s="7"/>
      <c r="J129" s="7"/>
      <c r="K129" s="7"/>
      <c r="L129" s="7" t="s">
        <v>264</v>
      </c>
      <c r="M129" s="7"/>
      <c r="N129" s="7" t="s">
        <v>844</v>
      </c>
    </row>
    <row r="130" spans="1:14" x14ac:dyDescent="0.25">
      <c r="A130" s="7"/>
      <c r="B130" s="7">
        <v>16</v>
      </c>
      <c r="C130" s="7"/>
      <c r="D130" s="7" t="s">
        <v>247</v>
      </c>
      <c r="E130" s="7" t="s">
        <v>845</v>
      </c>
      <c r="F130" s="7"/>
      <c r="G130" s="7"/>
      <c r="H130" s="7"/>
      <c r="I130" s="7"/>
      <c r="J130" s="7"/>
      <c r="K130" s="7"/>
      <c r="L130" s="7" t="s">
        <v>264</v>
      </c>
      <c r="M130" s="7"/>
      <c r="N130" s="7" t="s">
        <v>844</v>
      </c>
    </row>
    <row r="131" spans="1:14" x14ac:dyDescent="0.25">
      <c r="A131" s="7"/>
      <c r="B131" s="7">
        <v>16</v>
      </c>
      <c r="C131" s="7"/>
      <c r="D131" s="7" t="s">
        <v>248</v>
      </c>
      <c r="E131" s="7" t="s">
        <v>845</v>
      </c>
      <c r="F131" s="7"/>
      <c r="G131" s="7"/>
      <c r="H131" s="7"/>
      <c r="I131" s="7"/>
      <c r="J131" s="7"/>
      <c r="K131" s="7"/>
      <c r="L131" s="7" t="s">
        <v>264</v>
      </c>
      <c r="M131" s="7"/>
      <c r="N131" s="7" t="s">
        <v>844</v>
      </c>
    </row>
    <row r="132" spans="1:14" x14ac:dyDescent="0.25">
      <c r="A132" s="4">
        <v>102</v>
      </c>
      <c r="B132" s="4">
        <v>17</v>
      </c>
      <c r="C132" s="4" t="s">
        <v>858</v>
      </c>
      <c r="D132" s="4" t="s">
        <v>247</v>
      </c>
      <c r="E132" s="4" t="s">
        <v>359</v>
      </c>
      <c r="F132" s="4" t="s">
        <v>870</v>
      </c>
      <c r="G132" s="4" t="s">
        <v>736</v>
      </c>
      <c r="H132" s="4" t="s">
        <v>258</v>
      </c>
      <c r="I132" s="4" t="s">
        <v>864</v>
      </c>
      <c r="J132" s="4" t="s">
        <v>843</v>
      </c>
      <c r="K132" s="4" t="s">
        <v>871</v>
      </c>
      <c r="L132" s="4" t="s">
        <v>262</v>
      </c>
      <c r="M132" s="4"/>
      <c r="N132" s="4" t="s">
        <v>863</v>
      </c>
    </row>
    <row r="133" spans="1:14" x14ac:dyDescent="0.25">
      <c r="A133">
        <v>103</v>
      </c>
      <c r="B133">
        <v>17</v>
      </c>
      <c r="C133" t="s">
        <v>859</v>
      </c>
      <c r="D133" s="1" t="s">
        <v>249</v>
      </c>
      <c r="E133" t="s">
        <v>359</v>
      </c>
      <c r="F133">
        <v>2025</v>
      </c>
      <c r="G133" t="s">
        <v>449</v>
      </c>
      <c r="H133" s="1" t="s">
        <v>258</v>
      </c>
      <c r="I133" t="s">
        <v>865</v>
      </c>
      <c r="J133" t="s">
        <v>843</v>
      </c>
      <c r="K133" t="s">
        <v>873</v>
      </c>
      <c r="L133" s="1" t="s">
        <v>263</v>
      </c>
      <c r="M133" s="1" t="s">
        <v>267</v>
      </c>
      <c r="N133" t="s">
        <v>872</v>
      </c>
    </row>
    <row r="134" spans="1:14" x14ac:dyDescent="0.25">
      <c r="A134">
        <v>104</v>
      </c>
      <c r="B134">
        <v>17</v>
      </c>
      <c r="C134" t="s">
        <v>860</v>
      </c>
      <c r="D134" s="1" t="s">
        <v>252</v>
      </c>
      <c r="E134" t="s">
        <v>359</v>
      </c>
      <c r="F134" t="s">
        <v>449</v>
      </c>
      <c r="G134" t="s">
        <v>449</v>
      </c>
      <c r="H134" s="1" t="s">
        <v>258</v>
      </c>
      <c r="I134" t="s">
        <v>866</v>
      </c>
      <c r="J134" t="s">
        <v>843</v>
      </c>
      <c r="K134" t="s">
        <v>874</v>
      </c>
      <c r="L134" s="1" t="s">
        <v>263</v>
      </c>
      <c r="M134" s="1" t="s">
        <v>267</v>
      </c>
      <c r="N134" t="s">
        <v>875</v>
      </c>
    </row>
    <row r="135" spans="1:14" x14ac:dyDescent="0.25">
      <c r="A135">
        <v>105</v>
      </c>
      <c r="B135">
        <v>17</v>
      </c>
      <c r="C135" t="s">
        <v>861</v>
      </c>
      <c r="D135" s="1" t="s">
        <v>253</v>
      </c>
      <c r="E135" t="s">
        <v>359</v>
      </c>
      <c r="F135" t="s">
        <v>449</v>
      </c>
      <c r="G135" t="s">
        <v>449</v>
      </c>
      <c r="H135" s="1" t="s">
        <v>258</v>
      </c>
      <c r="I135" t="s">
        <v>867</v>
      </c>
      <c r="J135" t="s">
        <v>843</v>
      </c>
      <c r="K135" t="s">
        <v>876</v>
      </c>
      <c r="L135" s="1" t="s">
        <v>263</v>
      </c>
      <c r="M135" s="1" t="s">
        <v>266</v>
      </c>
    </row>
    <row r="136" spans="1:14" x14ac:dyDescent="0.25">
      <c r="A136">
        <v>106</v>
      </c>
      <c r="B136">
        <v>17</v>
      </c>
      <c r="C136" t="s">
        <v>862</v>
      </c>
      <c r="D136" s="1" t="s">
        <v>254</v>
      </c>
      <c r="E136" t="s">
        <v>359</v>
      </c>
      <c r="F136" t="s">
        <v>764</v>
      </c>
      <c r="G136" t="s">
        <v>449</v>
      </c>
      <c r="H136" s="1" t="s">
        <v>258</v>
      </c>
      <c r="I136" t="s">
        <v>868</v>
      </c>
      <c r="J136" t="s">
        <v>843</v>
      </c>
      <c r="K136" t="s">
        <v>877</v>
      </c>
      <c r="L136" s="1" t="s">
        <v>263</v>
      </c>
      <c r="M136" s="1" t="s">
        <v>270</v>
      </c>
    </row>
    <row r="137" spans="1:14" x14ac:dyDescent="0.25">
      <c r="A137">
        <v>107</v>
      </c>
      <c r="B137">
        <v>18</v>
      </c>
      <c r="C137" t="s">
        <v>879</v>
      </c>
      <c r="D137" s="1" t="s">
        <v>249</v>
      </c>
      <c r="E137" t="s">
        <v>363</v>
      </c>
      <c r="F137" t="s">
        <v>449</v>
      </c>
      <c r="G137" t="s">
        <v>449</v>
      </c>
      <c r="H137" s="1" t="s">
        <v>258</v>
      </c>
      <c r="I137" t="s">
        <v>869</v>
      </c>
      <c r="J137" t="s">
        <v>843</v>
      </c>
      <c r="K137" t="s">
        <v>889</v>
      </c>
      <c r="L137" s="1" t="s">
        <v>263</v>
      </c>
      <c r="M137" s="1" t="s">
        <v>266</v>
      </c>
    </row>
    <row r="138" spans="1:14" x14ac:dyDescent="0.25">
      <c r="A138">
        <v>108</v>
      </c>
      <c r="B138">
        <v>18</v>
      </c>
      <c r="C138" t="s">
        <v>880</v>
      </c>
      <c r="D138" s="1" t="s">
        <v>253</v>
      </c>
      <c r="E138" t="s">
        <v>363</v>
      </c>
      <c r="F138" t="s">
        <v>449</v>
      </c>
      <c r="G138" t="s">
        <v>449</v>
      </c>
      <c r="H138" s="1" t="s">
        <v>258</v>
      </c>
      <c r="I138" t="s">
        <v>869</v>
      </c>
      <c r="J138" t="s">
        <v>843</v>
      </c>
      <c r="K138" t="s">
        <v>890</v>
      </c>
      <c r="L138" s="1" t="s">
        <v>263</v>
      </c>
      <c r="M138" s="1" t="s">
        <v>266</v>
      </c>
    </row>
    <row r="139" spans="1:14" x14ac:dyDescent="0.25">
      <c r="A139">
        <v>109</v>
      </c>
      <c r="B139">
        <v>18</v>
      </c>
      <c r="C139" t="s">
        <v>881</v>
      </c>
      <c r="D139" s="1" t="s">
        <v>249</v>
      </c>
      <c r="E139" t="s">
        <v>363</v>
      </c>
      <c r="F139" t="s">
        <v>449</v>
      </c>
      <c r="G139" t="s">
        <v>449</v>
      </c>
      <c r="H139" s="1" t="s">
        <v>258</v>
      </c>
      <c r="I139" t="s">
        <v>885</v>
      </c>
      <c r="J139" t="s">
        <v>843</v>
      </c>
      <c r="K139" t="s">
        <v>891</v>
      </c>
      <c r="L139" s="1" t="s">
        <v>263</v>
      </c>
      <c r="M139" s="1" t="s">
        <v>266</v>
      </c>
    </row>
    <row r="140" spans="1:14" x14ac:dyDescent="0.25">
      <c r="A140">
        <v>110</v>
      </c>
      <c r="B140">
        <v>18</v>
      </c>
      <c r="C140" t="s">
        <v>882</v>
      </c>
      <c r="D140" s="1" t="s">
        <v>254</v>
      </c>
      <c r="E140" t="s">
        <v>363</v>
      </c>
      <c r="F140" t="s">
        <v>449</v>
      </c>
      <c r="G140" t="s">
        <v>449</v>
      </c>
      <c r="H140" s="1" t="s">
        <v>258</v>
      </c>
      <c r="I140" t="s">
        <v>888</v>
      </c>
      <c r="J140" t="s">
        <v>843</v>
      </c>
      <c r="K140" t="s">
        <v>892</v>
      </c>
      <c r="L140" s="1" t="s">
        <v>263</v>
      </c>
      <c r="M140" s="1" t="s">
        <v>270</v>
      </c>
    </row>
    <row r="141" spans="1:14" x14ac:dyDescent="0.25">
      <c r="A141">
        <v>111</v>
      </c>
      <c r="B141">
        <v>18</v>
      </c>
      <c r="C141" t="s">
        <v>883</v>
      </c>
      <c r="D141" s="1" t="s">
        <v>254</v>
      </c>
      <c r="E141" t="s">
        <v>363</v>
      </c>
      <c r="F141" t="s">
        <v>449</v>
      </c>
      <c r="G141" t="s">
        <v>449</v>
      </c>
      <c r="H141" s="1" t="s">
        <v>258</v>
      </c>
      <c r="I141" t="s">
        <v>887</v>
      </c>
      <c r="J141" t="s">
        <v>843</v>
      </c>
      <c r="K141" t="s">
        <v>893</v>
      </c>
      <c r="L141" s="1" t="s">
        <v>263</v>
      </c>
      <c r="M141" s="1" t="s">
        <v>270</v>
      </c>
    </row>
    <row r="142" spans="1:14" x14ac:dyDescent="0.25">
      <c r="A142">
        <v>112</v>
      </c>
      <c r="B142">
        <v>18</v>
      </c>
      <c r="C142" t="s">
        <v>884</v>
      </c>
      <c r="D142" s="1" t="s">
        <v>254</v>
      </c>
      <c r="E142" t="s">
        <v>363</v>
      </c>
      <c r="F142" t="s">
        <v>894</v>
      </c>
      <c r="G142" t="s">
        <v>449</v>
      </c>
      <c r="H142" s="1" t="s">
        <v>258</v>
      </c>
      <c r="I142" t="s">
        <v>886</v>
      </c>
      <c r="J142" t="s">
        <v>843</v>
      </c>
      <c r="K142" t="s">
        <v>895</v>
      </c>
      <c r="L142" s="1" t="s">
        <v>263</v>
      </c>
      <c r="M142" s="1" t="s">
        <v>270</v>
      </c>
    </row>
    <row r="143" spans="1:14" x14ac:dyDescent="0.25">
      <c r="A143" s="7"/>
      <c r="B143" s="7">
        <v>18</v>
      </c>
      <c r="C143" s="7"/>
      <c r="D143" s="7" t="s">
        <v>246</v>
      </c>
      <c r="E143" s="7" t="s">
        <v>363</v>
      </c>
      <c r="F143" s="7"/>
      <c r="G143" s="7"/>
      <c r="H143" s="7"/>
      <c r="I143" s="7"/>
      <c r="J143" s="7"/>
      <c r="K143" s="7"/>
      <c r="L143" s="7" t="s">
        <v>264</v>
      </c>
      <c r="M143" s="7"/>
      <c r="N143" s="7" t="s">
        <v>844</v>
      </c>
    </row>
    <row r="144" spans="1:14" x14ac:dyDescent="0.25">
      <c r="A144" s="7"/>
      <c r="B144" s="7">
        <v>18</v>
      </c>
      <c r="C144" s="7"/>
      <c r="D144" s="7" t="s">
        <v>247</v>
      </c>
      <c r="E144" s="7" t="s">
        <v>363</v>
      </c>
      <c r="F144" s="7"/>
      <c r="G144" s="7"/>
      <c r="H144" s="7"/>
      <c r="I144" s="7"/>
      <c r="J144" s="7"/>
      <c r="K144" s="7"/>
      <c r="L144" s="7" t="s">
        <v>264</v>
      </c>
      <c r="M144" s="7"/>
      <c r="N144" s="7" t="s">
        <v>844</v>
      </c>
    </row>
    <row r="145" spans="1:14" x14ac:dyDescent="0.25">
      <c r="A145" s="7"/>
      <c r="B145" s="7">
        <v>18</v>
      </c>
      <c r="C145" s="7"/>
      <c r="D145" s="7" t="s">
        <v>248</v>
      </c>
      <c r="E145" s="7" t="s">
        <v>363</v>
      </c>
      <c r="F145" s="7"/>
      <c r="G145" s="7"/>
      <c r="H145" s="7"/>
      <c r="I145" s="7"/>
      <c r="J145" s="7"/>
      <c r="K145" s="7"/>
      <c r="L145" s="7" t="s">
        <v>264</v>
      </c>
      <c r="M145" s="7"/>
      <c r="N145" s="7" t="s">
        <v>844</v>
      </c>
    </row>
    <row r="146" spans="1:14" x14ac:dyDescent="0.25">
      <c r="A146" s="4">
        <v>113</v>
      </c>
      <c r="B146" s="4">
        <v>19</v>
      </c>
      <c r="C146" s="4" t="s">
        <v>897</v>
      </c>
      <c r="D146" s="4" t="s">
        <v>247</v>
      </c>
      <c r="E146" s="4" t="s">
        <v>367</v>
      </c>
      <c r="F146" s="4" t="s">
        <v>449</v>
      </c>
      <c r="G146" s="4" t="s">
        <v>449</v>
      </c>
      <c r="H146" s="4" t="s">
        <v>258</v>
      </c>
      <c r="I146" s="4" t="s">
        <v>908</v>
      </c>
      <c r="J146" s="4" t="s">
        <v>843</v>
      </c>
      <c r="K146" s="4" t="s">
        <v>915</v>
      </c>
      <c r="L146" s="4" t="s">
        <v>262</v>
      </c>
      <c r="M146" s="4"/>
      <c r="N146" s="4"/>
    </row>
    <row r="147" spans="1:14" x14ac:dyDescent="0.25">
      <c r="A147">
        <v>114</v>
      </c>
      <c r="B147">
        <v>19</v>
      </c>
      <c r="C147" t="s">
        <v>898</v>
      </c>
      <c r="D147" s="1" t="s">
        <v>255</v>
      </c>
      <c r="E147" t="s">
        <v>367</v>
      </c>
      <c r="F147" t="s">
        <v>916</v>
      </c>
      <c r="G147">
        <v>4</v>
      </c>
      <c r="H147" s="1" t="s">
        <v>258</v>
      </c>
      <c r="I147" t="s">
        <v>909</v>
      </c>
      <c r="J147" t="s">
        <v>843</v>
      </c>
      <c r="K147" t="s">
        <v>917</v>
      </c>
      <c r="L147" s="1" t="s">
        <v>263</v>
      </c>
      <c r="M147" s="1" t="s">
        <v>266</v>
      </c>
    </row>
    <row r="148" spans="1:14" x14ac:dyDescent="0.25">
      <c r="A148">
        <v>115</v>
      </c>
      <c r="B148">
        <v>19</v>
      </c>
      <c r="C148" t="s">
        <v>899</v>
      </c>
      <c r="D148" s="1" t="s">
        <v>255</v>
      </c>
      <c r="E148" t="s">
        <v>367</v>
      </c>
      <c r="F148" t="s">
        <v>918</v>
      </c>
      <c r="G148">
        <v>1</v>
      </c>
      <c r="H148" s="1" t="s">
        <v>258</v>
      </c>
      <c r="I148" t="s">
        <v>910</v>
      </c>
      <c r="J148" t="s">
        <v>843</v>
      </c>
      <c r="K148" t="s">
        <v>919</v>
      </c>
      <c r="L148" s="1" t="s">
        <v>263</v>
      </c>
      <c r="M148" s="1" t="s">
        <v>266</v>
      </c>
    </row>
    <row r="149" spans="1:14" x14ac:dyDescent="0.25">
      <c r="A149">
        <v>116</v>
      </c>
      <c r="B149">
        <v>19</v>
      </c>
      <c r="C149" t="s">
        <v>900</v>
      </c>
      <c r="D149" s="1" t="s">
        <v>255</v>
      </c>
      <c r="E149" t="s">
        <v>367</v>
      </c>
      <c r="F149" t="s">
        <v>920</v>
      </c>
      <c r="G149">
        <v>4</v>
      </c>
      <c r="H149" s="1" t="s">
        <v>258</v>
      </c>
      <c r="I149" t="s">
        <v>911</v>
      </c>
      <c r="J149" t="s">
        <v>843</v>
      </c>
      <c r="K149" t="s">
        <v>921</v>
      </c>
      <c r="L149" s="1" t="s">
        <v>263</v>
      </c>
      <c r="M149" s="1" t="s">
        <v>266</v>
      </c>
    </row>
    <row r="150" spans="1:14" x14ac:dyDescent="0.25">
      <c r="A150">
        <v>117</v>
      </c>
      <c r="B150">
        <v>19</v>
      </c>
      <c r="C150" t="s">
        <v>901</v>
      </c>
      <c r="D150" s="1" t="s">
        <v>249</v>
      </c>
      <c r="E150" t="s">
        <v>367</v>
      </c>
      <c r="F150" s="8">
        <v>45717</v>
      </c>
      <c r="G150" t="s">
        <v>902</v>
      </c>
      <c r="H150" s="1" t="s">
        <v>258</v>
      </c>
      <c r="I150" t="s">
        <v>912</v>
      </c>
      <c r="J150" t="s">
        <v>843</v>
      </c>
      <c r="K150" t="s">
        <v>922</v>
      </c>
      <c r="L150" s="1" t="s">
        <v>263</v>
      </c>
      <c r="M150" s="1" t="s">
        <v>266</v>
      </c>
    </row>
    <row r="151" spans="1:14" x14ac:dyDescent="0.25">
      <c r="A151">
        <v>118</v>
      </c>
      <c r="B151">
        <v>19</v>
      </c>
      <c r="C151" t="s">
        <v>903</v>
      </c>
      <c r="D151" s="1" t="s">
        <v>254</v>
      </c>
      <c r="E151" t="s">
        <v>367</v>
      </c>
      <c r="F151" t="s">
        <v>904</v>
      </c>
      <c r="G151" t="s">
        <v>449</v>
      </c>
      <c r="H151" s="1" t="s">
        <v>258</v>
      </c>
      <c r="I151" t="s">
        <v>913</v>
      </c>
      <c r="J151" t="s">
        <v>843</v>
      </c>
      <c r="K151" t="s">
        <v>923</v>
      </c>
      <c r="L151" s="1" t="s">
        <v>263</v>
      </c>
      <c r="M151" s="1" t="s">
        <v>266</v>
      </c>
    </row>
    <row r="152" spans="1:14" x14ac:dyDescent="0.25">
      <c r="A152">
        <v>119</v>
      </c>
      <c r="B152">
        <v>19</v>
      </c>
      <c r="C152" t="s">
        <v>905</v>
      </c>
      <c r="D152" s="1" t="s">
        <v>254</v>
      </c>
      <c r="E152" t="s">
        <v>367</v>
      </c>
      <c r="F152" t="s">
        <v>906</v>
      </c>
      <c r="G152" t="s">
        <v>449</v>
      </c>
      <c r="H152" s="1" t="s">
        <v>258</v>
      </c>
      <c r="I152" t="s">
        <v>914</v>
      </c>
      <c r="J152" t="s">
        <v>843</v>
      </c>
      <c r="K152" t="s">
        <v>924</v>
      </c>
      <c r="L152" s="1" t="s">
        <v>263</v>
      </c>
      <c r="M152" s="1" t="s">
        <v>266</v>
      </c>
    </row>
    <row r="153" spans="1:14" x14ac:dyDescent="0.25">
      <c r="A153" s="7"/>
      <c r="B153" s="7">
        <v>19</v>
      </c>
      <c r="C153" s="7"/>
      <c r="D153" s="7" t="s">
        <v>246</v>
      </c>
      <c r="E153" s="7" t="s">
        <v>367</v>
      </c>
      <c r="F153" s="7"/>
      <c r="G153" s="7"/>
      <c r="H153" s="7"/>
      <c r="I153" s="7"/>
      <c r="J153" s="7"/>
      <c r="K153" s="7"/>
      <c r="L153" s="7" t="s">
        <v>264</v>
      </c>
      <c r="M153" s="7"/>
      <c r="N153" s="7" t="s">
        <v>907</v>
      </c>
    </row>
    <row r="154" spans="1:14" x14ac:dyDescent="0.25">
      <c r="A154" s="7"/>
      <c r="B154" s="7">
        <v>19</v>
      </c>
      <c r="C154" s="7"/>
      <c r="D154" s="7" t="s">
        <v>248</v>
      </c>
      <c r="E154" s="7" t="s">
        <v>367</v>
      </c>
      <c r="F154" s="7"/>
      <c r="G154" s="7"/>
      <c r="H154" s="7"/>
      <c r="I154" s="7"/>
      <c r="J154" s="7"/>
      <c r="K154" s="7"/>
      <c r="L154" s="7" t="s">
        <v>264</v>
      </c>
      <c r="M154" s="7"/>
      <c r="N154" s="7" t="s">
        <v>907</v>
      </c>
    </row>
    <row r="155" spans="1:14" x14ac:dyDescent="0.25">
      <c r="A155">
        <v>120</v>
      </c>
      <c r="B155">
        <v>20</v>
      </c>
      <c r="C155" t="s">
        <v>928</v>
      </c>
      <c r="D155" s="1" t="s">
        <v>249</v>
      </c>
      <c r="E155" t="s">
        <v>925</v>
      </c>
      <c r="F155" t="s">
        <v>449</v>
      </c>
      <c r="G155" t="s">
        <v>449</v>
      </c>
      <c r="H155" s="1" t="s">
        <v>258</v>
      </c>
      <c r="I155" t="s">
        <v>936</v>
      </c>
      <c r="J155" t="s">
        <v>843</v>
      </c>
      <c r="K155" t="s">
        <v>944</v>
      </c>
      <c r="L155" s="1" t="s">
        <v>263</v>
      </c>
      <c r="M155" s="1" t="s">
        <v>266</v>
      </c>
    </row>
    <row r="156" spans="1:14" x14ac:dyDescent="0.25">
      <c r="A156">
        <v>121</v>
      </c>
      <c r="B156">
        <v>20</v>
      </c>
      <c r="C156" t="s">
        <v>929</v>
      </c>
      <c r="D156" s="1" t="s">
        <v>249</v>
      </c>
      <c r="E156" t="s">
        <v>925</v>
      </c>
      <c r="F156" t="s">
        <v>449</v>
      </c>
      <c r="G156" t="s">
        <v>449</v>
      </c>
      <c r="H156" s="1" t="s">
        <v>258</v>
      </c>
      <c r="I156" t="s">
        <v>937</v>
      </c>
      <c r="J156" t="s">
        <v>843</v>
      </c>
      <c r="K156" t="s">
        <v>945</v>
      </c>
      <c r="L156" s="1" t="s">
        <v>263</v>
      </c>
      <c r="M156" s="1" t="s">
        <v>266</v>
      </c>
    </row>
    <row r="157" spans="1:14" x14ac:dyDescent="0.25">
      <c r="A157" s="4">
        <v>122</v>
      </c>
      <c r="B157" s="4">
        <v>20</v>
      </c>
      <c r="C157" s="4" t="s">
        <v>930</v>
      </c>
      <c r="D157" s="4" t="s">
        <v>255</v>
      </c>
      <c r="E157" s="4" t="s">
        <v>925</v>
      </c>
      <c r="F157" s="4" t="s">
        <v>449</v>
      </c>
      <c r="G157" s="4" t="s">
        <v>449</v>
      </c>
      <c r="H157" s="4" t="s">
        <v>258</v>
      </c>
      <c r="I157" s="4" t="s">
        <v>938</v>
      </c>
      <c r="J157" s="4" t="s">
        <v>843</v>
      </c>
      <c r="K157" s="4" t="s">
        <v>946</v>
      </c>
      <c r="L157" s="4" t="s">
        <v>262</v>
      </c>
      <c r="M157" s="4"/>
      <c r="N157" s="4" t="s">
        <v>927</v>
      </c>
    </row>
    <row r="158" spans="1:14" x14ac:dyDescent="0.25">
      <c r="A158">
        <v>123</v>
      </c>
      <c r="B158">
        <v>20</v>
      </c>
      <c r="C158" t="s">
        <v>931</v>
      </c>
      <c r="D158" s="1" t="s">
        <v>252</v>
      </c>
      <c r="E158" t="s">
        <v>925</v>
      </c>
      <c r="F158">
        <v>2023</v>
      </c>
      <c r="G158" t="s">
        <v>449</v>
      </c>
      <c r="H158" s="1" t="s">
        <v>258</v>
      </c>
      <c r="I158" t="s">
        <v>939</v>
      </c>
      <c r="J158" t="s">
        <v>843</v>
      </c>
      <c r="K158" t="s">
        <v>947</v>
      </c>
      <c r="L158" s="1" t="s">
        <v>263</v>
      </c>
      <c r="M158" s="1" t="s">
        <v>266</v>
      </c>
    </row>
    <row r="159" spans="1:14" x14ac:dyDescent="0.25">
      <c r="A159">
        <v>124</v>
      </c>
      <c r="B159">
        <v>20</v>
      </c>
      <c r="C159" t="s">
        <v>932</v>
      </c>
      <c r="D159" s="1" t="s">
        <v>251</v>
      </c>
      <c r="E159" t="s">
        <v>925</v>
      </c>
      <c r="F159" t="s">
        <v>449</v>
      </c>
      <c r="G159" t="s">
        <v>449</v>
      </c>
      <c r="H159" s="1" t="s">
        <v>258</v>
      </c>
      <c r="I159" t="s">
        <v>940</v>
      </c>
      <c r="J159" t="s">
        <v>843</v>
      </c>
      <c r="K159" t="s">
        <v>948</v>
      </c>
      <c r="L159" s="1" t="s">
        <v>263</v>
      </c>
      <c r="M159" s="1" t="s">
        <v>266</v>
      </c>
    </row>
    <row r="160" spans="1:14" x14ac:dyDescent="0.25">
      <c r="A160">
        <v>125</v>
      </c>
      <c r="B160">
        <v>20</v>
      </c>
      <c r="C160" t="s">
        <v>933</v>
      </c>
      <c r="D160" s="1" t="s">
        <v>250</v>
      </c>
      <c r="E160" t="s">
        <v>925</v>
      </c>
      <c r="F160" t="s">
        <v>449</v>
      </c>
      <c r="G160" t="s">
        <v>449</v>
      </c>
      <c r="H160" s="1" t="s">
        <v>258</v>
      </c>
      <c r="I160" t="s">
        <v>941</v>
      </c>
      <c r="J160" t="s">
        <v>843</v>
      </c>
      <c r="K160" t="s">
        <v>949</v>
      </c>
      <c r="L160" s="1" t="s">
        <v>263</v>
      </c>
      <c r="M160" s="1" t="s">
        <v>266</v>
      </c>
    </row>
    <row r="161" spans="1:14" x14ac:dyDescent="0.25">
      <c r="A161">
        <v>126</v>
      </c>
      <c r="B161">
        <v>20</v>
      </c>
      <c r="C161" t="s">
        <v>934</v>
      </c>
      <c r="D161" s="1" t="s">
        <v>253</v>
      </c>
      <c r="E161" t="s">
        <v>925</v>
      </c>
      <c r="F161" t="s">
        <v>449</v>
      </c>
      <c r="G161" t="s">
        <v>449</v>
      </c>
      <c r="H161" s="1" t="s">
        <v>258</v>
      </c>
      <c r="I161" t="s">
        <v>942</v>
      </c>
      <c r="J161" t="s">
        <v>843</v>
      </c>
      <c r="K161" t="s">
        <v>950</v>
      </c>
      <c r="L161" s="1" t="s">
        <v>263</v>
      </c>
      <c r="M161" s="1" t="s">
        <v>269</v>
      </c>
    </row>
    <row r="162" spans="1:14" x14ac:dyDescent="0.25">
      <c r="A162">
        <v>127</v>
      </c>
      <c r="B162">
        <v>20</v>
      </c>
      <c r="C162" t="s">
        <v>935</v>
      </c>
      <c r="D162" s="1" t="s">
        <v>254</v>
      </c>
      <c r="E162" t="s">
        <v>925</v>
      </c>
      <c r="F162" s="8">
        <v>43952</v>
      </c>
      <c r="G162" t="s">
        <v>449</v>
      </c>
      <c r="H162" s="1" t="s">
        <v>258</v>
      </c>
      <c r="I162" t="s">
        <v>943</v>
      </c>
      <c r="J162" t="s">
        <v>843</v>
      </c>
      <c r="K162" t="s">
        <v>951</v>
      </c>
      <c r="L162" s="1" t="s">
        <v>263</v>
      </c>
      <c r="M162" s="1" t="s">
        <v>270</v>
      </c>
    </row>
    <row r="163" spans="1:14" x14ac:dyDescent="0.25">
      <c r="A163" s="7"/>
      <c r="B163" s="7">
        <v>20</v>
      </c>
      <c r="C163" s="7"/>
      <c r="D163" s="7" t="s">
        <v>246</v>
      </c>
      <c r="E163" s="7" t="s">
        <v>925</v>
      </c>
      <c r="F163" s="7"/>
      <c r="G163" s="7"/>
      <c r="H163" s="7"/>
      <c r="I163" s="7"/>
      <c r="J163" s="7"/>
      <c r="K163" s="7"/>
      <c r="L163" s="7" t="s">
        <v>264</v>
      </c>
      <c r="M163" s="7"/>
      <c r="N163" s="7" t="s">
        <v>844</v>
      </c>
    </row>
    <row r="164" spans="1:14" x14ac:dyDescent="0.25">
      <c r="A164" s="7"/>
      <c r="B164" s="7">
        <v>20</v>
      </c>
      <c r="C164" s="7"/>
      <c r="D164" s="7" t="s">
        <v>247</v>
      </c>
      <c r="E164" s="7" t="s">
        <v>925</v>
      </c>
      <c r="F164" s="7"/>
      <c r="G164" s="7"/>
      <c r="H164" s="7"/>
      <c r="I164" s="7"/>
      <c r="J164" s="7"/>
      <c r="K164" s="7"/>
      <c r="L164" s="7" t="s">
        <v>264</v>
      </c>
      <c r="M164" s="7"/>
      <c r="N164" s="7" t="s">
        <v>844</v>
      </c>
    </row>
    <row r="165" spans="1:14" x14ac:dyDescent="0.25">
      <c r="A165" s="7"/>
      <c r="B165" s="7">
        <v>20</v>
      </c>
      <c r="C165" s="7"/>
      <c r="D165" s="7" t="s">
        <v>248</v>
      </c>
      <c r="E165" s="7" t="s">
        <v>925</v>
      </c>
      <c r="F165" s="7"/>
      <c r="G165" s="7"/>
      <c r="H165" s="7"/>
      <c r="I165" s="7"/>
      <c r="J165" s="7"/>
      <c r="K165" s="7"/>
      <c r="L165" s="7" t="s">
        <v>264</v>
      </c>
      <c r="M165" s="7"/>
      <c r="N165" s="7" t="s">
        <v>844</v>
      </c>
    </row>
    <row r="166" spans="1:14" x14ac:dyDescent="0.25">
      <c r="A166">
        <v>128</v>
      </c>
      <c r="B166">
        <v>21</v>
      </c>
      <c r="C166" t="s">
        <v>956</v>
      </c>
      <c r="D166" s="1" t="s">
        <v>249</v>
      </c>
      <c r="E166" t="s">
        <v>954</v>
      </c>
      <c r="F166" t="s">
        <v>449</v>
      </c>
      <c r="G166">
        <v>2023</v>
      </c>
      <c r="H166" s="1" t="s">
        <v>258</v>
      </c>
      <c r="I166" t="s">
        <v>963</v>
      </c>
      <c r="J166" s="11" t="s">
        <v>952</v>
      </c>
      <c r="K166" t="s">
        <v>966</v>
      </c>
      <c r="L166" s="1" t="s">
        <v>263</v>
      </c>
      <c r="M166" s="1" t="s">
        <v>266</v>
      </c>
    </row>
    <row r="167" spans="1:14" x14ac:dyDescent="0.25">
      <c r="A167">
        <v>129</v>
      </c>
      <c r="B167">
        <v>21</v>
      </c>
      <c r="C167" t="s">
        <v>957</v>
      </c>
      <c r="D167" s="1" t="s">
        <v>255</v>
      </c>
      <c r="E167" t="s">
        <v>954</v>
      </c>
      <c r="F167" t="s">
        <v>449</v>
      </c>
      <c r="G167" t="s">
        <v>449</v>
      </c>
      <c r="H167" s="1" t="s">
        <v>258</v>
      </c>
      <c r="I167" t="s">
        <v>964</v>
      </c>
      <c r="J167" s="11" t="s">
        <v>952</v>
      </c>
      <c r="K167" t="s">
        <v>967</v>
      </c>
      <c r="L167" s="1" t="s">
        <v>263</v>
      </c>
      <c r="M167" s="1" t="s">
        <v>266</v>
      </c>
    </row>
    <row r="168" spans="1:14" x14ac:dyDescent="0.25">
      <c r="A168">
        <v>130</v>
      </c>
      <c r="B168">
        <v>21</v>
      </c>
      <c r="C168" t="s">
        <v>958</v>
      </c>
      <c r="D168" s="1" t="s">
        <v>255</v>
      </c>
      <c r="E168" t="s">
        <v>954</v>
      </c>
      <c r="F168" t="s">
        <v>449</v>
      </c>
      <c r="G168" t="s">
        <v>449</v>
      </c>
      <c r="H168" s="1" t="s">
        <v>258</v>
      </c>
      <c r="I168" t="s">
        <v>965</v>
      </c>
      <c r="J168" s="11" t="s">
        <v>952</v>
      </c>
      <c r="K168" t="s">
        <v>968</v>
      </c>
      <c r="L168" s="1" t="s">
        <v>263</v>
      </c>
      <c r="M168" s="1" t="s">
        <v>270</v>
      </c>
    </row>
    <row r="169" spans="1:14" x14ac:dyDescent="0.25">
      <c r="A169">
        <v>131</v>
      </c>
      <c r="B169">
        <v>21</v>
      </c>
      <c r="C169" t="s">
        <v>960</v>
      </c>
      <c r="D169" s="1" t="s">
        <v>254</v>
      </c>
      <c r="E169" t="s">
        <v>954</v>
      </c>
      <c r="F169" t="s">
        <v>959</v>
      </c>
      <c r="G169" t="s">
        <v>449</v>
      </c>
      <c r="H169" s="1" t="s">
        <v>257</v>
      </c>
      <c r="I169" t="s">
        <v>962</v>
      </c>
      <c r="J169" s="11" t="s">
        <v>952</v>
      </c>
      <c r="K169" t="s">
        <v>961</v>
      </c>
      <c r="L169" s="1" t="s">
        <v>263</v>
      </c>
      <c r="M169" s="1" t="s">
        <v>270</v>
      </c>
    </row>
    <row r="170" spans="1:14" x14ac:dyDescent="0.25">
      <c r="A170" s="7"/>
      <c r="B170" s="7">
        <v>21</v>
      </c>
      <c r="C170" s="7"/>
      <c r="D170" s="7" t="s">
        <v>246</v>
      </c>
      <c r="E170" s="7" t="s">
        <v>954</v>
      </c>
      <c r="F170" s="7"/>
      <c r="G170" s="7"/>
      <c r="H170" s="7"/>
      <c r="I170" s="7"/>
      <c r="J170" s="7"/>
      <c r="K170" s="7"/>
      <c r="L170" s="7" t="s">
        <v>264</v>
      </c>
      <c r="M170" s="7"/>
      <c r="N170" s="7" t="s">
        <v>955</v>
      </c>
    </row>
    <row r="171" spans="1:14" x14ac:dyDescent="0.25">
      <c r="A171" s="7"/>
      <c r="B171" s="7">
        <v>21</v>
      </c>
      <c r="C171" s="7"/>
      <c r="D171" s="7" t="s">
        <v>247</v>
      </c>
      <c r="E171" s="7" t="s">
        <v>954</v>
      </c>
      <c r="F171" s="7"/>
      <c r="G171" s="7"/>
      <c r="H171" s="7"/>
      <c r="I171" s="7"/>
      <c r="J171" s="7"/>
      <c r="K171" s="7"/>
      <c r="L171" s="7" t="s">
        <v>264</v>
      </c>
      <c r="M171" s="7"/>
      <c r="N171" s="7" t="s">
        <v>955</v>
      </c>
    </row>
    <row r="172" spans="1:14" x14ac:dyDescent="0.25">
      <c r="A172" s="7"/>
      <c r="B172" s="7">
        <v>21</v>
      </c>
      <c r="C172" s="7"/>
      <c r="D172" s="7" t="s">
        <v>248</v>
      </c>
      <c r="E172" s="7" t="s">
        <v>954</v>
      </c>
      <c r="F172" s="7"/>
      <c r="G172" s="7"/>
      <c r="H172" s="7"/>
      <c r="I172" s="7"/>
      <c r="J172" s="7"/>
      <c r="K172" s="7"/>
      <c r="L172" s="7" t="s">
        <v>264</v>
      </c>
      <c r="M172" s="7"/>
      <c r="N172" s="7" t="s">
        <v>955</v>
      </c>
    </row>
    <row r="173" spans="1:14" x14ac:dyDescent="0.25">
      <c r="A173" s="4">
        <v>132</v>
      </c>
      <c r="B173" s="4">
        <v>22</v>
      </c>
      <c r="C173" s="4" t="s">
        <v>971</v>
      </c>
      <c r="D173" s="4" t="s">
        <v>249</v>
      </c>
      <c r="E173" s="4" t="s">
        <v>969</v>
      </c>
      <c r="F173" s="4" t="s">
        <v>449</v>
      </c>
      <c r="G173" s="4" t="s">
        <v>449</v>
      </c>
      <c r="H173" s="4" t="s">
        <v>258</v>
      </c>
      <c r="I173" s="4" t="s">
        <v>981</v>
      </c>
      <c r="J173" s="10" t="s">
        <v>952</v>
      </c>
      <c r="K173" s="4" t="s">
        <v>991</v>
      </c>
      <c r="L173" s="4" t="s">
        <v>262</v>
      </c>
      <c r="M173" s="4"/>
      <c r="N173" s="4"/>
    </row>
    <row r="174" spans="1:14" x14ac:dyDescent="0.25">
      <c r="A174">
        <v>133</v>
      </c>
      <c r="B174">
        <v>22</v>
      </c>
      <c r="C174" t="s">
        <v>972</v>
      </c>
      <c r="D174" s="1" t="s">
        <v>255</v>
      </c>
      <c r="E174" t="s">
        <v>969</v>
      </c>
      <c r="F174" t="s">
        <v>449</v>
      </c>
      <c r="G174" t="s">
        <v>449</v>
      </c>
      <c r="H174" s="1" t="s">
        <v>258</v>
      </c>
      <c r="I174" t="s">
        <v>982</v>
      </c>
      <c r="J174" s="11" t="s">
        <v>952</v>
      </c>
      <c r="K174" t="s">
        <v>992</v>
      </c>
      <c r="L174" s="1" t="s">
        <v>263</v>
      </c>
      <c r="M174" s="1" t="s">
        <v>266</v>
      </c>
    </row>
    <row r="175" spans="1:14" x14ac:dyDescent="0.25">
      <c r="A175">
        <v>134</v>
      </c>
      <c r="B175">
        <v>22</v>
      </c>
      <c r="C175" t="s">
        <v>973</v>
      </c>
      <c r="D175" s="1" t="s">
        <v>250</v>
      </c>
      <c r="E175" t="s">
        <v>969</v>
      </c>
      <c r="F175" t="s">
        <v>449</v>
      </c>
      <c r="G175" t="s">
        <v>449</v>
      </c>
      <c r="H175" s="1" t="s">
        <v>258</v>
      </c>
      <c r="I175" t="s">
        <v>983</v>
      </c>
      <c r="J175" s="11" t="s">
        <v>952</v>
      </c>
      <c r="K175" t="s">
        <v>993</v>
      </c>
      <c r="L175" s="1" t="s">
        <v>263</v>
      </c>
      <c r="M175" s="1" t="s">
        <v>266</v>
      </c>
    </row>
    <row r="176" spans="1:14" x14ac:dyDescent="0.25">
      <c r="A176">
        <v>135</v>
      </c>
      <c r="B176">
        <v>22</v>
      </c>
      <c r="C176" t="s">
        <v>974</v>
      </c>
      <c r="D176" s="1" t="s">
        <v>251</v>
      </c>
      <c r="E176" t="s">
        <v>969</v>
      </c>
      <c r="F176" t="s">
        <v>449</v>
      </c>
      <c r="G176" t="s">
        <v>449</v>
      </c>
      <c r="H176" s="1" t="s">
        <v>258</v>
      </c>
      <c r="I176" t="s">
        <v>984</v>
      </c>
      <c r="J176" s="11" t="s">
        <v>952</v>
      </c>
      <c r="K176" t="s">
        <v>997</v>
      </c>
      <c r="L176" s="1" t="s">
        <v>263</v>
      </c>
      <c r="M176" s="1" t="s">
        <v>266</v>
      </c>
    </row>
    <row r="177" spans="1:14" x14ac:dyDescent="0.25">
      <c r="A177">
        <v>136</v>
      </c>
      <c r="B177">
        <v>22</v>
      </c>
      <c r="C177" t="s">
        <v>975</v>
      </c>
      <c r="D177" s="1" t="s">
        <v>250</v>
      </c>
      <c r="E177" t="s">
        <v>969</v>
      </c>
      <c r="F177" t="s">
        <v>449</v>
      </c>
      <c r="G177" t="s">
        <v>449</v>
      </c>
      <c r="H177" s="1" t="s">
        <v>258</v>
      </c>
      <c r="I177" t="s">
        <v>985</v>
      </c>
      <c r="J177" s="11" t="s">
        <v>952</v>
      </c>
      <c r="K177" t="s">
        <v>998</v>
      </c>
      <c r="L177" s="1" t="s">
        <v>263</v>
      </c>
      <c r="M177" s="1" t="s">
        <v>266</v>
      </c>
    </row>
    <row r="178" spans="1:14" x14ac:dyDescent="0.25">
      <c r="A178">
        <v>137</v>
      </c>
      <c r="B178">
        <v>22</v>
      </c>
      <c r="C178" t="s">
        <v>976</v>
      </c>
      <c r="D178" s="1" t="s">
        <v>255</v>
      </c>
      <c r="E178" t="s">
        <v>969</v>
      </c>
      <c r="F178" t="s">
        <v>449</v>
      </c>
      <c r="G178" t="s">
        <v>449</v>
      </c>
      <c r="H178" s="1" t="s">
        <v>258</v>
      </c>
      <c r="I178" t="s">
        <v>986</v>
      </c>
      <c r="J178" s="11" t="s">
        <v>952</v>
      </c>
      <c r="K178" t="s">
        <v>999</v>
      </c>
      <c r="L178" s="1" t="s">
        <v>263</v>
      </c>
      <c r="M178" s="1" t="s">
        <v>266</v>
      </c>
    </row>
    <row r="179" spans="1:14" x14ac:dyDescent="0.25">
      <c r="A179">
        <v>138</v>
      </c>
      <c r="B179">
        <v>22</v>
      </c>
      <c r="C179" t="s">
        <v>977</v>
      </c>
      <c r="D179" s="1" t="s">
        <v>255</v>
      </c>
      <c r="E179" t="s">
        <v>969</v>
      </c>
      <c r="F179" t="s">
        <v>449</v>
      </c>
      <c r="G179" t="s">
        <v>449</v>
      </c>
      <c r="H179" s="1" t="s">
        <v>258</v>
      </c>
      <c r="I179" t="s">
        <v>987</v>
      </c>
      <c r="J179" s="11" t="s">
        <v>952</v>
      </c>
      <c r="K179" t="s">
        <v>1000</v>
      </c>
      <c r="L179" s="1" t="s">
        <v>263</v>
      </c>
      <c r="M179" s="1" t="s">
        <v>266</v>
      </c>
    </row>
    <row r="180" spans="1:14" x14ac:dyDescent="0.25">
      <c r="A180">
        <v>139</v>
      </c>
      <c r="B180">
        <v>22</v>
      </c>
      <c r="C180" t="s">
        <v>978</v>
      </c>
      <c r="D180" s="1" t="s">
        <v>253</v>
      </c>
      <c r="E180" t="s">
        <v>969</v>
      </c>
      <c r="F180" t="s">
        <v>449</v>
      </c>
      <c r="G180" t="s">
        <v>449</v>
      </c>
      <c r="H180" s="1" t="s">
        <v>258</v>
      </c>
      <c r="I180" t="s">
        <v>988</v>
      </c>
      <c r="J180" s="11" t="s">
        <v>952</v>
      </c>
      <c r="K180" t="s">
        <v>1001</v>
      </c>
      <c r="L180" s="1" t="s">
        <v>263</v>
      </c>
      <c r="M180" s="1" t="s">
        <v>266</v>
      </c>
    </row>
    <row r="181" spans="1:14" x14ac:dyDescent="0.25">
      <c r="A181">
        <v>140</v>
      </c>
      <c r="B181">
        <v>22</v>
      </c>
      <c r="C181" t="s">
        <v>979</v>
      </c>
      <c r="D181" s="1" t="s">
        <v>253</v>
      </c>
      <c r="E181" t="s">
        <v>969</v>
      </c>
      <c r="F181" t="s">
        <v>449</v>
      </c>
      <c r="G181" t="s">
        <v>449</v>
      </c>
      <c r="H181" s="1" t="s">
        <v>258</v>
      </c>
      <c r="I181" t="s">
        <v>989</v>
      </c>
      <c r="J181" s="11" t="s">
        <v>952</v>
      </c>
      <c r="K181" t="s">
        <v>1002</v>
      </c>
      <c r="L181" s="1" t="s">
        <v>263</v>
      </c>
      <c r="M181" s="1" t="s">
        <v>266</v>
      </c>
    </row>
    <row r="182" spans="1:14" x14ac:dyDescent="0.25">
      <c r="A182">
        <v>141</v>
      </c>
      <c r="B182">
        <v>22</v>
      </c>
      <c r="C182" t="s">
        <v>980</v>
      </c>
      <c r="D182" s="1" t="s">
        <v>254</v>
      </c>
      <c r="E182" t="s">
        <v>969</v>
      </c>
      <c r="F182" t="s">
        <v>449</v>
      </c>
      <c r="G182" t="s">
        <v>449</v>
      </c>
      <c r="H182" s="1" t="s">
        <v>258</v>
      </c>
      <c r="I182" t="s">
        <v>990</v>
      </c>
      <c r="J182" s="11" t="s">
        <v>952</v>
      </c>
      <c r="K182" t="s">
        <v>1003</v>
      </c>
      <c r="L182" s="1" t="s">
        <v>263</v>
      </c>
      <c r="M182" s="1" t="s">
        <v>270</v>
      </c>
    </row>
    <row r="183" spans="1:14" x14ac:dyDescent="0.25">
      <c r="A183" s="7"/>
      <c r="B183" s="7">
        <v>22</v>
      </c>
      <c r="C183" s="7"/>
      <c r="D183" s="7" t="s">
        <v>246</v>
      </c>
      <c r="E183" s="7" t="s">
        <v>969</v>
      </c>
      <c r="F183" s="7"/>
      <c r="G183" s="7"/>
      <c r="H183" s="7"/>
      <c r="I183" s="7"/>
      <c r="J183" s="7"/>
      <c r="K183" s="7"/>
      <c r="L183" s="7" t="s">
        <v>264</v>
      </c>
      <c r="M183" s="7"/>
      <c r="N183" s="7" t="s">
        <v>955</v>
      </c>
    </row>
    <row r="184" spans="1:14" x14ac:dyDescent="0.25">
      <c r="A184" s="7"/>
      <c r="B184" s="7">
        <v>22</v>
      </c>
      <c r="C184" s="7"/>
      <c r="D184" s="7" t="s">
        <v>247</v>
      </c>
      <c r="E184" s="7" t="s">
        <v>969</v>
      </c>
      <c r="F184" s="7"/>
      <c r="G184" s="7"/>
      <c r="H184" s="7"/>
      <c r="I184" s="7"/>
      <c r="J184" s="7"/>
      <c r="K184" s="7"/>
      <c r="L184" s="7" t="s">
        <v>264</v>
      </c>
      <c r="M184" s="7"/>
      <c r="N184" s="7" t="s">
        <v>955</v>
      </c>
    </row>
    <row r="185" spans="1:14" x14ac:dyDescent="0.25">
      <c r="A185" s="7"/>
      <c r="B185" s="7">
        <v>22</v>
      </c>
      <c r="C185" s="7"/>
      <c r="D185" s="7" t="s">
        <v>248</v>
      </c>
      <c r="E185" s="7" t="s">
        <v>969</v>
      </c>
      <c r="F185" s="7"/>
      <c r="G185" s="7"/>
      <c r="H185" s="7"/>
      <c r="I185" s="7"/>
      <c r="J185" s="7"/>
      <c r="K185" s="7"/>
      <c r="L185" s="7" t="s">
        <v>264</v>
      </c>
      <c r="M185" s="7"/>
      <c r="N185" s="7" t="s">
        <v>955</v>
      </c>
    </row>
    <row r="186" spans="1:14" x14ac:dyDescent="0.25">
      <c r="A186" s="4">
        <v>142</v>
      </c>
      <c r="B186" s="4">
        <v>23</v>
      </c>
      <c r="C186" s="4" t="s">
        <v>1004</v>
      </c>
      <c r="D186" s="4" t="s">
        <v>248</v>
      </c>
      <c r="E186" s="4" t="s">
        <v>1005</v>
      </c>
      <c r="F186" s="4"/>
      <c r="G186" s="4"/>
      <c r="H186" s="4" t="s">
        <v>258</v>
      </c>
      <c r="I186" s="4" t="s">
        <v>1011</v>
      </c>
      <c r="J186" s="10" t="s">
        <v>952</v>
      </c>
      <c r="K186" s="4" t="s">
        <v>1018</v>
      </c>
      <c r="L186" s="4" t="s">
        <v>262</v>
      </c>
      <c r="M186" s="4"/>
      <c r="N186" s="4" t="s">
        <v>1017</v>
      </c>
    </row>
    <row r="187" spans="1:14" x14ac:dyDescent="0.25">
      <c r="A187">
        <v>143</v>
      </c>
      <c r="B187">
        <v>23</v>
      </c>
      <c r="C187" t="s">
        <v>1006</v>
      </c>
      <c r="D187" s="1" t="s">
        <v>250</v>
      </c>
      <c r="E187" t="s">
        <v>1005</v>
      </c>
      <c r="H187" s="1" t="s">
        <v>258</v>
      </c>
      <c r="I187" t="s">
        <v>1012</v>
      </c>
      <c r="J187" s="11" t="s">
        <v>952</v>
      </c>
      <c r="K187" t="s">
        <v>1019</v>
      </c>
      <c r="L187" s="1" t="s">
        <v>263</v>
      </c>
      <c r="M187" s="1" t="s">
        <v>267</v>
      </c>
      <c r="N187" t="s">
        <v>1020</v>
      </c>
    </row>
    <row r="188" spans="1:14" x14ac:dyDescent="0.25">
      <c r="A188">
        <v>144</v>
      </c>
      <c r="B188">
        <v>23</v>
      </c>
      <c r="C188" t="s">
        <v>1007</v>
      </c>
      <c r="D188" s="1" t="s">
        <v>255</v>
      </c>
      <c r="E188" t="s">
        <v>1005</v>
      </c>
      <c r="H188" s="1" t="s">
        <v>258</v>
      </c>
      <c r="I188" t="s">
        <v>1013</v>
      </c>
      <c r="J188" s="11" t="s">
        <v>952</v>
      </c>
      <c r="K188" t="s">
        <v>1021</v>
      </c>
      <c r="L188" s="1" t="s">
        <v>263</v>
      </c>
      <c r="M188" s="1" t="s">
        <v>266</v>
      </c>
    </row>
    <row r="189" spans="1:14" x14ac:dyDescent="0.25">
      <c r="A189">
        <v>145</v>
      </c>
      <c r="B189">
        <v>23</v>
      </c>
      <c r="C189" t="s">
        <v>1008</v>
      </c>
      <c r="D189" s="1" t="s">
        <v>249</v>
      </c>
      <c r="E189" t="s">
        <v>1005</v>
      </c>
      <c r="H189" s="1" t="s">
        <v>258</v>
      </c>
      <c r="I189" t="s">
        <v>1014</v>
      </c>
      <c r="J189" s="11" t="s">
        <v>952</v>
      </c>
      <c r="K189" t="s">
        <v>1022</v>
      </c>
      <c r="L189" s="1" t="s">
        <v>263</v>
      </c>
      <c r="M189" s="1" t="s">
        <v>266</v>
      </c>
    </row>
    <row r="190" spans="1:14" x14ac:dyDescent="0.25">
      <c r="A190">
        <v>146</v>
      </c>
      <c r="B190">
        <v>23</v>
      </c>
      <c r="C190" t="s">
        <v>1009</v>
      </c>
      <c r="D190" s="1" t="s">
        <v>249</v>
      </c>
      <c r="E190" t="s">
        <v>1005</v>
      </c>
      <c r="H190" s="1" t="s">
        <v>258</v>
      </c>
      <c r="I190" t="s">
        <v>1015</v>
      </c>
      <c r="J190" s="11" t="s">
        <v>952</v>
      </c>
      <c r="K190" t="s">
        <v>1023</v>
      </c>
      <c r="L190" s="1" t="s">
        <v>263</v>
      </c>
      <c r="M190" s="1" t="s">
        <v>266</v>
      </c>
    </row>
    <row r="191" spans="1:14" x14ac:dyDescent="0.25">
      <c r="A191">
        <v>147</v>
      </c>
      <c r="B191">
        <v>23</v>
      </c>
      <c r="C191" t="s">
        <v>1010</v>
      </c>
      <c r="D191" s="1" t="s">
        <v>255</v>
      </c>
      <c r="E191" t="s">
        <v>1005</v>
      </c>
      <c r="H191" s="1" t="s">
        <v>258</v>
      </c>
      <c r="I191" t="s">
        <v>1016</v>
      </c>
      <c r="J191" s="11" t="s">
        <v>952</v>
      </c>
      <c r="K191" t="s">
        <v>1024</v>
      </c>
      <c r="L191" s="1" t="s">
        <v>263</v>
      </c>
      <c r="M191" s="1" t="s">
        <v>266</v>
      </c>
    </row>
    <row r="192" spans="1:14" x14ac:dyDescent="0.25">
      <c r="A192" s="4">
        <v>148</v>
      </c>
      <c r="B192" s="4">
        <v>24</v>
      </c>
      <c r="C192" s="4" t="s">
        <v>1027</v>
      </c>
      <c r="D192" s="4" t="s">
        <v>246</v>
      </c>
      <c r="E192" s="4" t="s">
        <v>1026</v>
      </c>
      <c r="F192" s="4"/>
      <c r="G192" s="4"/>
      <c r="H192" s="4" t="s">
        <v>258</v>
      </c>
      <c r="I192" s="4" t="s">
        <v>1032</v>
      </c>
      <c r="J192" s="10" t="s">
        <v>952</v>
      </c>
      <c r="K192" s="4" t="s">
        <v>1037</v>
      </c>
      <c r="L192" s="4" t="s">
        <v>262</v>
      </c>
      <c r="M192" s="4"/>
      <c r="N192" s="4" t="s">
        <v>1041</v>
      </c>
    </row>
    <row r="193" spans="1:14" x14ac:dyDescent="0.25">
      <c r="A193" s="4">
        <v>149</v>
      </c>
      <c r="B193" s="4">
        <v>24</v>
      </c>
      <c r="C193" s="4" t="s">
        <v>1028</v>
      </c>
      <c r="D193" s="4" t="s">
        <v>249</v>
      </c>
      <c r="E193" s="4" t="s">
        <v>1026</v>
      </c>
      <c r="F193" s="4"/>
      <c r="G193" s="4"/>
      <c r="H193" s="4" t="s">
        <v>258</v>
      </c>
      <c r="I193" s="4" t="s">
        <v>1033</v>
      </c>
      <c r="J193" s="10" t="s">
        <v>952</v>
      </c>
      <c r="K193" s="4" t="s">
        <v>1038</v>
      </c>
      <c r="L193" s="4" t="s">
        <v>262</v>
      </c>
      <c r="M193" s="4"/>
      <c r="N193" s="4"/>
    </row>
    <row r="194" spans="1:14" x14ac:dyDescent="0.25">
      <c r="A194">
        <v>150</v>
      </c>
      <c r="B194">
        <v>24</v>
      </c>
      <c r="C194" t="s">
        <v>1029</v>
      </c>
      <c r="D194" s="1" t="s">
        <v>248</v>
      </c>
      <c r="E194" t="s">
        <v>1026</v>
      </c>
      <c r="H194" s="1" t="s">
        <v>258</v>
      </c>
      <c r="I194" t="s">
        <v>1034</v>
      </c>
      <c r="J194" s="11" t="s">
        <v>952</v>
      </c>
      <c r="K194" t="s">
        <v>1039</v>
      </c>
      <c r="L194" s="1" t="s">
        <v>263</v>
      </c>
      <c r="M194" s="1" t="s">
        <v>267</v>
      </c>
      <c r="N194" t="s">
        <v>1040</v>
      </c>
    </row>
    <row r="195" spans="1:14" x14ac:dyDescent="0.25">
      <c r="A195">
        <v>151</v>
      </c>
      <c r="B195">
        <v>24</v>
      </c>
      <c r="C195" t="s">
        <v>1030</v>
      </c>
      <c r="D195" s="1" t="s">
        <v>255</v>
      </c>
      <c r="E195" t="s">
        <v>1026</v>
      </c>
      <c r="H195" s="1" t="s">
        <v>258</v>
      </c>
      <c r="I195" t="s">
        <v>1035</v>
      </c>
      <c r="J195" s="11" t="s">
        <v>952</v>
      </c>
      <c r="K195" t="s">
        <v>1042</v>
      </c>
      <c r="L195" s="1" t="s">
        <v>263</v>
      </c>
      <c r="M195" s="1" t="s">
        <v>266</v>
      </c>
    </row>
    <row r="196" spans="1:14" x14ac:dyDescent="0.25">
      <c r="A196">
        <v>152</v>
      </c>
      <c r="B196">
        <v>24</v>
      </c>
      <c r="C196" t="s">
        <v>1031</v>
      </c>
      <c r="D196" s="1" t="s">
        <v>250</v>
      </c>
      <c r="E196" t="s">
        <v>1026</v>
      </c>
      <c r="H196" s="1" t="s">
        <v>258</v>
      </c>
      <c r="I196" t="s">
        <v>1036</v>
      </c>
      <c r="J196" s="11" t="s">
        <v>952</v>
      </c>
      <c r="K196" t="s">
        <v>1043</v>
      </c>
      <c r="L196" s="1" t="s">
        <v>263</v>
      </c>
      <c r="M196" s="1" t="s">
        <v>267</v>
      </c>
      <c r="N196" t="s">
        <v>1040</v>
      </c>
    </row>
    <row r="197" spans="1:14" x14ac:dyDescent="0.25">
      <c r="A197" s="4">
        <v>153</v>
      </c>
      <c r="B197" s="4">
        <v>25</v>
      </c>
      <c r="C197" s="4" t="s">
        <v>1045</v>
      </c>
      <c r="D197" s="4" t="s">
        <v>246</v>
      </c>
      <c r="E197" s="4" t="s">
        <v>1057</v>
      </c>
      <c r="F197" s="4"/>
      <c r="G197" s="4"/>
      <c r="H197" s="4" t="s">
        <v>258</v>
      </c>
      <c r="I197" s="4" t="s">
        <v>1051</v>
      </c>
      <c r="J197" s="10" t="s">
        <v>952</v>
      </c>
      <c r="K197" s="4" t="s">
        <v>1059</v>
      </c>
      <c r="L197" s="4" t="s">
        <v>262</v>
      </c>
      <c r="M197" s="4"/>
      <c r="N197" s="4" t="s">
        <v>1058</v>
      </c>
    </row>
    <row r="198" spans="1:14" x14ac:dyDescent="0.25">
      <c r="A198" s="4">
        <v>154</v>
      </c>
      <c r="B198" s="4">
        <v>25</v>
      </c>
      <c r="C198" s="4" t="s">
        <v>1046</v>
      </c>
      <c r="D198" s="4" t="s">
        <v>248</v>
      </c>
      <c r="E198" s="4" t="s">
        <v>1057</v>
      </c>
      <c r="F198" s="4"/>
      <c r="G198" s="4"/>
      <c r="H198" s="4" t="s">
        <v>258</v>
      </c>
      <c r="I198" s="4" t="s">
        <v>1052</v>
      </c>
      <c r="J198" s="10" t="s">
        <v>952</v>
      </c>
      <c r="K198" s="4" t="s">
        <v>1061</v>
      </c>
      <c r="L198" s="4" t="s">
        <v>262</v>
      </c>
      <c r="M198" s="4"/>
      <c r="N198" s="4" t="s">
        <v>1060</v>
      </c>
    </row>
    <row r="199" spans="1:14" x14ac:dyDescent="0.25">
      <c r="A199">
        <v>155</v>
      </c>
      <c r="B199">
        <v>25</v>
      </c>
      <c r="C199" t="s">
        <v>1047</v>
      </c>
      <c r="D199" s="1" t="s">
        <v>248</v>
      </c>
      <c r="E199" t="s">
        <v>1057</v>
      </c>
      <c r="H199" s="1" t="s">
        <v>258</v>
      </c>
      <c r="I199" t="s">
        <v>1053</v>
      </c>
      <c r="J199" s="11" t="s">
        <v>952</v>
      </c>
      <c r="K199" t="s">
        <v>1063</v>
      </c>
      <c r="L199" s="1" t="s">
        <v>263</v>
      </c>
      <c r="M199" s="1" t="s">
        <v>267</v>
      </c>
      <c r="N199" t="s">
        <v>1062</v>
      </c>
    </row>
    <row r="200" spans="1:14" x14ac:dyDescent="0.25">
      <c r="A200">
        <v>156</v>
      </c>
      <c r="B200">
        <v>25</v>
      </c>
      <c r="C200" t="s">
        <v>1048</v>
      </c>
      <c r="D200" s="1" t="s">
        <v>251</v>
      </c>
      <c r="E200" t="s">
        <v>1057</v>
      </c>
      <c r="H200" s="1" t="s">
        <v>258</v>
      </c>
      <c r="I200" t="s">
        <v>1054</v>
      </c>
      <c r="J200" s="11" t="s">
        <v>952</v>
      </c>
      <c r="K200" t="s">
        <v>1064</v>
      </c>
      <c r="L200" s="1" t="s">
        <v>263</v>
      </c>
      <c r="M200" s="1" t="s">
        <v>267</v>
      </c>
      <c r="N200" t="s">
        <v>1062</v>
      </c>
    </row>
    <row r="201" spans="1:14" x14ac:dyDescent="0.25">
      <c r="A201">
        <v>157</v>
      </c>
      <c r="B201">
        <v>25</v>
      </c>
      <c r="C201" t="s">
        <v>1049</v>
      </c>
      <c r="D201" s="1" t="s">
        <v>249</v>
      </c>
      <c r="E201" t="s">
        <v>1057</v>
      </c>
      <c r="H201" s="1" t="s">
        <v>258</v>
      </c>
      <c r="I201" t="s">
        <v>1055</v>
      </c>
      <c r="J201" s="11" t="s">
        <v>952</v>
      </c>
      <c r="K201" t="s">
        <v>1065</v>
      </c>
      <c r="L201" s="1" t="s">
        <v>263</v>
      </c>
      <c r="M201" s="1" t="s">
        <v>266</v>
      </c>
    </row>
    <row r="202" spans="1:14" x14ac:dyDescent="0.25">
      <c r="A202">
        <v>158</v>
      </c>
      <c r="B202">
        <v>25</v>
      </c>
      <c r="C202" t="s">
        <v>1050</v>
      </c>
      <c r="D202" s="1" t="s">
        <v>255</v>
      </c>
      <c r="E202" t="s">
        <v>1057</v>
      </c>
      <c r="H202" s="1" t="s">
        <v>258</v>
      </c>
      <c r="I202" t="s">
        <v>1056</v>
      </c>
      <c r="J202" s="11" t="s">
        <v>952</v>
      </c>
      <c r="K202" t="s">
        <v>1066</v>
      </c>
      <c r="L202" s="1" t="s">
        <v>263</v>
      </c>
      <c r="M202" s="1" t="s">
        <v>267</v>
      </c>
      <c r="N202" t="s">
        <v>1062</v>
      </c>
    </row>
    <row r="203" spans="1:14" x14ac:dyDescent="0.25">
      <c r="A203">
        <v>159</v>
      </c>
      <c r="B203">
        <v>26</v>
      </c>
      <c r="C203" t="s">
        <v>1068</v>
      </c>
      <c r="D203" s="1" t="s">
        <v>249</v>
      </c>
      <c r="E203" t="s">
        <v>1071</v>
      </c>
      <c r="H203" s="1" t="s">
        <v>258</v>
      </c>
      <c r="I203" t="s">
        <v>1072</v>
      </c>
      <c r="J203" s="11" t="s">
        <v>952</v>
      </c>
      <c r="K203" t="s">
        <v>1075</v>
      </c>
      <c r="L203" s="1" t="s">
        <v>263</v>
      </c>
      <c r="M203" s="1" t="s">
        <v>266</v>
      </c>
    </row>
    <row r="204" spans="1:14" x14ac:dyDescent="0.25">
      <c r="A204">
        <v>160</v>
      </c>
      <c r="B204">
        <v>26</v>
      </c>
      <c r="C204" t="s">
        <v>1069</v>
      </c>
      <c r="D204" s="1" t="s">
        <v>250</v>
      </c>
      <c r="E204" t="s">
        <v>1071</v>
      </c>
      <c r="H204" s="1" t="s">
        <v>258</v>
      </c>
      <c r="I204" t="s">
        <v>1073</v>
      </c>
      <c r="J204" s="11" t="s">
        <v>952</v>
      </c>
      <c r="K204" t="s">
        <v>1076</v>
      </c>
      <c r="L204" s="1" t="s">
        <v>263</v>
      </c>
      <c r="M204" s="1" t="s">
        <v>266</v>
      </c>
    </row>
    <row r="205" spans="1:14" x14ac:dyDescent="0.25">
      <c r="A205">
        <v>161</v>
      </c>
      <c r="B205">
        <v>26</v>
      </c>
      <c r="C205" t="s">
        <v>1070</v>
      </c>
      <c r="D205" s="1" t="s">
        <v>249</v>
      </c>
      <c r="E205" t="s">
        <v>1071</v>
      </c>
      <c r="H205" s="1" t="s">
        <v>258</v>
      </c>
      <c r="I205" t="s">
        <v>1074</v>
      </c>
      <c r="J205" s="11" t="s">
        <v>952</v>
      </c>
      <c r="K205" t="s">
        <v>1077</v>
      </c>
      <c r="L205" s="1" t="s">
        <v>263</v>
      </c>
      <c r="M205" s="1" t="s">
        <v>266</v>
      </c>
    </row>
    <row r="206" spans="1:14" x14ac:dyDescent="0.25">
      <c r="A206" s="7"/>
      <c r="B206" s="7">
        <v>26</v>
      </c>
      <c r="C206" s="7"/>
      <c r="D206" s="7" t="s">
        <v>246</v>
      </c>
      <c r="E206" s="7" t="s">
        <v>1071</v>
      </c>
      <c r="F206" s="7"/>
      <c r="G206" s="7"/>
      <c r="H206" s="7"/>
      <c r="I206" s="7"/>
      <c r="J206" s="7"/>
      <c r="K206" s="7"/>
      <c r="L206" s="7" t="s">
        <v>264</v>
      </c>
      <c r="M206" s="7"/>
      <c r="N206" s="7" t="s">
        <v>955</v>
      </c>
    </row>
    <row r="207" spans="1:14" x14ac:dyDescent="0.25">
      <c r="A207" s="7"/>
      <c r="B207" s="7">
        <v>26</v>
      </c>
      <c r="C207" s="7"/>
      <c r="D207" s="7" t="s">
        <v>247</v>
      </c>
      <c r="E207" s="7" t="s">
        <v>1071</v>
      </c>
      <c r="F207" s="7"/>
      <c r="G207" s="7"/>
      <c r="H207" s="7"/>
      <c r="I207" s="7"/>
      <c r="J207" s="7"/>
      <c r="K207" s="7"/>
      <c r="L207" s="7" t="s">
        <v>264</v>
      </c>
      <c r="M207" s="7"/>
      <c r="N207" s="7" t="s">
        <v>955</v>
      </c>
    </row>
    <row r="208" spans="1:14" x14ac:dyDescent="0.25">
      <c r="A208" s="7"/>
      <c r="B208" s="7">
        <v>26</v>
      </c>
      <c r="C208" s="7"/>
      <c r="D208" s="7" t="s">
        <v>248</v>
      </c>
      <c r="E208" s="7" t="s">
        <v>1071</v>
      </c>
      <c r="F208" s="7"/>
      <c r="G208" s="7"/>
      <c r="H208" s="7"/>
      <c r="I208" s="7"/>
      <c r="J208" s="7"/>
      <c r="K208" s="7"/>
      <c r="L208" s="7" t="s">
        <v>264</v>
      </c>
      <c r="M208" s="7"/>
      <c r="N208" s="7" t="s">
        <v>955</v>
      </c>
    </row>
    <row r="209" spans="1:14" x14ac:dyDescent="0.25">
      <c r="A209" s="4">
        <v>162</v>
      </c>
      <c r="B209" s="4">
        <v>27</v>
      </c>
      <c r="C209" s="4" t="s">
        <v>1080</v>
      </c>
      <c r="D209" s="4" t="s">
        <v>250</v>
      </c>
      <c r="E209" s="4" t="s">
        <v>1078</v>
      </c>
      <c r="F209" s="4"/>
      <c r="G209" s="4"/>
      <c r="H209" s="4" t="s">
        <v>258</v>
      </c>
      <c r="I209" s="4" t="s">
        <v>1087</v>
      </c>
      <c r="J209" s="10" t="s">
        <v>952</v>
      </c>
      <c r="K209" s="4" t="s">
        <v>1096</v>
      </c>
      <c r="L209" s="4" t="s">
        <v>262</v>
      </c>
      <c r="M209" s="4"/>
      <c r="N209" s="4"/>
    </row>
    <row r="210" spans="1:14" x14ac:dyDescent="0.25">
      <c r="A210" s="4">
        <v>163</v>
      </c>
      <c r="B210" s="4">
        <v>27</v>
      </c>
      <c r="C210" s="4" t="s">
        <v>1081</v>
      </c>
      <c r="D210" s="4" t="s">
        <v>252</v>
      </c>
      <c r="E210" s="4" t="s">
        <v>1078</v>
      </c>
      <c r="F210" s="4"/>
      <c r="G210" s="4"/>
      <c r="H210" s="4" t="s">
        <v>258</v>
      </c>
      <c r="I210" s="4" t="s">
        <v>1089</v>
      </c>
      <c r="J210" s="10" t="s">
        <v>952</v>
      </c>
      <c r="K210" s="4" t="s">
        <v>1098</v>
      </c>
      <c r="L210" s="4" t="s">
        <v>262</v>
      </c>
      <c r="M210" s="4"/>
      <c r="N210" s="4"/>
    </row>
    <row r="211" spans="1:14" x14ac:dyDescent="0.25">
      <c r="A211">
        <v>164</v>
      </c>
      <c r="B211">
        <v>27</v>
      </c>
      <c r="C211" t="s">
        <v>1082</v>
      </c>
      <c r="D211" s="1" t="s">
        <v>249</v>
      </c>
      <c r="E211" t="s">
        <v>1078</v>
      </c>
      <c r="H211" s="1" t="s">
        <v>258</v>
      </c>
      <c r="I211" t="s">
        <v>1090</v>
      </c>
      <c r="J211" s="11" t="s">
        <v>952</v>
      </c>
      <c r="K211" t="s">
        <v>1095</v>
      </c>
      <c r="L211" s="1" t="s">
        <v>263</v>
      </c>
      <c r="M211" s="1" t="s">
        <v>266</v>
      </c>
    </row>
    <row r="212" spans="1:14" x14ac:dyDescent="0.25">
      <c r="A212">
        <v>165</v>
      </c>
      <c r="B212">
        <v>27</v>
      </c>
      <c r="C212" t="s">
        <v>1083</v>
      </c>
      <c r="D212" s="1" t="s">
        <v>253</v>
      </c>
      <c r="E212" t="s">
        <v>1078</v>
      </c>
      <c r="H212" s="1" t="s">
        <v>258</v>
      </c>
      <c r="I212" t="s">
        <v>1091</v>
      </c>
      <c r="J212" s="11" t="s">
        <v>952</v>
      </c>
      <c r="K212" t="s">
        <v>1094</v>
      </c>
      <c r="L212" s="1" t="s">
        <v>263</v>
      </c>
      <c r="M212" s="1" t="s">
        <v>269</v>
      </c>
    </row>
    <row r="213" spans="1:14" x14ac:dyDescent="0.25">
      <c r="A213">
        <v>166</v>
      </c>
      <c r="B213">
        <v>27</v>
      </c>
      <c r="C213" t="s">
        <v>1084</v>
      </c>
      <c r="D213" s="1" t="s">
        <v>255</v>
      </c>
      <c r="E213" t="s">
        <v>1078</v>
      </c>
      <c r="H213" s="1" t="s">
        <v>258</v>
      </c>
      <c r="I213" t="s">
        <v>1092</v>
      </c>
      <c r="J213" s="11" t="s">
        <v>952</v>
      </c>
      <c r="K213" t="s">
        <v>1093</v>
      </c>
      <c r="L213" s="1" t="s">
        <v>263</v>
      </c>
      <c r="M213" s="1" t="s">
        <v>270</v>
      </c>
    </row>
    <row r="214" spans="1:14" x14ac:dyDescent="0.25">
      <c r="A214">
        <v>167</v>
      </c>
      <c r="B214">
        <v>27</v>
      </c>
      <c r="C214" t="s">
        <v>1085</v>
      </c>
      <c r="D214" s="1" t="s">
        <v>252</v>
      </c>
      <c r="E214" t="s">
        <v>1078</v>
      </c>
      <c r="H214" s="1" t="s">
        <v>258</v>
      </c>
      <c r="I214" t="s">
        <v>1088</v>
      </c>
      <c r="J214" s="11" t="s">
        <v>952</v>
      </c>
      <c r="K214" t="s">
        <v>1097</v>
      </c>
      <c r="L214" s="1" t="s">
        <v>263</v>
      </c>
      <c r="M214" s="1" t="s">
        <v>267</v>
      </c>
      <c r="N214" t="s">
        <v>1086</v>
      </c>
    </row>
    <row r="215" spans="1:14" x14ac:dyDescent="0.25">
      <c r="A215" s="7"/>
      <c r="B215" s="7">
        <v>27</v>
      </c>
      <c r="C215" s="7"/>
      <c r="D215" s="7" t="s">
        <v>246</v>
      </c>
      <c r="E215" s="7" t="s">
        <v>1078</v>
      </c>
      <c r="F215" s="7"/>
      <c r="G215" s="7"/>
      <c r="H215" s="7"/>
      <c r="I215" s="7"/>
      <c r="J215" s="7"/>
      <c r="K215" s="7"/>
      <c r="L215" s="7" t="s">
        <v>264</v>
      </c>
      <c r="M215" s="7"/>
      <c r="N215" s="7" t="s">
        <v>955</v>
      </c>
    </row>
    <row r="216" spans="1:14" x14ac:dyDescent="0.25">
      <c r="A216" s="7"/>
      <c r="B216" s="7">
        <v>27</v>
      </c>
      <c r="C216" s="7"/>
      <c r="D216" s="7" t="s">
        <v>247</v>
      </c>
      <c r="E216" s="7" t="s">
        <v>1078</v>
      </c>
      <c r="F216" s="7"/>
      <c r="G216" s="7"/>
      <c r="H216" s="7"/>
      <c r="I216" s="7"/>
      <c r="J216" s="7"/>
      <c r="K216" s="7"/>
      <c r="L216" s="7" t="s">
        <v>264</v>
      </c>
      <c r="M216" s="7"/>
      <c r="N216" s="7" t="s">
        <v>955</v>
      </c>
    </row>
    <row r="217" spans="1:14" x14ac:dyDescent="0.25">
      <c r="A217" s="7"/>
      <c r="B217" s="7">
        <v>27</v>
      </c>
      <c r="C217" s="7"/>
      <c r="D217" s="7" t="s">
        <v>248</v>
      </c>
      <c r="E217" s="7" t="s">
        <v>1078</v>
      </c>
      <c r="F217" s="7"/>
      <c r="G217" s="7"/>
      <c r="H217" s="7"/>
      <c r="I217" s="7"/>
      <c r="J217" s="7"/>
      <c r="K217" s="7"/>
      <c r="L217" s="7" t="s">
        <v>264</v>
      </c>
      <c r="M217" s="7"/>
      <c r="N217" s="7" t="s">
        <v>955</v>
      </c>
    </row>
    <row r="218" spans="1:14" x14ac:dyDescent="0.25">
      <c r="A218">
        <v>168</v>
      </c>
      <c r="B218">
        <v>28</v>
      </c>
      <c r="C218" t="s">
        <v>1105</v>
      </c>
      <c r="D218" s="1" t="s">
        <v>252</v>
      </c>
      <c r="E218" t="s">
        <v>1111</v>
      </c>
      <c r="H218" s="1" t="s">
        <v>258</v>
      </c>
      <c r="I218" t="s">
        <v>1101</v>
      </c>
      <c r="J218" s="11" t="s">
        <v>952</v>
      </c>
      <c r="K218" t="s">
        <v>1106</v>
      </c>
      <c r="L218" s="1" t="s">
        <v>263</v>
      </c>
      <c r="M218" s="1" t="s">
        <v>266</v>
      </c>
    </row>
    <row r="219" spans="1:14" x14ac:dyDescent="0.25">
      <c r="A219">
        <v>169</v>
      </c>
      <c r="B219">
        <v>28</v>
      </c>
      <c r="C219" t="s">
        <v>1099</v>
      </c>
      <c r="D219" s="1" t="s">
        <v>253</v>
      </c>
      <c r="E219" t="s">
        <v>1111</v>
      </c>
      <c r="H219" s="1" t="s">
        <v>258</v>
      </c>
      <c r="I219" t="s">
        <v>1102</v>
      </c>
      <c r="J219" s="11" t="s">
        <v>952</v>
      </c>
      <c r="K219" t="s">
        <v>1107</v>
      </c>
      <c r="L219" s="1" t="s">
        <v>263</v>
      </c>
      <c r="M219" s="1" t="s">
        <v>269</v>
      </c>
      <c r="N219" t="s">
        <v>1108</v>
      </c>
    </row>
    <row r="220" spans="1:14" x14ac:dyDescent="0.25">
      <c r="A220">
        <v>170</v>
      </c>
      <c r="B220">
        <v>28</v>
      </c>
      <c r="C220" t="s">
        <v>249</v>
      </c>
      <c r="D220" s="1" t="s">
        <v>249</v>
      </c>
      <c r="E220" t="s">
        <v>1111</v>
      </c>
      <c r="H220" s="1" t="s">
        <v>258</v>
      </c>
      <c r="I220" t="s">
        <v>1103</v>
      </c>
      <c r="J220" s="11" t="s">
        <v>952</v>
      </c>
      <c r="K220" t="s">
        <v>1109</v>
      </c>
      <c r="L220" s="1" t="s">
        <v>263</v>
      </c>
      <c r="M220" s="1" t="s">
        <v>266</v>
      </c>
    </row>
    <row r="221" spans="1:14" x14ac:dyDescent="0.25">
      <c r="A221">
        <v>171</v>
      </c>
      <c r="B221">
        <v>28</v>
      </c>
      <c r="C221" t="s">
        <v>1100</v>
      </c>
      <c r="D221" s="1" t="s">
        <v>250</v>
      </c>
      <c r="E221" t="s">
        <v>1111</v>
      </c>
      <c r="H221" s="1" t="s">
        <v>258</v>
      </c>
      <c r="I221" t="s">
        <v>1104</v>
      </c>
      <c r="J221" s="11" t="s">
        <v>952</v>
      </c>
      <c r="K221" t="s">
        <v>1110</v>
      </c>
      <c r="L221" s="1" t="s">
        <v>263</v>
      </c>
      <c r="M221" s="1" t="s">
        <v>266</v>
      </c>
    </row>
    <row r="222" spans="1:14" x14ac:dyDescent="0.25">
      <c r="A222" s="7"/>
      <c r="B222" s="7">
        <v>28</v>
      </c>
      <c r="C222" s="7"/>
      <c r="D222" s="7" t="s">
        <v>246</v>
      </c>
      <c r="E222" s="7" t="s">
        <v>1111</v>
      </c>
      <c r="F222" s="7"/>
      <c r="G222" s="7"/>
      <c r="H222" s="7"/>
      <c r="I222" s="7"/>
      <c r="J222" s="7"/>
      <c r="K222" s="7"/>
      <c r="L222" s="7" t="s">
        <v>264</v>
      </c>
      <c r="M222" s="7"/>
      <c r="N222" s="7" t="s">
        <v>955</v>
      </c>
    </row>
    <row r="223" spans="1:14" x14ac:dyDescent="0.25">
      <c r="A223" s="7"/>
      <c r="B223" s="7">
        <v>28</v>
      </c>
      <c r="C223" s="7"/>
      <c r="D223" s="7" t="s">
        <v>247</v>
      </c>
      <c r="E223" s="7" t="s">
        <v>1111</v>
      </c>
      <c r="F223" s="7"/>
      <c r="G223" s="7"/>
      <c r="H223" s="7"/>
      <c r="I223" s="7"/>
      <c r="J223" s="7"/>
      <c r="K223" s="7"/>
      <c r="L223" s="7" t="s">
        <v>264</v>
      </c>
      <c r="M223" s="7"/>
      <c r="N223" s="7" t="s">
        <v>955</v>
      </c>
    </row>
    <row r="224" spans="1:14" x14ac:dyDescent="0.25">
      <c r="A224" s="7"/>
      <c r="B224" s="7">
        <v>28</v>
      </c>
      <c r="C224" s="7"/>
      <c r="D224" s="7" t="s">
        <v>248</v>
      </c>
      <c r="E224" s="7" t="s">
        <v>1111</v>
      </c>
      <c r="F224" s="7"/>
      <c r="G224" s="7"/>
      <c r="H224" s="7"/>
      <c r="I224" s="7"/>
      <c r="J224" s="7"/>
      <c r="K224" s="7"/>
      <c r="L224" s="7" t="s">
        <v>264</v>
      </c>
      <c r="M224" s="7"/>
      <c r="N224" s="7" t="s">
        <v>955</v>
      </c>
    </row>
    <row r="225" spans="1:14" x14ac:dyDescent="0.25">
      <c r="A225">
        <v>172</v>
      </c>
      <c r="B225">
        <v>29</v>
      </c>
      <c r="C225" t="s">
        <v>1122</v>
      </c>
      <c r="D225" s="1" t="s">
        <v>247</v>
      </c>
      <c r="E225" t="s">
        <v>1129</v>
      </c>
      <c r="H225" s="1" t="s">
        <v>258</v>
      </c>
      <c r="I225" t="s">
        <v>1130</v>
      </c>
      <c r="J225" s="11" t="s">
        <v>952</v>
      </c>
      <c r="K225" t="s">
        <v>1133</v>
      </c>
      <c r="L225" s="1" t="s">
        <v>263</v>
      </c>
      <c r="M225" s="1" t="s">
        <v>269</v>
      </c>
    </row>
    <row r="226" spans="1:14" x14ac:dyDescent="0.25">
      <c r="A226">
        <v>173</v>
      </c>
      <c r="B226">
        <v>29</v>
      </c>
      <c r="C226" t="s">
        <v>1123</v>
      </c>
      <c r="D226" s="1" t="s">
        <v>255</v>
      </c>
      <c r="E226" t="s">
        <v>1129</v>
      </c>
      <c r="H226" s="1" t="s">
        <v>258</v>
      </c>
      <c r="I226" t="s">
        <v>1131</v>
      </c>
      <c r="J226" s="11" t="s">
        <v>952</v>
      </c>
      <c r="K226" t="s">
        <v>1134</v>
      </c>
      <c r="L226" s="1" t="s">
        <v>263</v>
      </c>
      <c r="M226" s="1" t="s">
        <v>269</v>
      </c>
    </row>
    <row r="227" spans="1:14" x14ac:dyDescent="0.25">
      <c r="A227">
        <v>174</v>
      </c>
      <c r="B227">
        <v>29</v>
      </c>
      <c r="C227" t="s">
        <v>1124</v>
      </c>
      <c r="D227" s="1" t="s">
        <v>249</v>
      </c>
      <c r="E227" t="s">
        <v>1129</v>
      </c>
      <c r="H227" s="1" t="s">
        <v>258</v>
      </c>
      <c r="I227" t="s">
        <v>1135</v>
      </c>
      <c r="J227" s="11" t="s">
        <v>952</v>
      </c>
      <c r="K227" t="s">
        <v>1136</v>
      </c>
      <c r="L227" s="1" t="s">
        <v>263</v>
      </c>
      <c r="M227" s="1" t="s">
        <v>266</v>
      </c>
    </row>
    <row r="228" spans="1:14" x14ac:dyDescent="0.25">
      <c r="A228">
        <v>175</v>
      </c>
      <c r="B228">
        <v>29</v>
      </c>
      <c r="C228" t="s">
        <v>1125</v>
      </c>
      <c r="D228" s="1" t="s">
        <v>253</v>
      </c>
      <c r="E228" t="s">
        <v>1129</v>
      </c>
      <c r="H228" s="1" t="s">
        <v>258</v>
      </c>
      <c r="I228" t="s">
        <v>1132</v>
      </c>
      <c r="J228" s="11" t="s">
        <v>952</v>
      </c>
      <c r="K228" t="s">
        <v>1137</v>
      </c>
      <c r="L228" s="1" t="s">
        <v>263</v>
      </c>
      <c r="M228" s="1" t="s">
        <v>266</v>
      </c>
    </row>
    <row r="229" spans="1:14" x14ac:dyDescent="0.25">
      <c r="A229">
        <v>176</v>
      </c>
      <c r="B229">
        <v>29</v>
      </c>
      <c r="C229" t="s">
        <v>1126</v>
      </c>
      <c r="D229" s="1" t="s">
        <v>252</v>
      </c>
      <c r="E229" t="s">
        <v>1129</v>
      </c>
      <c r="H229" s="1" t="s">
        <v>258</v>
      </c>
      <c r="I229" t="s">
        <v>1138</v>
      </c>
      <c r="J229" s="11" t="s">
        <v>952</v>
      </c>
      <c r="K229" t="s">
        <v>1139</v>
      </c>
      <c r="L229" s="1" t="s">
        <v>263</v>
      </c>
      <c r="M229" s="1" t="s">
        <v>269</v>
      </c>
      <c r="N229" t="s">
        <v>1140</v>
      </c>
    </row>
    <row r="230" spans="1:14" x14ac:dyDescent="0.25">
      <c r="A230">
        <v>177</v>
      </c>
      <c r="B230">
        <v>29</v>
      </c>
      <c r="C230" t="s">
        <v>1127</v>
      </c>
      <c r="D230" s="1" t="s">
        <v>251</v>
      </c>
      <c r="E230" t="s">
        <v>1129</v>
      </c>
      <c r="H230" s="1" t="s">
        <v>258</v>
      </c>
      <c r="I230" t="s">
        <v>1141</v>
      </c>
      <c r="J230" s="11" t="s">
        <v>952</v>
      </c>
      <c r="K230" t="s">
        <v>1142</v>
      </c>
      <c r="L230" s="1" t="s">
        <v>263</v>
      </c>
      <c r="M230" s="1" t="s">
        <v>266</v>
      </c>
    </row>
    <row r="231" spans="1:14" x14ac:dyDescent="0.25">
      <c r="A231">
        <v>178</v>
      </c>
      <c r="B231">
        <v>29</v>
      </c>
      <c r="C231" t="s">
        <v>1128</v>
      </c>
      <c r="D231" s="1" t="s">
        <v>250</v>
      </c>
      <c r="E231" t="s">
        <v>1129</v>
      </c>
      <c r="H231" s="1" t="s">
        <v>258</v>
      </c>
      <c r="I231" t="s">
        <v>1143</v>
      </c>
      <c r="J231" s="11" t="s">
        <v>952</v>
      </c>
      <c r="K231" t="s">
        <v>1144</v>
      </c>
      <c r="L231" s="1" t="s">
        <v>263</v>
      </c>
      <c r="M231" s="1" t="s">
        <v>266</v>
      </c>
    </row>
    <row r="232" spans="1:14" x14ac:dyDescent="0.25">
      <c r="A232" s="7"/>
      <c r="B232" s="7">
        <v>29</v>
      </c>
      <c r="C232" s="7"/>
      <c r="D232" s="7" t="s">
        <v>246</v>
      </c>
      <c r="E232" s="7" t="s">
        <v>1129</v>
      </c>
      <c r="F232" s="7"/>
      <c r="G232" s="7"/>
      <c r="H232" s="7"/>
      <c r="I232" s="7"/>
      <c r="J232" s="7"/>
      <c r="K232" s="7"/>
      <c r="L232" s="7" t="s">
        <v>264</v>
      </c>
      <c r="M232" s="7"/>
      <c r="N232" s="7" t="s">
        <v>955</v>
      </c>
    </row>
    <row r="233" spans="1:14" x14ac:dyDescent="0.25">
      <c r="A233" s="7"/>
      <c r="B233" s="7">
        <v>29</v>
      </c>
      <c r="C233" s="7"/>
      <c r="D233" s="7" t="s">
        <v>247</v>
      </c>
      <c r="E233" s="7" t="s">
        <v>1129</v>
      </c>
      <c r="F233" s="7"/>
      <c r="G233" s="7"/>
      <c r="H233" s="7"/>
      <c r="I233" s="7"/>
      <c r="J233" s="7"/>
      <c r="K233" s="7"/>
      <c r="L233" s="7" t="s">
        <v>264</v>
      </c>
      <c r="M233" s="7"/>
      <c r="N233" s="7" t="s">
        <v>955</v>
      </c>
    </row>
    <row r="234" spans="1:14" x14ac:dyDescent="0.25">
      <c r="A234" s="7"/>
      <c r="B234" s="7">
        <v>29</v>
      </c>
      <c r="C234" s="7"/>
      <c r="D234" s="7" t="s">
        <v>248</v>
      </c>
      <c r="E234" s="7" t="s">
        <v>1129</v>
      </c>
      <c r="F234" s="7"/>
      <c r="G234" s="7"/>
      <c r="H234" s="7"/>
      <c r="I234" s="7"/>
      <c r="J234" s="7"/>
      <c r="K234" s="7"/>
      <c r="L234" s="7" t="s">
        <v>264</v>
      </c>
      <c r="M234" s="7"/>
      <c r="N234" s="7" t="s">
        <v>955</v>
      </c>
    </row>
    <row r="235" spans="1:14" x14ac:dyDescent="0.25">
      <c r="A235">
        <v>179</v>
      </c>
      <c r="B235">
        <v>30</v>
      </c>
      <c r="C235" t="s">
        <v>1112</v>
      </c>
      <c r="D235" s="1" t="s">
        <v>249</v>
      </c>
      <c r="E235" t="s">
        <v>1116</v>
      </c>
      <c r="H235" s="1" t="s">
        <v>258</v>
      </c>
      <c r="I235" t="s">
        <v>1117</v>
      </c>
      <c r="J235" s="11" t="s">
        <v>952</v>
      </c>
      <c r="K235" t="s">
        <v>1145</v>
      </c>
      <c r="L235" s="1" t="s">
        <v>263</v>
      </c>
      <c r="M235" s="1" t="s">
        <v>266</v>
      </c>
    </row>
    <row r="236" spans="1:14" x14ac:dyDescent="0.25">
      <c r="A236">
        <v>180</v>
      </c>
      <c r="B236">
        <v>30</v>
      </c>
      <c r="C236" t="s">
        <v>610</v>
      </c>
      <c r="D236" s="1" t="s">
        <v>249</v>
      </c>
      <c r="E236" t="s">
        <v>1116</v>
      </c>
      <c r="H236" s="1" t="s">
        <v>258</v>
      </c>
      <c r="I236" t="s">
        <v>1118</v>
      </c>
      <c r="J236" s="11" t="s">
        <v>952</v>
      </c>
      <c r="K236" t="s">
        <v>1146</v>
      </c>
      <c r="L236" s="1" t="s">
        <v>263</v>
      </c>
      <c r="M236" s="1" t="s">
        <v>266</v>
      </c>
    </row>
    <row r="237" spans="1:14" x14ac:dyDescent="0.25">
      <c r="A237">
        <v>181</v>
      </c>
      <c r="B237">
        <v>30</v>
      </c>
      <c r="C237" t="s">
        <v>1113</v>
      </c>
      <c r="D237" s="1" t="s">
        <v>249</v>
      </c>
      <c r="E237" t="s">
        <v>1116</v>
      </c>
      <c r="H237" s="1" t="s">
        <v>258</v>
      </c>
      <c r="I237" t="s">
        <v>1119</v>
      </c>
      <c r="J237" s="11" t="s">
        <v>952</v>
      </c>
      <c r="K237" t="s">
        <v>1147</v>
      </c>
      <c r="L237" s="1" t="s">
        <v>263</v>
      </c>
      <c r="M237" s="1" t="s">
        <v>266</v>
      </c>
    </row>
    <row r="238" spans="1:14" x14ac:dyDescent="0.25">
      <c r="A238">
        <v>182</v>
      </c>
      <c r="B238">
        <v>30</v>
      </c>
      <c r="C238" t="s">
        <v>1114</v>
      </c>
      <c r="D238" s="1" t="s">
        <v>250</v>
      </c>
      <c r="E238" t="s">
        <v>1116</v>
      </c>
      <c r="H238" s="1" t="s">
        <v>258</v>
      </c>
      <c r="I238" t="s">
        <v>1120</v>
      </c>
      <c r="J238" s="11" t="s">
        <v>952</v>
      </c>
      <c r="K238" t="s">
        <v>1148</v>
      </c>
      <c r="L238" s="1" t="s">
        <v>263</v>
      </c>
      <c r="M238" s="1" t="s">
        <v>266</v>
      </c>
    </row>
    <row r="239" spans="1:14" x14ac:dyDescent="0.25">
      <c r="A239">
        <v>183</v>
      </c>
      <c r="B239">
        <v>30</v>
      </c>
      <c r="C239" t="s">
        <v>1115</v>
      </c>
      <c r="D239" s="1" t="s">
        <v>253</v>
      </c>
      <c r="E239" t="s">
        <v>1116</v>
      </c>
      <c r="H239" s="1" t="s">
        <v>258</v>
      </c>
      <c r="I239" t="s">
        <v>1121</v>
      </c>
      <c r="J239" s="11" t="s">
        <v>952</v>
      </c>
      <c r="K239" t="s">
        <v>1149</v>
      </c>
      <c r="L239" s="1" t="s">
        <v>263</v>
      </c>
      <c r="M239" s="1" t="s">
        <v>266</v>
      </c>
    </row>
    <row r="240" spans="1:14" x14ac:dyDescent="0.25">
      <c r="A240" s="7"/>
      <c r="B240" s="7">
        <v>30</v>
      </c>
      <c r="C240" s="7"/>
      <c r="D240" s="7" t="s">
        <v>246</v>
      </c>
      <c r="E240" s="7" t="s">
        <v>1116</v>
      </c>
      <c r="F240" s="7"/>
      <c r="G240" s="7"/>
      <c r="H240" s="7"/>
      <c r="I240" s="7"/>
      <c r="J240" s="7"/>
      <c r="K240" s="7"/>
      <c r="L240" s="7" t="s">
        <v>264</v>
      </c>
      <c r="M240" s="7"/>
      <c r="N240" s="7" t="s">
        <v>955</v>
      </c>
    </row>
    <row r="241" spans="1:15" x14ac:dyDescent="0.25">
      <c r="A241" s="7"/>
      <c r="B241" s="7">
        <v>30</v>
      </c>
      <c r="C241" s="7"/>
      <c r="D241" s="7" t="s">
        <v>247</v>
      </c>
      <c r="E241" s="7" t="s">
        <v>1116</v>
      </c>
      <c r="F241" s="7"/>
      <c r="G241" s="7"/>
      <c r="H241" s="7"/>
      <c r="I241" s="7"/>
      <c r="J241" s="7"/>
      <c r="K241" s="7"/>
      <c r="L241" s="7" t="s">
        <v>264</v>
      </c>
      <c r="M241" s="7"/>
      <c r="N241" s="7" t="s">
        <v>955</v>
      </c>
    </row>
    <row r="242" spans="1:15" x14ac:dyDescent="0.25">
      <c r="A242" s="7"/>
      <c r="B242" s="7">
        <v>30</v>
      </c>
      <c r="C242" s="7"/>
      <c r="D242" s="7" t="s">
        <v>248</v>
      </c>
      <c r="E242" s="7" t="s">
        <v>1116</v>
      </c>
      <c r="F242" s="7"/>
      <c r="G242" s="7"/>
      <c r="H242" s="7"/>
      <c r="I242" s="7"/>
      <c r="J242" s="7"/>
      <c r="K242" s="7"/>
      <c r="L242" s="7" t="s">
        <v>264</v>
      </c>
      <c r="M242" s="7"/>
      <c r="N242" s="7" t="s">
        <v>955</v>
      </c>
    </row>
    <row r="243" spans="1:15" x14ac:dyDescent="0.25">
      <c r="A243" s="4">
        <v>184</v>
      </c>
      <c r="B243" s="4">
        <v>31</v>
      </c>
      <c r="C243" s="4" t="s">
        <v>1169</v>
      </c>
      <c r="D243" s="4" t="s">
        <v>248</v>
      </c>
      <c r="E243" s="4" t="s">
        <v>1150</v>
      </c>
      <c r="F243" s="4"/>
      <c r="G243" s="4"/>
      <c r="H243" s="4" t="s">
        <v>258</v>
      </c>
      <c r="I243" s="4" t="s">
        <v>1173</v>
      </c>
      <c r="J243" s="10" t="s">
        <v>952</v>
      </c>
      <c r="K243" s="4" t="s">
        <v>1177</v>
      </c>
      <c r="L243" s="4" t="s">
        <v>262</v>
      </c>
      <c r="M243" s="4"/>
      <c r="N243" s="4"/>
    </row>
    <row r="244" spans="1:15" x14ac:dyDescent="0.25">
      <c r="A244">
        <v>185</v>
      </c>
      <c r="B244">
        <v>31</v>
      </c>
      <c r="C244" t="s">
        <v>1170</v>
      </c>
      <c r="D244" s="1" t="s">
        <v>249</v>
      </c>
      <c r="E244" t="s">
        <v>1150</v>
      </c>
      <c r="H244" s="1" t="s">
        <v>258</v>
      </c>
      <c r="I244" t="s">
        <v>1174</v>
      </c>
      <c r="J244" s="11" t="s">
        <v>952</v>
      </c>
      <c r="K244" t="s">
        <v>1178</v>
      </c>
      <c r="L244" s="1" t="s">
        <v>263</v>
      </c>
      <c r="M244" s="1" t="s">
        <v>266</v>
      </c>
    </row>
    <row r="245" spans="1:15" x14ac:dyDescent="0.25">
      <c r="A245">
        <v>186</v>
      </c>
      <c r="B245">
        <v>31</v>
      </c>
      <c r="C245" t="s">
        <v>1171</v>
      </c>
      <c r="D245" s="1" t="s">
        <v>253</v>
      </c>
      <c r="E245" t="s">
        <v>1150</v>
      </c>
      <c r="H245" s="1" t="s">
        <v>258</v>
      </c>
      <c r="I245" t="s">
        <v>1175</v>
      </c>
      <c r="J245" s="11" t="s">
        <v>952</v>
      </c>
      <c r="K245" t="s">
        <v>1179</v>
      </c>
      <c r="L245" s="1" t="s">
        <v>263</v>
      </c>
      <c r="M245" s="1" t="s">
        <v>269</v>
      </c>
    </row>
    <row r="246" spans="1:15" x14ac:dyDescent="0.25">
      <c r="A246">
        <v>187</v>
      </c>
      <c r="B246">
        <v>31</v>
      </c>
      <c r="C246" t="s">
        <v>1172</v>
      </c>
      <c r="D246" s="1" t="s">
        <v>252</v>
      </c>
      <c r="E246" t="s">
        <v>1150</v>
      </c>
      <c r="H246" s="1" t="s">
        <v>258</v>
      </c>
      <c r="I246" t="s">
        <v>1176</v>
      </c>
      <c r="J246" s="11" t="s">
        <v>952</v>
      </c>
      <c r="K246" t="s">
        <v>1180</v>
      </c>
      <c r="L246" s="1" t="s">
        <v>263</v>
      </c>
      <c r="M246" s="1" t="s">
        <v>269</v>
      </c>
    </row>
    <row r="247" spans="1:15" x14ac:dyDescent="0.25">
      <c r="A247" s="7"/>
      <c r="B247" s="7">
        <v>31</v>
      </c>
      <c r="C247" s="7"/>
      <c r="D247" s="7" t="s">
        <v>246</v>
      </c>
      <c r="E247" s="7" t="s">
        <v>1150</v>
      </c>
      <c r="F247" s="7"/>
      <c r="G247" s="7"/>
      <c r="H247" s="7"/>
      <c r="I247" s="7"/>
      <c r="J247" s="7"/>
      <c r="K247" s="7"/>
      <c r="L247" s="7" t="s">
        <v>264</v>
      </c>
      <c r="M247" s="7"/>
      <c r="N247" s="7" t="s">
        <v>955</v>
      </c>
    </row>
    <row r="248" spans="1:15" x14ac:dyDescent="0.25">
      <c r="A248" s="7"/>
      <c r="B248" s="7">
        <v>31</v>
      </c>
      <c r="C248" s="7"/>
      <c r="D248" s="7" t="s">
        <v>247</v>
      </c>
      <c r="E248" s="7" t="s">
        <v>1150</v>
      </c>
      <c r="F248" s="7"/>
      <c r="G248" s="7"/>
      <c r="H248" s="7"/>
      <c r="I248" s="7"/>
      <c r="J248" s="7"/>
      <c r="K248" s="7"/>
      <c r="L248" s="7" t="s">
        <v>264</v>
      </c>
      <c r="M248" s="7"/>
      <c r="N248" s="7" t="s">
        <v>955</v>
      </c>
    </row>
    <row r="249" spans="1:15" x14ac:dyDescent="0.25">
      <c r="A249" s="4">
        <v>188</v>
      </c>
      <c r="B249" s="4">
        <v>32</v>
      </c>
      <c r="C249" s="4" t="s">
        <v>1152</v>
      </c>
      <c r="D249" s="4" t="s">
        <v>247</v>
      </c>
      <c r="E249" s="4" t="s">
        <v>1151</v>
      </c>
      <c r="F249" s="4"/>
      <c r="G249" s="4"/>
      <c r="H249" s="4" t="s">
        <v>258</v>
      </c>
      <c r="I249" s="4" t="s">
        <v>1159</v>
      </c>
      <c r="J249" s="10" t="s">
        <v>952</v>
      </c>
      <c r="K249" s="4" t="s">
        <v>1181</v>
      </c>
      <c r="L249" s="4" t="s">
        <v>262</v>
      </c>
      <c r="M249" s="4"/>
      <c r="N249" s="4"/>
      <c r="O249" t="s">
        <v>1363</v>
      </c>
    </row>
    <row r="250" spans="1:15" x14ac:dyDescent="0.25">
      <c r="A250" s="4">
        <v>189</v>
      </c>
      <c r="B250" s="4">
        <v>32</v>
      </c>
      <c r="C250" s="4" t="s">
        <v>1158</v>
      </c>
      <c r="D250" s="4" t="s">
        <v>246</v>
      </c>
      <c r="E250" s="4" t="s">
        <v>1151</v>
      </c>
      <c r="F250" s="4"/>
      <c r="G250" s="4"/>
      <c r="H250" s="4" t="s">
        <v>258</v>
      </c>
      <c r="I250" s="4" t="s">
        <v>1160</v>
      </c>
      <c r="J250" s="10" t="s">
        <v>952</v>
      </c>
      <c r="K250" s="4" t="s">
        <v>1182</v>
      </c>
      <c r="L250" s="4" t="s">
        <v>262</v>
      </c>
      <c r="M250" s="4"/>
      <c r="N250" s="4"/>
      <c r="O250" t="s">
        <v>1363</v>
      </c>
    </row>
    <row r="251" spans="1:15" x14ac:dyDescent="0.25">
      <c r="A251" s="4">
        <v>190</v>
      </c>
      <c r="B251" s="4">
        <v>32</v>
      </c>
      <c r="C251" s="4" t="s">
        <v>1153</v>
      </c>
      <c r="D251" s="4" t="s">
        <v>248</v>
      </c>
      <c r="E251" s="4" t="s">
        <v>1151</v>
      </c>
      <c r="F251" s="4"/>
      <c r="G251" s="4"/>
      <c r="H251" s="4" t="s">
        <v>258</v>
      </c>
      <c r="I251" s="4" t="s">
        <v>1161</v>
      </c>
      <c r="J251" s="10" t="s">
        <v>952</v>
      </c>
      <c r="K251" s="4" t="s">
        <v>1183</v>
      </c>
      <c r="L251" s="4" t="s">
        <v>262</v>
      </c>
      <c r="M251" s="4"/>
      <c r="N251" s="4"/>
    </row>
    <row r="252" spans="1:15" x14ac:dyDescent="0.25">
      <c r="A252">
        <v>191</v>
      </c>
      <c r="B252">
        <v>32</v>
      </c>
      <c r="C252" t="s">
        <v>1154</v>
      </c>
      <c r="D252" s="1" t="s">
        <v>250</v>
      </c>
      <c r="E252" t="s">
        <v>1151</v>
      </c>
      <c r="H252" s="1" t="s">
        <v>258</v>
      </c>
      <c r="I252" t="s">
        <v>1162</v>
      </c>
      <c r="J252" s="11" t="s">
        <v>952</v>
      </c>
      <c r="K252" t="s">
        <v>1184</v>
      </c>
      <c r="L252" s="1" t="s">
        <v>263</v>
      </c>
      <c r="M252" s="1" t="s">
        <v>267</v>
      </c>
      <c r="N252" t="s">
        <v>1167</v>
      </c>
    </row>
    <row r="253" spans="1:15" x14ac:dyDescent="0.25">
      <c r="A253">
        <v>192</v>
      </c>
      <c r="B253">
        <v>32</v>
      </c>
      <c r="C253" t="s">
        <v>610</v>
      </c>
      <c r="D253" s="1" t="s">
        <v>249</v>
      </c>
      <c r="E253" t="s">
        <v>1151</v>
      </c>
      <c r="H253" s="1" t="s">
        <v>258</v>
      </c>
      <c r="I253" t="s">
        <v>1163</v>
      </c>
      <c r="J253" s="11" t="s">
        <v>952</v>
      </c>
      <c r="K253" t="s">
        <v>1185</v>
      </c>
      <c r="L253" s="1" t="s">
        <v>263</v>
      </c>
      <c r="M253" s="1" t="s">
        <v>267</v>
      </c>
      <c r="N253" t="s">
        <v>1167</v>
      </c>
    </row>
    <row r="254" spans="1:15" x14ac:dyDescent="0.25">
      <c r="A254">
        <v>193</v>
      </c>
      <c r="B254">
        <v>32</v>
      </c>
      <c r="C254" t="s">
        <v>1155</v>
      </c>
      <c r="D254" s="1" t="s">
        <v>249</v>
      </c>
      <c r="E254" t="s">
        <v>1151</v>
      </c>
      <c r="H254" s="1" t="s">
        <v>258</v>
      </c>
      <c r="I254" t="s">
        <v>1164</v>
      </c>
      <c r="J254" s="11" t="s">
        <v>952</v>
      </c>
      <c r="K254" t="s">
        <v>1186</v>
      </c>
      <c r="L254" s="1" t="s">
        <v>263</v>
      </c>
      <c r="M254" s="1" t="s">
        <v>267</v>
      </c>
      <c r="N254" t="s">
        <v>1167</v>
      </c>
    </row>
    <row r="255" spans="1:15" x14ac:dyDescent="0.25">
      <c r="A255" s="4">
        <v>194</v>
      </c>
      <c r="B255" s="4">
        <v>32</v>
      </c>
      <c r="C255" s="4" t="s">
        <v>1156</v>
      </c>
      <c r="D255" s="4" t="s">
        <v>246</v>
      </c>
      <c r="E255" s="4" t="s">
        <v>1151</v>
      </c>
      <c r="F255" s="4"/>
      <c r="G255" s="4"/>
      <c r="H255" s="4" t="s">
        <v>258</v>
      </c>
      <c r="I255" s="4" t="s">
        <v>1165</v>
      </c>
      <c r="J255" s="10" t="s">
        <v>952</v>
      </c>
      <c r="K255" s="4" t="s">
        <v>1187</v>
      </c>
      <c r="L255" s="4" t="s">
        <v>262</v>
      </c>
      <c r="M255" s="4"/>
      <c r="N255" s="4"/>
      <c r="O255" t="s">
        <v>1363</v>
      </c>
    </row>
    <row r="256" spans="1:15" x14ac:dyDescent="0.25">
      <c r="A256">
        <v>195</v>
      </c>
      <c r="B256">
        <v>32</v>
      </c>
      <c r="C256" t="s">
        <v>1157</v>
      </c>
      <c r="D256" s="1" t="s">
        <v>253</v>
      </c>
      <c r="E256" t="s">
        <v>1151</v>
      </c>
      <c r="H256" s="1" t="s">
        <v>258</v>
      </c>
      <c r="I256" t="s">
        <v>1166</v>
      </c>
      <c r="J256" s="11" t="s">
        <v>952</v>
      </c>
      <c r="K256" t="s">
        <v>1188</v>
      </c>
      <c r="L256" s="1" t="s">
        <v>263</v>
      </c>
      <c r="M256" s="1" t="s">
        <v>267</v>
      </c>
      <c r="N256" t="s">
        <v>1167</v>
      </c>
    </row>
    <row r="257" spans="1:14" x14ac:dyDescent="0.25">
      <c r="A257">
        <v>196</v>
      </c>
      <c r="B257">
        <v>33</v>
      </c>
      <c r="C257" t="s">
        <v>1191</v>
      </c>
      <c r="D257" s="1" t="s">
        <v>249</v>
      </c>
      <c r="E257" t="s">
        <v>1201</v>
      </c>
      <c r="H257" s="1" t="s">
        <v>258</v>
      </c>
      <c r="I257" t="s">
        <v>1192</v>
      </c>
      <c r="J257" t="s">
        <v>1189</v>
      </c>
      <c r="K257" t="s">
        <v>1203</v>
      </c>
      <c r="L257" s="1" t="s">
        <v>263</v>
      </c>
      <c r="M257" s="1" t="s">
        <v>266</v>
      </c>
    </row>
    <row r="258" spans="1:14" x14ac:dyDescent="0.25">
      <c r="A258">
        <v>197</v>
      </c>
      <c r="B258">
        <v>33</v>
      </c>
      <c r="C258" t="s">
        <v>1193</v>
      </c>
      <c r="D258" s="1" t="s">
        <v>249</v>
      </c>
      <c r="E258" t="s">
        <v>1201</v>
      </c>
      <c r="H258" s="1" t="s">
        <v>258</v>
      </c>
      <c r="I258" t="s">
        <v>1194</v>
      </c>
      <c r="J258" t="s">
        <v>1189</v>
      </c>
      <c r="K258" t="s">
        <v>1204</v>
      </c>
      <c r="L258" s="1" t="s">
        <v>263</v>
      </c>
      <c r="M258" s="1" t="s">
        <v>266</v>
      </c>
    </row>
    <row r="259" spans="1:14" x14ac:dyDescent="0.25">
      <c r="A259">
        <v>198</v>
      </c>
      <c r="B259">
        <v>33</v>
      </c>
      <c r="C259" t="s">
        <v>1195</v>
      </c>
      <c r="D259" s="1" t="s">
        <v>250</v>
      </c>
      <c r="E259" t="s">
        <v>1201</v>
      </c>
      <c r="H259" s="1" t="s">
        <v>258</v>
      </c>
      <c r="I259" t="s">
        <v>1196</v>
      </c>
      <c r="J259" t="s">
        <v>1189</v>
      </c>
      <c r="K259" t="s">
        <v>1205</v>
      </c>
      <c r="L259" s="1" t="s">
        <v>263</v>
      </c>
      <c r="M259" s="1" t="s">
        <v>266</v>
      </c>
    </row>
    <row r="260" spans="1:14" x14ac:dyDescent="0.25">
      <c r="A260">
        <v>199</v>
      </c>
      <c r="B260">
        <v>33</v>
      </c>
      <c r="C260" t="s">
        <v>1197</v>
      </c>
      <c r="D260" s="1" t="s">
        <v>250</v>
      </c>
      <c r="E260" t="s">
        <v>1201</v>
      </c>
      <c r="H260" s="1" t="s">
        <v>258</v>
      </c>
      <c r="I260" t="s">
        <v>1198</v>
      </c>
      <c r="J260" t="s">
        <v>1189</v>
      </c>
      <c r="K260" t="s">
        <v>1206</v>
      </c>
      <c r="L260" s="1" t="s">
        <v>263</v>
      </c>
      <c r="M260" s="1" t="s">
        <v>266</v>
      </c>
    </row>
    <row r="261" spans="1:14" x14ac:dyDescent="0.25">
      <c r="A261">
        <v>200</v>
      </c>
      <c r="B261">
        <v>33</v>
      </c>
      <c r="C261" t="s">
        <v>1199</v>
      </c>
      <c r="D261" s="1" t="s">
        <v>252</v>
      </c>
      <c r="E261" t="s">
        <v>1201</v>
      </c>
      <c r="H261" s="1" t="s">
        <v>258</v>
      </c>
      <c r="I261" t="s">
        <v>1200</v>
      </c>
      <c r="J261" t="s">
        <v>1189</v>
      </c>
      <c r="K261" t="s">
        <v>1207</v>
      </c>
      <c r="L261" s="1" t="s">
        <v>263</v>
      </c>
      <c r="M261" s="1" t="s">
        <v>266</v>
      </c>
    </row>
    <row r="262" spans="1:14" x14ac:dyDescent="0.25">
      <c r="A262" s="7"/>
      <c r="B262" s="7">
        <v>33</v>
      </c>
      <c r="C262" s="7"/>
      <c r="D262" s="7" t="s">
        <v>246</v>
      </c>
      <c r="E262" s="7" t="s">
        <v>1201</v>
      </c>
      <c r="F262" s="7"/>
      <c r="G262" s="7"/>
      <c r="H262" s="7"/>
      <c r="I262" s="7"/>
      <c r="J262" s="7"/>
      <c r="K262" s="7"/>
      <c r="L262" s="7" t="s">
        <v>264</v>
      </c>
      <c r="M262" s="7"/>
      <c r="N262" s="7" t="s">
        <v>1202</v>
      </c>
    </row>
    <row r="263" spans="1:14" x14ac:dyDescent="0.25">
      <c r="A263" s="7"/>
      <c r="B263" s="7">
        <v>33</v>
      </c>
      <c r="C263" s="7"/>
      <c r="D263" s="7" t="s">
        <v>247</v>
      </c>
      <c r="E263" s="7" t="s">
        <v>1201</v>
      </c>
      <c r="F263" s="7"/>
      <c r="G263" s="7"/>
      <c r="H263" s="7"/>
      <c r="I263" s="7"/>
      <c r="J263" s="7"/>
      <c r="K263" s="7"/>
      <c r="L263" s="7" t="s">
        <v>264</v>
      </c>
      <c r="M263" s="7"/>
      <c r="N263" s="7" t="s">
        <v>1202</v>
      </c>
    </row>
    <row r="264" spans="1:14" x14ac:dyDescent="0.25">
      <c r="A264" s="7"/>
      <c r="B264" s="7">
        <v>33</v>
      </c>
      <c r="C264" s="7"/>
      <c r="D264" s="7" t="s">
        <v>248</v>
      </c>
      <c r="E264" s="7" t="s">
        <v>1201</v>
      </c>
      <c r="F264" s="7"/>
      <c r="G264" s="7"/>
      <c r="H264" s="7"/>
      <c r="I264" s="7"/>
      <c r="J264" s="7"/>
      <c r="K264" s="7"/>
      <c r="L264" s="7" t="s">
        <v>264</v>
      </c>
      <c r="M264" s="7"/>
      <c r="N264" s="7" t="s">
        <v>1202</v>
      </c>
    </row>
    <row r="265" spans="1:14" x14ac:dyDescent="0.25">
      <c r="A265" s="4">
        <v>201</v>
      </c>
      <c r="B265" s="4">
        <v>34</v>
      </c>
      <c r="C265" s="4" t="s">
        <v>1210</v>
      </c>
      <c r="D265" s="4" t="s">
        <v>248</v>
      </c>
      <c r="E265" s="4" t="s">
        <v>1209</v>
      </c>
      <c r="F265" s="4"/>
      <c r="G265" s="4"/>
      <c r="H265" s="4" t="s">
        <v>258</v>
      </c>
      <c r="I265" s="4" t="s">
        <v>1217</v>
      </c>
      <c r="J265" s="4" t="s">
        <v>1189</v>
      </c>
      <c r="K265" s="4" t="s">
        <v>1218</v>
      </c>
      <c r="L265" s="4" t="s">
        <v>262</v>
      </c>
      <c r="M265" s="4"/>
      <c r="N265" s="4"/>
    </row>
    <row r="266" spans="1:14" x14ac:dyDescent="0.25">
      <c r="A266">
        <v>202</v>
      </c>
      <c r="B266">
        <v>34</v>
      </c>
      <c r="C266" t="s">
        <v>1211</v>
      </c>
      <c r="D266" s="1" t="s">
        <v>251</v>
      </c>
      <c r="E266" t="s">
        <v>1209</v>
      </c>
      <c r="H266" s="1" t="s">
        <v>258</v>
      </c>
      <c r="I266" t="s">
        <v>1219</v>
      </c>
      <c r="J266" t="s">
        <v>1189</v>
      </c>
      <c r="K266" t="s">
        <v>1221</v>
      </c>
      <c r="L266" s="1" t="s">
        <v>263</v>
      </c>
      <c r="M266" s="1" t="s">
        <v>267</v>
      </c>
      <c r="N266" t="s">
        <v>1220</v>
      </c>
    </row>
    <row r="267" spans="1:14" x14ac:dyDescent="0.25">
      <c r="A267">
        <v>203</v>
      </c>
      <c r="B267">
        <v>34</v>
      </c>
      <c r="C267" t="s">
        <v>1212</v>
      </c>
      <c r="D267" s="1" t="s">
        <v>249</v>
      </c>
      <c r="E267" t="s">
        <v>1209</v>
      </c>
      <c r="H267" s="1" t="s">
        <v>258</v>
      </c>
      <c r="I267" t="s">
        <v>1222</v>
      </c>
      <c r="J267" t="s">
        <v>1189</v>
      </c>
      <c r="K267" t="s">
        <v>1223</v>
      </c>
      <c r="L267" s="1" t="s">
        <v>263</v>
      </c>
      <c r="M267" s="1" t="s">
        <v>266</v>
      </c>
    </row>
    <row r="268" spans="1:14" x14ac:dyDescent="0.25">
      <c r="A268">
        <v>204</v>
      </c>
      <c r="B268">
        <v>34</v>
      </c>
      <c r="C268" t="s">
        <v>1213</v>
      </c>
      <c r="D268" s="1" t="s">
        <v>249</v>
      </c>
      <c r="E268" t="s">
        <v>1209</v>
      </c>
      <c r="H268" s="1" t="s">
        <v>258</v>
      </c>
      <c r="I268" t="s">
        <v>1224</v>
      </c>
      <c r="J268" t="s">
        <v>1189</v>
      </c>
      <c r="K268" t="s">
        <v>1225</v>
      </c>
      <c r="L268" s="1" t="s">
        <v>263</v>
      </c>
      <c r="M268" s="1" t="s">
        <v>266</v>
      </c>
    </row>
    <row r="269" spans="1:14" x14ac:dyDescent="0.25">
      <c r="A269">
        <v>205</v>
      </c>
      <c r="B269">
        <v>34</v>
      </c>
      <c r="C269" t="s">
        <v>1214</v>
      </c>
      <c r="D269" s="1" t="s">
        <v>250</v>
      </c>
      <c r="E269" t="s">
        <v>1209</v>
      </c>
      <c r="H269" s="1" t="s">
        <v>258</v>
      </c>
      <c r="I269" t="s">
        <v>1226</v>
      </c>
      <c r="J269" t="s">
        <v>1189</v>
      </c>
      <c r="K269" t="s">
        <v>1227</v>
      </c>
      <c r="L269" s="1" t="s">
        <v>263</v>
      </c>
      <c r="M269" s="1" t="s">
        <v>266</v>
      </c>
    </row>
    <row r="270" spans="1:14" x14ac:dyDescent="0.25">
      <c r="A270">
        <v>206</v>
      </c>
      <c r="B270">
        <v>34</v>
      </c>
      <c r="C270" t="s">
        <v>1229</v>
      </c>
      <c r="D270" s="1" t="s">
        <v>253</v>
      </c>
      <c r="E270" t="s">
        <v>1209</v>
      </c>
      <c r="H270" s="1" t="s">
        <v>258</v>
      </c>
      <c r="I270" t="s">
        <v>1228</v>
      </c>
      <c r="J270" t="s">
        <v>1189</v>
      </c>
      <c r="K270" t="s">
        <v>1230</v>
      </c>
      <c r="L270" s="1" t="s">
        <v>263</v>
      </c>
      <c r="M270" s="1" t="s">
        <v>269</v>
      </c>
    </row>
    <row r="271" spans="1:14" x14ac:dyDescent="0.25">
      <c r="A271">
        <v>207</v>
      </c>
      <c r="B271">
        <v>34</v>
      </c>
      <c r="C271" t="s">
        <v>1215</v>
      </c>
      <c r="D271" s="1" t="s">
        <v>251</v>
      </c>
      <c r="E271" t="s">
        <v>1209</v>
      </c>
      <c r="H271" s="1" t="s">
        <v>258</v>
      </c>
      <c r="I271" t="s">
        <v>1235</v>
      </c>
      <c r="J271" t="s">
        <v>1189</v>
      </c>
      <c r="K271" t="s">
        <v>1236</v>
      </c>
      <c r="L271" s="1" t="s">
        <v>263</v>
      </c>
      <c r="M271" s="1" t="s">
        <v>267</v>
      </c>
      <c r="N271" t="s">
        <v>1220</v>
      </c>
    </row>
    <row r="272" spans="1:14" x14ac:dyDescent="0.25">
      <c r="A272">
        <v>208</v>
      </c>
      <c r="B272">
        <v>34</v>
      </c>
      <c r="C272" t="s">
        <v>1238</v>
      </c>
      <c r="D272" s="1" t="s">
        <v>254</v>
      </c>
      <c r="E272" t="s">
        <v>1209</v>
      </c>
      <c r="H272" s="1" t="s">
        <v>258</v>
      </c>
      <c r="I272" t="s">
        <v>1237</v>
      </c>
      <c r="J272" t="s">
        <v>1189</v>
      </c>
      <c r="K272" t="s">
        <v>1239</v>
      </c>
      <c r="L272" s="1" t="s">
        <v>263</v>
      </c>
      <c r="M272" s="1" t="s">
        <v>270</v>
      </c>
    </row>
    <row r="273" spans="1:14" x14ac:dyDescent="0.25">
      <c r="A273">
        <v>209</v>
      </c>
      <c r="B273">
        <v>34</v>
      </c>
      <c r="C273" t="s">
        <v>1216</v>
      </c>
      <c r="D273" s="1" t="s">
        <v>253</v>
      </c>
      <c r="E273" t="s">
        <v>1209</v>
      </c>
      <c r="H273" s="1" t="s">
        <v>258</v>
      </c>
      <c r="I273" t="s">
        <v>1240</v>
      </c>
      <c r="J273" t="s">
        <v>1189</v>
      </c>
      <c r="K273" t="s">
        <v>1241</v>
      </c>
      <c r="L273" s="1" t="s">
        <v>263</v>
      </c>
      <c r="M273" s="1" t="s">
        <v>269</v>
      </c>
    </row>
    <row r="274" spans="1:14" x14ac:dyDescent="0.25">
      <c r="A274">
        <v>209</v>
      </c>
      <c r="B274">
        <v>34</v>
      </c>
      <c r="C274" t="s">
        <v>1231</v>
      </c>
      <c r="D274" s="1" t="s">
        <v>255</v>
      </c>
      <c r="E274" t="s">
        <v>1209</v>
      </c>
      <c r="H274" s="1" t="s">
        <v>258</v>
      </c>
      <c r="I274" t="s">
        <v>1233</v>
      </c>
      <c r="J274" t="s">
        <v>1189</v>
      </c>
      <c r="K274" t="s">
        <v>1232</v>
      </c>
      <c r="L274" s="1" t="s">
        <v>263</v>
      </c>
      <c r="M274" s="1" t="s">
        <v>269</v>
      </c>
    </row>
    <row r="275" spans="1:14" x14ac:dyDescent="0.25">
      <c r="A275" s="7"/>
      <c r="B275" s="7">
        <v>34</v>
      </c>
      <c r="C275" s="7"/>
      <c r="D275" s="7" t="s">
        <v>246</v>
      </c>
      <c r="E275" s="7" t="s">
        <v>1209</v>
      </c>
      <c r="F275" s="7"/>
      <c r="G275" s="7"/>
      <c r="H275" s="7"/>
      <c r="I275" s="7"/>
      <c r="J275" s="7"/>
      <c r="K275" s="7"/>
      <c r="L275" s="7" t="s">
        <v>264</v>
      </c>
      <c r="M275" s="7"/>
      <c r="N275" s="7" t="s">
        <v>1234</v>
      </c>
    </row>
    <row r="276" spans="1:14" x14ac:dyDescent="0.25">
      <c r="A276" s="7"/>
      <c r="B276" s="7">
        <v>34</v>
      </c>
      <c r="C276" s="7"/>
      <c r="D276" s="7" t="s">
        <v>247</v>
      </c>
      <c r="E276" s="7" t="s">
        <v>1209</v>
      </c>
      <c r="F276" s="7"/>
      <c r="G276" s="7"/>
      <c r="H276" s="7"/>
      <c r="I276" s="7"/>
      <c r="J276" s="7"/>
      <c r="K276" s="7"/>
      <c r="L276" s="7" t="s">
        <v>264</v>
      </c>
      <c r="M276" s="7"/>
      <c r="N276" s="7" t="s">
        <v>1234</v>
      </c>
    </row>
    <row r="277" spans="1:14" x14ac:dyDescent="0.25">
      <c r="A277">
        <v>210</v>
      </c>
      <c r="B277">
        <v>35</v>
      </c>
      <c r="C277" t="s">
        <v>1243</v>
      </c>
      <c r="D277" s="1" t="s">
        <v>249</v>
      </c>
      <c r="E277" t="s">
        <v>1249</v>
      </c>
      <c r="H277" s="1" t="s">
        <v>258</v>
      </c>
      <c r="I277" t="s">
        <v>1250</v>
      </c>
      <c r="J277" t="s">
        <v>1189</v>
      </c>
      <c r="K277" t="s">
        <v>1251</v>
      </c>
      <c r="L277" s="1" t="s">
        <v>263</v>
      </c>
      <c r="M277" s="1" t="s">
        <v>266</v>
      </c>
    </row>
    <row r="278" spans="1:14" x14ac:dyDescent="0.25">
      <c r="A278">
        <v>211</v>
      </c>
      <c r="B278">
        <v>35</v>
      </c>
      <c r="C278" t="s">
        <v>1244</v>
      </c>
      <c r="D278" s="1" t="s">
        <v>249</v>
      </c>
      <c r="E278" t="s">
        <v>1249</v>
      </c>
      <c r="H278" s="1" t="s">
        <v>258</v>
      </c>
      <c r="I278" t="s">
        <v>1252</v>
      </c>
      <c r="J278" t="s">
        <v>1189</v>
      </c>
      <c r="K278" t="s">
        <v>1255</v>
      </c>
      <c r="L278" s="1" t="s">
        <v>263</v>
      </c>
      <c r="M278" s="1" t="s">
        <v>266</v>
      </c>
    </row>
    <row r="279" spans="1:14" x14ac:dyDescent="0.25">
      <c r="A279">
        <v>212</v>
      </c>
      <c r="B279">
        <v>35</v>
      </c>
      <c r="C279" t="s">
        <v>1245</v>
      </c>
      <c r="D279" s="1" t="s">
        <v>250</v>
      </c>
      <c r="E279" t="s">
        <v>1249</v>
      </c>
      <c r="H279" s="1" t="s">
        <v>258</v>
      </c>
      <c r="I279" t="s">
        <v>1253</v>
      </c>
      <c r="J279" t="s">
        <v>1189</v>
      </c>
      <c r="K279" t="s">
        <v>1254</v>
      </c>
      <c r="L279" s="1" t="s">
        <v>263</v>
      </c>
      <c r="M279" s="1" t="s">
        <v>266</v>
      </c>
    </row>
    <row r="280" spans="1:14" x14ac:dyDescent="0.25">
      <c r="A280">
        <v>213</v>
      </c>
      <c r="B280">
        <v>35</v>
      </c>
      <c r="C280" t="s">
        <v>1246</v>
      </c>
      <c r="D280" s="1" t="s">
        <v>251</v>
      </c>
      <c r="E280" t="s">
        <v>1249</v>
      </c>
      <c r="H280" s="1" t="s">
        <v>258</v>
      </c>
      <c r="I280" t="s">
        <v>1256</v>
      </c>
      <c r="J280" t="s">
        <v>1189</v>
      </c>
      <c r="K280" t="s">
        <v>1257</v>
      </c>
      <c r="L280" s="1" t="s">
        <v>263</v>
      </c>
      <c r="M280" s="1" t="s">
        <v>266</v>
      </c>
    </row>
    <row r="281" spans="1:14" x14ac:dyDescent="0.25">
      <c r="A281">
        <v>214</v>
      </c>
      <c r="B281">
        <v>35</v>
      </c>
      <c r="C281" t="s">
        <v>1247</v>
      </c>
      <c r="D281" s="1" t="s">
        <v>253</v>
      </c>
      <c r="E281" t="s">
        <v>1249</v>
      </c>
      <c r="H281" s="1" t="s">
        <v>258</v>
      </c>
      <c r="I281" t="s">
        <v>1248</v>
      </c>
      <c r="J281" t="s">
        <v>1189</v>
      </c>
      <c r="K281" t="s">
        <v>1258</v>
      </c>
      <c r="L281" s="1" t="s">
        <v>263</v>
      </c>
      <c r="M281" s="1" t="s">
        <v>269</v>
      </c>
    </row>
    <row r="282" spans="1:14" x14ac:dyDescent="0.25">
      <c r="A282" s="7"/>
      <c r="B282" s="7">
        <v>35</v>
      </c>
      <c r="C282" s="7"/>
      <c r="D282" s="7" t="s">
        <v>246</v>
      </c>
      <c r="E282" s="7" t="s">
        <v>1249</v>
      </c>
      <c r="F282" s="7"/>
      <c r="G282" s="7"/>
      <c r="H282" s="7"/>
      <c r="I282" s="7"/>
      <c r="J282" s="7"/>
      <c r="K282" s="7"/>
      <c r="L282" s="7" t="s">
        <v>264</v>
      </c>
      <c r="M282" s="7"/>
      <c r="N282" s="7" t="s">
        <v>1202</v>
      </c>
    </row>
    <row r="283" spans="1:14" x14ac:dyDescent="0.25">
      <c r="A283" s="7"/>
      <c r="B283" s="7">
        <v>35</v>
      </c>
      <c r="C283" s="7"/>
      <c r="D283" s="7" t="s">
        <v>247</v>
      </c>
      <c r="E283" s="7" t="s">
        <v>1249</v>
      </c>
      <c r="F283" s="7"/>
      <c r="G283" s="7"/>
      <c r="H283" s="7"/>
      <c r="I283" s="7"/>
      <c r="J283" s="7"/>
      <c r="K283" s="7"/>
      <c r="L283" s="7" t="s">
        <v>264</v>
      </c>
      <c r="M283" s="7"/>
      <c r="N283" s="7" t="s">
        <v>1202</v>
      </c>
    </row>
    <row r="284" spans="1:14" x14ac:dyDescent="0.25">
      <c r="A284" s="7"/>
      <c r="B284" s="7">
        <v>35</v>
      </c>
      <c r="C284" s="7"/>
      <c r="D284" s="7" t="s">
        <v>248</v>
      </c>
      <c r="E284" s="7" t="s">
        <v>1249</v>
      </c>
      <c r="F284" s="7"/>
      <c r="G284" s="7"/>
      <c r="H284" s="7"/>
      <c r="I284" s="7"/>
      <c r="J284" s="7"/>
      <c r="K284" s="7"/>
      <c r="L284" s="7" t="s">
        <v>264</v>
      </c>
      <c r="M284" s="7"/>
      <c r="N284" s="7" t="s">
        <v>1202</v>
      </c>
    </row>
    <row r="285" spans="1:14" x14ac:dyDescent="0.25">
      <c r="A285">
        <v>215</v>
      </c>
      <c r="B285">
        <v>36</v>
      </c>
      <c r="C285" t="s">
        <v>1261</v>
      </c>
      <c r="D285" s="1" t="s">
        <v>253</v>
      </c>
      <c r="E285" t="s">
        <v>1259</v>
      </c>
      <c r="H285" s="1" t="s">
        <v>258</v>
      </c>
      <c r="I285" t="s">
        <v>1269</v>
      </c>
      <c r="J285" t="s">
        <v>1189</v>
      </c>
      <c r="K285" t="s">
        <v>1270</v>
      </c>
      <c r="L285" s="1" t="s">
        <v>263</v>
      </c>
      <c r="M285" s="1" t="s">
        <v>260</v>
      </c>
      <c r="N285" t="s">
        <v>1271</v>
      </c>
    </row>
    <row r="286" spans="1:14" x14ac:dyDescent="0.25">
      <c r="A286">
        <v>216</v>
      </c>
      <c r="B286">
        <v>36</v>
      </c>
      <c r="C286" t="s">
        <v>1262</v>
      </c>
      <c r="D286" s="1" t="s">
        <v>249</v>
      </c>
      <c r="E286" t="s">
        <v>1259</v>
      </c>
      <c r="H286" s="1" t="s">
        <v>258</v>
      </c>
      <c r="I286" t="s">
        <v>1272</v>
      </c>
      <c r="J286" t="s">
        <v>1189</v>
      </c>
      <c r="K286" t="s">
        <v>1278</v>
      </c>
      <c r="L286" s="1" t="s">
        <v>263</v>
      </c>
      <c r="M286" s="1" t="s">
        <v>266</v>
      </c>
    </row>
    <row r="287" spans="1:14" x14ac:dyDescent="0.25">
      <c r="A287">
        <v>217</v>
      </c>
      <c r="B287">
        <v>36</v>
      </c>
      <c r="C287" t="s">
        <v>1263</v>
      </c>
      <c r="D287" s="1" t="s">
        <v>255</v>
      </c>
      <c r="E287" t="s">
        <v>1259</v>
      </c>
      <c r="H287" s="1" t="s">
        <v>258</v>
      </c>
      <c r="I287" t="s">
        <v>1273</v>
      </c>
      <c r="J287" t="s">
        <v>1189</v>
      </c>
      <c r="K287" t="s">
        <v>1279</v>
      </c>
      <c r="L287" s="1" t="s">
        <v>263</v>
      </c>
      <c r="M287" s="1" t="s">
        <v>266</v>
      </c>
    </row>
    <row r="288" spans="1:14" x14ac:dyDescent="0.25">
      <c r="A288">
        <v>218</v>
      </c>
      <c r="B288">
        <v>36</v>
      </c>
      <c r="C288" t="s">
        <v>1264</v>
      </c>
      <c r="D288" s="1" t="s">
        <v>250</v>
      </c>
      <c r="E288" t="s">
        <v>1259</v>
      </c>
      <c r="H288" s="1" t="s">
        <v>258</v>
      </c>
      <c r="I288" t="s">
        <v>1274</v>
      </c>
      <c r="J288" t="s">
        <v>1189</v>
      </c>
      <c r="K288" t="s">
        <v>1280</v>
      </c>
      <c r="L288" s="1" t="s">
        <v>263</v>
      </c>
      <c r="M288" s="1" t="s">
        <v>266</v>
      </c>
    </row>
    <row r="289" spans="1:14" x14ac:dyDescent="0.25">
      <c r="A289">
        <v>219</v>
      </c>
      <c r="B289">
        <v>36</v>
      </c>
      <c r="C289" t="s">
        <v>1265</v>
      </c>
      <c r="D289" s="1" t="s">
        <v>250</v>
      </c>
      <c r="E289" t="s">
        <v>1259</v>
      </c>
      <c r="H289" s="1" t="s">
        <v>258</v>
      </c>
      <c r="I289" t="s">
        <v>1275</v>
      </c>
      <c r="J289" t="s">
        <v>1189</v>
      </c>
      <c r="K289" t="s">
        <v>1281</v>
      </c>
      <c r="L289" s="1" t="s">
        <v>263</v>
      </c>
      <c r="M289" s="1" t="s">
        <v>266</v>
      </c>
    </row>
    <row r="290" spans="1:14" x14ac:dyDescent="0.25">
      <c r="A290">
        <v>220</v>
      </c>
      <c r="B290">
        <v>36</v>
      </c>
      <c r="C290" t="s">
        <v>1266</v>
      </c>
      <c r="D290" s="1" t="s">
        <v>252</v>
      </c>
      <c r="E290" t="s">
        <v>1259</v>
      </c>
      <c r="H290" s="1" t="s">
        <v>258</v>
      </c>
      <c r="I290" t="s">
        <v>1276</v>
      </c>
      <c r="J290" t="s">
        <v>1189</v>
      </c>
      <c r="K290" t="s">
        <v>1277</v>
      </c>
      <c r="L290" s="1" t="s">
        <v>263</v>
      </c>
      <c r="M290" s="1" t="s">
        <v>269</v>
      </c>
    </row>
    <row r="291" spans="1:14" x14ac:dyDescent="0.25">
      <c r="A291" s="4">
        <v>221</v>
      </c>
      <c r="B291" s="4">
        <v>36</v>
      </c>
      <c r="C291" s="4" t="s">
        <v>1267</v>
      </c>
      <c r="D291" s="4" t="s">
        <v>248</v>
      </c>
      <c r="E291" s="4" t="s">
        <v>1259</v>
      </c>
      <c r="F291" s="4"/>
      <c r="G291" s="4"/>
      <c r="H291" s="4" t="s">
        <v>258</v>
      </c>
      <c r="I291" s="4" t="s">
        <v>1282</v>
      </c>
      <c r="J291" s="4" t="s">
        <v>1189</v>
      </c>
      <c r="K291" s="4" t="s">
        <v>1283</v>
      </c>
      <c r="L291" s="4" t="s">
        <v>262</v>
      </c>
      <c r="M291" s="4"/>
      <c r="N291" s="4"/>
    </row>
    <row r="292" spans="1:14" x14ac:dyDescent="0.25">
      <c r="A292" s="7"/>
      <c r="B292" s="7">
        <v>36</v>
      </c>
      <c r="C292" s="7"/>
      <c r="D292" s="7" t="s">
        <v>247</v>
      </c>
      <c r="E292" s="7" t="s">
        <v>1259</v>
      </c>
      <c r="F292" s="7"/>
      <c r="G292" s="7"/>
      <c r="H292" s="7"/>
      <c r="I292" s="7"/>
      <c r="J292" s="7"/>
      <c r="K292" s="7"/>
      <c r="L292" s="7" t="s">
        <v>264</v>
      </c>
      <c r="M292" s="7"/>
      <c r="N292" s="7" t="s">
        <v>1268</v>
      </c>
    </row>
    <row r="293" spans="1:14" x14ac:dyDescent="0.25">
      <c r="A293" s="7"/>
      <c r="B293" s="7">
        <v>36</v>
      </c>
      <c r="C293" s="7"/>
      <c r="D293" s="7" t="s">
        <v>248</v>
      </c>
      <c r="E293" s="7" t="s">
        <v>1259</v>
      </c>
      <c r="F293" s="7"/>
      <c r="G293" s="7"/>
      <c r="H293" s="7"/>
      <c r="I293" s="7"/>
      <c r="J293" s="7"/>
      <c r="K293" s="7"/>
      <c r="L293" s="7" t="s">
        <v>264</v>
      </c>
      <c r="M293" s="7"/>
      <c r="N293" s="7" t="s">
        <v>1268</v>
      </c>
    </row>
    <row r="294" spans="1:14" x14ac:dyDescent="0.25">
      <c r="A294">
        <v>222</v>
      </c>
      <c r="B294">
        <v>37</v>
      </c>
      <c r="C294" t="s">
        <v>1284</v>
      </c>
      <c r="D294" s="1" t="s">
        <v>249</v>
      </c>
      <c r="E294" t="s">
        <v>1289</v>
      </c>
      <c r="H294" s="1" t="s">
        <v>258</v>
      </c>
      <c r="I294" t="s">
        <v>1290</v>
      </c>
      <c r="J294" t="s">
        <v>1189</v>
      </c>
      <c r="K294" t="s">
        <v>1299</v>
      </c>
      <c r="L294" s="1" t="s">
        <v>263</v>
      </c>
      <c r="M294" s="1" t="s">
        <v>266</v>
      </c>
    </row>
    <row r="295" spans="1:14" x14ac:dyDescent="0.25">
      <c r="A295">
        <v>223</v>
      </c>
      <c r="B295">
        <v>37</v>
      </c>
      <c r="C295" t="s">
        <v>1285</v>
      </c>
      <c r="D295" s="1" t="s">
        <v>255</v>
      </c>
      <c r="E295" t="s">
        <v>1289</v>
      </c>
      <c r="H295" s="1" t="s">
        <v>258</v>
      </c>
      <c r="I295" t="s">
        <v>1291</v>
      </c>
      <c r="J295" t="s">
        <v>1189</v>
      </c>
      <c r="K295" t="s">
        <v>1292</v>
      </c>
      <c r="L295" s="1" t="s">
        <v>263</v>
      </c>
      <c r="M295" s="1" t="s">
        <v>266</v>
      </c>
    </row>
    <row r="296" spans="1:14" x14ac:dyDescent="0.25">
      <c r="A296">
        <v>224</v>
      </c>
      <c r="B296">
        <v>37</v>
      </c>
      <c r="C296" t="s">
        <v>1286</v>
      </c>
      <c r="D296" s="1" t="s">
        <v>255</v>
      </c>
      <c r="E296" t="s">
        <v>1289</v>
      </c>
      <c r="H296" s="1" t="s">
        <v>258</v>
      </c>
      <c r="I296" t="s">
        <v>1293</v>
      </c>
      <c r="J296" t="s">
        <v>1189</v>
      </c>
      <c r="K296" t="s">
        <v>1294</v>
      </c>
      <c r="L296" s="1" t="s">
        <v>263</v>
      </c>
      <c r="M296" s="1" t="s">
        <v>266</v>
      </c>
    </row>
    <row r="297" spans="1:14" x14ac:dyDescent="0.25">
      <c r="A297">
        <v>225</v>
      </c>
      <c r="B297">
        <v>37</v>
      </c>
      <c r="C297" t="s">
        <v>1287</v>
      </c>
      <c r="D297" s="1" t="s">
        <v>252</v>
      </c>
      <c r="E297" t="s">
        <v>1289</v>
      </c>
      <c r="H297" s="1" t="s">
        <v>258</v>
      </c>
      <c r="I297" t="s">
        <v>1295</v>
      </c>
      <c r="J297" t="s">
        <v>1189</v>
      </c>
      <c r="K297" t="s">
        <v>1296</v>
      </c>
      <c r="L297" s="1" t="s">
        <v>263</v>
      </c>
      <c r="M297" s="1" t="s">
        <v>266</v>
      </c>
    </row>
    <row r="298" spans="1:14" x14ac:dyDescent="0.25">
      <c r="A298">
        <v>226</v>
      </c>
      <c r="B298">
        <v>37</v>
      </c>
      <c r="C298" t="s">
        <v>1288</v>
      </c>
      <c r="D298" s="1" t="s">
        <v>254</v>
      </c>
      <c r="E298" t="s">
        <v>1289</v>
      </c>
      <c r="H298" s="1" t="s">
        <v>258</v>
      </c>
      <c r="I298" t="s">
        <v>1297</v>
      </c>
      <c r="J298" t="s">
        <v>1189</v>
      </c>
      <c r="K298" t="s">
        <v>1298</v>
      </c>
      <c r="L298" s="1" t="s">
        <v>263</v>
      </c>
      <c r="M298" s="1" t="s">
        <v>270</v>
      </c>
    </row>
    <row r="299" spans="1:14" x14ac:dyDescent="0.25">
      <c r="A299" s="7"/>
      <c r="B299" s="7">
        <v>37</v>
      </c>
      <c r="C299" s="7"/>
      <c r="D299" s="7" t="s">
        <v>246</v>
      </c>
      <c r="E299" s="7" t="s">
        <v>1289</v>
      </c>
      <c r="F299" s="7"/>
      <c r="G299" s="7"/>
      <c r="H299" s="7"/>
      <c r="I299" s="7"/>
      <c r="J299" s="7"/>
      <c r="K299" s="7"/>
      <c r="L299" s="7" t="s">
        <v>264</v>
      </c>
      <c r="M299" s="7"/>
      <c r="N299" s="7" t="s">
        <v>1202</v>
      </c>
    </row>
    <row r="300" spans="1:14" x14ac:dyDescent="0.25">
      <c r="A300" s="7"/>
      <c r="B300" s="7">
        <v>37</v>
      </c>
      <c r="C300" s="7"/>
      <c r="D300" s="7" t="s">
        <v>247</v>
      </c>
      <c r="E300" s="7" t="s">
        <v>1289</v>
      </c>
      <c r="F300" s="7"/>
      <c r="G300" s="7"/>
      <c r="H300" s="7"/>
      <c r="I300" s="7"/>
      <c r="J300" s="7"/>
      <c r="K300" s="7"/>
      <c r="L300" s="7" t="s">
        <v>264</v>
      </c>
      <c r="M300" s="7"/>
      <c r="N300" s="7" t="s">
        <v>1202</v>
      </c>
    </row>
    <row r="301" spans="1:14" x14ac:dyDescent="0.25">
      <c r="A301" s="7"/>
      <c r="B301" s="7">
        <v>37</v>
      </c>
      <c r="C301" s="7"/>
      <c r="D301" s="7" t="s">
        <v>248</v>
      </c>
      <c r="E301" s="7" t="s">
        <v>1289</v>
      </c>
      <c r="F301" s="7"/>
      <c r="G301" s="7"/>
      <c r="H301" s="7"/>
      <c r="I301" s="7"/>
      <c r="J301" s="7"/>
      <c r="K301" s="7"/>
      <c r="L301" s="7" t="s">
        <v>264</v>
      </c>
      <c r="M301" s="7"/>
      <c r="N301" s="7" t="s">
        <v>1202</v>
      </c>
    </row>
    <row r="302" spans="1:14" x14ac:dyDescent="0.25">
      <c r="A302" s="4">
        <v>227</v>
      </c>
      <c r="B302" s="4">
        <v>38</v>
      </c>
      <c r="C302" s="4" t="s">
        <v>1300</v>
      </c>
      <c r="D302" s="4" t="s">
        <v>246</v>
      </c>
      <c r="E302" s="4" t="s">
        <v>1304</v>
      </c>
      <c r="F302" s="4"/>
      <c r="G302" s="4"/>
      <c r="H302" s="4" t="s">
        <v>258</v>
      </c>
      <c r="I302" s="4" t="s">
        <v>1305</v>
      </c>
      <c r="J302" s="4" t="s">
        <v>1189</v>
      </c>
      <c r="K302" s="4" t="s">
        <v>1310</v>
      </c>
      <c r="L302" s="4" t="s">
        <v>262</v>
      </c>
      <c r="M302" s="4"/>
      <c r="N302" s="4"/>
    </row>
    <row r="303" spans="1:14" x14ac:dyDescent="0.25">
      <c r="A303">
        <v>228</v>
      </c>
      <c r="B303">
        <v>38</v>
      </c>
      <c r="C303" t="s">
        <v>1301</v>
      </c>
      <c r="D303" s="1" t="s">
        <v>249</v>
      </c>
      <c r="E303" t="s">
        <v>1304</v>
      </c>
      <c r="H303" s="1" t="s">
        <v>258</v>
      </c>
      <c r="I303" t="s">
        <v>1306</v>
      </c>
      <c r="J303" t="s">
        <v>1189</v>
      </c>
      <c r="K303" t="s">
        <v>1311</v>
      </c>
      <c r="L303" s="1" t="s">
        <v>263</v>
      </c>
      <c r="M303" s="1" t="s">
        <v>266</v>
      </c>
    </row>
    <row r="304" spans="1:14" x14ac:dyDescent="0.25">
      <c r="A304">
        <v>229</v>
      </c>
      <c r="B304">
        <v>38</v>
      </c>
      <c r="C304" t="s">
        <v>1302</v>
      </c>
      <c r="D304" s="1" t="s">
        <v>251</v>
      </c>
      <c r="E304" t="s">
        <v>1304</v>
      </c>
      <c r="H304" s="1" t="s">
        <v>258</v>
      </c>
      <c r="I304" t="s">
        <v>1308</v>
      </c>
      <c r="J304" t="s">
        <v>1189</v>
      </c>
      <c r="K304" t="s">
        <v>1312</v>
      </c>
      <c r="L304" s="1" t="s">
        <v>263</v>
      </c>
      <c r="M304" s="1" t="s">
        <v>266</v>
      </c>
    </row>
    <row r="305" spans="1:14" x14ac:dyDescent="0.25">
      <c r="A305">
        <v>230</v>
      </c>
      <c r="B305">
        <v>38</v>
      </c>
      <c r="C305" t="s">
        <v>1303</v>
      </c>
      <c r="D305" s="1" t="s">
        <v>253</v>
      </c>
      <c r="E305" t="s">
        <v>1304</v>
      </c>
      <c r="H305" s="1" t="s">
        <v>258</v>
      </c>
      <c r="I305" t="s">
        <v>1307</v>
      </c>
      <c r="J305" t="s">
        <v>1189</v>
      </c>
      <c r="K305" t="s">
        <v>1309</v>
      </c>
      <c r="L305" s="1" t="s">
        <v>263</v>
      </c>
      <c r="M305" s="1" t="s">
        <v>269</v>
      </c>
    </row>
    <row r="306" spans="1:14" x14ac:dyDescent="0.25">
      <c r="A306" s="7"/>
      <c r="B306" s="7">
        <v>38</v>
      </c>
      <c r="C306" s="7"/>
      <c r="D306" s="7" t="s">
        <v>247</v>
      </c>
      <c r="E306" s="7" t="s">
        <v>1304</v>
      </c>
      <c r="F306" s="7"/>
      <c r="G306" s="7"/>
      <c r="H306" s="7"/>
      <c r="I306" s="7"/>
      <c r="J306" s="7"/>
      <c r="K306" s="7"/>
      <c r="L306" s="7" t="s">
        <v>264</v>
      </c>
      <c r="M306" s="7"/>
      <c r="N306" s="7" t="s">
        <v>1268</v>
      </c>
    </row>
    <row r="307" spans="1:14" x14ac:dyDescent="0.25">
      <c r="A307" s="7"/>
      <c r="B307" s="7">
        <v>38</v>
      </c>
      <c r="C307" s="7"/>
      <c r="D307" s="7" t="s">
        <v>248</v>
      </c>
      <c r="E307" s="7" t="s">
        <v>1304</v>
      </c>
      <c r="F307" s="7"/>
      <c r="G307" s="7"/>
      <c r="H307" s="7"/>
      <c r="I307" s="7"/>
      <c r="J307" s="7"/>
      <c r="K307" s="7"/>
      <c r="L307" s="7" t="s">
        <v>264</v>
      </c>
      <c r="M307" s="7"/>
      <c r="N307" s="7" t="s">
        <v>1268</v>
      </c>
    </row>
    <row r="308" spans="1:14" x14ac:dyDescent="0.25">
      <c r="A308">
        <v>231</v>
      </c>
      <c r="B308">
        <v>39</v>
      </c>
      <c r="C308" t="s">
        <v>249</v>
      </c>
      <c r="D308" s="1" t="s">
        <v>249</v>
      </c>
      <c r="E308" t="s">
        <v>1318</v>
      </c>
      <c r="H308" s="1" t="s">
        <v>258</v>
      </c>
      <c r="I308" t="s">
        <v>1319</v>
      </c>
      <c r="J308" t="s">
        <v>1189</v>
      </c>
      <c r="K308" t="s">
        <v>1329</v>
      </c>
      <c r="L308" s="1" t="s">
        <v>263</v>
      </c>
      <c r="M308" s="1" t="s">
        <v>266</v>
      </c>
    </row>
    <row r="309" spans="1:14" x14ac:dyDescent="0.25">
      <c r="A309">
        <v>232</v>
      </c>
      <c r="B309">
        <v>39</v>
      </c>
      <c r="C309" t="s">
        <v>1313</v>
      </c>
      <c r="D309" s="1" t="s">
        <v>251</v>
      </c>
      <c r="E309" t="s">
        <v>1318</v>
      </c>
      <c r="H309" s="1" t="s">
        <v>258</v>
      </c>
      <c r="I309" t="s">
        <v>1320</v>
      </c>
      <c r="J309" t="s">
        <v>1189</v>
      </c>
      <c r="K309" t="s">
        <v>1324</v>
      </c>
      <c r="L309" s="1" t="s">
        <v>263</v>
      </c>
      <c r="M309" s="1" t="s">
        <v>269</v>
      </c>
      <c r="N309" t="s">
        <v>1325</v>
      </c>
    </row>
    <row r="310" spans="1:14" x14ac:dyDescent="0.25">
      <c r="A310">
        <v>233</v>
      </c>
      <c r="B310">
        <v>39</v>
      </c>
      <c r="C310" t="s">
        <v>1314</v>
      </c>
      <c r="D310" s="1" t="s">
        <v>246</v>
      </c>
      <c r="E310" t="s">
        <v>1318</v>
      </c>
      <c r="H310" s="1" t="s">
        <v>258</v>
      </c>
      <c r="I310" t="s">
        <v>1321</v>
      </c>
      <c r="J310" t="s">
        <v>1189</v>
      </c>
      <c r="K310" t="s">
        <v>1330</v>
      </c>
      <c r="L310" s="1" t="s">
        <v>263</v>
      </c>
      <c r="M310" s="1" t="s">
        <v>266</v>
      </c>
    </row>
    <row r="311" spans="1:14" x14ac:dyDescent="0.25">
      <c r="A311">
        <v>234</v>
      </c>
      <c r="B311">
        <v>39</v>
      </c>
      <c r="C311" t="s">
        <v>1315</v>
      </c>
      <c r="D311" s="1" t="s">
        <v>250</v>
      </c>
      <c r="E311" t="s">
        <v>1318</v>
      </c>
      <c r="H311" s="1" t="s">
        <v>258</v>
      </c>
      <c r="I311" t="s">
        <v>1322</v>
      </c>
      <c r="J311" t="s">
        <v>1189</v>
      </c>
      <c r="K311" t="s">
        <v>1326</v>
      </c>
      <c r="L311" s="1" t="s">
        <v>263</v>
      </c>
      <c r="M311" s="1" t="s">
        <v>266</v>
      </c>
    </row>
    <row r="312" spans="1:14" x14ac:dyDescent="0.25">
      <c r="A312">
        <v>235</v>
      </c>
      <c r="B312">
        <v>39</v>
      </c>
      <c r="C312" t="s">
        <v>1316</v>
      </c>
      <c r="D312" s="1" t="s">
        <v>250</v>
      </c>
      <c r="E312" t="s">
        <v>1318</v>
      </c>
      <c r="H312" s="1" t="s">
        <v>258</v>
      </c>
      <c r="I312" t="s">
        <v>1327</v>
      </c>
      <c r="J312" t="s">
        <v>1189</v>
      </c>
      <c r="K312" t="s">
        <v>1331</v>
      </c>
      <c r="L312" s="1" t="s">
        <v>263</v>
      </c>
      <c r="M312" s="1" t="s">
        <v>266</v>
      </c>
    </row>
    <row r="313" spans="1:14" x14ac:dyDescent="0.25">
      <c r="A313">
        <v>236</v>
      </c>
      <c r="B313">
        <v>39</v>
      </c>
      <c r="C313" t="s">
        <v>1317</v>
      </c>
      <c r="D313" s="1" t="s">
        <v>253</v>
      </c>
      <c r="E313" t="s">
        <v>1318</v>
      </c>
      <c r="H313" s="1" t="s">
        <v>257</v>
      </c>
      <c r="I313" t="s">
        <v>1323</v>
      </c>
      <c r="J313" t="s">
        <v>1189</v>
      </c>
      <c r="K313" t="s">
        <v>1328</v>
      </c>
      <c r="L313" s="1" t="s">
        <v>263</v>
      </c>
      <c r="M313" s="1" t="s">
        <v>266</v>
      </c>
    </row>
    <row r="314" spans="1:14" x14ac:dyDescent="0.25">
      <c r="A314" s="7"/>
      <c r="B314" s="7">
        <v>39</v>
      </c>
      <c r="C314" s="7"/>
      <c r="D314" s="7" t="s">
        <v>246</v>
      </c>
      <c r="E314" s="7" t="s">
        <v>1318</v>
      </c>
      <c r="F314" s="7"/>
      <c r="G314" s="7"/>
      <c r="H314" s="7"/>
      <c r="I314" s="7"/>
      <c r="J314" s="7"/>
      <c r="K314" s="7"/>
      <c r="L314" s="7" t="s">
        <v>264</v>
      </c>
      <c r="M314" s="7"/>
      <c r="N314" s="7" t="s">
        <v>1202</v>
      </c>
    </row>
    <row r="315" spans="1:14" x14ac:dyDescent="0.25">
      <c r="A315" s="7"/>
      <c r="B315" s="7">
        <v>39</v>
      </c>
      <c r="C315" s="7"/>
      <c r="D315" s="7" t="s">
        <v>247</v>
      </c>
      <c r="E315" s="7" t="s">
        <v>1318</v>
      </c>
      <c r="F315" s="7"/>
      <c r="G315" s="7"/>
      <c r="H315" s="7"/>
      <c r="I315" s="7"/>
      <c r="J315" s="7"/>
      <c r="K315" s="7"/>
      <c r="L315" s="7" t="s">
        <v>264</v>
      </c>
      <c r="M315" s="7"/>
      <c r="N315" s="7" t="s">
        <v>1202</v>
      </c>
    </row>
    <row r="316" spans="1:14" x14ac:dyDescent="0.25">
      <c r="A316" s="7"/>
      <c r="B316" s="7">
        <v>39</v>
      </c>
      <c r="C316" s="7"/>
      <c r="D316" s="7" t="s">
        <v>248</v>
      </c>
      <c r="E316" s="7" t="s">
        <v>1318</v>
      </c>
      <c r="F316" s="7"/>
      <c r="G316" s="7"/>
      <c r="H316" s="7"/>
      <c r="I316" s="7"/>
      <c r="J316" s="7"/>
      <c r="K316" s="7"/>
      <c r="L316" s="7" t="s">
        <v>264</v>
      </c>
      <c r="M316" s="7"/>
      <c r="N316" s="7" t="s">
        <v>1202</v>
      </c>
    </row>
    <row r="317" spans="1:14" x14ac:dyDescent="0.25">
      <c r="A317">
        <v>237</v>
      </c>
      <c r="B317">
        <v>40</v>
      </c>
      <c r="C317" t="s">
        <v>1334</v>
      </c>
      <c r="D317" s="1" t="s">
        <v>255</v>
      </c>
      <c r="E317" s="15" t="s">
        <v>1332</v>
      </c>
      <c r="H317" s="1" t="s">
        <v>258</v>
      </c>
      <c r="I317" t="s">
        <v>1335</v>
      </c>
      <c r="J317" t="s">
        <v>1189</v>
      </c>
      <c r="K317" t="s">
        <v>1356</v>
      </c>
      <c r="L317" s="1" t="s">
        <v>263</v>
      </c>
      <c r="M317" s="1" t="s">
        <v>266</v>
      </c>
    </row>
    <row r="318" spans="1:14" x14ac:dyDescent="0.25">
      <c r="A318">
        <v>238</v>
      </c>
      <c r="B318">
        <v>40</v>
      </c>
      <c r="C318" t="s">
        <v>1336</v>
      </c>
      <c r="D318" s="1" t="s">
        <v>249</v>
      </c>
      <c r="E318" s="15" t="s">
        <v>1332</v>
      </c>
      <c r="H318" s="1" t="s">
        <v>258</v>
      </c>
      <c r="I318" t="s">
        <v>1337</v>
      </c>
      <c r="J318" t="s">
        <v>1189</v>
      </c>
      <c r="K318" t="s">
        <v>1352</v>
      </c>
      <c r="L318" s="1" t="s">
        <v>263</v>
      </c>
      <c r="M318" s="1" t="s">
        <v>266</v>
      </c>
    </row>
    <row r="319" spans="1:14" x14ac:dyDescent="0.25">
      <c r="A319" s="4">
        <v>239</v>
      </c>
      <c r="B319" s="4">
        <v>40</v>
      </c>
      <c r="C319" s="4" t="s">
        <v>1338</v>
      </c>
      <c r="D319" s="4" t="s">
        <v>246</v>
      </c>
      <c r="E319" s="17" t="s">
        <v>1332</v>
      </c>
      <c r="F319" s="4"/>
      <c r="G319" s="4"/>
      <c r="H319" s="4" t="s">
        <v>257</v>
      </c>
      <c r="I319" s="4" t="s">
        <v>1339</v>
      </c>
      <c r="J319" s="4" t="s">
        <v>1189</v>
      </c>
      <c r="K319" s="4" t="s">
        <v>1353</v>
      </c>
      <c r="L319" s="4" t="s">
        <v>262</v>
      </c>
      <c r="M319" s="4"/>
      <c r="N319" s="4"/>
    </row>
    <row r="320" spans="1:14" x14ac:dyDescent="0.25">
      <c r="A320">
        <v>240</v>
      </c>
      <c r="B320">
        <v>40</v>
      </c>
      <c r="C320" t="s">
        <v>1340</v>
      </c>
      <c r="D320" s="1" t="s">
        <v>251</v>
      </c>
      <c r="E320" s="15" t="s">
        <v>1332</v>
      </c>
      <c r="H320" s="1" t="s">
        <v>258</v>
      </c>
      <c r="I320" t="s">
        <v>1341</v>
      </c>
      <c r="J320" t="s">
        <v>1189</v>
      </c>
      <c r="K320" t="s">
        <v>1360</v>
      </c>
      <c r="L320" s="1" t="s">
        <v>263</v>
      </c>
      <c r="M320" s="1" t="s">
        <v>266</v>
      </c>
    </row>
    <row r="321" spans="1:14" ht="16.5" x14ac:dyDescent="0.3">
      <c r="A321">
        <v>241</v>
      </c>
      <c r="B321">
        <v>40</v>
      </c>
      <c r="C321" s="16" t="s">
        <v>1342</v>
      </c>
      <c r="D321" s="1" t="s">
        <v>251</v>
      </c>
      <c r="E321" s="15" t="s">
        <v>1332</v>
      </c>
      <c r="H321" s="1" t="s">
        <v>258</v>
      </c>
      <c r="I321" t="s">
        <v>1343</v>
      </c>
      <c r="J321" t="s">
        <v>1189</v>
      </c>
      <c r="K321" t="s">
        <v>1357</v>
      </c>
      <c r="L321" s="1" t="s">
        <v>263</v>
      </c>
      <c r="M321" s="1" t="s">
        <v>266</v>
      </c>
    </row>
    <row r="322" spans="1:14" x14ac:dyDescent="0.25">
      <c r="A322">
        <v>242</v>
      </c>
      <c r="B322">
        <v>40</v>
      </c>
      <c r="C322" t="s">
        <v>1344</v>
      </c>
      <c r="D322" s="1" t="s">
        <v>250</v>
      </c>
      <c r="E322" s="15" t="s">
        <v>1332</v>
      </c>
      <c r="H322" s="1"/>
      <c r="I322" t="s">
        <v>1345</v>
      </c>
      <c r="J322" t="s">
        <v>1189</v>
      </c>
      <c r="K322" t="s">
        <v>1359</v>
      </c>
      <c r="L322" s="1" t="s">
        <v>263</v>
      </c>
      <c r="M322" s="1" t="s">
        <v>266</v>
      </c>
    </row>
    <row r="323" spans="1:14" x14ac:dyDescent="0.25">
      <c r="A323">
        <v>243</v>
      </c>
      <c r="B323">
        <v>40</v>
      </c>
      <c r="C323" t="s">
        <v>1346</v>
      </c>
      <c r="D323" s="1" t="s">
        <v>250</v>
      </c>
      <c r="E323" s="15" t="s">
        <v>1332</v>
      </c>
      <c r="H323" s="1"/>
      <c r="I323" t="s">
        <v>1347</v>
      </c>
      <c r="J323" t="s">
        <v>1189</v>
      </c>
      <c r="K323" t="s">
        <v>1358</v>
      </c>
      <c r="L323" s="1" t="s">
        <v>263</v>
      </c>
      <c r="M323" s="1" t="s">
        <v>266</v>
      </c>
    </row>
    <row r="324" spans="1:14" x14ac:dyDescent="0.25">
      <c r="A324">
        <v>244</v>
      </c>
      <c r="B324">
        <v>40</v>
      </c>
      <c r="C324" t="s">
        <v>1348</v>
      </c>
      <c r="D324" s="1" t="s">
        <v>254</v>
      </c>
      <c r="E324" s="15" t="s">
        <v>1332</v>
      </c>
      <c r="H324" s="1"/>
      <c r="I324" t="s">
        <v>1349</v>
      </c>
      <c r="J324" t="s">
        <v>1189</v>
      </c>
      <c r="K324" t="s">
        <v>1354</v>
      </c>
      <c r="L324" s="1" t="s">
        <v>263</v>
      </c>
      <c r="M324" s="1" t="s">
        <v>269</v>
      </c>
    </row>
    <row r="325" spans="1:14" x14ac:dyDescent="0.25">
      <c r="A325">
        <v>245</v>
      </c>
      <c r="B325">
        <v>40</v>
      </c>
      <c r="C325" t="s">
        <v>1350</v>
      </c>
      <c r="D325" s="1" t="s">
        <v>254</v>
      </c>
      <c r="E325" s="15" t="s">
        <v>1332</v>
      </c>
      <c r="H325" s="1"/>
      <c r="I325" t="s">
        <v>1351</v>
      </c>
      <c r="J325" t="s">
        <v>1189</v>
      </c>
      <c r="K325" t="s">
        <v>1355</v>
      </c>
      <c r="L325" s="1" t="s">
        <v>263</v>
      </c>
      <c r="M325" s="1" t="s">
        <v>269</v>
      </c>
    </row>
    <row r="326" spans="1:14" x14ac:dyDescent="0.25">
      <c r="A326" s="7"/>
      <c r="B326" s="7">
        <v>40</v>
      </c>
      <c r="C326" s="7"/>
      <c r="D326" s="7" t="s">
        <v>247</v>
      </c>
      <c r="E326" s="7" t="s">
        <v>1332</v>
      </c>
      <c r="F326" s="7"/>
      <c r="G326" s="7"/>
      <c r="H326" s="7"/>
      <c r="I326" s="7"/>
      <c r="J326" s="7"/>
      <c r="K326" s="7"/>
      <c r="L326" s="7" t="s">
        <v>264</v>
      </c>
      <c r="M326" s="7"/>
      <c r="N326" s="7" t="s">
        <v>1268</v>
      </c>
    </row>
    <row r="327" spans="1:14" x14ac:dyDescent="0.25">
      <c r="A327" s="7"/>
      <c r="B327" s="7">
        <v>40</v>
      </c>
      <c r="C327" s="7"/>
      <c r="D327" s="7" t="s">
        <v>248</v>
      </c>
      <c r="E327" s="7" t="s">
        <v>1332</v>
      </c>
      <c r="F327" s="7"/>
      <c r="G327" s="7"/>
      <c r="H327" s="7"/>
      <c r="I327" s="7"/>
      <c r="J327" s="7"/>
      <c r="K327" s="7"/>
      <c r="L327" s="7" t="s">
        <v>264</v>
      </c>
      <c r="M327" s="7"/>
      <c r="N327" s="7" t="s">
        <v>1268</v>
      </c>
    </row>
    <row r="328" spans="1:14" x14ac:dyDescent="0.25">
      <c r="D328" s="1"/>
      <c r="H328" s="1"/>
      <c r="L328" s="1"/>
      <c r="M328" s="1"/>
    </row>
    <row r="329" spans="1:14" x14ac:dyDescent="0.25">
      <c r="D329" s="1"/>
      <c r="H329" s="1"/>
      <c r="L329" s="1"/>
      <c r="M329" s="1"/>
    </row>
    <row r="330" spans="1:14" x14ac:dyDescent="0.25">
      <c r="D330" s="1"/>
      <c r="H330" s="1"/>
      <c r="L330" s="1"/>
      <c r="M330" s="1"/>
    </row>
    <row r="331" spans="1:14" x14ac:dyDescent="0.25">
      <c r="D331" s="1"/>
      <c r="H331" s="1"/>
      <c r="L331" s="1"/>
      <c r="M331" s="1"/>
    </row>
    <row r="332" spans="1:14" x14ac:dyDescent="0.25">
      <c r="D332" s="1"/>
      <c r="H332" s="1"/>
      <c r="L332" s="1"/>
      <c r="M332" s="1"/>
    </row>
    <row r="333" spans="1:14" x14ac:dyDescent="0.25">
      <c r="D333" s="1"/>
      <c r="H333" s="1"/>
      <c r="L333" s="1"/>
      <c r="M333" s="1"/>
    </row>
    <row r="334" spans="1:14" x14ac:dyDescent="0.25">
      <c r="D334" s="1"/>
      <c r="H334" s="1"/>
      <c r="L334" s="1"/>
      <c r="M334" s="1"/>
    </row>
    <row r="335" spans="1:14" x14ac:dyDescent="0.25">
      <c r="D335" s="1"/>
      <c r="H335" s="1"/>
      <c r="L335" s="1"/>
      <c r="M335" s="1"/>
    </row>
    <row r="336" spans="1:14" x14ac:dyDescent="0.25">
      <c r="D336" s="1"/>
      <c r="H336" s="1"/>
      <c r="L336" s="1"/>
      <c r="M336" s="1"/>
    </row>
    <row r="337" spans="4:13" x14ac:dyDescent="0.25">
      <c r="D337" s="1"/>
      <c r="H337" s="1"/>
      <c r="L337" s="1"/>
      <c r="M337" s="1"/>
    </row>
    <row r="338" spans="4:13" x14ac:dyDescent="0.25">
      <c r="D338" s="1"/>
      <c r="H338" s="1"/>
      <c r="L338" s="1"/>
      <c r="M338" s="1"/>
    </row>
    <row r="339" spans="4:13" x14ac:dyDescent="0.25">
      <c r="D339" s="1"/>
      <c r="H339" s="1"/>
      <c r="L339" s="1"/>
      <c r="M339" s="1"/>
    </row>
    <row r="340" spans="4:13" x14ac:dyDescent="0.25">
      <c r="D340" s="1"/>
      <c r="H340" s="1"/>
      <c r="L340" s="1"/>
      <c r="M340" s="1"/>
    </row>
    <row r="341" spans="4:13" x14ac:dyDescent="0.25">
      <c r="D341" s="1"/>
      <c r="H341" s="1"/>
      <c r="L341" s="1"/>
      <c r="M341" s="1"/>
    </row>
    <row r="342" spans="4:13" x14ac:dyDescent="0.25">
      <c r="D342" s="1"/>
      <c r="H342" s="1"/>
      <c r="L342" s="1"/>
      <c r="M342" s="1"/>
    </row>
    <row r="343" spans="4:13" x14ac:dyDescent="0.25">
      <c r="D343" s="1"/>
      <c r="H343" s="1"/>
      <c r="L343" s="1"/>
      <c r="M343" s="1"/>
    </row>
    <row r="344" spans="4:13" x14ac:dyDescent="0.25">
      <c r="D344" s="1"/>
      <c r="H344" s="1"/>
      <c r="L344" s="1"/>
      <c r="M344" s="1"/>
    </row>
    <row r="345" spans="4:13" x14ac:dyDescent="0.25">
      <c r="D345" s="1"/>
      <c r="H345" s="1"/>
      <c r="L345" s="1"/>
      <c r="M345" s="1"/>
    </row>
    <row r="346" spans="4:13" x14ac:dyDescent="0.25">
      <c r="D346" s="1"/>
      <c r="H346" s="1"/>
      <c r="L346" s="1"/>
      <c r="M346" s="1"/>
    </row>
    <row r="347" spans="4:13" x14ac:dyDescent="0.25">
      <c r="D347" s="1"/>
      <c r="H347" s="1"/>
      <c r="L347" s="1"/>
      <c r="M347" s="1"/>
    </row>
    <row r="348" spans="4:13" x14ac:dyDescent="0.25">
      <c r="D348" s="1"/>
      <c r="H348" s="1"/>
      <c r="L348" s="1"/>
      <c r="M348" s="1"/>
    </row>
    <row r="349" spans="4:13" x14ac:dyDescent="0.25">
      <c r="D349" s="1"/>
      <c r="H349" s="1"/>
      <c r="L349" s="1"/>
      <c r="M349" s="1"/>
    </row>
    <row r="350" spans="4:13" x14ac:dyDescent="0.25">
      <c r="D350" s="1"/>
      <c r="H350" s="1"/>
      <c r="L350" s="1"/>
      <c r="M350" s="1"/>
    </row>
    <row r="351" spans="4:13" x14ac:dyDescent="0.25">
      <c r="D351" s="1"/>
      <c r="H351" s="1"/>
      <c r="L351" s="1"/>
      <c r="M351" s="1"/>
    </row>
    <row r="352" spans="4:13" x14ac:dyDescent="0.25">
      <c r="D352" s="1"/>
      <c r="H352" s="1"/>
      <c r="L352" s="1"/>
      <c r="M352" s="1"/>
    </row>
    <row r="353" spans="4:13" x14ac:dyDescent="0.25">
      <c r="D353" s="1"/>
      <c r="H353" s="1"/>
      <c r="L353" s="1"/>
      <c r="M353" s="1"/>
    </row>
    <row r="354" spans="4:13" x14ac:dyDescent="0.25">
      <c r="D354" s="1"/>
      <c r="H354" s="1"/>
      <c r="L354" s="1"/>
      <c r="M354" s="1"/>
    </row>
    <row r="355" spans="4:13" x14ac:dyDescent="0.25">
      <c r="D355" s="1"/>
      <c r="H355" s="1"/>
      <c r="L355" s="1"/>
      <c r="M355" s="1"/>
    </row>
    <row r="356" spans="4:13" x14ac:dyDescent="0.25">
      <c r="D356" s="1"/>
      <c r="H356" s="1"/>
      <c r="L356" s="1"/>
      <c r="M356" s="1"/>
    </row>
    <row r="357" spans="4:13" x14ac:dyDescent="0.25">
      <c r="D357" s="1"/>
      <c r="H357" s="1"/>
      <c r="L357" s="1"/>
      <c r="M357" s="1"/>
    </row>
    <row r="358" spans="4:13" x14ac:dyDescent="0.25">
      <c r="D358" s="1"/>
      <c r="H358" s="1"/>
      <c r="L358" s="1"/>
      <c r="M358" s="1"/>
    </row>
    <row r="359" spans="4:13" x14ac:dyDescent="0.25">
      <c r="D359" s="1"/>
      <c r="H359" s="1"/>
      <c r="L359" s="1"/>
      <c r="M359" s="1"/>
    </row>
    <row r="360" spans="4:13" x14ac:dyDescent="0.25">
      <c r="D360" s="1"/>
      <c r="H360" s="1"/>
      <c r="L360" s="1"/>
      <c r="M360" s="1"/>
    </row>
    <row r="361" spans="4:13" x14ac:dyDescent="0.25">
      <c r="D361" s="1"/>
      <c r="H361" s="1"/>
      <c r="L361" s="1"/>
      <c r="M361" s="1"/>
    </row>
    <row r="362" spans="4:13" x14ac:dyDescent="0.25">
      <c r="D362" s="1"/>
      <c r="H362" s="1"/>
      <c r="L362" s="1"/>
      <c r="M362" s="1"/>
    </row>
    <row r="363" spans="4:13" x14ac:dyDescent="0.25">
      <c r="D363" s="1"/>
      <c r="H363" s="1"/>
      <c r="L363" s="1"/>
      <c r="M363" s="1"/>
    </row>
    <row r="364" spans="4:13" x14ac:dyDescent="0.25">
      <c r="D364" s="1"/>
      <c r="H364" s="1"/>
      <c r="L364" s="1"/>
      <c r="M364" s="1"/>
    </row>
    <row r="365" spans="4:13" x14ac:dyDescent="0.25">
      <c r="D365" s="1"/>
      <c r="H365" s="1"/>
      <c r="L365" s="1"/>
      <c r="M365" s="1"/>
    </row>
    <row r="366" spans="4:13" x14ac:dyDescent="0.25">
      <c r="D366" s="1"/>
      <c r="H366" s="1"/>
      <c r="L366" s="1"/>
      <c r="M366" s="1"/>
    </row>
    <row r="367" spans="4:13" x14ac:dyDescent="0.25">
      <c r="D367" s="1"/>
      <c r="H367" s="1"/>
      <c r="L367" s="1"/>
      <c r="M367" s="1"/>
    </row>
    <row r="368" spans="4:13" x14ac:dyDescent="0.25">
      <c r="D368" s="1"/>
      <c r="H368" s="1"/>
      <c r="L368" s="1"/>
      <c r="M368" s="1"/>
    </row>
    <row r="369" spans="4:13" x14ac:dyDescent="0.25">
      <c r="D369" s="1"/>
      <c r="H369" s="1"/>
      <c r="L369" s="1"/>
      <c r="M369" s="1"/>
    </row>
    <row r="370" spans="4:13" x14ac:dyDescent="0.25">
      <c r="D370" s="1"/>
      <c r="H370" s="1"/>
      <c r="L370" s="1"/>
      <c r="M370" s="1"/>
    </row>
    <row r="371" spans="4:13" x14ac:dyDescent="0.25">
      <c r="D371" s="1"/>
      <c r="H371" s="1"/>
      <c r="L371" s="1"/>
      <c r="M371" s="1"/>
    </row>
    <row r="372" spans="4:13" x14ac:dyDescent="0.25">
      <c r="D372" s="1"/>
      <c r="H372" s="1"/>
      <c r="L372" s="1"/>
      <c r="M372" s="1"/>
    </row>
    <row r="373" spans="4:13" x14ac:dyDescent="0.25">
      <c r="D373" s="1"/>
      <c r="H373" s="1"/>
      <c r="L373" s="1"/>
      <c r="M373" s="1"/>
    </row>
    <row r="374" spans="4:13" x14ac:dyDescent="0.25">
      <c r="D374" s="1"/>
      <c r="H374" s="1"/>
      <c r="L374" s="1"/>
      <c r="M374" s="1"/>
    </row>
    <row r="375" spans="4:13" x14ac:dyDescent="0.25">
      <c r="D375" s="1"/>
      <c r="H375" s="1"/>
      <c r="L375" s="1"/>
      <c r="M375" s="1"/>
    </row>
    <row r="376" spans="4:13" x14ac:dyDescent="0.25">
      <c r="D376" s="1"/>
      <c r="H376" s="1"/>
      <c r="L376" s="1"/>
      <c r="M376" s="1"/>
    </row>
    <row r="377" spans="4:13" x14ac:dyDescent="0.25">
      <c r="D377" s="1"/>
      <c r="H377" s="1"/>
      <c r="L377" s="1"/>
      <c r="M377" s="1"/>
    </row>
    <row r="378" spans="4:13" x14ac:dyDescent="0.25">
      <c r="D378" s="1"/>
      <c r="H378" s="1"/>
      <c r="L378" s="1"/>
      <c r="M378" s="1"/>
    </row>
    <row r="379" spans="4:13" x14ac:dyDescent="0.25">
      <c r="D379" s="1"/>
      <c r="H379" s="1"/>
      <c r="L379" s="1"/>
      <c r="M379" s="1"/>
    </row>
    <row r="380" spans="4:13" x14ac:dyDescent="0.25">
      <c r="D380" s="1"/>
      <c r="H380" s="1"/>
      <c r="L380" s="1"/>
      <c r="M380" s="1"/>
    </row>
    <row r="381" spans="4:13" x14ac:dyDescent="0.25">
      <c r="D381" s="1"/>
      <c r="H381" s="1"/>
      <c r="L381" s="1"/>
      <c r="M381" s="1"/>
    </row>
    <row r="382" spans="4:13" x14ac:dyDescent="0.25">
      <c r="D382" s="1"/>
      <c r="H382" s="1"/>
      <c r="L382" s="1"/>
      <c r="M382" s="1"/>
    </row>
    <row r="383" spans="4:13" x14ac:dyDescent="0.25">
      <c r="D383" s="1"/>
      <c r="H383" s="1"/>
      <c r="L383" s="1"/>
      <c r="M383" s="1"/>
    </row>
    <row r="384" spans="4:13" x14ac:dyDescent="0.25">
      <c r="D384" s="1"/>
      <c r="H384" s="1"/>
      <c r="L384" s="1"/>
      <c r="M384" s="1"/>
    </row>
    <row r="385" spans="4:13" x14ac:dyDescent="0.25">
      <c r="D385" s="1"/>
      <c r="H385" s="1"/>
      <c r="L385" s="1"/>
      <c r="M385" s="1"/>
    </row>
    <row r="386" spans="4:13" x14ac:dyDescent="0.25">
      <c r="D386" s="1"/>
      <c r="H386" s="1"/>
      <c r="L386" s="1"/>
      <c r="M386" s="1"/>
    </row>
    <row r="387" spans="4:13" x14ac:dyDescent="0.25">
      <c r="D387" s="1"/>
      <c r="H387" s="1"/>
      <c r="L387" s="1"/>
      <c r="M387" s="1"/>
    </row>
    <row r="388" spans="4:13" x14ac:dyDescent="0.25">
      <c r="D388" s="1"/>
      <c r="H388" s="1"/>
      <c r="L388" s="1"/>
      <c r="M388" s="1"/>
    </row>
    <row r="389" spans="4:13" x14ac:dyDescent="0.25">
      <c r="D389" s="1"/>
      <c r="H389" s="1"/>
      <c r="L389" s="1"/>
      <c r="M389" s="1"/>
    </row>
    <row r="390" spans="4:13" x14ac:dyDescent="0.25">
      <c r="D390" s="1"/>
      <c r="H390" s="1"/>
      <c r="L390" s="1"/>
      <c r="M390" s="1"/>
    </row>
    <row r="391" spans="4:13" x14ac:dyDescent="0.25">
      <c r="D391" s="1"/>
      <c r="H391" s="1"/>
      <c r="L391" s="1"/>
      <c r="M391" s="1"/>
    </row>
    <row r="392" spans="4:13" x14ac:dyDescent="0.25">
      <c r="D392" s="1"/>
      <c r="H392" s="1"/>
      <c r="L392" s="1"/>
      <c r="M392" s="1"/>
    </row>
    <row r="393" spans="4:13" x14ac:dyDescent="0.25">
      <c r="D393" s="1"/>
      <c r="H393" s="1"/>
      <c r="L393" s="1"/>
      <c r="M393" s="1"/>
    </row>
    <row r="394" spans="4:13" x14ac:dyDescent="0.25">
      <c r="D394" s="1"/>
      <c r="H394" s="1"/>
      <c r="L394" s="1"/>
      <c r="M394" s="1"/>
    </row>
    <row r="395" spans="4:13" x14ac:dyDescent="0.25">
      <c r="D395" s="1"/>
      <c r="H395" s="1"/>
      <c r="L395" s="1"/>
      <c r="M395" s="1"/>
    </row>
    <row r="396" spans="4:13" x14ac:dyDescent="0.25">
      <c r="D396" s="1"/>
      <c r="H396" s="1"/>
      <c r="L396" s="1"/>
      <c r="M396" s="1"/>
    </row>
    <row r="397" spans="4:13" x14ac:dyDescent="0.25">
      <c r="D397" s="1"/>
      <c r="H397" s="1"/>
      <c r="L397" s="1"/>
      <c r="M397" s="1"/>
    </row>
    <row r="398" spans="4:13" x14ac:dyDescent="0.25">
      <c r="D398" s="1"/>
      <c r="H398" s="1"/>
      <c r="L398" s="1"/>
      <c r="M398"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showErrorMessage="1" xr:uid="{31C10C8B-65EA-4186-93C3-72631515D9D1}">
          <x14:formula1>
            <xm:f>'99_Lookups'!$E$2:$E$5</xm:f>
          </x14:formula1>
          <xm:sqref>H170:H398 H2:H168</xm:sqref>
        </x14:dataValidation>
        <x14:dataValidation type="list" allowBlank="1" showErrorMessage="1" xr:uid="{F0DF3AB8-550D-44D1-B78C-E8336B4B7512}">
          <x14:formula1>
            <xm:f>'99_Lookups'!$G$2:$G$4</xm:f>
          </x14:formula1>
          <xm:sqref>L2:L327</xm:sqref>
        </x14:dataValidation>
        <x14:dataValidation type="list" showErrorMessage="1" xr:uid="{174E97D9-B9C1-4C33-B850-E9E52034ADA7}">
          <x14:formula1>
            <xm:f>'99_Lookups'!$I$2:$I$7</xm:f>
          </x14:formula1>
          <xm:sqref>M2:M327</xm:sqref>
        </x14:dataValidation>
        <x14:dataValidation type="list" showErrorMessage="1" xr:uid="{B6596F59-00A4-43BA-9FAC-3D025169D61C}">
          <x14:formula1>
            <xm:f>'99_Lookups'!$C$2:$C$11</xm:f>
          </x14:formula1>
          <xm:sqref>D2:D327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7CFA-497D-4A02-AFA5-EBE095ABECD9}">
  <sheetPr>
    <tabColor rgb="FFFFFF00"/>
  </sheetPr>
  <dimension ref="A1:H19"/>
  <sheetViews>
    <sheetView topLeftCell="E11" workbookViewId="0">
      <selection sqref="A1:H19"/>
    </sheetView>
  </sheetViews>
  <sheetFormatPr baseColWidth="10" defaultRowHeight="15" x14ac:dyDescent="0.25"/>
  <cols>
    <col min="2" max="2" width="35" customWidth="1"/>
    <col min="3" max="3" width="57" bestFit="1" customWidth="1"/>
    <col min="4" max="4" width="66.42578125" bestFit="1" customWidth="1"/>
    <col min="5" max="5" width="57.42578125" bestFit="1" customWidth="1"/>
    <col min="6" max="6" width="63.7109375" bestFit="1" customWidth="1"/>
    <col min="7" max="7" width="42.42578125" bestFit="1" customWidth="1"/>
    <col min="8" max="8" width="67.5703125" bestFit="1" customWidth="1"/>
  </cols>
  <sheetData>
    <row r="1" spans="1:8" x14ac:dyDescent="0.25">
      <c r="A1" t="s">
        <v>21</v>
      </c>
      <c r="B1" t="s">
        <v>22</v>
      </c>
      <c r="C1" t="s">
        <v>23</v>
      </c>
      <c r="D1" t="s">
        <v>24</v>
      </c>
      <c r="E1" t="s">
        <v>25</v>
      </c>
      <c r="F1" t="s">
        <v>26</v>
      </c>
      <c r="G1" t="s">
        <v>27</v>
      </c>
      <c r="H1" t="s">
        <v>28</v>
      </c>
    </row>
    <row r="2" spans="1:8" x14ac:dyDescent="0.25">
      <c r="A2" t="s">
        <v>53</v>
      </c>
      <c r="B2" t="s">
        <v>54</v>
      </c>
      <c r="C2" t="s">
        <v>55</v>
      </c>
      <c r="D2" t="s">
        <v>56</v>
      </c>
      <c r="E2" t="s">
        <v>57</v>
      </c>
      <c r="F2" t="s">
        <v>58</v>
      </c>
      <c r="G2" t="s">
        <v>59</v>
      </c>
      <c r="H2" t="s">
        <v>60</v>
      </c>
    </row>
    <row r="3" spans="1:8" x14ac:dyDescent="0.25">
      <c r="A3" t="s">
        <v>61</v>
      </c>
      <c r="B3" t="s">
        <v>62</v>
      </c>
      <c r="C3" t="s">
        <v>63</v>
      </c>
      <c r="D3" t="s">
        <v>64</v>
      </c>
      <c r="E3" t="s">
        <v>65</v>
      </c>
      <c r="F3" t="s">
        <v>66</v>
      </c>
      <c r="G3" t="s">
        <v>67</v>
      </c>
      <c r="H3" t="s">
        <v>68</v>
      </c>
    </row>
    <row r="4" spans="1:8" x14ac:dyDescent="0.25">
      <c r="A4" t="s">
        <v>69</v>
      </c>
      <c r="B4" t="s">
        <v>70</v>
      </c>
      <c r="C4" t="s">
        <v>71</v>
      </c>
      <c r="D4" t="s">
        <v>72</v>
      </c>
      <c r="E4" t="s">
        <v>73</v>
      </c>
      <c r="F4" t="s">
        <v>74</v>
      </c>
      <c r="G4" t="s">
        <v>75</v>
      </c>
      <c r="H4" t="s">
        <v>2045</v>
      </c>
    </row>
    <row r="5" spans="1:8" x14ac:dyDescent="0.25">
      <c r="A5" t="s">
        <v>76</v>
      </c>
      <c r="B5" t="s">
        <v>77</v>
      </c>
      <c r="C5" t="s">
        <v>78</v>
      </c>
      <c r="D5" t="s">
        <v>2048</v>
      </c>
      <c r="E5" t="s">
        <v>79</v>
      </c>
      <c r="F5" t="s">
        <v>80</v>
      </c>
      <c r="G5" t="s">
        <v>81</v>
      </c>
      <c r="H5" t="s">
        <v>82</v>
      </c>
    </row>
    <row r="6" spans="1:8" x14ac:dyDescent="0.25">
      <c r="A6" t="s">
        <v>83</v>
      </c>
      <c r="B6" t="s">
        <v>84</v>
      </c>
      <c r="C6" t="s">
        <v>85</v>
      </c>
      <c r="D6" t="s">
        <v>86</v>
      </c>
      <c r="E6" t="s">
        <v>87</v>
      </c>
      <c r="F6" t="s">
        <v>88</v>
      </c>
      <c r="G6" t="s">
        <v>89</v>
      </c>
      <c r="H6" t="s">
        <v>185</v>
      </c>
    </row>
    <row r="7" spans="1:8" x14ac:dyDescent="0.25">
      <c r="A7" t="s">
        <v>90</v>
      </c>
      <c r="B7" t="s">
        <v>91</v>
      </c>
      <c r="C7" t="s">
        <v>92</v>
      </c>
      <c r="D7" t="s">
        <v>93</v>
      </c>
      <c r="E7" t="s">
        <v>94</v>
      </c>
      <c r="F7" t="s">
        <v>95</v>
      </c>
      <c r="G7" t="s">
        <v>96</v>
      </c>
      <c r="H7" t="s">
        <v>97</v>
      </c>
    </row>
    <row r="8" spans="1:8" x14ac:dyDescent="0.25">
      <c r="A8" t="s">
        <v>98</v>
      </c>
      <c r="B8" t="s">
        <v>99</v>
      </c>
      <c r="C8" t="s">
        <v>100</v>
      </c>
      <c r="D8" t="s">
        <v>101</v>
      </c>
      <c r="E8" t="s">
        <v>102</v>
      </c>
      <c r="F8" t="s">
        <v>103</v>
      </c>
      <c r="G8" t="s">
        <v>104</v>
      </c>
      <c r="H8" t="s">
        <v>105</v>
      </c>
    </row>
    <row r="9" spans="1:8" x14ac:dyDescent="0.25">
      <c r="A9" t="s">
        <v>106</v>
      </c>
      <c r="B9" t="s">
        <v>107</v>
      </c>
      <c r="C9" t="s">
        <v>181</v>
      </c>
      <c r="D9" t="s">
        <v>108</v>
      </c>
      <c r="E9" t="s">
        <v>109</v>
      </c>
      <c r="F9" t="s">
        <v>110</v>
      </c>
      <c r="G9" t="s">
        <v>111</v>
      </c>
      <c r="H9" t="s">
        <v>2050</v>
      </c>
    </row>
    <row r="10" spans="1:8" x14ac:dyDescent="0.25">
      <c r="A10" t="s">
        <v>112</v>
      </c>
      <c r="B10" t="s">
        <v>113</v>
      </c>
      <c r="C10" t="s">
        <v>182</v>
      </c>
      <c r="D10" t="s">
        <v>2052</v>
      </c>
      <c r="E10" t="s">
        <v>114</v>
      </c>
      <c r="F10" t="s">
        <v>115</v>
      </c>
      <c r="G10" t="s">
        <v>116</v>
      </c>
      <c r="H10" t="s">
        <v>117</v>
      </c>
    </row>
    <row r="11" spans="1:8" x14ac:dyDescent="0.25">
      <c r="A11" t="s">
        <v>118</v>
      </c>
      <c r="B11" t="s">
        <v>119</v>
      </c>
      <c r="C11" t="s">
        <v>183</v>
      </c>
      <c r="D11" t="s">
        <v>120</v>
      </c>
      <c r="E11" t="s">
        <v>121</v>
      </c>
      <c r="F11" t="s">
        <v>122</v>
      </c>
      <c r="G11" t="s">
        <v>123</v>
      </c>
      <c r="H11" t="s">
        <v>124</v>
      </c>
    </row>
    <row r="12" spans="1:8" x14ac:dyDescent="0.25">
      <c r="A12" t="s">
        <v>125</v>
      </c>
      <c r="B12" t="s">
        <v>126</v>
      </c>
      <c r="C12" t="s">
        <v>127</v>
      </c>
      <c r="D12" t="s">
        <v>128</v>
      </c>
      <c r="E12" t="s">
        <v>2055</v>
      </c>
      <c r="F12" t="s">
        <v>129</v>
      </c>
      <c r="G12" t="s">
        <v>130</v>
      </c>
      <c r="H12" t="s">
        <v>131</v>
      </c>
    </row>
    <row r="13" spans="1:8" x14ac:dyDescent="0.25">
      <c r="A13" t="s">
        <v>132</v>
      </c>
      <c r="B13" t="s">
        <v>133</v>
      </c>
      <c r="C13" t="s">
        <v>134</v>
      </c>
      <c r="D13" t="s">
        <v>135</v>
      </c>
      <c r="E13" t="s">
        <v>136</v>
      </c>
      <c r="F13" t="s">
        <v>137</v>
      </c>
      <c r="G13" t="s">
        <v>138</v>
      </c>
      <c r="H13" t="s">
        <v>139</v>
      </c>
    </row>
    <row r="14" spans="1:8" x14ac:dyDescent="0.25">
      <c r="A14" t="s">
        <v>140</v>
      </c>
      <c r="B14" t="s">
        <v>141</v>
      </c>
      <c r="C14" t="s">
        <v>142</v>
      </c>
      <c r="D14" t="s">
        <v>2057</v>
      </c>
      <c r="E14" t="s">
        <v>143</v>
      </c>
      <c r="F14" t="s">
        <v>144</v>
      </c>
      <c r="G14" t="s">
        <v>145</v>
      </c>
      <c r="H14" t="s">
        <v>146</v>
      </c>
    </row>
    <row r="15" spans="1:8" x14ac:dyDescent="0.25">
      <c r="A15" t="s">
        <v>147</v>
      </c>
      <c r="B15" t="s">
        <v>148</v>
      </c>
      <c r="C15" t="s">
        <v>149</v>
      </c>
      <c r="D15" t="s">
        <v>150</v>
      </c>
      <c r="E15" t="s">
        <v>151</v>
      </c>
      <c r="F15" t="s">
        <v>152</v>
      </c>
      <c r="G15" t="s">
        <v>153</v>
      </c>
      <c r="H15" t="s">
        <v>2059</v>
      </c>
    </row>
    <row r="16" spans="1:8" x14ac:dyDescent="0.25">
      <c r="A16" t="s">
        <v>154</v>
      </c>
      <c r="B16" t="s">
        <v>155</v>
      </c>
      <c r="C16" t="s">
        <v>156</v>
      </c>
      <c r="D16" t="s">
        <v>157</v>
      </c>
      <c r="E16" t="s">
        <v>2061</v>
      </c>
      <c r="F16" t="s">
        <v>158</v>
      </c>
      <c r="G16" t="s">
        <v>159</v>
      </c>
      <c r="H16" t="s">
        <v>160</v>
      </c>
    </row>
    <row r="17" spans="1:8" x14ac:dyDescent="0.25">
      <c r="A17" t="s">
        <v>161</v>
      </c>
      <c r="B17" t="s">
        <v>162</v>
      </c>
      <c r="C17" t="s">
        <v>184</v>
      </c>
      <c r="D17" t="s">
        <v>2063</v>
      </c>
      <c r="E17" t="s">
        <v>2065</v>
      </c>
      <c r="F17" t="s">
        <v>163</v>
      </c>
      <c r="G17" t="s">
        <v>164</v>
      </c>
      <c r="H17" t="s">
        <v>165</v>
      </c>
    </row>
    <row r="18" spans="1:8" x14ac:dyDescent="0.25">
      <c r="A18" t="s">
        <v>166</v>
      </c>
      <c r="B18" t="s">
        <v>167</v>
      </c>
      <c r="C18" t="s">
        <v>168</v>
      </c>
      <c r="D18" t="s">
        <v>169</v>
      </c>
      <c r="E18" t="s">
        <v>170</v>
      </c>
      <c r="F18" t="s">
        <v>171</v>
      </c>
      <c r="G18" t="s">
        <v>172</v>
      </c>
      <c r="H18" t="s">
        <v>173</v>
      </c>
    </row>
    <row r="19" spans="1:8" x14ac:dyDescent="0.25">
      <c r="A19" t="s">
        <v>174</v>
      </c>
      <c r="B19" t="s">
        <v>175</v>
      </c>
      <c r="C19" t="s">
        <v>176</v>
      </c>
      <c r="D19" t="s">
        <v>2067</v>
      </c>
      <c r="E19" t="s">
        <v>177</v>
      </c>
      <c r="F19" t="s">
        <v>178</v>
      </c>
      <c r="G19" t="s">
        <v>179</v>
      </c>
      <c r="H19" t="s">
        <v>180</v>
      </c>
    </row>
  </sheetData>
  <phoneticPr fontId="1" type="noConversion"/>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37E3-73D4-4E02-8725-EE256F58C681}">
  <sheetPr>
    <tabColor rgb="FFFFFF00"/>
  </sheetPr>
  <dimension ref="A1:H8"/>
  <sheetViews>
    <sheetView topLeftCell="E1" workbookViewId="0">
      <selection sqref="A1:H8"/>
    </sheetView>
  </sheetViews>
  <sheetFormatPr baseColWidth="10" defaultRowHeight="15" x14ac:dyDescent="0.25"/>
  <cols>
    <col min="1" max="1" width="12.42578125" customWidth="1"/>
    <col min="2" max="2" width="16.85546875" bestFit="1" customWidth="1"/>
    <col min="3" max="3" width="34.7109375" bestFit="1" customWidth="1"/>
    <col min="4" max="4" width="54.7109375" bestFit="1" customWidth="1"/>
    <col min="5" max="5" width="63.28515625" customWidth="1"/>
    <col min="6" max="6" width="92.28515625" customWidth="1"/>
    <col min="7" max="7" width="93.28515625" bestFit="1" customWidth="1"/>
    <col min="8" max="8" width="67.28515625" bestFit="1" customWidth="1"/>
  </cols>
  <sheetData>
    <row r="1" spans="1:8" x14ac:dyDescent="0.25">
      <c r="A1" t="s">
        <v>37</v>
      </c>
      <c r="B1" t="s">
        <v>38</v>
      </c>
      <c r="C1" t="s">
        <v>39</v>
      </c>
      <c r="D1" t="s">
        <v>40</v>
      </c>
      <c r="E1" t="s">
        <v>41</v>
      </c>
      <c r="F1" t="s">
        <v>42</v>
      </c>
      <c r="G1" t="s">
        <v>43</v>
      </c>
      <c r="H1" t="s">
        <v>44</v>
      </c>
    </row>
    <row r="2" spans="1:8" x14ac:dyDescent="0.25">
      <c r="A2" t="s">
        <v>186</v>
      </c>
      <c r="B2" t="s">
        <v>187</v>
      </c>
      <c r="C2" t="s">
        <v>188</v>
      </c>
      <c r="D2" t="s">
        <v>2070</v>
      </c>
      <c r="E2" t="s">
        <v>227</v>
      </c>
      <c r="F2" t="s">
        <v>189</v>
      </c>
      <c r="G2" t="s">
        <v>190</v>
      </c>
      <c r="H2" t="s">
        <v>191</v>
      </c>
    </row>
    <row r="3" spans="1:8" x14ac:dyDescent="0.25">
      <c r="A3" t="s">
        <v>192</v>
      </c>
      <c r="B3" t="s">
        <v>193</v>
      </c>
      <c r="C3" t="s">
        <v>194</v>
      </c>
      <c r="D3" t="s">
        <v>195</v>
      </c>
      <c r="E3" t="s">
        <v>228</v>
      </c>
      <c r="F3" t="s">
        <v>230</v>
      </c>
      <c r="G3" t="s">
        <v>196</v>
      </c>
      <c r="H3" t="s">
        <v>197</v>
      </c>
    </row>
    <row r="4" spans="1:8" x14ac:dyDescent="0.25">
      <c r="A4" t="s">
        <v>198</v>
      </c>
      <c r="B4" t="s">
        <v>199</v>
      </c>
      <c r="C4" t="s">
        <v>200</v>
      </c>
      <c r="D4" t="s">
        <v>201</v>
      </c>
      <c r="E4" t="s">
        <v>2073</v>
      </c>
      <c r="F4" t="s">
        <v>202</v>
      </c>
      <c r="G4" t="s">
        <v>2076</v>
      </c>
      <c r="H4" t="s">
        <v>203</v>
      </c>
    </row>
    <row r="5" spans="1:8" x14ac:dyDescent="0.25">
      <c r="A5" t="s">
        <v>204</v>
      </c>
      <c r="B5" t="s">
        <v>205</v>
      </c>
      <c r="C5" t="s">
        <v>206</v>
      </c>
      <c r="D5" t="s">
        <v>2078</v>
      </c>
      <c r="E5" t="s">
        <v>229</v>
      </c>
      <c r="F5" t="s">
        <v>207</v>
      </c>
      <c r="G5" t="s">
        <v>208</v>
      </c>
      <c r="H5" t="s">
        <v>209</v>
      </c>
    </row>
    <row r="6" spans="1:8" x14ac:dyDescent="0.25">
      <c r="A6" t="s">
        <v>210</v>
      </c>
      <c r="B6" t="s">
        <v>211</v>
      </c>
      <c r="C6" t="s">
        <v>212</v>
      </c>
      <c r="D6" t="s">
        <v>2081</v>
      </c>
      <c r="E6" t="s">
        <v>231</v>
      </c>
      <c r="F6" t="s">
        <v>232</v>
      </c>
      <c r="G6" t="s">
        <v>213</v>
      </c>
      <c r="H6" t="s">
        <v>214</v>
      </c>
    </row>
    <row r="7" spans="1:8" x14ac:dyDescent="0.25">
      <c r="A7" t="s">
        <v>215</v>
      </c>
      <c r="B7" t="s">
        <v>216</v>
      </c>
      <c r="C7" t="s">
        <v>217</v>
      </c>
      <c r="D7" t="s">
        <v>218</v>
      </c>
      <c r="E7" t="s">
        <v>233</v>
      </c>
      <c r="F7" t="s">
        <v>219</v>
      </c>
      <c r="G7" t="s">
        <v>234</v>
      </c>
      <c r="H7" t="s">
        <v>220</v>
      </c>
    </row>
    <row r="8" spans="1:8" x14ac:dyDescent="0.25">
      <c r="A8" t="s">
        <v>221</v>
      </c>
      <c r="B8" t="s">
        <v>222</v>
      </c>
      <c r="C8" t="s">
        <v>223</v>
      </c>
      <c r="D8" t="s">
        <v>2083</v>
      </c>
      <c r="E8" t="s">
        <v>235</v>
      </c>
      <c r="F8" t="s">
        <v>224</v>
      </c>
      <c r="G8" t="s">
        <v>225</v>
      </c>
      <c r="H8" t="s">
        <v>226</v>
      </c>
    </row>
  </sheetData>
  <phoneticPr fontId="1" type="noConversion"/>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110B-DFC0-490E-8BF5-D5903B072EA5}">
  <sheetPr>
    <tabColor theme="6"/>
  </sheetPr>
  <dimension ref="A1:K1045"/>
  <sheetViews>
    <sheetView topLeftCell="A1037" workbookViewId="0">
      <selection sqref="A1:K1045"/>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ht="15.75" thickBot="1" x14ac:dyDescent="0.3">
      <c r="A1" t="s">
        <v>0</v>
      </c>
      <c r="B1" t="s">
        <v>8</v>
      </c>
      <c r="C1" t="s">
        <v>21</v>
      </c>
      <c r="D1" t="s">
        <v>29</v>
      </c>
      <c r="E1" t="s">
        <v>30</v>
      </c>
      <c r="F1" t="s">
        <v>31</v>
      </c>
      <c r="G1" t="s">
        <v>32</v>
      </c>
      <c r="H1" t="s">
        <v>33</v>
      </c>
      <c r="I1" t="s">
        <v>34</v>
      </c>
      <c r="J1" t="s">
        <v>35</v>
      </c>
      <c r="K1" t="s">
        <v>36</v>
      </c>
    </row>
    <row r="2" spans="1:11" x14ac:dyDescent="0.25">
      <c r="A2" s="18">
        <v>2</v>
      </c>
      <c r="B2" s="19">
        <v>8</v>
      </c>
      <c r="C2" s="19" t="s">
        <v>53</v>
      </c>
      <c r="D2" s="20">
        <v>1</v>
      </c>
      <c r="E2" s="21">
        <v>1</v>
      </c>
      <c r="F2" t="s">
        <v>2171</v>
      </c>
      <c r="G2" s="22" t="s">
        <v>2170</v>
      </c>
      <c r="H2" s="22" t="s">
        <v>2169</v>
      </c>
      <c r="I2" s="21" t="s">
        <v>1456</v>
      </c>
      <c r="J2" s="22" t="s">
        <v>2151</v>
      </c>
      <c r="K2" s="23">
        <f>Tabelle5[[#This Row],[value_present]]*Tabelle5[[#This Row],[binding_level]]</f>
        <v>1</v>
      </c>
    </row>
    <row r="3" spans="1:11" x14ac:dyDescent="0.25">
      <c r="A3" s="24">
        <v>2</v>
      </c>
      <c r="B3" s="2">
        <v>8</v>
      </c>
      <c r="C3" s="2" t="s">
        <v>61</v>
      </c>
      <c r="D3" s="3">
        <v>1</v>
      </c>
      <c r="E3" s="1">
        <v>1</v>
      </c>
      <c r="F3" t="s">
        <v>2173</v>
      </c>
      <c r="G3" t="s">
        <v>2172</v>
      </c>
      <c r="H3" t="s">
        <v>2169</v>
      </c>
      <c r="I3" s="1" t="s">
        <v>1456</v>
      </c>
      <c r="J3" t="s">
        <v>2152</v>
      </c>
      <c r="K3" s="25">
        <f>Tabelle5[[#This Row],[value_present]]*Tabelle5[[#This Row],[binding_level]]</f>
        <v>1</v>
      </c>
    </row>
    <row r="4" spans="1:11" x14ac:dyDescent="0.25">
      <c r="A4" s="24">
        <v>2</v>
      </c>
      <c r="B4" s="2">
        <v>8</v>
      </c>
      <c r="C4" s="2" t="s">
        <v>69</v>
      </c>
      <c r="D4" s="3">
        <v>1</v>
      </c>
      <c r="E4" s="1">
        <v>1</v>
      </c>
      <c r="F4" t="s">
        <v>2175</v>
      </c>
      <c r="G4" t="s">
        <v>2174</v>
      </c>
      <c r="H4" t="s">
        <v>2169</v>
      </c>
      <c r="I4" s="1" t="s">
        <v>1456</v>
      </c>
      <c r="J4" t="s">
        <v>2153</v>
      </c>
      <c r="K4" s="25">
        <f>Tabelle5[[#This Row],[value_present]]*Tabelle5[[#This Row],[binding_level]]</f>
        <v>1</v>
      </c>
    </row>
    <row r="5" spans="1:11" x14ac:dyDescent="0.25">
      <c r="A5" s="24">
        <v>2</v>
      </c>
      <c r="B5" s="2">
        <v>8</v>
      </c>
      <c r="C5" s="2" t="s">
        <v>76</v>
      </c>
      <c r="D5" s="3">
        <v>1</v>
      </c>
      <c r="E5" s="1">
        <v>1</v>
      </c>
      <c r="F5" t="s">
        <v>2175</v>
      </c>
      <c r="G5" t="s">
        <v>2174</v>
      </c>
      <c r="H5" t="s">
        <v>2169</v>
      </c>
      <c r="I5" s="1" t="s">
        <v>1456</v>
      </c>
      <c r="J5" t="s">
        <v>2154</v>
      </c>
      <c r="K5" s="25">
        <f>Tabelle5[[#This Row],[value_present]]*Tabelle5[[#This Row],[binding_level]]</f>
        <v>1</v>
      </c>
    </row>
    <row r="6" spans="1:11" x14ac:dyDescent="0.25">
      <c r="A6" s="24">
        <v>2</v>
      </c>
      <c r="B6" s="2">
        <v>8</v>
      </c>
      <c r="C6" s="2" t="s">
        <v>83</v>
      </c>
      <c r="D6" s="3">
        <v>1</v>
      </c>
      <c r="E6" s="1">
        <v>1</v>
      </c>
      <c r="F6" t="s">
        <v>2177</v>
      </c>
      <c r="G6" t="s">
        <v>2176</v>
      </c>
      <c r="H6" t="s">
        <v>2169</v>
      </c>
      <c r="I6" s="1" t="s">
        <v>1456</v>
      </c>
      <c r="J6" t="s">
        <v>2155</v>
      </c>
      <c r="K6" s="25">
        <f>Tabelle5[[#This Row],[value_present]]*Tabelle5[[#This Row],[binding_level]]</f>
        <v>1</v>
      </c>
    </row>
    <row r="7" spans="1:11" x14ac:dyDescent="0.25">
      <c r="A7" s="24">
        <v>2</v>
      </c>
      <c r="B7" s="2">
        <v>8</v>
      </c>
      <c r="C7" s="2" t="s">
        <v>90</v>
      </c>
      <c r="D7" s="3">
        <v>1</v>
      </c>
      <c r="E7" s="1">
        <v>1</v>
      </c>
      <c r="F7" t="s">
        <v>2179</v>
      </c>
      <c r="G7" t="s">
        <v>2178</v>
      </c>
      <c r="H7" t="s">
        <v>2169</v>
      </c>
      <c r="I7" s="1" t="s">
        <v>1456</v>
      </c>
      <c r="J7" t="s">
        <v>2156</v>
      </c>
      <c r="K7" s="25">
        <f>Tabelle5[[#This Row],[value_present]]*Tabelle5[[#This Row],[binding_level]]</f>
        <v>1</v>
      </c>
    </row>
    <row r="8" spans="1:11" x14ac:dyDescent="0.25">
      <c r="A8" s="24">
        <v>2</v>
      </c>
      <c r="B8" s="2">
        <v>8</v>
      </c>
      <c r="C8" s="2" t="s">
        <v>98</v>
      </c>
      <c r="D8" s="3">
        <v>0</v>
      </c>
      <c r="E8" s="1"/>
      <c r="I8" s="1" t="s">
        <v>1456</v>
      </c>
      <c r="J8" t="s">
        <v>2157</v>
      </c>
      <c r="K8" s="25">
        <f>Tabelle5[[#This Row],[value_present]]*Tabelle5[[#This Row],[binding_level]]</f>
        <v>0</v>
      </c>
    </row>
    <row r="9" spans="1:11" x14ac:dyDescent="0.25">
      <c r="A9" s="24">
        <v>2</v>
      </c>
      <c r="B9" s="2">
        <v>8</v>
      </c>
      <c r="C9" s="2" t="s">
        <v>106</v>
      </c>
      <c r="D9" s="3">
        <v>1</v>
      </c>
      <c r="E9" s="1">
        <v>1</v>
      </c>
      <c r="F9" t="s">
        <v>2181</v>
      </c>
      <c r="G9" t="s">
        <v>2180</v>
      </c>
      <c r="H9" t="s">
        <v>2169</v>
      </c>
      <c r="I9" s="1" t="s">
        <v>1456</v>
      </c>
      <c r="J9" t="s">
        <v>2158</v>
      </c>
      <c r="K9" s="25">
        <f>Tabelle5[[#This Row],[value_present]]*Tabelle5[[#This Row],[binding_level]]</f>
        <v>1</v>
      </c>
    </row>
    <row r="10" spans="1:11" x14ac:dyDescent="0.25">
      <c r="A10" s="24">
        <v>2</v>
      </c>
      <c r="B10" s="2">
        <v>8</v>
      </c>
      <c r="C10" s="2" t="s">
        <v>112</v>
      </c>
      <c r="D10" s="3">
        <v>1</v>
      </c>
      <c r="E10" s="1">
        <v>1</v>
      </c>
      <c r="F10" t="s">
        <v>2183</v>
      </c>
      <c r="G10" t="s">
        <v>2182</v>
      </c>
      <c r="H10" t="s">
        <v>2169</v>
      </c>
      <c r="I10" s="1" t="s">
        <v>1456</v>
      </c>
      <c r="J10" t="s">
        <v>2159</v>
      </c>
      <c r="K10" s="25">
        <f>Tabelle5[[#This Row],[value_present]]*Tabelle5[[#This Row],[binding_level]]</f>
        <v>1</v>
      </c>
    </row>
    <row r="11" spans="1:11" x14ac:dyDescent="0.25">
      <c r="A11" s="24">
        <v>2</v>
      </c>
      <c r="B11" s="2">
        <v>8</v>
      </c>
      <c r="C11" s="2" t="s">
        <v>118</v>
      </c>
      <c r="D11" s="3">
        <v>0</v>
      </c>
      <c r="E11" s="1"/>
      <c r="I11" s="1" t="s">
        <v>1456</v>
      </c>
      <c r="J11" t="s">
        <v>2160</v>
      </c>
      <c r="K11" s="25">
        <f>Tabelle5[[#This Row],[value_present]]*Tabelle5[[#This Row],[binding_level]]</f>
        <v>0</v>
      </c>
    </row>
    <row r="12" spans="1:11" x14ac:dyDescent="0.25">
      <c r="A12" s="24">
        <v>2</v>
      </c>
      <c r="B12" s="2">
        <v>8</v>
      </c>
      <c r="C12" s="2" t="s">
        <v>125</v>
      </c>
      <c r="D12" s="3">
        <v>0</v>
      </c>
      <c r="E12" s="1"/>
      <c r="I12" s="1" t="s">
        <v>1457</v>
      </c>
      <c r="J12" t="s">
        <v>2161</v>
      </c>
      <c r="K12" s="25">
        <f>Tabelle5[[#This Row],[value_present]]*Tabelle5[[#This Row],[binding_level]]</f>
        <v>0</v>
      </c>
    </row>
    <row r="13" spans="1:11" x14ac:dyDescent="0.25">
      <c r="A13" s="24">
        <v>2</v>
      </c>
      <c r="B13" s="2">
        <v>8</v>
      </c>
      <c r="C13" s="2" t="s">
        <v>132</v>
      </c>
      <c r="D13" s="3">
        <v>1</v>
      </c>
      <c r="E13" s="1">
        <v>1</v>
      </c>
      <c r="F13" t="s">
        <v>2186</v>
      </c>
      <c r="G13" t="s">
        <v>2185</v>
      </c>
      <c r="H13" t="s">
        <v>2169</v>
      </c>
      <c r="I13" s="1" t="s">
        <v>1456</v>
      </c>
      <c r="J13" t="s">
        <v>2162</v>
      </c>
      <c r="K13" s="25">
        <f>Tabelle5[[#This Row],[value_present]]*Tabelle5[[#This Row],[binding_level]]</f>
        <v>1</v>
      </c>
    </row>
    <row r="14" spans="1:11" x14ac:dyDescent="0.25">
      <c r="A14" s="24">
        <v>2</v>
      </c>
      <c r="B14" s="2">
        <v>8</v>
      </c>
      <c r="C14" s="2" t="s">
        <v>140</v>
      </c>
      <c r="D14" s="3">
        <v>1</v>
      </c>
      <c r="E14" s="1">
        <v>1</v>
      </c>
      <c r="F14" t="s">
        <v>2187</v>
      </c>
      <c r="G14" t="s">
        <v>2184</v>
      </c>
      <c r="H14" t="s">
        <v>2169</v>
      </c>
      <c r="I14" s="1" t="s">
        <v>1456</v>
      </c>
      <c r="J14" t="s">
        <v>2163</v>
      </c>
      <c r="K14" s="25">
        <f>Tabelle5[[#This Row],[value_present]]*Tabelle5[[#This Row],[binding_level]]</f>
        <v>1</v>
      </c>
    </row>
    <row r="15" spans="1:11" x14ac:dyDescent="0.25">
      <c r="A15" s="24">
        <v>2</v>
      </c>
      <c r="B15" s="2">
        <v>8</v>
      </c>
      <c r="C15" s="2" t="s">
        <v>147</v>
      </c>
      <c r="D15" s="3">
        <v>1</v>
      </c>
      <c r="E15" s="1">
        <v>1</v>
      </c>
      <c r="F15" t="s">
        <v>2189</v>
      </c>
      <c r="G15" t="s">
        <v>2188</v>
      </c>
      <c r="H15" t="s">
        <v>2169</v>
      </c>
      <c r="I15" s="1" t="s">
        <v>1457</v>
      </c>
      <c r="J15" t="s">
        <v>2164</v>
      </c>
      <c r="K15" s="25">
        <f>Tabelle5[[#This Row],[value_present]]*Tabelle5[[#This Row],[binding_level]]</f>
        <v>1</v>
      </c>
    </row>
    <row r="16" spans="1:11" x14ac:dyDescent="0.25">
      <c r="A16" s="24">
        <v>2</v>
      </c>
      <c r="B16" s="2">
        <v>8</v>
      </c>
      <c r="C16" s="2" t="s">
        <v>154</v>
      </c>
      <c r="D16" s="3">
        <v>0</v>
      </c>
      <c r="E16" s="1"/>
      <c r="I16" s="1" t="s">
        <v>1457</v>
      </c>
      <c r="J16" t="s">
        <v>2165</v>
      </c>
      <c r="K16" s="25">
        <f>Tabelle5[[#This Row],[value_present]]*Tabelle5[[#This Row],[binding_level]]</f>
        <v>0</v>
      </c>
    </row>
    <row r="17" spans="1:11" x14ac:dyDescent="0.25">
      <c r="A17" s="24">
        <v>2</v>
      </c>
      <c r="B17" s="2">
        <v>8</v>
      </c>
      <c r="C17" s="2" t="s">
        <v>161</v>
      </c>
      <c r="D17" s="3">
        <v>0</v>
      </c>
      <c r="E17" s="1"/>
      <c r="I17" s="1" t="s">
        <v>1457</v>
      </c>
      <c r="J17" t="s">
        <v>2166</v>
      </c>
      <c r="K17" s="25">
        <f>Tabelle5[[#This Row],[value_present]]*Tabelle5[[#This Row],[binding_level]]</f>
        <v>0</v>
      </c>
    </row>
    <row r="18" spans="1:11" x14ac:dyDescent="0.25">
      <c r="A18" s="24">
        <v>2</v>
      </c>
      <c r="B18" s="2">
        <v>8</v>
      </c>
      <c r="C18" s="2" t="s">
        <v>166</v>
      </c>
      <c r="D18" s="3">
        <v>0</v>
      </c>
      <c r="E18" s="1"/>
      <c r="I18" s="1" t="s">
        <v>1456</v>
      </c>
      <c r="J18" t="s">
        <v>2167</v>
      </c>
      <c r="K18" s="25">
        <f>Tabelle5[[#This Row],[value_present]]*Tabelle5[[#This Row],[binding_level]]</f>
        <v>0</v>
      </c>
    </row>
    <row r="19" spans="1:11" ht="15.75" thickBot="1" x14ac:dyDescent="0.3">
      <c r="A19" s="24">
        <v>2</v>
      </c>
      <c r="B19" s="2">
        <v>8</v>
      </c>
      <c r="C19" s="2" t="s">
        <v>174</v>
      </c>
      <c r="D19" s="3">
        <v>1</v>
      </c>
      <c r="E19" s="1">
        <v>1</v>
      </c>
      <c r="F19" t="s">
        <v>2189</v>
      </c>
      <c r="G19" t="s">
        <v>2188</v>
      </c>
      <c r="H19" t="s">
        <v>2169</v>
      </c>
      <c r="I19" s="1" t="s">
        <v>1456</v>
      </c>
      <c r="J19" t="s">
        <v>2168</v>
      </c>
      <c r="K19" s="25">
        <f>Tabelle5[[#This Row],[value_present]]*Tabelle5[[#This Row],[binding_level]]</f>
        <v>1</v>
      </c>
    </row>
    <row r="20" spans="1:11" x14ac:dyDescent="0.25">
      <c r="A20" s="18">
        <v>2</v>
      </c>
      <c r="B20" s="19">
        <v>9</v>
      </c>
      <c r="C20" s="19" t="s">
        <v>53</v>
      </c>
      <c r="D20" s="20">
        <v>1</v>
      </c>
      <c r="E20" s="21">
        <v>2</v>
      </c>
      <c r="F20" s="22" t="s">
        <v>2237</v>
      </c>
      <c r="G20" s="22" t="s">
        <v>2236</v>
      </c>
      <c r="H20" s="22" t="s">
        <v>2217</v>
      </c>
      <c r="I20" s="21" t="s">
        <v>1457</v>
      </c>
      <c r="J20" s="22" t="s">
        <v>2218</v>
      </c>
      <c r="K20" s="23">
        <f>Tabelle5[[#This Row],[value_present]]*Tabelle5[[#This Row],[binding_level]]</f>
        <v>2</v>
      </c>
    </row>
    <row r="21" spans="1:11" x14ac:dyDescent="0.25">
      <c r="A21" s="24">
        <v>2</v>
      </c>
      <c r="B21" s="2">
        <v>9</v>
      </c>
      <c r="C21" s="2" t="s">
        <v>61</v>
      </c>
      <c r="D21" s="3">
        <v>0</v>
      </c>
      <c r="E21" s="1"/>
      <c r="I21" s="1" t="s">
        <v>1457</v>
      </c>
      <c r="J21" t="s">
        <v>2219</v>
      </c>
      <c r="K21" s="25">
        <f>Tabelle5[[#This Row],[value_present]]*Tabelle5[[#This Row],[binding_level]]</f>
        <v>0</v>
      </c>
    </row>
    <row r="22" spans="1:11" x14ac:dyDescent="0.25">
      <c r="A22" s="24">
        <v>2</v>
      </c>
      <c r="B22" s="2">
        <v>9</v>
      </c>
      <c r="C22" s="2" t="s">
        <v>69</v>
      </c>
      <c r="D22" s="3">
        <v>1</v>
      </c>
      <c r="E22" s="1">
        <v>2</v>
      </c>
      <c r="F22" t="s">
        <v>2239</v>
      </c>
      <c r="G22" t="s">
        <v>2238</v>
      </c>
      <c r="H22" t="s">
        <v>2217</v>
      </c>
      <c r="I22" s="1" t="s">
        <v>1456</v>
      </c>
      <c r="J22" t="s">
        <v>2220</v>
      </c>
      <c r="K22" s="25">
        <f>Tabelle5[[#This Row],[value_present]]*Tabelle5[[#This Row],[binding_level]]</f>
        <v>2</v>
      </c>
    </row>
    <row r="23" spans="1:11" x14ac:dyDescent="0.25">
      <c r="A23" s="24">
        <v>2</v>
      </c>
      <c r="B23" s="2">
        <v>9</v>
      </c>
      <c r="C23" s="2" t="s">
        <v>76</v>
      </c>
      <c r="D23" s="3">
        <v>1</v>
      </c>
      <c r="E23" s="1">
        <v>2</v>
      </c>
      <c r="F23" t="s">
        <v>2239</v>
      </c>
      <c r="G23" t="s">
        <v>2238</v>
      </c>
      <c r="H23" t="s">
        <v>2217</v>
      </c>
      <c r="I23" s="1" t="s">
        <v>1456</v>
      </c>
      <c r="J23" t="s">
        <v>2221</v>
      </c>
      <c r="K23" s="25">
        <f>Tabelle5[[#This Row],[value_present]]*Tabelle5[[#This Row],[binding_level]]</f>
        <v>2</v>
      </c>
    </row>
    <row r="24" spans="1:11" x14ac:dyDescent="0.25">
      <c r="A24" s="24">
        <v>2</v>
      </c>
      <c r="B24" s="2">
        <v>9</v>
      </c>
      <c r="C24" s="2" t="s">
        <v>83</v>
      </c>
      <c r="D24" s="3">
        <v>1</v>
      </c>
      <c r="E24" s="1">
        <v>3</v>
      </c>
      <c r="F24" t="s">
        <v>2241</v>
      </c>
      <c r="G24" t="s">
        <v>2240</v>
      </c>
      <c r="H24" t="s">
        <v>2217</v>
      </c>
      <c r="I24" s="1" t="s">
        <v>1456</v>
      </c>
      <c r="J24" t="s">
        <v>2222</v>
      </c>
      <c r="K24" s="25">
        <f>Tabelle5[[#This Row],[value_present]]*Tabelle5[[#This Row],[binding_level]]</f>
        <v>3</v>
      </c>
    </row>
    <row r="25" spans="1:11" x14ac:dyDescent="0.25">
      <c r="A25" s="24">
        <v>2</v>
      </c>
      <c r="B25" s="2">
        <v>9</v>
      </c>
      <c r="C25" s="2" t="s">
        <v>90</v>
      </c>
      <c r="D25" s="3">
        <v>1</v>
      </c>
      <c r="E25" s="1">
        <v>2</v>
      </c>
      <c r="F25" t="s">
        <v>2245</v>
      </c>
      <c r="G25" t="s">
        <v>2244</v>
      </c>
      <c r="H25" t="s">
        <v>2217</v>
      </c>
      <c r="I25" s="1" t="s">
        <v>1456</v>
      </c>
      <c r="J25" t="s">
        <v>2223</v>
      </c>
      <c r="K25" s="25">
        <f>Tabelle5[[#This Row],[value_present]]*Tabelle5[[#This Row],[binding_level]]</f>
        <v>2</v>
      </c>
    </row>
    <row r="26" spans="1:11" x14ac:dyDescent="0.25">
      <c r="A26" s="24">
        <v>2</v>
      </c>
      <c r="B26" s="2">
        <v>9</v>
      </c>
      <c r="C26" s="2" t="s">
        <v>98</v>
      </c>
      <c r="D26" s="3">
        <v>0</v>
      </c>
      <c r="E26" s="1"/>
      <c r="I26" s="1" t="s">
        <v>1456</v>
      </c>
      <c r="J26" t="s">
        <v>2224</v>
      </c>
      <c r="K26" s="25">
        <f>Tabelle5[[#This Row],[value_present]]*Tabelle5[[#This Row],[binding_level]]</f>
        <v>0</v>
      </c>
    </row>
    <row r="27" spans="1:11" x14ac:dyDescent="0.25">
      <c r="A27" s="24">
        <v>2</v>
      </c>
      <c r="B27" s="2">
        <v>9</v>
      </c>
      <c r="C27" s="2" t="s">
        <v>106</v>
      </c>
      <c r="D27" s="3">
        <v>0</v>
      </c>
      <c r="E27" s="1"/>
      <c r="I27" s="1" t="s">
        <v>1456</v>
      </c>
      <c r="J27" t="s">
        <v>2225</v>
      </c>
      <c r="K27" s="25">
        <f>Tabelle5[[#This Row],[value_present]]*Tabelle5[[#This Row],[binding_level]]</f>
        <v>0</v>
      </c>
    </row>
    <row r="28" spans="1:11" x14ac:dyDescent="0.25">
      <c r="A28" s="24">
        <v>2</v>
      </c>
      <c r="B28" s="2">
        <v>9</v>
      </c>
      <c r="C28" s="2" t="s">
        <v>112</v>
      </c>
      <c r="D28" s="3">
        <v>0</v>
      </c>
      <c r="E28" s="1"/>
      <c r="I28" s="1" t="s">
        <v>1456</v>
      </c>
      <c r="J28" t="s">
        <v>2226</v>
      </c>
      <c r="K28" s="25">
        <f>Tabelle5[[#This Row],[value_present]]*Tabelle5[[#This Row],[binding_level]]</f>
        <v>0</v>
      </c>
    </row>
    <row r="29" spans="1:11" x14ac:dyDescent="0.25">
      <c r="A29" s="24">
        <v>2</v>
      </c>
      <c r="B29" s="2">
        <v>9</v>
      </c>
      <c r="C29" s="2" t="s">
        <v>118</v>
      </c>
      <c r="D29" s="3">
        <v>0</v>
      </c>
      <c r="E29" s="1"/>
      <c r="I29" s="1" t="s">
        <v>1456</v>
      </c>
      <c r="J29" t="s">
        <v>2227</v>
      </c>
      <c r="K29" s="25">
        <f>Tabelle5[[#This Row],[value_present]]*Tabelle5[[#This Row],[binding_level]]</f>
        <v>0</v>
      </c>
    </row>
    <row r="30" spans="1:11" x14ac:dyDescent="0.25">
      <c r="A30" s="24">
        <v>2</v>
      </c>
      <c r="B30" s="2">
        <v>9</v>
      </c>
      <c r="C30" s="2" t="s">
        <v>125</v>
      </c>
      <c r="D30" s="3">
        <v>0</v>
      </c>
      <c r="E30" s="1"/>
      <c r="I30" s="1" t="s">
        <v>1457</v>
      </c>
      <c r="J30" t="s">
        <v>2228</v>
      </c>
      <c r="K30" s="25">
        <f>Tabelle5[[#This Row],[value_present]]*Tabelle5[[#This Row],[binding_level]]</f>
        <v>0</v>
      </c>
    </row>
    <row r="31" spans="1:11" x14ac:dyDescent="0.25">
      <c r="A31" s="24">
        <v>2</v>
      </c>
      <c r="B31" s="2">
        <v>9</v>
      </c>
      <c r="C31" s="2" t="s">
        <v>132</v>
      </c>
      <c r="D31" s="3">
        <v>1</v>
      </c>
      <c r="E31" s="1">
        <v>1</v>
      </c>
      <c r="F31" t="s">
        <v>2247</v>
      </c>
      <c r="G31" t="s">
        <v>2246</v>
      </c>
      <c r="H31" t="s">
        <v>2217</v>
      </c>
      <c r="I31" s="1" t="s">
        <v>1457</v>
      </c>
      <c r="J31" t="s">
        <v>2229</v>
      </c>
      <c r="K31" s="25">
        <f>Tabelle5[[#This Row],[value_present]]*Tabelle5[[#This Row],[binding_level]]</f>
        <v>1</v>
      </c>
    </row>
    <row r="32" spans="1:11" x14ac:dyDescent="0.25">
      <c r="A32" s="24">
        <v>2</v>
      </c>
      <c r="B32" s="2">
        <v>9</v>
      </c>
      <c r="C32" s="2" t="s">
        <v>140</v>
      </c>
      <c r="D32" s="3">
        <v>0</v>
      </c>
      <c r="E32" s="1"/>
      <c r="I32" s="1" t="s">
        <v>1457</v>
      </c>
      <c r="J32" t="s">
        <v>2230</v>
      </c>
      <c r="K32" s="25">
        <f>Tabelle5[[#This Row],[value_present]]*Tabelle5[[#This Row],[binding_level]]</f>
        <v>0</v>
      </c>
    </row>
    <row r="33" spans="1:11" x14ac:dyDescent="0.25">
      <c r="A33" s="24">
        <v>2</v>
      </c>
      <c r="B33" s="2">
        <v>9</v>
      </c>
      <c r="C33" s="2" t="s">
        <v>147</v>
      </c>
      <c r="D33" s="3">
        <v>1</v>
      </c>
      <c r="E33" s="1">
        <v>2</v>
      </c>
      <c r="F33" t="s">
        <v>2249</v>
      </c>
      <c r="G33" t="s">
        <v>2248</v>
      </c>
      <c r="H33" t="s">
        <v>2217</v>
      </c>
      <c r="I33" s="1" t="s">
        <v>1456</v>
      </c>
      <c r="J33" t="s">
        <v>2231</v>
      </c>
      <c r="K33" s="25">
        <f>Tabelle5[[#This Row],[value_present]]*Tabelle5[[#This Row],[binding_level]]</f>
        <v>2</v>
      </c>
    </row>
    <row r="34" spans="1:11" x14ac:dyDescent="0.25">
      <c r="A34" s="24">
        <v>2</v>
      </c>
      <c r="B34" s="2">
        <v>9</v>
      </c>
      <c r="C34" s="2" t="s">
        <v>154</v>
      </c>
      <c r="D34" s="3">
        <v>1</v>
      </c>
      <c r="E34" s="1">
        <v>2</v>
      </c>
      <c r="F34" t="s">
        <v>2249</v>
      </c>
      <c r="G34" t="s">
        <v>2248</v>
      </c>
      <c r="H34" t="s">
        <v>2217</v>
      </c>
      <c r="I34" s="1" t="s">
        <v>1456</v>
      </c>
      <c r="J34" t="s">
        <v>2232</v>
      </c>
      <c r="K34" s="25">
        <f>Tabelle5[[#This Row],[value_present]]*Tabelle5[[#This Row],[binding_level]]</f>
        <v>2</v>
      </c>
    </row>
    <row r="35" spans="1:11" x14ac:dyDescent="0.25">
      <c r="A35" s="24">
        <v>2</v>
      </c>
      <c r="B35" s="2">
        <v>9</v>
      </c>
      <c r="C35" s="2" t="s">
        <v>161</v>
      </c>
      <c r="D35" s="3">
        <v>0</v>
      </c>
      <c r="E35" s="1"/>
      <c r="I35" s="1" t="s">
        <v>1457</v>
      </c>
      <c r="J35" t="s">
        <v>2233</v>
      </c>
      <c r="K35" s="25">
        <f>Tabelle5[[#This Row],[value_present]]*Tabelle5[[#This Row],[binding_level]]</f>
        <v>0</v>
      </c>
    </row>
    <row r="36" spans="1:11" x14ac:dyDescent="0.25">
      <c r="A36" s="24">
        <v>2</v>
      </c>
      <c r="B36" s="2">
        <v>9</v>
      </c>
      <c r="C36" s="2" t="s">
        <v>166</v>
      </c>
      <c r="D36" s="3">
        <v>0</v>
      </c>
      <c r="E36" s="1"/>
      <c r="I36" s="1" t="s">
        <v>1456</v>
      </c>
      <c r="J36" t="s">
        <v>2234</v>
      </c>
      <c r="K36" s="25">
        <f>Tabelle5[[#This Row],[value_present]]*Tabelle5[[#This Row],[binding_level]]</f>
        <v>0</v>
      </c>
    </row>
    <row r="37" spans="1:11" ht="15.75" thickBot="1" x14ac:dyDescent="0.3">
      <c r="A37" s="26">
        <v>2</v>
      </c>
      <c r="B37" s="27">
        <v>9</v>
      </c>
      <c r="C37" s="27" t="s">
        <v>174</v>
      </c>
      <c r="D37" s="28">
        <v>1</v>
      </c>
      <c r="E37" s="29">
        <v>2</v>
      </c>
      <c r="F37" s="30" t="s">
        <v>2243</v>
      </c>
      <c r="G37" s="30" t="s">
        <v>2242</v>
      </c>
      <c r="H37" s="30" t="s">
        <v>2217</v>
      </c>
      <c r="I37" s="29" t="s">
        <v>1456</v>
      </c>
      <c r="J37" s="30" t="s">
        <v>2235</v>
      </c>
      <c r="K37" s="31">
        <f>Tabelle5[[#This Row],[value_present]]*Tabelle5[[#This Row],[binding_level]]</f>
        <v>2</v>
      </c>
    </row>
    <row r="38" spans="1:11" x14ac:dyDescent="0.25">
      <c r="A38" s="18">
        <v>3</v>
      </c>
      <c r="B38" s="19">
        <v>16</v>
      </c>
      <c r="C38" s="19" t="s">
        <v>53</v>
      </c>
      <c r="D38" s="20">
        <v>1</v>
      </c>
      <c r="E38" s="21">
        <v>2</v>
      </c>
      <c r="F38" s="22" t="s">
        <v>2439</v>
      </c>
      <c r="G38" s="22" t="s">
        <v>2438</v>
      </c>
      <c r="H38" s="22" t="s">
        <v>2409</v>
      </c>
      <c r="I38" s="21" t="s">
        <v>1456</v>
      </c>
      <c r="J38" s="22" t="s">
        <v>2410</v>
      </c>
      <c r="K38" s="23">
        <f>Tabelle5[[#This Row],[value_present]]*Tabelle5[[#This Row],[binding_level]]</f>
        <v>2</v>
      </c>
    </row>
    <row r="39" spans="1:11" x14ac:dyDescent="0.25">
      <c r="A39" s="24">
        <v>3</v>
      </c>
      <c r="B39" s="2">
        <v>16</v>
      </c>
      <c r="C39" s="2" t="s">
        <v>61</v>
      </c>
      <c r="D39" s="3">
        <v>1</v>
      </c>
      <c r="E39" s="1">
        <v>3</v>
      </c>
      <c r="F39" t="s">
        <v>2441</v>
      </c>
      <c r="G39" t="s">
        <v>2440</v>
      </c>
      <c r="H39" t="s">
        <v>2411</v>
      </c>
      <c r="I39" s="1" t="s">
        <v>1456</v>
      </c>
      <c r="J39" t="s">
        <v>2412</v>
      </c>
      <c r="K39" s="25">
        <f>Tabelle5[[#This Row],[value_present]]*Tabelle5[[#This Row],[binding_level]]</f>
        <v>3</v>
      </c>
    </row>
    <row r="40" spans="1:11" x14ac:dyDescent="0.25">
      <c r="A40" s="24">
        <v>3</v>
      </c>
      <c r="B40" s="2">
        <v>16</v>
      </c>
      <c r="C40" s="2" t="s">
        <v>69</v>
      </c>
      <c r="D40" s="3">
        <v>1</v>
      </c>
      <c r="E40" s="1">
        <v>2</v>
      </c>
      <c r="F40" t="s">
        <v>2443</v>
      </c>
      <c r="G40" t="s">
        <v>2442</v>
      </c>
      <c r="H40" t="s">
        <v>2413</v>
      </c>
      <c r="I40" s="1" t="s">
        <v>1456</v>
      </c>
      <c r="J40" t="s">
        <v>2414</v>
      </c>
      <c r="K40" s="25">
        <f>Tabelle5[[#This Row],[value_present]]*Tabelle5[[#This Row],[binding_level]]</f>
        <v>2</v>
      </c>
    </row>
    <row r="41" spans="1:11" x14ac:dyDescent="0.25">
      <c r="A41" s="24">
        <v>3</v>
      </c>
      <c r="B41" s="2">
        <v>16</v>
      </c>
      <c r="C41" s="2" t="s">
        <v>76</v>
      </c>
      <c r="D41" s="3">
        <v>1</v>
      </c>
      <c r="E41" s="1">
        <v>2</v>
      </c>
      <c r="F41" t="s">
        <v>2445</v>
      </c>
      <c r="G41" t="s">
        <v>2444</v>
      </c>
      <c r="H41" t="s">
        <v>2413</v>
      </c>
      <c r="I41" s="1" t="s">
        <v>1456</v>
      </c>
      <c r="J41" t="s">
        <v>2415</v>
      </c>
      <c r="K41" s="25">
        <f>Tabelle5[[#This Row],[value_present]]*Tabelle5[[#This Row],[binding_level]]</f>
        <v>2</v>
      </c>
    </row>
    <row r="42" spans="1:11" x14ac:dyDescent="0.25">
      <c r="A42" s="24">
        <v>3</v>
      </c>
      <c r="B42" s="2">
        <v>16</v>
      </c>
      <c r="C42" s="2" t="s">
        <v>83</v>
      </c>
      <c r="D42" s="3">
        <v>1</v>
      </c>
      <c r="E42" s="1">
        <v>3</v>
      </c>
      <c r="F42" t="s">
        <v>2447</v>
      </c>
      <c r="G42" t="s">
        <v>2446</v>
      </c>
      <c r="H42" t="s">
        <v>2416</v>
      </c>
      <c r="I42" s="1" t="s">
        <v>1456</v>
      </c>
      <c r="J42" t="s">
        <v>2417</v>
      </c>
      <c r="K42" s="25">
        <f>Tabelle5[[#This Row],[value_present]]*Tabelle5[[#This Row],[binding_level]]</f>
        <v>3</v>
      </c>
    </row>
    <row r="43" spans="1:11" x14ac:dyDescent="0.25">
      <c r="A43" s="24">
        <v>3</v>
      </c>
      <c r="B43" s="2">
        <v>16</v>
      </c>
      <c r="C43" s="2" t="s">
        <v>90</v>
      </c>
      <c r="D43" s="3">
        <v>1</v>
      </c>
      <c r="E43" s="1">
        <v>3</v>
      </c>
      <c r="F43" t="s">
        <v>2449</v>
      </c>
      <c r="G43" t="s">
        <v>2448</v>
      </c>
      <c r="H43" t="s">
        <v>2418</v>
      </c>
      <c r="I43" s="1" t="s">
        <v>1456</v>
      </c>
      <c r="J43" t="s">
        <v>2419</v>
      </c>
      <c r="K43" s="25">
        <f>Tabelle5[[#This Row],[value_present]]*Tabelle5[[#This Row],[binding_level]]</f>
        <v>3</v>
      </c>
    </row>
    <row r="44" spans="1:11" x14ac:dyDescent="0.25">
      <c r="A44" s="24">
        <v>3</v>
      </c>
      <c r="B44" s="2">
        <v>16</v>
      </c>
      <c r="C44" s="2" t="s">
        <v>98</v>
      </c>
      <c r="D44" s="3">
        <v>1</v>
      </c>
      <c r="E44" s="1">
        <v>2</v>
      </c>
      <c r="F44" t="s">
        <v>2451</v>
      </c>
      <c r="G44" t="s">
        <v>2450</v>
      </c>
      <c r="H44" t="s">
        <v>2420</v>
      </c>
      <c r="I44" s="1" t="s">
        <v>1456</v>
      </c>
      <c r="J44" t="s">
        <v>2421</v>
      </c>
      <c r="K44" s="25">
        <f>Tabelle5[[#This Row],[value_present]]*Tabelle5[[#This Row],[binding_level]]</f>
        <v>2</v>
      </c>
    </row>
    <row r="45" spans="1:11" x14ac:dyDescent="0.25">
      <c r="A45" s="24">
        <v>3</v>
      </c>
      <c r="B45" s="2">
        <v>16</v>
      </c>
      <c r="C45" s="2" t="s">
        <v>106</v>
      </c>
      <c r="D45" s="3">
        <v>1</v>
      </c>
      <c r="E45" s="1">
        <v>2</v>
      </c>
      <c r="F45" t="s">
        <v>2453</v>
      </c>
      <c r="G45" t="s">
        <v>2452</v>
      </c>
      <c r="H45" t="s">
        <v>2422</v>
      </c>
      <c r="I45" s="1" t="s">
        <v>1457</v>
      </c>
      <c r="J45" t="s">
        <v>2423</v>
      </c>
      <c r="K45" s="25">
        <f>Tabelle5[[#This Row],[value_present]]*Tabelle5[[#This Row],[binding_level]]</f>
        <v>2</v>
      </c>
    </row>
    <row r="46" spans="1:11" x14ac:dyDescent="0.25">
      <c r="A46" s="24">
        <v>3</v>
      </c>
      <c r="B46" s="2">
        <v>16</v>
      </c>
      <c r="C46" s="2" t="s">
        <v>112</v>
      </c>
      <c r="D46" s="3">
        <v>1</v>
      </c>
      <c r="E46" s="1">
        <v>3</v>
      </c>
      <c r="F46" t="s">
        <v>2454</v>
      </c>
      <c r="G46" t="s">
        <v>2450</v>
      </c>
      <c r="H46" t="s">
        <v>2424</v>
      </c>
      <c r="I46" s="1" t="s">
        <v>1456</v>
      </c>
      <c r="J46" t="s">
        <v>2425</v>
      </c>
      <c r="K46" s="25">
        <f>Tabelle5[[#This Row],[value_present]]*Tabelle5[[#This Row],[binding_level]]</f>
        <v>3</v>
      </c>
    </row>
    <row r="47" spans="1:11" x14ac:dyDescent="0.25">
      <c r="A47" s="24">
        <v>3</v>
      </c>
      <c r="B47" s="2">
        <v>16</v>
      </c>
      <c r="C47" s="2" t="s">
        <v>118</v>
      </c>
      <c r="D47" s="3">
        <v>0</v>
      </c>
      <c r="E47" s="1"/>
      <c r="I47" s="1" t="s">
        <v>1456</v>
      </c>
      <c r="J47" t="s">
        <v>2426</v>
      </c>
      <c r="K47" s="25">
        <f>Tabelle5[[#This Row],[value_present]]*Tabelle5[[#This Row],[binding_level]]</f>
        <v>0</v>
      </c>
    </row>
    <row r="48" spans="1:11" x14ac:dyDescent="0.25">
      <c r="A48" s="24">
        <v>3</v>
      </c>
      <c r="B48" s="2">
        <v>16</v>
      </c>
      <c r="C48" s="2" t="s">
        <v>125</v>
      </c>
      <c r="D48" s="3">
        <v>0</v>
      </c>
      <c r="E48" s="1"/>
      <c r="I48" s="1" t="s">
        <v>1457</v>
      </c>
      <c r="J48" t="s">
        <v>2427</v>
      </c>
      <c r="K48" s="25">
        <f>Tabelle5[[#This Row],[value_present]]*Tabelle5[[#This Row],[binding_level]]</f>
        <v>0</v>
      </c>
    </row>
    <row r="49" spans="1:11" x14ac:dyDescent="0.25">
      <c r="A49" s="24">
        <v>3</v>
      </c>
      <c r="B49" s="2">
        <v>16</v>
      </c>
      <c r="C49" s="2" t="s">
        <v>132</v>
      </c>
      <c r="D49" s="3">
        <v>0</v>
      </c>
      <c r="E49" s="1"/>
      <c r="I49" s="1" t="s">
        <v>1457</v>
      </c>
      <c r="J49" t="s">
        <v>2428</v>
      </c>
      <c r="K49" s="25">
        <f>Tabelle5[[#This Row],[value_present]]*Tabelle5[[#This Row],[binding_level]]</f>
        <v>0</v>
      </c>
    </row>
    <row r="50" spans="1:11" x14ac:dyDescent="0.25">
      <c r="A50" s="24">
        <v>3</v>
      </c>
      <c r="B50" s="2">
        <v>16</v>
      </c>
      <c r="C50" s="2" t="s">
        <v>140</v>
      </c>
      <c r="D50" s="3">
        <v>0</v>
      </c>
      <c r="E50" s="1"/>
      <c r="I50" s="1" t="s">
        <v>1457</v>
      </c>
      <c r="J50" t="s">
        <v>2429</v>
      </c>
      <c r="K50" s="25">
        <f>Tabelle5[[#This Row],[value_present]]*Tabelle5[[#This Row],[binding_level]]</f>
        <v>0</v>
      </c>
    </row>
    <row r="51" spans="1:11" x14ac:dyDescent="0.25">
      <c r="A51" s="24">
        <v>3</v>
      </c>
      <c r="B51" s="2">
        <v>16</v>
      </c>
      <c r="C51" s="2" t="s">
        <v>147</v>
      </c>
      <c r="D51" s="3">
        <v>1</v>
      </c>
      <c r="E51" s="1">
        <v>2</v>
      </c>
      <c r="F51" t="s">
        <v>2456</v>
      </c>
      <c r="G51" t="s">
        <v>2455</v>
      </c>
      <c r="H51" t="s">
        <v>2430</v>
      </c>
      <c r="I51" s="1" t="s">
        <v>1456</v>
      </c>
      <c r="J51" t="s">
        <v>2431</v>
      </c>
      <c r="K51" s="25">
        <f>Tabelle5[[#This Row],[value_present]]*Tabelle5[[#This Row],[binding_level]]</f>
        <v>2</v>
      </c>
    </row>
    <row r="52" spans="1:11" x14ac:dyDescent="0.25">
      <c r="A52" s="24">
        <v>3</v>
      </c>
      <c r="B52" s="2">
        <v>16</v>
      </c>
      <c r="C52" s="2" t="s">
        <v>154</v>
      </c>
      <c r="D52" s="3">
        <v>1</v>
      </c>
      <c r="E52" s="1">
        <v>2</v>
      </c>
      <c r="F52" t="s">
        <v>2458</v>
      </c>
      <c r="G52" t="s">
        <v>2457</v>
      </c>
      <c r="H52" t="s">
        <v>2432</v>
      </c>
      <c r="I52" s="1" t="s">
        <v>1456</v>
      </c>
      <c r="J52" t="s">
        <v>2433</v>
      </c>
      <c r="K52" s="25">
        <f>Tabelle5[[#This Row],[value_present]]*Tabelle5[[#This Row],[binding_level]]</f>
        <v>2</v>
      </c>
    </row>
    <row r="53" spans="1:11" x14ac:dyDescent="0.25">
      <c r="A53" s="24">
        <v>3</v>
      </c>
      <c r="B53" s="2">
        <v>16</v>
      </c>
      <c r="C53" s="2" t="s">
        <v>161</v>
      </c>
      <c r="D53" s="3">
        <v>1</v>
      </c>
      <c r="E53" s="1">
        <v>2</v>
      </c>
      <c r="F53" t="s">
        <v>2460</v>
      </c>
      <c r="G53" t="s">
        <v>2459</v>
      </c>
      <c r="H53" t="s">
        <v>2434</v>
      </c>
      <c r="I53" s="1" t="s">
        <v>1456</v>
      </c>
      <c r="J53" t="s">
        <v>2435</v>
      </c>
      <c r="K53" s="25">
        <f>Tabelle5[[#This Row],[value_present]]*Tabelle5[[#This Row],[binding_level]]</f>
        <v>2</v>
      </c>
    </row>
    <row r="54" spans="1:11" x14ac:dyDescent="0.25">
      <c r="A54" s="24">
        <v>3</v>
      </c>
      <c r="B54" s="2">
        <v>16</v>
      </c>
      <c r="C54" s="2" t="s">
        <v>166</v>
      </c>
      <c r="D54" s="3">
        <v>0</v>
      </c>
      <c r="E54" s="1"/>
      <c r="I54" s="1" t="s">
        <v>1456</v>
      </c>
      <c r="J54" t="s">
        <v>2436</v>
      </c>
      <c r="K54" s="25">
        <f>Tabelle5[[#This Row],[value_present]]*Tabelle5[[#This Row],[binding_level]]</f>
        <v>0</v>
      </c>
    </row>
    <row r="55" spans="1:11" ht="15.75" thickBot="1" x14ac:dyDescent="0.3">
      <c r="A55" s="26">
        <v>3</v>
      </c>
      <c r="B55" s="27">
        <v>16</v>
      </c>
      <c r="C55" s="27" t="s">
        <v>174</v>
      </c>
      <c r="D55" s="28">
        <v>0</v>
      </c>
      <c r="E55" s="29"/>
      <c r="F55" s="30"/>
      <c r="G55" s="30"/>
      <c r="H55" s="30"/>
      <c r="I55" s="29" t="s">
        <v>1457</v>
      </c>
      <c r="J55" s="30" t="s">
        <v>2437</v>
      </c>
      <c r="K55" s="31">
        <f>Tabelle5[[#This Row],[value_present]]*Tabelle5[[#This Row],[binding_level]]</f>
        <v>0</v>
      </c>
    </row>
    <row r="56" spans="1:11" x14ac:dyDescent="0.25">
      <c r="A56" s="18">
        <v>3</v>
      </c>
      <c r="B56" s="19">
        <v>17</v>
      </c>
      <c r="C56" s="19" t="s">
        <v>53</v>
      </c>
      <c r="D56" s="20">
        <v>0</v>
      </c>
      <c r="E56" s="21"/>
      <c r="F56" s="22"/>
      <c r="G56" s="22"/>
      <c r="H56" s="22"/>
      <c r="I56" s="21" t="s">
        <v>1456</v>
      </c>
      <c r="J56" s="22" t="s">
        <v>2489</v>
      </c>
      <c r="K56" s="23">
        <f>Tabelle5[[#This Row],[value_present]]*Tabelle5[[#This Row],[binding_level]]</f>
        <v>0</v>
      </c>
    </row>
    <row r="57" spans="1:11" x14ac:dyDescent="0.25">
      <c r="A57" s="24">
        <v>3</v>
      </c>
      <c r="B57" s="2">
        <v>17</v>
      </c>
      <c r="C57" s="2" t="s">
        <v>61</v>
      </c>
      <c r="D57" s="3">
        <v>0</v>
      </c>
      <c r="E57" s="1"/>
      <c r="I57" s="1" t="s">
        <v>1457</v>
      </c>
      <c r="J57" t="s">
        <v>2490</v>
      </c>
      <c r="K57" s="25">
        <f>Tabelle5[[#This Row],[value_present]]*Tabelle5[[#This Row],[binding_level]]</f>
        <v>0</v>
      </c>
    </row>
    <row r="58" spans="1:11" x14ac:dyDescent="0.25">
      <c r="A58" s="24">
        <v>3</v>
      </c>
      <c r="B58" s="2">
        <v>17</v>
      </c>
      <c r="C58" s="2" t="s">
        <v>69</v>
      </c>
      <c r="D58" s="3">
        <v>1</v>
      </c>
      <c r="E58" s="1">
        <v>2</v>
      </c>
      <c r="F58" t="s">
        <v>2508</v>
      </c>
      <c r="G58" t="s">
        <v>2507</v>
      </c>
      <c r="H58" t="s">
        <v>2491</v>
      </c>
      <c r="I58" s="1" t="s">
        <v>1456</v>
      </c>
      <c r="J58" t="s">
        <v>2492</v>
      </c>
      <c r="K58" s="25">
        <f>Tabelle5[[#This Row],[value_present]]*Tabelle5[[#This Row],[binding_level]]</f>
        <v>2</v>
      </c>
    </row>
    <row r="59" spans="1:11" x14ac:dyDescent="0.25">
      <c r="A59" s="24">
        <v>3</v>
      </c>
      <c r="B59" s="2">
        <v>17</v>
      </c>
      <c r="C59" s="2" t="s">
        <v>76</v>
      </c>
      <c r="D59" s="3">
        <v>0</v>
      </c>
      <c r="E59" s="1"/>
      <c r="I59" s="1" t="s">
        <v>1456</v>
      </c>
      <c r="J59" t="s">
        <v>2493</v>
      </c>
      <c r="K59" s="25">
        <f>Tabelle5[[#This Row],[value_present]]*Tabelle5[[#This Row],[binding_level]]</f>
        <v>0</v>
      </c>
    </row>
    <row r="60" spans="1:11" x14ac:dyDescent="0.25">
      <c r="A60" s="24">
        <v>3</v>
      </c>
      <c r="B60" s="2">
        <v>17</v>
      </c>
      <c r="C60" s="2" t="s">
        <v>83</v>
      </c>
      <c r="D60" s="3">
        <v>1</v>
      </c>
      <c r="E60" s="1">
        <v>2</v>
      </c>
      <c r="F60" t="s">
        <v>2510</v>
      </c>
      <c r="G60" t="s">
        <v>2509</v>
      </c>
      <c r="H60" t="s">
        <v>2491</v>
      </c>
      <c r="I60" s="1" t="s">
        <v>1456</v>
      </c>
      <c r="J60" t="s">
        <v>2494</v>
      </c>
      <c r="K60" s="25">
        <f>Tabelle5[[#This Row],[value_present]]*Tabelle5[[#This Row],[binding_level]]</f>
        <v>2</v>
      </c>
    </row>
    <row r="61" spans="1:11" x14ac:dyDescent="0.25">
      <c r="A61" s="24">
        <v>3</v>
      </c>
      <c r="B61" s="2">
        <v>17</v>
      </c>
      <c r="C61" s="2" t="s">
        <v>90</v>
      </c>
      <c r="D61" s="3">
        <v>0</v>
      </c>
      <c r="E61" s="1"/>
      <c r="I61" s="1" t="s">
        <v>1457</v>
      </c>
      <c r="J61" t="s">
        <v>2495</v>
      </c>
      <c r="K61" s="25">
        <f>Tabelle5[[#This Row],[value_present]]*Tabelle5[[#This Row],[binding_level]]</f>
        <v>0</v>
      </c>
    </row>
    <row r="62" spans="1:11" x14ac:dyDescent="0.25">
      <c r="A62" s="24">
        <v>3</v>
      </c>
      <c r="B62" s="2">
        <v>17</v>
      </c>
      <c r="C62" s="2" t="s">
        <v>98</v>
      </c>
      <c r="D62" s="3">
        <v>1</v>
      </c>
      <c r="E62" s="1">
        <v>2</v>
      </c>
      <c r="F62" t="s">
        <v>2512</v>
      </c>
      <c r="G62" t="s">
        <v>2511</v>
      </c>
      <c r="H62" t="s">
        <v>2491</v>
      </c>
      <c r="I62" s="1" t="s">
        <v>1456</v>
      </c>
      <c r="J62" t="s">
        <v>2496</v>
      </c>
      <c r="K62" s="25">
        <f>Tabelle5[[#This Row],[value_present]]*Tabelle5[[#This Row],[binding_level]]</f>
        <v>2</v>
      </c>
    </row>
    <row r="63" spans="1:11" x14ac:dyDescent="0.25">
      <c r="A63" s="24">
        <v>3</v>
      </c>
      <c r="B63" s="2">
        <v>17</v>
      </c>
      <c r="C63" s="2" t="s">
        <v>106</v>
      </c>
      <c r="D63" s="3">
        <v>0</v>
      </c>
      <c r="E63" s="1"/>
      <c r="I63" s="1" t="s">
        <v>1456</v>
      </c>
      <c r="J63" t="s">
        <v>2497</v>
      </c>
      <c r="K63" s="25">
        <f>Tabelle5[[#This Row],[value_present]]*Tabelle5[[#This Row],[binding_level]]</f>
        <v>0</v>
      </c>
    </row>
    <row r="64" spans="1:11" x14ac:dyDescent="0.25">
      <c r="A64" s="24">
        <v>3</v>
      </c>
      <c r="B64" s="2">
        <v>17</v>
      </c>
      <c r="C64" s="2" t="s">
        <v>112</v>
      </c>
      <c r="D64" s="3">
        <v>1</v>
      </c>
      <c r="E64" s="1">
        <v>2</v>
      </c>
      <c r="F64" t="s">
        <v>2513</v>
      </c>
      <c r="G64" t="s">
        <v>2511</v>
      </c>
      <c r="H64" t="s">
        <v>2491</v>
      </c>
      <c r="I64" s="1" t="s">
        <v>1456</v>
      </c>
      <c r="J64" t="s">
        <v>2498</v>
      </c>
      <c r="K64" s="25">
        <f>Tabelle5[[#This Row],[value_present]]*Tabelle5[[#This Row],[binding_level]]</f>
        <v>2</v>
      </c>
    </row>
    <row r="65" spans="1:11" x14ac:dyDescent="0.25">
      <c r="A65" s="24">
        <v>3</v>
      </c>
      <c r="B65" s="2">
        <v>17</v>
      </c>
      <c r="C65" s="2" t="s">
        <v>118</v>
      </c>
      <c r="D65" s="3">
        <v>0</v>
      </c>
      <c r="E65" s="1"/>
      <c r="I65" s="1" t="s">
        <v>1456</v>
      </c>
      <c r="J65" t="s">
        <v>2227</v>
      </c>
      <c r="K65" s="25">
        <f>Tabelle5[[#This Row],[value_present]]*Tabelle5[[#This Row],[binding_level]]</f>
        <v>0</v>
      </c>
    </row>
    <row r="66" spans="1:11" x14ac:dyDescent="0.25">
      <c r="A66" s="24">
        <v>3</v>
      </c>
      <c r="B66" s="2">
        <v>17</v>
      </c>
      <c r="C66" s="2" t="s">
        <v>125</v>
      </c>
      <c r="D66" s="3">
        <v>0</v>
      </c>
      <c r="E66" s="1"/>
      <c r="I66" s="1" t="s">
        <v>1456</v>
      </c>
      <c r="J66" t="s">
        <v>2499</v>
      </c>
      <c r="K66" s="25">
        <f>Tabelle5[[#This Row],[value_present]]*Tabelle5[[#This Row],[binding_level]]</f>
        <v>0</v>
      </c>
    </row>
    <row r="67" spans="1:11" x14ac:dyDescent="0.25">
      <c r="A67" s="24">
        <v>3</v>
      </c>
      <c r="B67" s="2">
        <v>17</v>
      </c>
      <c r="C67" s="2" t="s">
        <v>132</v>
      </c>
      <c r="D67" s="3">
        <v>0</v>
      </c>
      <c r="E67" s="1"/>
      <c r="I67" s="1" t="s">
        <v>1457</v>
      </c>
      <c r="J67" t="s">
        <v>2500</v>
      </c>
      <c r="K67" s="25">
        <f>Tabelle5[[#This Row],[value_present]]*Tabelle5[[#This Row],[binding_level]]</f>
        <v>0</v>
      </c>
    </row>
    <row r="68" spans="1:11" x14ac:dyDescent="0.25">
      <c r="A68" s="24">
        <v>3</v>
      </c>
      <c r="B68" s="2">
        <v>17</v>
      </c>
      <c r="C68" s="2" t="s">
        <v>140</v>
      </c>
      <c r="D68" s="3">
        <v>0</v>
      </c>
      <c r="E68" s="1"/>
      <c r="I68" s="1" t="s">
        <v>1457</v>
      </c>
      <c r="J68" t="s">
        <v>2501</v>
      </c>
      <c r="K68" s="25">
        <f>Tabelle5[[#This Row],[value_present]]*Tabelle5[[#This Row],[binding_level]]</f>
        <v>0</v>
      </c>
    </row>
    <row r="69" spans="1:11" x14ac:dyDescent="0.25">
      <c r="A69" s="24">
        <v>3</v>
      </c>
      <c r="B69" s="2">
        <v>17</v>
      </c>
      <c r="C69" s="2" t="s">
        <v>147</v>
      </c>
      <c r="D69" s="3">
        <v>0</v>
      </c>
      <c r="E69" s="1"/>
      <c r="I69" s="1" t="s">
        <v>1457</v>
      </c>
      <c r="J69" t="s">
        <v>2502</v>
      </c>
      <c r="K69" s="25">
        <f>Tabelle5[[#This Row],[value_present]]*Tabelle5[[#This Row],[binding_level]]</f>
        <v>0</v>
      </c>
    </row>
    <row r="70" spans="1:11" x14ac:dyDescent="0.25">
      <c r="A70" s="24">
        <v>3</v>
      </c>
      <c r="B70" s="2">
        <v>17</v>
      </c>
      <c r="C70" s="2" t="s">
        <v>154</v>
      </c>
      <c r="D70" s="3">
        <v>1</v>
      </c>
      <c r="E70" s="1">
        <v>2</v>
      </c>
      <c r="F70" t="s">
        <v>2515</v>
      </c>
      <c r="G70" t="s">
        <v>2514</v>
      </c>
      <c r="H70" t="s">
        <v>2491</v>
      </c>
      <c r="I70" s="1" t="s">
        <v>1456</v>
      </c>
      <c r="J70" t="s">
        <v>2503</v>
      </c>
      <c r="K70" s="25">
        <f>Tabelle5[[#This Row],[value_present]]*Tabelle5[[#This Row],[binding_level]]</f>
        <v>2</v>
      </c>
    </row>
    <row r="71" spans="1:11" x14ac:dyDescent="0.25">
      <c r="A71" s="24">
        <v>3</v>
      </c>
      <c r="B71" s="2">
        <v>17</v>
      </c>
      <c r="C71" s="2" t="s">
        <v>161</v>
      </c>
      <c r="D71" s="3">
        <v>0</v>
      </c>
      <c r="E71" s="1"/>
      <c r="I71" s="1" t="s">
        <v>1457</v>
      </c>
      <c r="J71" t="s">
        <v>2504</v>
      </c>
      <c r="K71" s="25">
        <f>Tabelle5[[#This Row],[value_present]]*Tabelle5[[#This Row],[binding_level]]</f>
        <v>0</v>
      </c>
    </row>
    <row r="72" spans="1:11" x14ac:dyDescent="0.25">
      <c r="A72" s="24">
        <v>3</v>
      </c>
      <c r="B72" s="2">
        <v>17</v>
      </c>
      <c r="C72" s="2" t="s">
        <v>166</v>
      </c>
      <c r="D72" s="3">
        <v>0</v>
      </c>
      <c r="E72" s="1"/>
      <c r="I72" s="1" t="s">
        <v>1456</v>
      </c>
      <c r="J72" t="s">
        <v>2505</v>
      </c>
      <c r="K72" s="25">
        <f>Tabelle5[[#This Row],[value_present]]*Tabelle5[[#This Row],[binding_level]]</f>
        <v>0</v>
      </c>
    </row>
    <row r="73" spans="1:11" ht="15.75" thickBot="1" x14ac:dyDescent="0.3">
      <c r="A73" s="26">
        <v>3</v>
      </c>
      <c r="B73" s="27">
        <v>17</v>
      </c>
      <c r="C73" s="27" t="s">
        <v>174</v>
      </c>
      <c r="D73" s="28">
        <v>0</v>
      </c>
      <c r="E73" s="29"/>
      <c r="F73" s="30"/>
      <c r="G73" s="30"/>
      <c r="H73" s="30"/>
      <c r="I73" s="29" t="s">
        <v>1456</v>
      </c>
      <c r="J73" s="30" t="s">
        <v>2506</v>
      </c>
      <c r="K73" s="31">
        <f>Tabelle5[[#This Row],[value_present]]*Tabelle5[[#This Row],[binding_level]]</f>
        <v>0</v>
      </c>
    </row>
    <row r="74" spans="1:11" x14ac:dyDescent="0.25">
      <c r="A74" s="18">
        <v>3</v>
      </c>
      <c r="B74" s="19">
        <v>18</v>
      </c>
      <c r="C74" s="19" t="s">
        <v>53</v>
      </c>
      <c r="D74" s="20">
        <v>1</v>
      </c>
      <c r="E74" s="21">
        <v>3</v>
      </c>
      <c r="F74" s="22" t="s">
        <v>2546</v>
      </c>
      <c r="G74" s="22" t="s">
        <v>2545</v>
      </c>
      <c r="H74" s="22" t="s">
        <v>2530</v>
      </c>
      <c r="I74" s="21" t="s">
        <v>1456</v>
      </c>
      <c r="J74" s="22" t="s">
        <v>2531</v>
      </c>
      <c r="K74" s="23">
        <f>Tabelle5[[#This Row],[value_present]]*Tabelle5[[#This Row],[binding_level]]</f>
        <v>3</v>
      </c>
    </row>
    <row r="75" spans="1:11" x14ac:dyDescent="0.25">
      <c r="A75" s="24">
        <v>3</v>
      </c>
      <c r="B75" s="2">
        <v>18</v>
      </c>
      <c r="C75" s="2" t="s">
        <v>61</v>
      </c>
      <c r="D75" s="3">
        <v>1</v>
      </c>
      <c r="E75" s="1">
        <v>2</v>
      </c>
      <c r="F75" t="s">
        <v>2547</v>
      </c>
      <c r="G75" t="s">
        <v>2548</v>
      </c>
      <c r="H75" t="s">
        <v>2530</v>
      </c>
      <c r="I75" s="1" t="s">
        <v>1456</v>
      </c>
      <c r="J75" t="s">
        <v>2532</v>
      </c>
      <c r="K75" s="25">
        <f>Tabelle5[[#This Row],[value_present]]*Tabelle5[[#This Row],[binding_level]]</f>
        <v>2</v>
      </c>
    </row>
    <row r="76" spans="1:11" x14ac:dyDescent="0.25">
      <c r="A76" s="24">
        <v>3</v>
      </c>
      <c r="B76" s="2">
        <v>18</v>
      </c>
      <c r="C76" s="2" t="s">
        <v>69</v>
      </c>
      <c r="D76" s="3">
        <v>1</v>
      </c>
      <c r="E76" s="1">
        <v>2</v>
      </c>
      <c r="F76" t="s">
        <v>2550</v>
      </c>
      <c r="G76" t="s">
        <v>2549</v>
      </c>
      <c r="H76" t="s">
        <v>2530</v>
      </c>
      <c r="I76" s="1" t="s">
        <v>1456</v>
      </c>
      <c r="J76" t="s">
        <v>2533</v>
      </c>
      <c r="K76" s="25">
        <f>Tabelle5[[#This Row],[value_present]]*Tabelle5[[#This Row],[binding_level]]</f>
        <v>2</v>
      </c>
    </row>
    <row r="77" spans="1:11" x14ac:dyDescent="0.25">
      <c r="A77" s="24">
        <v>3</v>
      </c>
      <c r="B77" s="2">
        <v>18</v>
      </c>
      <c r="C77" s="2" t="s">
        <v>76</v>
      </c>
      <c r="D77" s="3">
        <v>0</v>
      </c>
      <c r="E77" s="1"/>
      <c r="I77" s="1" t="s">
        <v>1456</v>
      </c>
      <c r="J77" t="s">
        <v>2534</v>
      </c>
      <c r="K77" s="25">
        <f>Tabelle5[[#This Row],[value_present]]*Tabelle5[[#This Row],[binding_level]]</f>
        <v>0</v>
      </c>
    </row>
    <row r="78" spans="1:11" x14ac:dyDescent="0.25">
      <c r="A78" s="24">
        <v>3</v>
      </c>
      <c r="B78" s="2">
        <v>18</v>
      </c>
      <c r="C78" s="2" t="s">
        <v>83</v>
      </c>
      <c r="D78" s="3">
        <v>1</v>
      </c>
      <c r="E78" s="1">
        <v>2</v>
      </c>
      <c r="F78" t="s">
        <v>2552</v>
      </c>
      <c r="G78" t="s">
        <v>2551</v>
      </c>
      <c r="H78" t="s">
        <v>2530</v>
      </c>
      <c r="I78" s="1" t="s">
        <v>1456</v>
      </c>
      <c r="J78" t="s">
        <v>2155</v>
      </c>
      <c r="K78" s="25">
        <f>Tabelle5[[#This Row],[value_present]]*Tabelle5[[#This Row],[binding_level]]</f>
        <v>2</v>
      </c>
    </row>
    <row r="79" spans="1:11" x14ac:dyDescent="0.25">
      <c r="A79" s="24">
        <v>3</v>
      </c>
      <c r="B79" s="2">
        <v>18</v>
      </c>
      <c r="C79" s="2" t="s">
        <v>90</v>
      </c>
      <c r="D79" s="3">
        <v>1</v>
      </c>
      <c r="E79" s="1">
        <v>2</v>
      </c>
      <c r="F79" t="s">
        <v>2554</v>
      </c>
      <c r="G79" t="s">
        <v>2553</v>
      </c>
      <c r="H79" t="s">
        <v>2530</v>
      </c>
      <c r="I79" s="1" t="s">
        <v>1456</v>
      </c>
      <c r="J79" t="s">
        <v>2535</v>
      </c>
      <c r="K79" s="25">
        <f>Tabelle5[[#This Row],[value_present]]*Tabelle5[[#This Row],[binding_level]]</f>
        <v>2</v>
      </c>
    </row>
    <row r="80" spans="1:11" x14ac:dyDescent="0.25">
      <c r="A80" s="24">
        <v>3</v>
      </c>
      <c r="B80" s="2">
        <v>18</v>
      </c>
      <c r="C80" s="2" t="s">
        <v>98</v>
      </c>
      <c r="D80" s="3">
        <v>0</v>
      </c>
      <c r="E80" s="1"/>
      <c r="I80" s="1" t="s">
        <v>1456</v>
      </c>
      <c r="J80" t="s">
        <v>2536</v>
      </c>
      <c r="K80" s="25">
        <f>Tabelle5[[#This Row],[value_present]]*Tabelle5[[#This Row],[binding_level]]</f>
        <v>0</v>
      </c>
    </row>
    <row r="81" spans="1:11" x14ac:dyDescent="0.25">
      <c r="A81" s="24">
        <v>3</v>
      </c>
      <c r="B81" s="2">
        <v>18</v>
      </c>
      <c r="C81" s="2" t="s">
        <v>106</v>
      </c>
      <c r="D81" s="3">
        <v>0</v>
      </c>
      <c r="E81" s="1"/>
      <c r="I81" s="1" t="s">
        <v>1456</v>
      </c>
      <c r="J81" t="s">
        <v>2537</v>
      </c>
      <c r="K81" s="25">
        <f>Tabelle5[[#This Row],[value_present]]*Tabelle5[[#This Row],[binding_level]]</f>
        <v>0</v>
      </c>
    </row>
    <row r="82" spans="1:11" x14ac:dyDescent="0.25">
      <c r="A82" s="24">
        <v>3</v>
      </c>
      <c r="B82" s="2">
        <v>18</v>
      </c>
      <c r="C82" s="2" t="s">
        <v>112</v>
      </c>
      <c r="D82" s="3">
        <v>0</v>
      </c>
      <c r="E82" s="1"/>
      <c r="I82" s="1" t="s">
        <v>1456</v>
      </c>
      <c r="J82" t="s">
        <v>2538</v>
      </c>
      <c r="K82" s="25">
        <f>Tabelle5[[#This Row],[value_present]]*Tabelle5[[#This Row],[binding_level]]</f>
        <v>0</v>
      </c>
    </row>
    <row r="83" spans="1:11" x14ac:dyDescent="0.25">
      <c r="A83" s="24">
        <v>3</v>
      </c>
      <c r="B83" s="2">
        <v>18</v>
      </c>
      <c r="C83" s="2" t="s">
        <v>118</v>
      </c>
      <c r="D83" s="3">
        <v>0</v>
      </c>
      <c r="E83" s="1"/>
      <c r="I83" s="1" t="s">
        <v>1456</v>
      </c>
      <c r="J83" t="s">
        <v>2227</v>
      </c>
      <c r="K83" s="25">
        <f>Tabelle5[[#This Row],[value_present]]*Tabelle5[[#This Row],[binding_level]]</f>
        <v>0</v>
      </c>
    </row>
    <row r="84" spans="1:11" x14ac:dyDescent="0.25">
      <c r="A84" s="24">
        <v>3</v>
      </c>
      <c r="B84" s="2">
        <v>18</v>
      </c>
      <c r="C84" s="2" t="s">
        <v>125</v>
      </c>
      <c r="D84" s="3">
        <v>0</v>
      </c>
      <c r="E84" s="1"/>
      <c r="I84" s="1" t="s">
        <v>1456</v>
      </c>
      <c r="J84" t="s">
        <v>2499</v>
      </c>
      <c r="K84" s="25">
        <f>Tabelle5[[#This Row],[value_present]]*Tabelle5[[#This Row],[binding_level]]</f>
        <v>0</v>
      </c>
    </row>
    <row r="85" spans="1:11" x14ac:dyDescent="0.25">
      <c r="A85" s="24">
        <v>3</v>
      </c>
      <c r="B85" s="2">
        <v>18</v>
      </c>
      <c r="C85" s="2" t="s">
        <v>132</v>
      </c>
      <c r="D85" s="3">
        <v>0</v>
      </c>
      <c r="E85" s="1"/>
      <c r="I85" s="1" t="s">
        <v>1456</v>
      </c>
      <c r="J85" t="s">
        <v>2539</v>
      </c>
      <c r="K85" s="25">
        <f>Tabelle5[[#This Row],[value_present]]*Tabelle5[[#This Row],[binding_level]]</f>
        <v>0</v>
      </c>
    </row>
    <row r="86" spans="1:11" x14ac:dyDescent="0.25">
      <c r="A86" s="24">
        <v>3</v>
      </c>
      <c r="B86" s="2">
        <v>18</v>
      </c>
      <c r="C86" s="2" t="s">
        <v>140</v>
      </c>
      <c r="D86" s="3">
        <v>0</v>
      </c>
      <c r="E86" s="1"/>
      <c r="I86" s="1" t="s">
        <v>1457</v>
      </c>
      <c r="J86" t="s">
        <v>2540</v>
      </c>
      <c r="K86" s="25">
        <f>Tabelle5[[#This Row],[value_present]]*Tabelle5[[#This Row],[binding_level]]</f>
        <v>0</v>
      </c>
    </row>
    <row r="87" spans="1:11" x14ac:dyDescent="0.25">
      <c r="A87" s="24">
        <v>3</v>
      </c>
      <c r="B87" s="2">
        <v>18</v>
      </c>
      <c r="C87" s="2" t="s">
        <v>147</v>
      </c>
      <c r="D87" s="3">
        <v>1</v>
      </c>
      <c r="E87" s="1">
        <v>2</v>
      </c>
      <c r="F87" t="s">
        <v>2556</v>
      </c>
      <c r="G87" t="s">
        <v>2555</v>
      </c>
      <c r="H87" t="s">
        <v>2530</v>
      </c>
      <c r="I87" s="1" t="s">
        <v>1456</v>
      </c>
      <c r="J87" t="s">
        <v>2541</v>
      </c>
      <c r="K87" s="25">
        <f>Tabelle5[[#This Row],[value_present]]*Tabelle5[[#This Row],[binding_level]]</f>
        <v>2</v>
      </c>
    </row>
    <row r="88" spans="1:11" x14ac:dyDescent="0.25">
      <c r="A88" s="24">
        <v>3</v>
      </c>
      <c r="B88" s="2">
        <v>18</v>
      </c>
      <c r="C88" s="2" t="s">
        <v>154</v>
      </c>
      <c r="D88" s="3">
        <v>1</v>
      </c>
      <c r="E88" s="1">
        <v>2</v>
      </c>
      <c r="F88" t="s">
        <v>2558</v>
      </c>
      <c r="G88" t="s">
        <v>2557</v>
      </c>
      <c r="H88" t="s">
        <v>2530</v>
      </c>
      <c r="I88" s="1" t="s">
        <v>1456</v>
      </c>
      <c r="J88" t="s">
        <v>2542</v>
      </c>
      <c r="K88" s="25">
        <f>Tabelle5[[#This Row],[value_present]]*Tabelle5[[#This Row],[binding_level]]</f>
        <v>2</v>
      </c>
    </row>
    <row r="89" spans="1:11" x14ac:dyDescent="0.25">
      <c r="A89" s="24">
        <v>3</v>
      </c>
      <c r="B89" s="2">
        <v>18</v>
      </c>
      <c r="C89" s="2" t="s">
        <v>161</v>
      </c>
      <c r="D89" s="3">
        <v>1</v>
      </c>
      <c r="E89" s="1">
        <v>2</v>
      </c>
      <c r="F89" t="s">
        <v>2554</v>
      </c>
      <c r="G89" t="s">
        <v>2553</v>
      </c>
      <c r="H89" t="s">
        <v>2530</v>
      </c>
      <c r="I89" s="1" t="s">
        <v>1456</v>
      </c>
      <c r="J89" t="s">
        <v>2543</v>
      </c>
      <c r="K89" s="25">
        <f>Tabelle5[[#This Row],[value_present]]*Tabelle5[[#This Row],[binding_level]]</f>
        <v>2</v>
      </c>
    </row>
    <row r="90" spans="1:11" x14ac:dyDescent="0.25">
      <c r="A90" s="24">
        <v>3</v>
      </c>
      <c r="B90" s="2">
        <v>18</v>
      </c>
      <c r="C90" s="2" t="s">
        <v>166</v>
      </c>
      <c r="D90" s="3">
        <v>0</v>
      </c>
      <c r="E90" s="1"/>
      <c r="I90" s="1" t="s">
        <v>1456</v>
      </c>
      <c r="J90" t="s">
        <v>2505</v>
      </c>
      <c r="K90" s="25">
        <f>Tabelle5[[#This Row],[value_present]]*Tabelle5[[#This Row],[binding_level]]</f>
        <v>0</v>
      </c>
    </row>
    <row r="91" spans="1:11" ht="15.75" thickBot="1" x14ac:dyDescent="0.3">
      <c r="A91" s="26">
        <v>3</v>
      </c>
      <c r="B91" s="27">
        <v>18</v>
      </c>
      <c r="C91" s="27" t="s">
        <v>174</v>
      </c>
      <c r="D91" s="28">
        <v>0</v>
      </c>
      <c r="E91" s="29"/>
      <c r="F91" s="30"/>
      <c r="G91" s="30"/>
      <c r="H91" s="30"/>
      <c r="I91" s="29" t="s">
        <v>1456</v>
      </c>
      <c r="J91" s="30" t="s">
        <v>2544</v>
      </c>
      <c r="K91" s="31">
        <f>Tabelle5[[#This Row],[value_present]]*Tabelle5[[#This Row],[binding_level]]</f>
        <v>0</v>
      </c>
    </row>
    <row r="92" spans="1:11" x14ac:dyDescent="0.25">
      <c r="A92" s="18">
        <v>3</v>
      </c>
      <c r="B92" s="19">
        <v>21</v>
      </c>
      <c r="C92" s="19" t="s">
        <v>53</v>
      </c>
      <c r="D92" s="20">
        <v>1</v>
      </c>
      <c r="E92" s="21">
        <v>1</v>
      </c>
      <c r="F92" s="22" t="s">
        <v>2618</v>
      </c>
      <c r="G92" s="22" t="s">
        <v>2617</v>
      </c>
      <c r="H92" s="22" t="s">
        <v>2590</v>
      </c>
      <c r="I92" s="21" t="s">
        <v>1457</v>
      </c>
      <c r="J92" s="22" t="s">
        <v>2591</v>
      </c>
      <c r="K92" s="23">
        <f>Tabelle5[[#This Row],[value_present]]*Tabelle5[[#This Row],[binding_level]]</f>
        <v>1</v>
      </c>
    </row>
    <row r="93" spans="1:11" x14ac:dyDescent="0.25">
      <c r="A93" s="24">
        <v>3</v>
      </c>
      <c r="B93" s="2">
        <v>21</v>
      </c>
      <c r="C93" s="2" t="s">
        <v>61</v>
      </c>
      <c r="D93" s="3">
        <v>1</v>
      </c>
      <c r="E93" s="1">
        <v>1</v>
      </c>
      <c r="F93" t="s">
        <v>2620</v>
      </c>
      <c r="G93" t="s">
        <v>2619</v>
      </c>
      <c r="H93" t="s">
        <v>2592</v>
      </c>
      <c r="I93" s="1" t="s">
        <v>1457</v>
      </c>
      <c r="J93" t="s">
        <v>2593</v>
      </c>
      <c r="K93" s="25">
        <f>Tabelle5[[#This Row],[value_present]]*Tabelle5[[#This Row],[binding_level]]</f>
        <v>1</v>
      </c>
    </row>
    <row r="94" spans="1:11" x14ac:dyDescent="0.25">
      <c r="A94" s="24">
        <v>3</v>
      </c>
      <c r="B94" s="2">
        <v>21</v>
      </c>
      <c r="C94" s="2" t="s">
        <v>69</v>
      </c>
      <c r="D94" s="3">
        <v>1</v>
      </c>
      <c r="E94" s="1">
        <v>1</v>
      </c>
      <c r="F94" t="s">
        <v>2622</v>
      </c>
      <c r="G94" t="s">
        <v>2621</v>
      </c>
      <c r="H94" t="s">
        <v>2594</v>
      </c>
      <c r="I94" s="1" t="s">
        <v>1456</v>
      </c>
      <c r="J94" t="s">
        <v>2595</v>
      </c>
      <c r="K94" s="25">
        <f>Tabelle5[[#This Row],[value_present]]*Tabelle5[[#This Row],[binding_level]]</f>
        <v>1</v>
      </c>
    </row>
    <row r="95" spans="1:11" x14ac:dyDescent="0.25">
      <c r="A95" s="24">
        <v>3</v>
      </c>
      <c r="B95" s="2">
        <v>21</v>
      </c>
      <c r="C95" s="2" t="s">
        <v>76</v>
      </c>
      <c r="D95" s="3">
        <v>0</v>
      </c>
      <c r="E95" s="1"/>
      <c r="I95" s="1" t="s">
        <v>1456</v>
      </c>
      <c r="J95" t="s">
        <v>2493</v>
      </c>
      <c r="K95" s="25">
        <f>Tabelle5[[#This Row],[value_present]]*Tabelle5[[#This Row],[binding_level]]</f>
        <v>0</v>
      </c>
    </row>
    <row r="96" spans="1:11" x14ac:dyDescent="0.25">
      <c r="A96" s="24">
        <v>3</v>
      </c>
      <c r="B96" s="2">
        <v>21</v>
      </c>
      <c r="C96" s="2" t="s">
        <v>83</v>
      </c>
      <c r="D96" s="3">
        <v>1</v>
      </c>
      <c r="E96" s="1">
        <v>1</v>
      </c>
      <c r="F96" t="s">
        <v>2625</v>
      </c>
      <c r="G96" t="s">
        <v>2624</v>
      </c>
      <c r="H96" t="s">
        <v>2596</v>
      </c>
      <c r="I96" s="1" t="s">
        <v>1456</v>
      </c>
      <c r="J96" t="s">
        <v>2597</v>
      </c>
      <c r="K96" s="25">
        <f>Tabelle5[[#This Row],[value_present]]*Tabelle5[[#This Row],[binding_level]]</f>
        <v>1</v>
      </c>
    </row>
    <row r="97" spans="1:11" x14ac:dyDescent="0.25">
      <c r="A97" s="24">
        <v>3</v>
      </c>
      <c r="B97" s="2">
        <v>21</v>
      </c>
      <c r="C97" s="2" t="s">
        <v>90</v>
      </c>
      <c r="D97" s="3">
        <v>1</v>
      </c>
      <c r="E97" s="1">
        <v>1</v>
      </c>
      <c r="F97" t="s">
        <v>2618</v>
      </c>
      <c r="G97" t="s">
        <v>2627</v>
      </c>
      <c r="H97" t="s">
        <v>2598</v>
      </c>
      <c r="I97" s="1" t="s">
        <v>1457</v>
      </c>
      <c r="J97" t="s">
        <v>2599</v>
      </c>
      <c r="K97" s="25">
        <f>Tabelle5[[#This Row],[value_present]]*Tabelle5[[#This Row],[binding_level]]</f>
        <v>1</v>
      </c>
    </row>
    <row r="98" spans="1:11" x14ac:dyDescent="0.25">
      <c r="A98" s="24">
        <v>3</v>
      </c>
      <c r="B98" s="2">
        <v>21</v>
      </c>
      <c r="C98" s="2" t="s">
        <v>98</v>
      </c>
      <c r="D98" s="3">
        <v>1</v>
      </c>
      <c r="E98" s="1">
        <v>1</v>
      </c>
      <c r="F98" t="s">
        <v>2628</v>
      </c>
      <c r="G98" t="s">
        <v>2626</v>
      </c>
      <c r="H98" t="s">
        <v>2600</v>
      </c>
      <c r="I98" s="1" t="s">
        <v>1457</v>
      </c>
      <c r="J98" t="s">
        <v>2601</v>
      </c>
      <c r="K98" s="25">
        <f>Tabelle5[[#This Row],[value_present]]*Tabelle5[[#This Row],[binding_level]]</f>
        <v>1</v>
      </c>
    </row>
    <row r="99" spans="1:11" x14ac:dyDescent="0.25">
      <c r="A99" s="24">
        <v>3</v>
      </c>
      <c r="B99" s="2">
        <v>21</v>
      </c>
      <c r="C99" s="2" t="s">
        <v>106</v>
      </c>
      <c r="D99" s="3">
        <v>1</v>
      </c>
      <c r="E99" s="1">
        <v>1</v>
      </c>
      <c r="F99" t="s">
        <v>2630</v>
      </c>
      <c r="G99" t="s">
        <v>2629</v>
      </c>
      <c r="H99" t="s">
        <v>2602</v>
      </c>
      <c r="I99" s="1" t="s">
        <v>1456</v>
      </c>
      <c r="J99" t="s">
        <v>2603</v>
      </c>
      <c r="K99" s="25">
        <f>Tabelle5[[#This Row],[value_present]]*Tabelle5[[#This Row],[binding_level]]</f>
        <v>1</v>
      </c>
    </row>
    <row r="100" spans="1:11" x14ac:dyDescent="0.25">
      <c r="A100" s="24">
        <v>3</v>
      </c>
      <c r="B100" s="2">
        <v>21</v>
      </c>
      <c r="C100" s="2" t="s">
        <v>112</v>
      </c>
      <c r="D100" s="3">
        <v>1</v>
      </c>
      <c r="E100" s="1">
        <v>1</v>
      </c>
      <c r="F100" t="s">
        <v>2631</v>
      </c>
      <c r="G100" t="s">
        <v>2623</v>
      </c>
      <c r="H100" t="s">
        <v>2604</v>
      </c>
      <c r="I100" s="1" t="s">
        <v>1456</v>
      </c>
      <c r="J100" t="s">
        <v>2605</v>
      </c>
      <c r="K100" s="25">
        <f>Tabelle5[[#This Row],[value_present]]*Tabelle5[[#This Row],[binding_level]]</f>
        <v>1</v>
      </c>
    </row>
    <row r="101" spans="1:11" x14ac:dyDescent="0.25">
      <c r="A101" s="24">
        <v>3</v>
      </c>
      <c r="B101" s="2">
        <v>21</v>
      </c>
      <c r="C101" s="2" t="s">
        <v>118</v>
      </c>
      <c r="D101" s="3">
        <v>0</v>
      </c>
      <c r="E101" s="1"/>
      <c r="I101" s="1" t="s">
        <v>1456</v>
      </c>
      <c r="J101" t="s">
        <v>2606</v>
      </c>
      <c r="K101" s="25">
        <f>Tabelle5[[#This Row],[value_present]]*Tabelle5[[#This Row],[binding_level]]</f>
        <v>0</v>
      </c>
    </row>
    <row r="102" spans="1:11" x14ac:dyDescent="0.25">
      <c r="A102" s="24">
        <v>3</v>
      </c>
      <c r="B102" s="2">
        <v>21</v>
      </c>
      <c r="C102" s="2" t="s">
        <v>125</v>
      </c>
      <c r="D102" s="3">
        <v>1</v>
      </c>
      <c r="E102" s="1">
        <v>1</v>
      </c>
      <c r="F102" t="s">
        <v>2633</v>
      </c>
      <c r="G102" t="s">
        <v>2632</v>
      </c>
      <c r="H102" t="s">
        <v>2607</v>
      </c>
      <c r="I102" s="1" t="s">
        <v>1457</v>
      </c>
      <c r="J102" t="s">
        <v>2608</v>
      </c>
      <c r="K102" s="25">
        <f>Tabelle5[[#This Row],[value_present]]*Tabelle5[[#This Row],[binding_level]]</f>
        <v>1</v>
      </c>
    </row>
    <row r="103" spans="1:11" x14ac:dyDescent="0.25">
      <c r="A103" s="24">
        <v>3</v>
      </c>
      <c r="B103" s="2">
        <v>21</v>
      </c>
      <c r="C103" s="2" t="s">
        <v>132</v>
      </c>
      <c r="D103" s="3">
        <v>1</v>
      </c>
      <c r="E103" s="1">
        <v>1</v>
      </c>
      <c r="F103" t="s">
        <v>2635</v>
      </c>
      <c r="G103" t="s">
        <v>2634</v>
      </c>
      <c r="H103" t="s">
        <v>2602</v>
      </c>
      <c r="I103" s="1" t="s">
        <v>1456</v>
      </c>
      <c r="J103" t="s">
        <v>2609</v>
      </c>
      <c r="K103" s="25">
        <f>Tabelle5[[#This Row],[value_present]]*Tabelle5[[#This Row],[binding_level]]</f>
        <v>1</v>
      </c>
    </row>
    <row r="104" spans="1:11" x14ac:dyDescent="0.25">
      <c r="A104" s="24">
        <v>3</v>
      </c>
      <c r="B104" s="2">
        <v>21</v>
      </c>
      <c r="C104" s="2" t="s">
        <v>140</v>
      </c>
      <c r="D104" s="3">
        <v>1</v>
      </c>
      <c r="E104" s="1">
        <v>1</v>
      </c>
      <c r="F104" t="s">
        <v>2637</v>
      </c>
      <c r="G104" t="s">
        <v>2636</v>
      </c>
      <c r="H104" t="s">
        <v>2610</v>
      </c>
      <c r="I104" s="1" t="s">
        <v>1456</v>
      </c>
      <c r="J104" t="s">
        <v>2611</v>
      </c>
      <c r="K104" s="25">
        <f>Tabelle5[[#This Row],[value_present]]*Tabelle5[[#This Row],[binding_level]]</f>
        <v>1</v>
      </c>
    </row>
    <row r="105" spans="1:11" x14ac:dyDescent="0.25">
      <c r="A105" s="24">
        <v>3</v>
      </c>
      <c r="B105" s="2">
        <v>21</v>
      </c>
      <c r="C105" s="2" t="s">
        <v>147</v>
      </c>
      <c r="D105" s="3">
        <v>1</v>
      </c>
      <c r="E105" s="1">
        <v>1</v>
      </c>
      <c r="F105" t="s">
        <v>2639</v>
      </c>
      <c r="G105" t="s">
        <v>2638</v>
      </c>
      <c r="H105" t="s">
        <v>2600</v>
      </c>
      <c r="I105" s="1" t="s">
        <v>1457</v>
      </c>
      <c r="J105" t="s">
        <v>2612</v>
      </c>
      <c r="K105" s="25">
        <f>Tabelle5[[#This Row],[value_present]]*Tabelle5[[#This Row],[binding_level]]</f>
        <v>1</v>
      </c>
    </row>
    <row r="106" spans="1:11" x14ac:dyDescent="0.25">
      <c r="A106" s="24">
        <v>3</v>
      </c>
      <c r="B106" s="2">
        <v>21</v>
      </c>
      <c r="C106" s="2" t="s">
        <v>154</v>
      </c>
      <c r="D106" s="3">
        <v>1</v>
      </c>
      <c r="E106" s="1">
        <v>1</v>
      </c>
      <c r="F106" t="s">
        <v>2641</v>
      </c>
      <c r="G106" t="s">
        <v>2640</v>
      </c>
      <c r="H106" t="s">
        <v>2602</v>
      </c>
      <c r="I106" s="1" t="s">
        <v>1456</v>
      </c>
      <c r="J106" t="s">
        <v>2613</v>
      </c>
      <c r="K106" s="25">
        <f>Tabelle5[[#This Row],[value_present]]*Tabelle5[[#This Row],[binding_level]]</f>
        <v>1</v>
      </c>
    </row>
    <row r="107" spans="1:11" x14ac:dyDescent="0.25">
      <c r="A107" s="24">
        <v>3</v>
      </c>
      <c r="B107" s="2">
        <v>21</v>
      </c>
      <c r="C107" s="2" t="s">
        <v>161</v>
      </c>
      <c r="D107" s="3">
        <v>0</v>
      </c>
      <c r="E107" s="1"/>
      <c r="I107" s="1" t="s">
        <v>1457</v>
      </c>
      <c r="J107" t="s">
        <v>2614</v>
      </c>
      <c r="K107" s="25">
        <f>Tabelle5[[#This Row],[value_present]]*Tabelle5[[#This Row],[binding_level]]</f>
        <v>0</v>
      </c>
    </row>
    <row r="108" spans="1:11" x14ac:dyDescent="0.25">
      <c r="A108" s="24">
        <v>3</v>
      </c>
      <c r="B108" s="2">
        <v>21</v>
      </c>
      <c r="C108" s="2" t="s">
        <v>166</v>
      </c>
      <c r="D108" s="3">
        <v>0</v>
      </c>
      <c r="E108" s="1"/>
      <c r="I108" s="1" t="s">
        <v>1456</v>
      </c>
      <c r="J108" t="s">
        <v>2615</v>
      </c>
      <c r="K108" s="25">
        <f>Tabelle5[[#This Row],[value_present]]*Tabelle5[[#This Row],[binding_level]]</f>
        <v>0</v>
      </c>
    </row>
    <row r="109" spans="1:11" ht="15.75" thickBot="1" x14ac:dyDescent="0.3">
      <c r="A109" s="26">
        <v>3</v>
      </c>
      <c r="B109" s="27">
        <v>21</v>
      </c>
      <c r="C109" s="27" t="s">
        <v>174</v>
      </c>
      <c r="D109" s="28">
        <v>1</v>
      </c>
      <c r="E109" s="29">
        <v>1</v>
      </c>
      <c r="F109" s="30" t="s">
        <v>2643</v>
      </c>
      <c r="G109" s="30" t="s">
        <v>2642</v>
      </c>
      <c r="H109" s="30" t="s">
        <v>2604</v>
      </c>
      <c r="I109" s="29" t="s">
        <v>1457</v>
      </c>
      <c r="J109" s="30" t="s">
        <v>2616</v>
      </c>
      <c r="K109" s="31">
        <f>Tabelle5[[#This Row],[value_present]]*Tabelle5[[#This Row],[binding_level]]</f>
        <v>1</v>
      </c>
    </row>
    <row r="110" spans="1:11" x14ac:dyDescent="0.25">
      <c r="A110" s="18">
        <v>4</v>
      </c>
      <c r="B110" s="19">
        <v>22</v>
      </c>
      <c r="C110" s="19" t="s">
        <v>53</v>
      </c>
      <c r="D110" s="20">
        <v>1</v>
      </c>
      <c r="E110" s="21">
        <v>2</v>
      </c>
      <c r="F110" s="22" t="s">
        <v>2706</v>
      </c>
      <c r="G110" s="22" t="s">
        <v>2705</v>
      </c>
      <c r="H110" s="22" t="s">
        <v>2676</v>
      </c>
      <c r="I110" s="21" t="s">
        <v>1456</v>
      </c>
      <c r="J110" s="22" t="s">
        <v>2677</v>
      </c>
      <c r="K110" s="23">
        <f>Tabelle5[[#This Row],[value_present]]*Tabelle5[[#This Row],[binding_level]]</f>
        <v>2</v>
      </c>
    </row>
    <row r="111" spans="1:11" x14ac:dyDescent="0.25">
      <c r="A111" s="24">
        <v>4</v>
      </c>
      <c r="B111" s="2">
        <v>22</v>
      </c>
      <c r="C111" s="2" t="s">
        <v>61</v>
      </c>
      <c r="D111" s="3">
        <v>1</v>
      </c>
      <c r="E111" s="1">
        <v>2</v>
      </c>
      <c r="F111" t="s">
        <v>2708</v>
      </c>
      <c r="G111" t="s">
        <v>2707</v>
      </c>
      <c r="H111" t="s">
        <v>2678</v>
      </c>
      <c r="I111" s="1" t="s">
        <v>1456</v>
      </c>
      <c r="J111" t="s">
        <v>2679</v>
      </c>
      <c r="K111" s="25">
        <f>Tabelle5[[#This Row],[value_present]]*Tabelle5[[#This Row],[binding_level]]</f>
        <v>2</v>
      </c>
    </row>
    <row r="112" spans="1:11" x14ac:dyDescent="0.25">
      <c r="A112" s="24">
        <v>4</v>
      </c>
      <c r="B112" s="2">
        <v>22</v>
      </c>
      <c r="C112" s="2" t="s">
        <v>69</v>
      </c>
      <c r="D112" s="3">
        <v>1</v>
      </c>
      <c r="E112" s="1">
        <v>2</v>
      </c>
      <c r="F112" t="s">
        <v>2710</v>
      </c>
      <c r="G112" t="s">
        <v>2709</v>
      </c>
      <c r="H112" t="s">
        <v>2680</v>
      </c>
      <c r="I112" s="1" t="s">
        <v>1456</v>
      </c>
      <c r="J112" t="s">
        <v>2681</v>
      </c>
      <c r="K112" s="25">
        <f>Tabelle5[[#This Row],[value_present]]*Tabelle5[[#This Row],[binding_level]]</f>
        <v>2</v>
      </c>
    </row>
    <row r="113" spans="1:11" x14ac:dyDescent="0.25">
      <c r="A113" s="24">
        <v>4</v>
      </c>
      <c r="B113" s="2">
        <v>22</v>
      </c>
      <c r="C113" s="2" t="s">
        <v>76</v>
      </c>
      <c r="D113" s="3">
        <v>0</v>
      </c>
      <c r="E113" s="1"/>
      <c r="I113" s="1" t="s">
        <v>1457</v>
      </c>
      <c r="J113" t="s">
        <v>2682</v>
      </c>
      <c r="K113" s="25">
        <f>Tabelle5[[#This Row],[value_present]]*Tabelle5[[#This Row],[binding_level]]</f>
        <v>0</v>
      </c>
    </row>
    <row r="114" spans="1:11" x14ac:dyDescent="0.25">
      <c r="A114" s="24">
        <v>4</v>
      </c>
      <c r="B114" s="2">
        <v>22</v>
      </c>
      <c r="C114" s="2" t="s">
        <v>83</v>
      </c>
      <c r="D114" s="3">
        <v>1</v>
      </c>
      <c r="E114" s="1">
        <v>2</v>
      </c>
      <c r="F114" t="s">
        <v>2712</v>
      </c>
      <c r="G114" t="s">
        <v>2711</v>
      </c>
      <c r="H114" t="s">
        <v>2683</v>
      </c>
      <c r="I114" s="1" t="s">
        <v>1456</v>
      </c>
      <c r="J114" t="s">
        <v>2684</v>
      </c>
      <c r="K114" s="25">
        <f>Tabelle5[[#This Row],[value_present]]*Tabelle5[[#This Row],[binding_level]]</f>
        <v>2</v>
      </c>
    </row>
    <row r="115" spans="1:11" x14ac:dyDescent="0.25">
      <c r="A115" s="24">
        <v>4</v>
      </c>
      <c r="B115" s="2">
        <v>22</v>
      </c>
      <c r="C115" s="2" t="s">
        <v>90</v>
      </c>
      <c r="D115" s="3">
        <v>1</v>
      </c>
      <c r="E115" s="1">
        <v>2</v>
      </c>
      <c r="F115" t="s">
        <v>2714</v>
      </c>
      <c r="G115" t="s">
        <v>2713</v>
      </c>
      <c r="H115" t="s">
        <v>2685</v>
      </c>
      <c r="I115" s="1" t="s">
        <v>1456</v>
      </c>
      <c r="J115" t="s">
        <v>2686</v>
      </c>
      <c r="K115" s="25">
        <f>Tabelle5[[#This Row],[value_present]]*Tabelle5[[#This Row],[binding_level]]</f>
        <v>2</v>
      </c>
    </row>
    <row r="116" spans="1:11" x14ac:dyDescent="0.25">
      <c r="A116" s="24">
        <v>4</v>
      </c>
      <c r="B116" s="2">
        <v>22</v>
      </c>
      <c r="C116" s="2" t="s">
        <v>98</v>
      </c>
      <c r="D116" s="3">
        <v>1</v>
      </c>
      <c r="E116" s="1">
        <v>2</v>
      </c>
      <c r="F116" t="s">
        <v>2716</v>
      </c>
      <c r="G116" t="s">
        <v>2715</v>
      </c>
      <c r="H116" t="s">
        <v>2687</v>
      </c>
      <c r="I116" s="1" t="s">
        <v>1456</v>
      </c>
      <c r="J116" t="s">
        <v>2688</v>
      </c>
      <c r="K116" s="25">
        <f>Tabelle5[[#This Row],[value_present]]*Tabelle5[[#This Row],[binding_level]]</f>
        <v>2</v>
      </c>
    </row>
    <row r="117" spans="1:11" x14ac:dyDescent="0.25">
      <c r="A117" s="24">
        <v>4</v>
      </c>
      <c r="B117" s="2">
        <v>22</v>
      </c>
      <c r="C117" s="2" t="s">
        <v>106</v>
      </c>
      <c r="D117" s="3">
        <v>1</v>
      </c>
      <c r="E117" s="1">
        <v>2</v>
      </c>
      <c r="F117" t="s">
        <v>2721</v>
      </c>
      <c r="G117" t="s">
        <v>2718</v>
      </c>
      <c r="H117" t="s">
        <v>2689</v>
      </c>
      <c r="I117" s="1" t="s">
        <v>1456</v>
      </c>
      <c r="J117" t="s">
        <v>2690</v>
      </c>
      <c r="K117" s="25">
        <f>Tabelle5[[#This Row],[value_present]]*Tabelle5[[#This Row],[binding_level]]</f>
        <v>2</v>
      </c>
    </row>
    <row r="118" spans="1:11" x14ac:dyDescent="0.25">
      <c r="A118" s="24">
        <v>4</v>
      </c>
      <c r="B118" s="2">
        <v>22</v>
      </c>
      <c r="C118" s="2" t="s">
        <v>112</v>
      </c>
      <c r="D118" s="3">
        <v>1</v>
      </c>
      <c r="E118" s="1">
        <v>2</v>
      </c>
      <c r="F118" t="s">
        <v>2719</v>
      </c>
      <c r="G118" t="s">
        <v>2720</v>
      </c>
      <c r="H118" t="s">
        <v>2691</v>
      </c>
      <c r="I118" s="1" t="s">
        <v>1456</v>
      </c>
      <c r="J118" t="s">
        <v>2692</v>
      </c>
      <c r="K118" s="25">
        <f>Tabelle5[[#This Row],[value_present]]*Tabelle5[[#This Row],[binding_level]]</f>
        <v>2</v>
      </c>
    </row>
    <row r="119" spans="1:11" x14ac:dyDescent="0.25">
      <c r="A119" s="24">
        <v>4</v>
      </c>
      <c r="B119" s="2">
        <v>22</v>
      </c>
      <c r="C119" s="2" t="s">
        <v>118</v>
      </c>
      <c r="D119" s="3">
        <v>0</v>
      </c>
      <c r="E119" s="1"/>
      <c r="I119" s="1" t="s">
        <v>1456</v>
      </c>
      <c r="J119" t="s">
        <v>2160</v>
      </c>
      <c r="K119" s="25">
        <f>Tabelle5[[#This Row],[value_present]]*Tabelle5[[#This Row],[binding_level]]</f>
        <v>0</v>
      </c>
    </row>
    <row r="120" spans="1:11" x14ac:dyDescent="0.25">
      <c r="A120" s="24">
        <v>4</v>
      </c>
      <c r="B120" s="2">
        <v>22</v>
      </c>
      <c r="C120" s="2" t="s">
        <v>125</v>
      </c>
      <c r="D120" s="3">
        <v>0</v>
      </c>
      <c r="E120" s="1"/>
      <c r="I120" s="1" t="s">
        <v>1457</v>
      </c>
      <c r="J120" t="s">
        <v>2693</v>
      </c>
      <c r="K120" s="25">
        <f>Tabelle5[[#This Row],[value_present]]*Tabelle5[[#This Row],[binding_level]]</f>
        <v>0</v>
      </c>
    </row>
    <row r="121" spans="1:11" x14ac:dyDescent="0.25">
      <c r="A121" s="24">
        <v>4</v>
      </c>
      <c r="B121" s="2">
        <v>22</v>
      </c>
      <c r="C121" s="2" t="s">
        <v>132</v>
      </c>
      <c r="D121" s="3">
        <v>0</v>
      </c>
      <c r="E121" s="1"/>
      <c r="I121" s="1" t="s">
        <v>1456</v>
      </c>
      <c r="J121" t="s">
        <v>2694</v>
      </c>
      <c r="K121" s="25">
        <f>Tabelle5[[#This Row],[value_present]]*Tabelle5[[#This Row],[binding_level]]</f>
        <v>0</v>
      </c>
    </row>
    <row r="122" spans="1:11" x14ac:dyDescent="0.25">
      <c r="A122" s="24">
        <v>4</v>
      </c>
      <c r="B122" s="2">
        <v>22</v>
      </c>
      <c r="C122" s="2" t="s">
        <v>140</v>
      </c>
      <c r="D122" s="3">
        <v>0</v>
      </c>
      <c r="E122" s="1"/>
      <c r="I122" s="1" t="s">
        <v>1457</v>
      </c>
      <c r="J122" t="s">
        <v>2695</v>
      </c>
      <c r="K122" s="25">
        <f>Tabelle5[[#This Row],[value_present]]*Tabelle5[[#This Row],[binding_level]]</f>
        <v>0</v>
      </c>
    </row>
    <row r="123" spans="1:11" x14ac:dyDescent="0.25">
      <c r="A123" s="24">
        <v>4</v>
      </c>
      <c r="B123" s="2">
        <v>22</v>
      </c>
      <c r="C123" s="2" t="s">
        <v>147</v>
      </c>
      <c r="D123" s="3">
        <v>1</v>
      </c>
      <c r="E123" s="1">
        <v>2</v>
      </c>
      <c r="F123" t="s">
        <v>2722</v>
      </c>
      <c r="G123" t="s">
        <v>2717</v>
      </c>
      <c r="H123" t="s">
        <v>2696</v>
      </c>
      <c r="I123" s="1" t="s">
        <v>1456</v>
      </c>
      <c r="J123" t="s">
        <v>2697</v>
      </c>
      <c r="K123" s="25">
        <f>Tabelle5[[#This Row],[value_present]]*Tabelle5[[#This Row],[binding_level]]</f>
        <v>2</v>
      </c>
    </row>
    <row r="124" spans="1:11" x14ac:dyDescent="0.25">
      <c r="A124" s="24">
        <v>4</v>
      </c>
      <c r="B124" s="2">
        <v>22</v>
      </c>
      <c r="C124" s="2" t="s">
        <v>154</v>
      </c>
      <c r="D124" s="3">
        <v>1</v>
      </c>
      <c r="E124" s="1">
        <v>2</v>
      </c>
      <c r="F124" t="s">
        <v>2724</v>
      </c>
      <c r="G124" t="s">
        <v>2723</v>
      </c>
      <c r="H124" t="s">
        <v>2698</v>
      </c>
      <c r="I124" s="1" t="s">
        <v>1456</v>
      </c>
      <c r="J124" t="s">
        <v>2699</v>
      </c>
      <c r="K124" s="25">
        <f>Tabelle5[[#This Row],[value_present]]*Tabelle5[[#This Row],[binding_level]]</f>
        <v>2</v>
      </c>
    </row>
    <row r="125" spans="1:11" x14ac:dyDescent="0.25">
      <c r="A125" s="24">
        <v>4</v>
      </c>
      <c r="B125" s="2">
        <v>22</v>
      </c>
      <c r="C125" s="2" t="s">
        <v>161</v>
      </c>
      <c r="D125" s="3">
        <v>1</v>
      </c>
      <c r="E125" s="1">
        <v>1</v>
      </c>
      <c r="F125" t="s">
        <v>2726</v>
      </c>
      <c r="G125" t="s">
        <v>2725</v>
      </c>
      <c r="H125" t="s">
        <v>2700</v>
      </c>
      <c r="I125" s="1" t="s">
        <v>1457</v>
      </c>
      <c r="J125" t="s">
        <v>2701</v>
      </c>
      <c r="K125" s="25">
        <f>Tabelle5[[#This Row],[value_present]]*Tabelle5[[#This Row],[binding_level]]</f>
        <v>1</v>
      </c>
    </row>
    <row r="126" spans="1:11" x14ac:dyDescent="0.25">
      <c r="A126" s="24">
        <v>4</v>
      </c>
      <c r="B126" s="2">
        <v>22</v>
      </c>
      <c r="C126" s="2" t="s">
        <v>166</v>
      </c>
      <c r="D126" s="3">
        <v>0</v>
      </c>
      <c r="E126" s="1"/>
      <c r="I126" s="1" t="s">
        <v>1457</v>
      </c>
      <c r="J126" t="s">
        <v>2702</v>
      </c>
      <c r="K126" s="25">
        <f>Tabelle5[[#This Row],[value_present]]*Tabelle5[[#This Row],[binding_level]]</f>
        <v>0</v>
      </c>
    </row>
    <row r="127" spans="1:11" ht="15.75" thickBot="1" x14ac:dyDescent="0.3">
      <c r="A127" s="24">
        <v>4</v>
      </c>
      <c r="B127" s="2">
        <v>22</v>
      </c>
      <c r="C127" s="2" t="s">
        <v>174</v>
      </c>
      <c r="D127" s="3">
        <v>1</v>
      </c>
      <c r="E127" s="1">
        <v>2</v>
      </c>
      <c r="F127" t="s">
        <v>2714</v>
      </c>
      <c r="G127" t="s">
        <v>2727</v>
      </c>
      <c r="H127" t="s">
        <v>2703</v>
      </c>
      <c r="I127" s="1" t="s">
        <v>1456</v>
      </c>
      <c r="J127" t="s">
        <v>2704</v>
      </c>
      <c r="K127" s="25">
        <f>Tabelle5[[#This Row],[value_present]]*Tabelle5[[#This Row],[binding_level]]</f>
        <v>2</v>
      </c>
    </row>
    <row r="128" spans="1:11" x14ac:dyDescent="0.25">
      <c r="A128" s="18">
        <v>4</v>
      </c>
      <c r="B128" s="19">
        <v>23</v>
      </c>
      <c r="C128" s="19" t="s">
        <v>53</v>
      </c>
      <c r="D128" s="20">
        <v>0</v>
      </c>
      <c r="E128" s="21"/>
      <c r="F128" s="22"/>
      <c r="G128" s="22"/>
      <c r="H128" s="22"/>
      <c r="I128" s="21" t="s">
        <v>1456</v>
      </c>
      <c r="J128" s="22" t="s">
        <v>2489</v>
      </c>
      <c r="K128" s="23">
        <f>Tabelle5[[#This Row],[value_present]]*Tabelle5[[#This Row],[binding_level]]</f>
        <v>0</v>
      </c>
    </row>
    <row r="129" spans="1:11" x14ac:dyDescent="0.25">
      <c r="A129" s="24">
        <v>4</v>
      </c>
      <c r="B129" s="2">
        <v>23</v>
      </c>
      <c r="C129" s="2" t="s">
        <v>61</v>
      </c>
      <c r="D129" s="3">
        <v>0</v>
      </c>
      <c r="E129" s="1"/>
      <c r="I129" s="1" t="s">
        <v>1457</v>
      </c>
      <c r="J129" t="s">
        <v>2750</v>
      </c>
      <c r="K129" s="25">
        <f>Tabelle5[[#This Row],[value_present]]*Tabelle5[[#This Row],[binding_level]]</f>
        <v>0</v>
      </c>
    </row>
    <row r="130" spans="1:11" x14ac:dyDescent="0.25">
      <c r="A130" s="24">
        <v>4</v>
      </c>
      <c r="B130" s="2">
        <v>23</v>
      </c>
      <c r="C130" s="2" t="s">
        <v>69</v>
      </c>
      <c r="D130" s="3">
        <v>1</v>
      </c>
      <c r="E130" s="1">
        <v>1</v>
      </c>
      <c r="F130" t="s">
        <v>2766</v>
      </c>
      <c r="G130" t="s">
        <v>2765</v>
      </c>
      <c r="H130" t="s">
        <v>2751</v>
      </c>
      <c r="I130" s="1" t="s">
        <v>1457</v>
      </c>
      <c r="J130" t="s">
        <v>2752</v>
      </c>
      <c r="K130" s="25">
        <f>Tabelle5[[#This Row],[value_present]]*Tabelle5[[#This Row],[binding_level]]</f>
        <v>1</v>
      </c>
    </row>
    <row r="131" spans="1:11" x14ac:dyDescent="0.25">
      <c r="A131" s="24">
        <v>4</v>
      </c>
      <c r="B131" s="2">
        <v>23</v>
      </c>
      <c r="C131" s="2" t="s">
        <v>76</v>
      </c>
      <c r="D131" s="3">
        <v>0</v>
      </c>
      <c r="E131" s="1"/>
      <c r="I131" s="1" t="s">
        <v>1456</v>
      </c>
      <c r="J131" t="s">
        <v>2493</v>
      </c>
      <c r="K131" s="25">
        <f>Tabelle5[[#This Row],[value_present]]*Tabelle5[[#This Row],[binding_level]]</f>
        <v>0</v>
      </c>
    </row>
    <row r="132" spans="1:11" x14ac:dyDescent="0.25">
      <c r="A132" s="24">
        <v>4</v>
      </c>
      <c r="B132" s="2">
        <v>23</v>
      </c>
      <c r="C132" s="2" t="s">
        <v>83</v>
      </c>
      <c r="D132" s="3">
        <v>1</v>
      </c>
      <c r="E132" s="1">
        <v>1</v>
      </c>
      <c r="F132" t="s">
        <v>2768</v>
      </c>
      <c r="G132" t="s">
        <v>2767</v>
      </c>
      <c r="H132" t="s">
        <v>2753</v>
      </c>
      <c r="I132" s="1" t="s">
        <v>1456</v>
      </c>
      <c r="J132" t="s">
        <v>2754</v>
      </c>
      <c r="K132" s="25">
        <f>Tabelle5[[#This Row],[value_present]]*Tabelle5[[#This Row],[binding_level]]</f>
        <v>1</v>
      </c>
    </row>
    <row r="133" spans="1:11" x14ac:dyDescent="0.25">
      <c r="A133" s="24">
        <v>4</v>
      </c>
      <c r="B133" s="2">
        <v>23</v>
      </c>
      <c r="C133" s="2" t="s">
        <v>90</v>
      </c>
      <c r="D133" s="3">
        <v>1</v>
      </c>
      <c r="E133" s="1">
        <v>1</v>
      </c>
      <c r="F133" t="s">
        <v>2766</v>
      </c>
      <c r="G133" t="s">
        <v>2765</v>
      </c>
      <c r="H133" t="s">
        <v>2751</v>
      </c>
      <c r="I133" s="1" t="s">
        <v>1457</v>
      </c>
      <c r="J133" t="s">
        <v>2755</v>
      </c>
      <c r="K133" s="25">
        <f>Tabelle5[[#This Row],[value_present]]*Tabelle5[[#This Row],[binding_level]]</f>
        <v>1</v>
      </c>
    </row>
    <row r="134" spans="1:11" x14ac:dyDescent="0.25">
      <c r="A134" s="24">
        <v>4</v>
      </c>
      <c r="B134" s="2">
        <v>23</v>
      </c>
      <c r="C134" s="2" t="s">
        <v>98</v>
      </c>
      <c r="D134" s="3">
        <v>0</v>
      </c>
      <c r="E134" s="1"/>
      <c r="I134" s="1" t="s">
        <v>1456</v>
      </c>
      <c r="J134" t="s">
        <v>2756</v>
      </c>
      <c r="K134" s="25">
        <f>Tabelle5[[#This Row],[value_present]]*Tabelle5[[#This Row],[binding_level]]</f>
        <v>0</v>
      </c>
    </row>
    <row r="135" spans="1:11" x14ac:dyDescent="0.25">
      <c r="A135" s="24">
        <v>4</v>
      </c>
      <c r="B135" s="2">
        <v>23</v>
      </c>
      <c r="C135" s="2" t="s">
        <v>106</v>
      </c>
      <c r="D135" s="3">
        <v>0</v>
      </c>
      <c r="E135" s="1"/>
      <c r="I135" s="1" t="s">
        <v>1456</v>
      </c>
      <c r="J135" t="s">
        <v>2757</v>
      </c>
      <c r="K135" s="25">
        <f>Tabelle5[[#This Row],[value_present]]*Tabelle5[[#This Row],[binding_level]]</f>
        <v>0</v>
      </c>
    </row>
    <row r="136" spans="1:11" x14ac:dyDescent="0.25">
      <c r="A136" s="24">
        <v>4</v>
      </c>
      <c r="B136" s="2">
        <v>23</v>
      </c>
      <c r="C136" s="2" t="s">
        <v>112</v>
      </c>
      <c r="D136" s="3">
        <v>0</v>
      </c>
      <c r="E136" s="1"/>
      <c r="I136" s="1" t="s">
        <v>1456</v>
      </c>
      <c r="J136" t="s">
        <v>2758</v>
      </c>
      <c r="K136" s="25">
        <f>Tabelle5[[#This Row],[value_present]]*Tabelle5[[#This Row],[binding_level]]</f>
        <v>0</v>
      </c>
    </row>
    <row r="137" spans="1:11" x14ac:dyDescent="0.25">
      <c r="A137" s="24">
        <v>4</v>
      </c>
      <c r="B137" s="2">
        <v>23</v>
      </c>
      <c r="C137" s="2" t="s">
        <v>118</v>
      </c>
      <c r="D137" s="3">
        <v>0</v>
      </c>
      <c r="E137" s="1"/>
      <c r="I137" s="1" t="s">
        <v>1456</v>
      </c>
      <c r="J137" t="s">
        <v>2606</v>
      </c>
      <c r="K137" s="25">
        <f>Tabelle5[[#This Row],[value_present]]*Tabelle5[[#This Row],[binding_level]]</f>
        <v>0</v>
      </c>
    </row>
    <row r="138" spans="1:11" x14ac:dyDescent="0.25">
      <c r="A138" s="24">
        <v>4</v>
      </c>
      <c r="B138" s="2">
        <v>23</v>
      </c>
      <c r="C138" s="2" t="s">
        <v>125</v>
      </c>
      <c r="D138" s="3">
        <v>1</v>
      </c>
      <c r="E138" s="1">
        <v>2</v>
      </c>
      <c r="F138" t="s">
        <v>2770</v>
      </c>
      <c r="G138" t="s">
        <v>2769</v>
      </c>
      <c r="H138" t="s">
        <v>2753</v>
      </c>
      <c r="I138" s="1" t="s">
        <v>1456</v>
      </c>
      <c r="J138" t="s">
        <v>2759</v>
      </c>
      <c r="K138" s="25">
        <f>Tabelle5[[#This Row],[value_present]]*Tabelle5[[#This Row],[binding_level]]</f>
        <v>2</v>
      </c>
    </row>
    <row r="139" spans="1:11" x14ac:dyDescent="0.25">
      <c r="A139" s="24">
        <v>4</v>
      </c>
      <c r="B139" s="2">
        <v>23</v>
      </c>
      <c r="C139" s="2" t="s">
        <v>132</v>
      </c>
      <c r="D139" s="3">
        <v>0</v>
      </c>
      <c r="E139" s="1"/>
      <c r="I139" s="1" t="s">
        <v>1456</v>
      </c>
      <c r="J139" t="s">
        <v>2694</v>
      </c>
      <c r="K139" s="25">
        <f>Tabelle5[[#This Row],[value_present]]*Tabelle5[[#This Row],[binding_level]]</f>
        <v>0</v>
      </c>
    </row>
    <row r="140" spans="1:11" x14ac:dyDescent="0.25">
      <c r="A140" s="24">
        <v>4</v>
      </c>
      <c r="B140" s="2">
        <v>23</v>
      </c>
      <c r="C140" s="2" t="s">
        <v>140</v>
      </c>
      <c r="D140" s="3">
        <v>1</v>
      </c>
      <c r="E140" s="1">
        <v>1</v>
      </c>
      <c r="F140" t="s">
        <v>2772</v>
      </c>
      <c r="G140" t="s">
        <v>2771</v>
      </c>
      <c r="H140" t="s">
        <v>2753</v>
      </c>
      <c r="I140" s="1" t="s">
        <v>1457</v>
      </c>
      <c r="J140" t="s">
        <v>2760</v>
      </c>
      <c r="K140" s="25">
        <f>Tabelle5[[#This Row],[value_present]]*Tabelle5[[#This Row],[binding_level]]</f>
        <v>1</v>
      </c>
    </row>
    <row r="141" spans="1:11" x14ac:dyDescent="0.25">
      <c r="A141" s="24">
        <v>4</v>
      </c>
      <c r="B141" s="2">
        <v>23</v>
      </c>
      <c r="C141" s="2" t="s">
        <v>147</v>
      </c>
      <c r="D141" s="3">
        <v>0</v>
      </c>
      <c r="E141" s="1"/>
      <c r="I141" s="1" t="s">
        <v>1457</v>
      </c>
      <c r="J141" t="s">
        <v>2761</v>
      </c>
      <c r="K141" s="25">
        <f>Tabelle5[[#This Row],[value_present]]*Tabelle5[[#This Row],[binding_level]]</f>
        <v>0</v>
      </c>
    </row>
    <row r="142" spans="1:11" x14ac:dyDescent="0.25">
      <c r="A142" s="24">
        <v>4</v>
      </c>
      <c r="B142" s="2">
        <v>23</v>
      </c>
      <c r="C142" s="2" t="s">
        <v>154</v>
      </c>
      <c r="D142" s="3">
        <v>1</v>
      </c>
      <c r="E142" s="1">
        <v>2</v>
      </c>
      <c r="F142" t="s">
        <v>2774</v>
      </c>
      <c r="G142" t="s">
        <v>2773</v>
      </c>
      <c r="H142" t="s">
        <v>2753</v>
      </c>
      <c r="I142" s="1" t="s">
        <v>1456</v>
      </c>
      <c r="J142" t="s">
        <v>2762</v>
      </c>
      <c r="K142" s="25">
        <f>Tabelle5[[#This Row],[value_present]]*Tabelle5[[#This Row],[binding_level]]</f>
        <v>2</v>
      </c>
    </row>
    <row r="143" spans="1:11" x14ac:dyDescent="0.25">
      <c r="A143" s="24">
        <v>4</v>
      </c>
      <c r="B143" s="2">
        <v>23</v>
      </c>
      <c r="C143" s="2" t="s">
        <v>161</v>
      </c>
      <c r="D143" s="3">
        <v>0</v>
      </c>
      <c r="E143" s="1"/>
      <c r="I143" s="1" t="s">
        <v>1456</v>
      </c>
      <c r="J143" t="s">
        <v>2763</v>
      </c>
      <c r="K143" s="25">
        <f>Tabelle5[[#This Row],[value_present]]*Tabelle5[[#This Row],[binding_level]]</f>
        <v>0</v>
      </c>
    </row>
    <row r="144" spans="1:11" x14ac:dyDescent="0.25">
      <c r="A144" s="24">
        <v>4</v>
      </c>
      <c r="B144" s="2">
        <v>23</v>
      </c>
      <c r="C144" s="2" t="s">
        <v>166</v>
      </c>
      <c r="D144" s="3">
        <v>0</v>
      </c>
      <c r="E144" s="1"/>
      <c r="I144" s="1" t="s">
        <v>1456</v>
      </c>
      <c r="J144" t="s">
        <v>2505</v>
      </c>
      <c r="K144" s="25">
        <f>Tabelle5[[#This Row],[value_present]]*Tabelle5[[#This Row],[binding_level]]</f>
        <v>0</v>
      </c>
    </row>
    <row r="145" spans="1:11" ht="15.75" thickBot="1" x14ac:dyDescent="0.3">
      <c r="A145" s="26">
        <v>4</v>
      </c>
      <c r="B145" s="27">
        <v>23</v>
      </c>
      <c r="C145" s="27" t="s">
        <v>174</v>
      </c>
      <c r="D145" s="28">
        <v>0</v>
      </c>
      <c r="E145" s="29"/>
      <c r="F145" s="30"/>
      <c r="G145" s="30"/>
      <c r="H145" s="30"/>
      <c r="I145" s="29" t="s">
        <v>1456</v>
      </c>
      <c r="J145" s="30" t="s">
        <v>2764</v>
      </c>
      <c r="K145" s="31">
        <f>Tabelle5[[#This Row],[value_present]]*Tabelle5[[#This Row],[binding_level]]</f>
        <v>0</v>
      </c>
    </row>
    <row r="146" spans="1:11" x14ac:dyDescent="0.25">
      <c r="A146" s="18">
        <v>4</v>
      </c>
      <c r="B146" s="19">
        <v>24</v>
      </c>
      <c r="C146" s="19" t="s">
        <v>53</v>
      </c>
      <c r="D146" s="20">
        <v>1</v>
      </c>
      <c r="E146" s="21">
        <v>2</v>
      </c>
      <c r="F146" s="22" t="s">
        <v>2810</v>
      </c>
      <c r="G146" s="22" t="s">
        <v>2811</v>
      </c>
      <c r="H146" s="22" t="s">
        <v>2797</v>
      </c>
      <c r="I146" s="21" t="s">
        <v>1456</v>
      </c>
      <c r="J146" s="22" t="s">
        <v>2798</v>
      </c>
      <c r="K146" s="23">
        <f>Tabelle5[[#This Row],[value_present]]*Tabelle5[[#This Row],[binding_level]]</f>
        <v>2</v>
      </c>
    </row>
    <row r="147" spans="1:11" x14ac:dyDescent="0.25">
      <c r="A147" s="24">
        <v>4</v>
      </c>
      <c r="B147" s="2">
        <v>24</v>
      </c>
      <c r="C147" s="2" t="s">
        <v>61</v>
      </c>
      <c r="D147" s="3">
        <v>0</v>
      </c>
      <c r="E147" s="1"/>
      <c r="I147" s="1" t="s">
        <v>1456</v>
      </c>
      <c r="J147" t="s">
        <v>2799</v>
      </c>
      <c r="K147" s="25">
        <f>Tabelle5[[#This Row],[value_present]]*Tabelle5[[#This Row],[binding_level]]</f>
        <v>0</v>
      </c>
    </row>
    <row r="148" spans="1:11" x14ac:dyDescent="0.25">
      <c r="A148" s="24">
        <v>4</v>
      </c>
      <c r="B148" s="2">
        <v>24</v>
      </c>
      <c r="C148" s="2" t="s">
        <v>69</v>
      </c>
      <c r="D148" s="3">
        <v>0</v>
      </c>
      <c r="E148" s="1"/>
      <c r="I148" s="1" t="s">
        <v>1456</v>
      </c>
      <c r="J148" t="s">
        <v>2800</v>
      </c>
      <c r="K148" s="25">
        <f>Tabelle5[[#This Row],[value_present]]*Tabelle5[[#This Row],[binding_level]]</f>
        <v>0</v>
      </c>
    </row>
    <row r="149" spans="1:11" x14ac:dyDescent="0.25">
      <c r="A149" s="24">
        <v>4</v>
      </c>
      <c r="B149" s="2">
        <v>24</v>
      </c>
      <c r="C149" s="2" t="s">
        <v>76</v>
      </c>
      <c r="D149" s="3">
        <v>0</v>
      </c>
      <c r="E149" s="1"/>
      <c r="I149" s="1" t="s">
        <v>1456</v>
      </c>
      <c r="J149" t="s">
        <v>2493</v>
      </c>
      <c r="K149" s="25">
        <f>Tabelle5[[#This Row],[value_present]]*Tabelle5[[#This Row],[binding_level]]</f>
        <v>0</v>
      </c>
    </row>
    <row r="150" spans="1:11" x14ac:dyDescent="0.25">
      <c r="A150" s="24">
        <v>4</v>
      </c>
      <c r="B150" s="2">
        <v>24</v>
      </c>
      <c r="C150" s="2" t="s">
        <v>83</v>
      </c>
      <c r="D150" s="3">
        <v>0</v>
      </c>
      <c r="E150" s="1"/>
      <c r="I150" s="1" t="s">
        <v>1456</v>
      </c>
      <c r="J150" t="s">
        <v>2801</v>
      </c>
      <c r="K150" s="25">
        <f>Tabelle5[[#This Row],[value_present]]*Tabelle5[[#This Row],[binding_level]]</f>
        <v>0</v>
      </c>
    </row>
    <row r="151" spans="1:11" x14ac:dyDescent="0.25">
      <c r="A151" s="24">
        <v>4</v>
      </c>
      <c r="B151" s="2">
        <v>24</v>
      </c>
      <c r="C151" s="2" t="s">
        <v>90</v>
      </c>
      <c r="D151" s="3">
        <v>1</v>
      </c>
      <c r="E151" s="1">
        <v>2</v>
      </c>
      <c r="F151" t="s">
        <v>2813</v>
      </c>
      <c r="G151" t="s">
        <v>2812</v>
      </c>
      <c r="H151" t="s">
        <v>2797</v>
      </c>
      <c r="I151" s="1" t="s">
        <v>1456</v>
      </c>
      <c r="J151" t="s">
        <v>2802</v>
      </c>
      <c r="K151" s="25">
        <f>Tabelle5[[#This Row],[value_present]]*Tabelle5[[#This Row],[binding_level]]</f>
        <v>2</v>
      </c>
    </row>
    <row r="152" spans="1:11" x14ac:dyDescent="0.25">
      <c r="A152" s="24">
        <v>4</v>
      </c>
      <c r="B152" s="2">
        <v>24</v>
      </c>
      <c r="C152" s="2" t="s">
        <v>98</v>
      </c>
      <c r="D152" s="3">
        <v>0</v>
      </c>
      <c r="E152" s="1"/>
      <c r="I152" s="1" t="s">
        <v>1457</v>
      </c>
      <c r="J152" t="s">
        <v>2803</v>
      </c>
      <c r="K152" s="25">
        <f>Tabelle5[[#This Row],[value_present]]*Tabelle5[[#This Row],[binding_level]]</f>
        <v>0</v>
      </c>
    </row>
    <row r="153" spans="1:11" x14ac:dyDescent="0.25">
      <c r="A153" s="24">
        <v>4</v>
      </c>
      <c r="B153" s="2">
        <v>24</v>
      </c>
      <c r="C153" s="2" t="s">
        <v>106</v>
      </c>
      <c r="D153" s="3">
        <v>0</v>
      </c>
      <c r="E153" s="1"/>
      <c r="I153" s="1" t="s">
        <v>1456</v>
      </c>
      <c r="J153" t="s">
        <v>2804</v>
      </c>
      <c r="K153" s="25">
        <f>Tabelle5[[#This Row],[value_present]]*Tabelle5[[#This Row],[binding_level]]</f>
        <v>0</v>
      </c>
    </row>
    <row r="154" spans="1:11" x14ac:dyDescent="0.25">
      <c r="A154" s="24">
        <v>4</v>
      </c>
      <c r="B154" s="2">
        <v>24</v>
      </c>
      <c r="C154" s="2" t="s">
        <v>112</v>
      </c>
      <c r="D154" s="3">
        <v>0</v>
      </c>
      <c r="E154" s="1"/>
      <c r="I154" s="1" t="s">
        <v>1456</v>
      </c>
      <c r="J154" t="s">
        <v>2758</v>
      </c>
      <c r="K154" s="25">
        <f>Tabelle5[[#This Row],[value_present]]*Tabelle5[[#This Row],[binding_level]]</f>
        <v>0</v>
      </c>
    </row>
    <row r="155" spans="1:11" x14ac:dyDescent="0.25">
      <c r="A155" s="24">
        <v>4</v>
      </c>
      <c r="B155" s="2">
        <v>24</v>
      </c>
      <c r="C155" s="2" t="s">
        <v>118</v>
      </c>
      <c r="D155" s="3">
        <v>0</v>
      </c>
      <c r="E155" s="1"/>
      <c r="I155" s="1" t="s">
        <v>1456</v>
      </c>
      <c r="J155" t="s">
        <v>2160</v>
      </c>
      <c r="K155" s="25">
        <f>Tabelle5[[#This Row],[value_present]]*Tabelle5[[#This Row],[binding_level]]</f>
        <v>0</v>
      </c>
    </row>
    <row r="156" spans="1:11" x14ac:dyDescent="0.25">
      <c r="A156" s="24">
        <v>4</v>
      </c>
      <c r="B156" s="2">
        <v>24</v>
      </c>
      <c r="C156" s="2" t="s">
        <v>125</v>
      </c>
      <c r="D156" s="3">
        <v>0</v>
      </c>
      <c r="E156" s="1"/>
      <c r="I156" s="1" t="s">
        <v>1456</v>
      </c>
      <c r="J156" t="s">
        <v>2499</v>
      </c>
      <c r="K156" s="25">
        <f>Tabelle5[[#This Row],[value_present]]*Tabelle5[[#This Row],[binding_level]]</f>
        <v>0</v>
      </c>
    </row>
    <row r="157" spans="1:11" x14ac:dyDescent="0.25">
      <c r="A157" s="24">
        <v>4</v>
      </c>
      <c r="B157" s="2">
        <v>24</v>
      </c>
      <c r="C157" s="2" t="s">
        <v>132</v>
      </c>
      <c r="D157" s="3">
        <v>0</v>
      </c>
      <c r="E157" s="1"/>
      <c r="I157" s="1" t="s">
        <v>1456</v>
      </c>
      <c r="J157" t="s">
        <v>2805</v>
      </c>
      <c r="K157" s="25">
        <f>Tabelle5[[#This Row],[value_present]]*Tabelle5[[#This Row],[binding_level]]</f>
        <v>0</v>
      </c>
    </row>
    <row r="158" spans="1:11" x14ac:dyDescent="0.25">
      <c r="A158" s="24">
        <v>4</v>
      </c>
      <c r="B158" s="2">
        <v>24</v>
      </c>
      <c r="C158" s="2" t="s">
        <v>140</v>
      </c>
      <c r="D158" s="3">
        <v>0</v>
      </c>
      <c r="E158" s="1"/>
      <c r="I158" s="1" t="s">
        <v>1457</v>
      </c>
      <c r="J158" t="s">
        <v>2806</v>
      </c>
      <c r="K158" s="25">
        <f>Tabelle5[[#This Row],[value_present]]*Tabelle5[[#This Row],[binding_level]]</f>
        <v>0</v>
      </c>
    </row>
    <row r="159" spans="1:11" x14ac:dyDescent="0.25">
      <c r="A159" s="24">
        <v>4</v>
      </c>
      <c r="B159" s="2">
        <v>24</v>
      </c>
      <c r="C159" s="2" t="s">
        <v>147</v>
      </c>
      <c r="D159" s="3">
        <v>1</v>
      </c>
      <c r="E159" s="1">
        <v>2</v>
      </c>
      <c r="F159" t="s">
        <v>2815</v>
      </c>
      <c r="G159" t="s">
        <v>2814</v>
      </c>
      <c r="H159" t="s">
        <v>2797</v>
      </c>
      <c r="I159" s="1" t="s">
        <v>1456</v>
      </c>
      <c r="J159" t="s">
        <v>2807</v>
      </c>
      <c r="K159" s="25">
        <f>Tabelle5[[#This Row],[value_present]]*Tabelle5[[#This Row],[binding_level]]</f>
        <v>2</v>
      </c>
    </row>
    <row r="160" spans="1:11" x14ac:dyDescent="0.25">
      <c r="A160" s="24">
        <v>4</v>
      </c>
      <c r="B160" s="2">
        <v>24</v>
      </c>
      <c r="C160" s="2" t="s">
        <v>154</v>
      </c>
      <c r="D160" s="3">
        <v>0</v>
      </c>
      <c r="E160" s="1"/>
      <c r="I160" s="1" t="s">
        <v>1457</v>
      </c>
      <c r="J160" t="s">
        <v>2808</v>
      </c>
      <c r="K160" s="25">
        <f>Tabelle5[[#This Row],[value_present]]*Tabelle5[[#This Row],[binding_level]]</f>
        <v>0</v>
      </c>
    </row>
    <row r="161" spans="1:11" x14ac:dyDescent="0.25">
      <c r="A161" s="24">
        <v>4</v>
      </c>
      <c r="B161" s="2">
        <v>24</v>
      </c>
      <c r="C161" s="2" t="s">
        <v>161</v>
      </c>
      <c r="D161" s="3">
        <v>0</v>
      </c>
      <c r="E161" s="1"/>
      <c r="I161" s="1" t="s">
        <v>1456</v>
      </c>
      <c r="J161" t="s">
        <v>2809</v>
      </c>
      <c r="K161" s="25">
        <f>Tabelle5[[#This Row],[value_present]]*Tabelle5[[#This Row],[binding_level]]</f>
        <v>0</v>
      </c>
    </row>
    <row r="162" spans="1:11" x14ac:dyDescent="0.25">
      <c r="A162" s="24">
        <v>4</v>
      </c>
      <c r="B162" s="2">
        <v>24</v>
      </c>
      <c r="C162" s="2" t="s">
        <v>166</v>
      </c>
      <c r="D162" s="3">
        <v>0</v>
      </c>
      <c r="E162" s="1"/>
      <c r="I162" s="1" t="s">
        <v>1456</v>
      </c>
      <c r="J162" t="s">
        <v>2505</v>
      </c>
      <c r="K162" s="25">
        <f>Tabelle5[[#This Row],[value_present]]*Tabelle5[[#This Row],[binding_level]]</f>
        <v>0</v>
      </c>
    </row>
    <row r="163" spans="1:11" ht="15.75" thickBot="1" x14ac:dyDescent="0.3">
      <c r="A163" s="26">
        <v>4</v>
      </c>
      <c r="B163" s="27">
        <v>24</v>
      </c>
      <c r="C163" s="27" t="s">
        <v>174</v>
      </c>
      <c r="D163" s="28">
        <v>0</v>
      </c>
      <c r="E163" s="29"/>
      <c r="F163" s="30"/>
      <c r="G163" s="30"/>
      <c r="H163" s="30"/>
      <c r="I163" s="29" t="s">
        <v>1456</v>
      </c>
      <c r="J163" s="30" t="s">
        <v>2506</v>
      </c>
      <c r="K163" s="31">
        <f>Tabelle5[[#This Row],[value_present]]*Tabelle5[[#This Row],[binding_level]]</f>
        <v>0</v>
      </c>
    </row>
    <row r="164" spans="1:11" x14ac:dyDescent="0.25">
      <c r="A164" s="18">
        <v>5</v>
      </c>
      <c r="B164" s="19">
        <v>27</v>
      </c>
      <c r="C164" s="19" t="s">
        <v>53</v>
      </c>
      <c r="D164" s="20">
        <v>1</v>
      </c>
      <c r="E164" s="21">
        <v>2</v>
      </c>
      <c r="F164" s="22" t="s">
        <v>2852</v>
      </c>
      <c r="G164" s="22" t="s">
        <v>2853</v>
      </c>
      <c r="H164" s="22" t="s">
        <v>2833</v>
      </c>
      <c r="I164" s="21" t="s">
        <v>1456</v>
      </c>
      <c r="J164" s="22" t="s">
        <v>2834</v>
      </c>
      <c r="K164" s="23">
        <f>Tabelle5[[#This Row],[value_present]]*Tabelle5[[#This Row],[binding_level]]</f>
        <v>2</v>
      </c>
    </row>
    <row r="165" spans="1:11" x14ac:dyDescent="0.25">
      <c r="A165" s="24">
        <v>5</v>
      </c>
      <c r="B165" s="2">
        <v>27</v>
      </c>
      <c r="C165" s="2" t="s">
        <v>61</v>
      </c>
      <c r="D165" s="3">
        <v>1</v>
      </c>
      <c r="E165" s="1">
        <v>1</v>
      </c>
      <c r="F165" t="s">
        <v>2855</v>
      </c>
      <c r="G165" t="s">
        <v>2854</v>
      </c>
      <c r="H165" t="s">
        <v>2833</v>
      </c>
      <c r="I165" s="1" t="s">
        <v>1457</v>
      </c>
      <c r="J165" t="s">
        <v>2835</v>
      </c>
      <c r="K165" s="25">
        <f>Tabelle5[[#This Row],[value_present]]*Tabelle5[[#This Row],[binding_level]]</f>
        <v>1</v>
      </c>
    </row>
    <row r="166" spans="1:11" x14ac:dyDescent="0.25">
      <c r="A166" s="24">
        <v>5</v>
      </c>
      <c r="B166" s="2">
        <v>27</v>
      </c>
      <c r="C166" s="2" t="s">
        <v>69</v>
      </c>
      <c r="D166" s="3">
        <v>1</v>
      </c>
      <c r="E166" s="1">
        <v>1</v>
      </c>
      <c r="F166" t="s">
        <v>2857</v>
      </c>
      <c r="G166" t="s">
        <v>2856</v>
      </c>
      <c r="H166" t="s">
        <v>2833</v>
      </c>
      <c r="I166" s="1" t="s">
        <v>1456</v>
      </c>
      <c r="J166" t="s">
        <v>2836</v>
      </c>
      <c r="K166" s="25">
        <f>Tabelle5[[#This Row],[value_present]]*Tabelle5[[#This Row],[binding_level]]</f>
        <v>1</v>
      </c>
    </row>
    <row r="167" spans="1:11" x14ac:dyDescent="0.25">
      <c r="A167" s="24">
        <v>5</v>
      </c>
      <c r="B167" s="2">
        <v>27</v>
      </c>
      <c r="C167" s="2" t="s">
        <v>76</v>
      </c>
      <c r="D167" s="3">
        <v>0</v>
      </c>
      <c r="E167" s="1"/>
      <c r="I167" s="1" t="s">
        <v>1456</v>
      </c>
      <c r="J167" t="s">
        <v>2837</v>
      </c>
      <c r="K167" s="25">
        <f>Tabelle5[[#This Row],[value_present]]*Tabelle5[[#This Row],[binding_level]]</f>
        <v>0</v>
      </c>
    </row>
    <row r="168" spans="1:11" x14ac:dyDescent="0.25">
      <c r="A168" s="24">
        <v>5</v>
      </c>
      <c r="B168" s="2">
        <v>27</v>
      </c>
      <c r="C168" s="2" t="s">
        <v>83</v>
      </c>
      <c r="D168" s="3">
        <v>1</v>
      </c>
      <c r="E168" s="1">
        <v>2</v>
      </c>
      <c r="F168" t="s">
        <v>2858</v>
      </c>
      <c r="G168" t="s">
        <v>2859</v>
      </c>
      <c r="H168" t="s">
        <v>2833</v>
      </c>
      <c r="I168" s="1" t="s">
        <v>1456</v>
      </c>
      <c r="J168" t="s">
        <v>2838</v>
      </c>
      <c r="K168" s="25">
        <f>Tabelle5[[#This Row],[value_present]]*Tabelle5[[#This Row],[binding_level]]</f>
        <v>2</v>
      </c>
    </row>
    <row r="169" spans="1:11" x14ac:dyDescent="0.25">
      <c r="A169" s="24">
        <v>5</v>
      </c>
      <c r="B169" s="2">
        <v>27</v>
      </c>
      <c r="C169" s="2" t="s">
        <v>90</v>
      </c>
      <c r="D169" s="3">
        <v>0</v>
      </c>
      <c r="E169" s="1"/>
      <c r="I169" s="1" t="s">
        <v>1456</v>
      </c>
      <c r="J169" t="s">
        <v>2839</v>
      </c>
      <c r="K169" s="25">
        <f>Tabelle5[[#This Row],[value_present]]*Tabelle5[[#This Row],[binding_level]]</f>
        <v>0</v>
      </c>
    </row>
    <row r="170" spans="1:11" x14ac:dyDescent="0.25">
      <c r="A170" s="24">
        <v>5</v>
      </c>
      <c r="B170" s="2">
        <v>27</v>
      </c>
      <c r="C170" s="2" t="s">
        <v>98</v>
      </c>
      <c r="D170" s="3">
        <v>0</v>
      </c>
      <c r="E170" s="1"/>
      <c r="I170" s="1" t="s">
        <v>1456</v>
      </c>
      <c r="J170" t="s">
        <v>2840</v>
      </c>
      <c r="K170" s="25">
        <f>Tabelle5[[#This Row],[value_present]]*Tabelle5[[#This Row],[binding_level]]</f>
        <v>0</v>
      </c>
    </row>
    <row r="171" spans="1:11" x14ac:dyDescent="0.25">
      <c r="A171" s="24">
        <v>5</v>
      </c>
      <c r="B171" s="2">
        <v>27</v>
      </c>
      <c r="C171" s="2" t="s">
        <v>106</v>
      </c>
      <c r="D171" s="3">
        <v>1</v>
      </c>
      <c r="E171" s="1">
        <v>1</v>
      </c>
      <c r="F171" t="s">
        <v>2861</v>
      </c>
      <c r="G171" t="s">
        <v>2860</v>
      </c>
      <c r="H171" t="s">
        <v>2833</v>
      </c>
      <c r="I171" s="1" t="s">
        <v>1456</v>
      </c>
      <c r="J171" t="s">
        <v>2841</v>
      </c>
      <c r="K171" s="25">
        <f>Tabelle5[[#This Row],[value_present]]*Tabelle5[[#This Row],[binding_level]]</f>
        <v>1</v>
      </c>
    </row>
    <row r="172" spans="1:11" x14ac:dyDescent="0.25">
      <c r="A172" s="24">
        <v>5</v>
      </c>
      <c r="B172" s="2">
        <v>27</v>
      </c>
      <c r="C172" s="2" t="s">
        <v>112</v>
      </c>
      <c r="D172" s="3">
        <v>1</v>
      </c>
      <c r="E172" s="1">
        <v>2</v>
      </c>
      <c r="F172" t="s">
        <v>2863</v>
      </c>
      <c r="G172" t="s">
        <v>2862</v>
      </c>
      <c r="H172" t="s">
        <v>2833</v>
      </c>
      <c r="I172" s="1" t="s">
        <v>1457</v>
      </c>
      <c r="J172" t="s">
        <v>2842</v>
      </c>
      <c r="K172" s="25">
        <f>Tabelle5[[#This Row],[value_present]]*Tabelle5[[#This Row],[binding_level]]</f>
        <v>2</v>
      </c>
    </row>
    <row r="173" spans="1:11" x14ac:dyDescent="0.25">
      <c r="A173" s="24">
        <v>5</v>
      </c>
      <c r="B173" s="2">
        <v>27</v>
      </c>
      <c r="C173" s="2" t="s">
        <v>118</v>
      </c>
      <c r="D173" s="3">
        <v>0</v>
      </c>
      <c r="E173" s="1"/>
      <c r="I173" s="1" t="s">
        <v>1456</v>
      </c>
      <c r="J173" t="s">
        <v>2843</v>
      </c>
      <c r="K173" s="25">
        <f>Tabelle5[[#This Row],[value_present]]*Tabelle5[[#This Row],[binding_level]]</f>
        <v>0</v>
      </c>
    </row>
    <row r="174" spans="1:11" x14ac:dyDescent="0.25">
      <c r="A174" s="24">
        <v>5</v>
      </c>
      <c r="B174" s="2">
        <v>27</v>
      </c>
      <c r="C174" s="2" t="s">
        <v>125</v>
      </c>
      <c r="D174" s="3">
        <v>0</v>
      </c>
      <c r="E174" s="1"/>
      <c r="I174" s="1" t="s">
        <v>1457</v>
      </c>
      <c r="J174" t="s">
        <v>2844</v>
      </c>
      <c r="K174" s="25">
        <f>Tabelle5[[#This Row],[value_present]]*Tabelle5[[#This Row],[binding_level]]</f>
        <v>0</v>
      </c>
    </row>
    <row r="175" spans="1:11" x14ac:dyDescent="0.25">
      <c r="A175" s="24">
        <v>5</v>
      </c>
      <c r="B175" s="2">
        <v>27</v>
      </c>
      <c r="C175" s="2" t="s">
        <v>132</v>
      </c>
      <c r="D175" s="3">
        <v>0</v>
      </c>
      <c r="E175" s="1"/>
      <c r="I175" s="1" t="s">
        <v>1456</v>
      </c>
      <c r="J175" t="s">
        <v>2845</v>
      </c>
      <c r="K175" s="25">
        <f>Tabelle5[[#This Row],[value_present]]*Tabelle5[[#This Row],[binding_level]]</f>
        <v>0</v>
      </c>
    </row>
    <row r="176" spans="1:11" x14ac:dyDescent="0.25">
      <c r="A176" s="24">
        <v>5</v>
      </c>
      <c r="B176" s="2">
        <v>27</v>
      </c>
      <c r="C176" s="2" t="s">
        <v>140</v>
      </c>
      <c r="D176" s="3">
        <v>1</v>
      </c>
      <c r="E176" s="1">
        <v>1</v>
      </c>
      <c r="F176" t="s">
        <v>2865</v>
      </c>
      <c r="G176" t="s">
        <v>2864</v>
      </c>
      <c r="H176" t="s">
        <v>2833</v>
      </c>
      <c r="I176" s="1" t="s">
        <v>1456</v>
      </c>
      <c r="J176" t="s">
        <v>2846</v>
      </c>
      <c r="K176" s="25">
        <f>Tabelle5[[#This Row],[value_present]]*Tabelle5[[#This Row],[binding_level]]</f>
        <v>1</v>
      </c>
    </row>
    <row r="177" spans="1:11" x14ac:dyDescent="0.25">
      <c r="A177" s="24">
        <v>5</v>
      </c>
      <c r="B177" s="2">
        <v>27</v>
      </c>
      <c r="C177" s="2" t="s">
        <v>147</v>
      </c>
      <c r="D177" s="3">
        <v>1</v>
      </c>
      <c r="E177" s="1">
        <v>2</v>
      </c>
      <c r="F177" t="s">
        <v>2866</v>
      </c>
      <c r="G177" t="s">
        <v>1529</v>
      </c>
      <c r="H177" t="s">
        <v>2833</v>
      </c>
      <c r="I177" s="1" t="s">
        <v>1456</v>
      </c>
      <c r="J177" t="s">
        <v>2847</v>
      </c>
      <c r="K177" s="25">
        <f>Tabelle5[[#This Row],[value_present]]*Tabelle5[[#This Row],[binding_level]]</f>
        <v>2</v>
      </c>
    </row>
    <row r="178" spans="1:11" x14ac:dyDescent="0.25">
      <c r="A178" s="24">
        <v>5</v>
      </c>
      <c r="B178" s="2">
        <v>27</v>
      </c>
      <c r="C178" s="2" t="s">
        <v>154</v>
      </c>
      <c r="D178" s="3">
        <v>0</v>
      </c>
      <c r="E178" s="1"/>
      <c r="I178" s="1" t="s">
        <v>1457</v>
      </c>
      <c r="J178" t="s">
        <v>2848</v>
      </c>
      <c r="K178" s="25">
        <f>Tabelle5[[#This Row],[value_present]]*Tabelle5[[#This Row],[binding_level]]</f>
        <v>0</v>
      </c>
    </row>
    <row r="179" spans="1:11" x14ac:dyDescent="0.25">
      <c r="A179" s="24">
        <v>5</v>
      </c>
      <c r="B179" s="2">
        <v>27</v>
      </c>
      <c r="C179" s="2" t="s">
        <v>161</v>
      </c>
      <c r="D179" s="3">
        <v>1</v>
      </c>
      <c r="E179" s="1">
        <v>3</v>
      </c>
      <c r="F179" t="s">
        <v>2868</v>
      </c>
      <c r="G179" t="s">
        <v>2867</v>
      </c>
      <c r="H179" t="s">
        <v>2833</v>
      </c>
      <c r="I179" s="1" t="s">
        <v>1456</v>
      </c>
      <c r="J179" t="s">
        <v>2849</v>
      </c>
      <c r="K179" s="25">
        <f>Tabelle5[[#This Row],[value_present]]*Tabelle5[[#This Row],[binding_level]]</f>
        <v>3</v>
      </c>
    </row>
    <row r="180" spans="1:11" x14ac:dyDescent="0.25">
      <c r="A180" s="24">
        <v>5</v>
      </c>
      <c r="B180" s="2">
        <v>27</v>
      </c>
      <c r="C180" s="2" t="s">
        <v>166</v>
      </c>
      <c r="D180" s="3">
        <v>0</v>
      </c>
      <c r="E180" s="1"/>
      <c r="I180" s="1" t="s">
        <v>1456</v>
      </c>
      <c r="J180" t="s">
        <v>2850</v>
      </c>
      <c r="K180" s="25">
        <f>Tabelle5[[#This Row],[value_present]]*Tabelle5[[#This Row],[binding_level]]</f>
        <v>0</v>
      </c>
    </row>
    <row r="181" spans="1:11" ht="15.75" thickBot="1" x14ac:dyDescent="0.3">
      <c r="A181" s="26">
        <v>5</v>
      </c>
      <c r="B181" s="27">
        <v>27</v>
      </c>
      <c r="C181" s="27" t="s">
        <v>174</v>
      </c>
      <c r="D181" s="28">
        <v>0</v>
      </c>
      <c r="E181" s="29"/>
      <c r="F181" s="30"/>
      <c r="G181" s="30"/>
      <c r="H181" s="30"/>
      <c r="I181" s="29" t="s">
        <v>1457</v>
      </c>
      <c r="J181" s="30" t="s">
        <v>2851</v>
      </c>
      <c r="K181" s="31">
        <f>Tabelle5[[#This Row],[value_present]]*Tabelle5[[#This Row],[binding_level]]</f>
        <v>0</v>
      </c>
    </row>
    <row r="182" spans="1:11" x14ac:dyDescent="0.25">
      <c r="A182" s="18">
        <v>5</v>
      </c>
      <c r="B182" s="19">
        <v>28</v>
      </c>
      <c r="C182" s="19" t="s">
        <v>53</v>
      </c>
      <c r="D182" s="20">
        <v>1</v>
      </c>
      <c r="E182" s="21">
        <v>2</v>
      </c>
      <c r="F182" s="22" t="s">
        <v>2921</v>
      </c>
      <c r="G182" s="22" t="s">
        <v>2922</v>
      </c>
      <c r="H182" s="22" t="s">
        <v>2892</v>
      </c>
      <c r="I182" s="21" t="s">
        <v>1456</v>
      </c>
      <c r="J182" s="22" t="s">
        <v>2893</v>
      </c>
      <c r="K182" s="23">
        <f>Tabelle5[[#This Row],[value_present]]*Tabelle5[[#This Row],[binding_level]]</f>
        <v>2</v>
      </c>
    </row>
    <row r="183" spans="1:11" x14ac:dyDescent="0.25">
      <c r="A183" s="24">
        <v>5</v>
      </c>
      <c r="B183" s="2">
        <v>28</v>
      </c>
      <c r="C183" s="2" t="s">
        <v>61</v>
      </c>
      <c r="D183" s="3">
        <v>1</v>
      </c>
      <c r="E183" s="1">
        <v>2</v>
      </c>
      <c r="F183" t="s">
        <v>2924</v>
      </c>
      <c r="G183" t="s">
        <v>2923</v>
      </c>
      <c r="H183" t="s">
        <v>2894</v>
      </c>
      <c r="I183" s="1" t="s">
        <v>1457</v>
      </c>
      <c r="J183" t="s">
        <v>2895</v>
      </c>
      <c r="K183" s="25">
        <f>Tabelle5[[#This Row],[value_present]]*Tabelle5[[#This Row],[binding_level]]</f>
        <v>2</v>
      </c>
    </row>
    <row r="184" spans="1:11" x14ac:dyDescent="0.25">
      <c r="A184" s="24">
        <v>5</v>
      </c>
      <c r="B184" s="2">
        <v>28</v>
      </c>
      <c r="C184" s="2" t="s">
        <v>69</v>
      </c>
      <c r="D184" s="3">
        <v>1</v>
      </c>
      <c r="E184" s="1">
        <v>2</v>
      </c>
      <c r="F184" t="s">
        <v>2926</v>
      </c>
      <c r="G184" t="s">
        <v>2925</v>
      </c>
      <c r="H184" t="s">
        <v>2896</v>
      </c>
      <c r="I184" s="1" t="s">
        <v>1456</v>
      </c>
      <c r="J184" t="s">
        <v>2897</v>
      </c>
      <c r="K184" s="25">
        <f>Tabelle5[[#This Row],[value_present]]*Tabelle5[[#This Row],[binding_level]]</f>
        <v>2</v>
      </c>
    </row>
    <row r="185" spans="1:11" x14ac:dyDescent="0.25">
      <c r="A185" s="24">
        <v>5</v>
      </c>
      <c r="B185" s="2">
        <v>28</v>
      </c>
      <c r="C185" s="2" t="s">
        <v>76</v>
      </c>
      <c r="D185" s="3">
        <v>0</v>
      </c>
      <c r="E185" s="1"/>
      <c r="I185" s="1" t="s">
        <v>1456</v>
      </c>
      <c r="J185" t="s">
        <v>2898</v>
      </c>
      <c r="K185" s="25">
        <f>Tabelle5[[#This Row],[value_present]]*Tabelle5[[#This Row],[binding_level]]</f>
        <v>0</v>
      </c>
    </row>
    <row r="186" spans="1:11" x14ac:dyDescent="0.25">
      <c r="A186" s="24">
        <v>5</v>
      </c>
      <c r="B186" s="2">
        <v>28</v>
      </c>
      <c r="C186" s="2" t="s">
        <v>83</v>
      </c>
      <c r="D186" s="3">
        <v>1</v>
      </c>
      <c r="E186" s="1">
        <v>2</v>
      </c>
      <c r="F186" t="s">
        <v>2928</v>
      </c>
      <c r="G186" t="s">
        <v>2927</v>
      </c>
      <c r="H186" t="s">
        <v>2899</v>
      </c>
      <c r="I186" s="1" t="s">
        <v>1456</v>
      </c>
      <c r="J186" t="s">
        <v>2900</v>
      </c>
      <c r="K186" s="25">
        <f>Tabelle5[[#This Row],[value_present]]*Tabelle5[[#This Row],[binding_level]]</f>
        <v>2</v>
      </c>
    </row>
    <row r="187" spans="1:11" x14ac:dyDescent="0.25">
      <c r="A187" s="24">
        <v>5</v>
      </c>
      <c r="B187" s="2">
        <v>28</v>
      </c>
      <c r="C187" s="2" t="s">
        <v>90</v>
      </c>
      <c r="D187" s="3">
        <v>1</v>
      </c>
      <c r="E187" s="1">
        <v>3</v>
      </c>
      <c r="F187" t="s">
        <v>2930</v>
      </c>
      <c r="G187" t="s">
        <v>2929</v>
      </c>
      <c r="H187" t="s">
        <v>2901</v>
      </c>
      <c r="I187" s="1" t="s">
        <v>1456</v>
      </c>
      <c r="J187" t="s">
        <v>2902</v>
      </c>
      <c r="K187" s="25">
        <f>Tabelle5[[#This Row],[value_present]]*Tabelle5[[#This Row],[binding_level]]</f>
        <v>3</v>
      </c>
    </row>
    <row r="188" spans="1:11" x14ac:dyDescent="0.25">
      <c r="A188" s="24">
        <v>5</v>
      </c>
      <c r="B188" s="2">
        <v>28</v>
      </c>
      <c r="C188" s="2" t="s">
        <v>98</v>
      </c>
      <c r="D188" s="3">
        <v>0</v>
      </c>
      <c r="E188" s="1"/>
      <c r="I188" s="1" t="s">
        <v>1457</v>
      </c>
      <c r="J188" t="s">
        <v>2903</v>
      </c>
      <c r="K188" s="25">
        <f>Tabelle5[[#This Row],[value_present]]*Tabelle5[[#This Row],[binding_level]]</f>
        <v>0</v>
      </c>
    </row>
    <row r="189" spans="1:11" x14ac:dyDescent="0.25">
      <c r="A189" s="24">
        <v>5</v>
      </c>
      <c r="B189" s="2">
        <v>28</v>
      </c>
      <c r="C189" s="2" t="s">
        <v>106</v>
      </c>
      <c r="D189" s="3">
        <v>1</v>
      </c>
      <c r="E189" s="1">
        <v>2</v>
      </c>
      <c r="F189" t="s">
        <v>2932</v>
      </c>
      <c r="G189" t="s">
        <v>2931</v>
      </c>
      <c r="H189" t="s">
        <v>2904</v>
      </c>
      <c r="I189" s="1" t="s">
        <v>1457</v>
      </c>
      <c r="J189" t="s">
        <v>2905</v>
      </c>
      <c r="K189" s="25">
        <f>Tabelle5[[#This Row],[value_present]]*Tabelle5[[#This Row],[binding_level]]</f>
        <v>2</v>
      </c>
    </row>
    <row r="190" spans="1:11" x14ac:dyDescent="0.25">
      <c r="A190" s="24">
        <v>5</v>
      </c>
      <c r="B190" s="2">
        <v>28</v>
      </c>
      <c r="C190" s="2" t="s">
        <v>112</v>
      </c>
      <c r="D190" s="3">
        <v>1</v>
      </c>
      <c r="E190" s="1">
        <v>2</v>
      </c>
      <c r="F190" t="s">
        <v>2934</v>
      </c>
      <c r="G190" t="s">
        <v>2933</v>
      </c>
      <c r="H190" t="s">
        <v>2906</v>
      </c>
      <c r="I190" s="1" t="s">
        <v>1456</v>
      </c>
      <c r="J190" t="s">
        <v>2907</v>
      </c>
      <c r="K190" s="25">
        <f>Tabelle5[[#This Row],[value_present]]*Tabelle5[[#This Row],[binding_level]]</f>
        <v>2</v>
      </c>
    </row>
    <row r="191" spans="1:11" x14ac:dyDescent="0.25">
      <c r="A191" s="24">
        <v>5</v>
      </c>
      <c r="B191" s="2">
        <v>28</v>
      </c>
      <c r="C191" s="2" t="s">
        <v>118</v>
      </c>
      <c r="D191" s="3">
        <v>0</v>
      </c>
      <c r="E191" s="1"/>
      <c r="I191" s="1" t="s">
        <v>1456</v>
      </c>
      <c r="J191" t="s">
        <v>2908</v>
      </c>
      <c r="K191" s="25">
        <f>Tabelle5[[#This Row],[value_present]]*Tabelle5[[#This Row],[binding_level]]</f>
        <v>0</v>
      </c>
    </row>
    <row r="192" spans="1:11" x14ac:dyDescent="0.25">
      <c r="A192" s="24">
        <v>5</v>
      </c>
      <c r="B192" s="2">
        <v>28</v>
      </c>
      <c r="C192" s="2" t="s">
        <v>125</v>
      </c>
      <c r="D192" s="3">
        <v>0</v>
      </c>
      <c r="E192" s="1"/>
      <c r="I192" s="1" t="s">
        <v>1456</v>
      </c>
      <c r="J192" t="s">
        <v>2909</v>
      </c>
      <c r="K192" s="25">
        <f>Tabelle5[[#This Row],[value_present]]*Tabelle5[[#This Row],[binding_level]]</f>
        <v>0</v>
      </c>
    </row>
    <row r="193" spans="1:11" x14ac:dyDescent="0.25">
      <c r="A193" s="24">
        <v>5</v>
      </c>
      <c r="B193" s="2">
        <v>28</v>
      </c>
      <c r="C193" s="2" t="s">
        <v>132</v>
      </c>
      <c r="D193" s="3">
        <v>0</v>
      </c>
      <c r="E193" s="1"/>
      <c r="I193" s="1" t="s">
        <v>1456</v>
      </c>
      <c r="J193" t="s">
        <v>2910</v>
      </c>
      <c r="K193" s="25">
        <f>Tabelle5[[#This Row],[value_present]]*Tabelle5[[#This Row],[binding_level]]</f>
        <v>0</v>
      </c>
    </row>
    <row r="194" spans="1:11" x14ac:dyDescent="0.25">
      <c r="A194" s="24">
        <v>5</v>
      </c>
      <c r="B194" s="2">
        <v>28</v>
      </c>
      <c r="C194" s="2" t="s">
        <v>140</v>
      </c>
      <c r="D194" s="3">
        <v>0</v>
      </c>
      <c r="E194" s="1"/>
      <c r="I194" s="1" t="s">
        <v>1457</v>
      </c>
      <c r="J194" t="s">
        <v>2911</v>
      </c>
      <c r="K194" s="25">
        <f>Tabelle5[[#This Row],[value_present]]*Tabelle5[[#This Row],[binding_level]]</f>
        <v>0</v>
      </c>
    </row>
    <row r="195" spans="1:11" x14ac:dyDescent="0.25">
      <c r="A195" s="24">
        <v>5</v>
      </c>
      <c r="B195" s="2">
        <v>28</v>
      </c>
      <c r="C195" s="2" t="s">
        <v>147</v>
      </c>
      <c r="D195" s="3">
        <v>1</v>
      </c>
      <c r="E195" s="1">
        <v>3</v>
      </c>
      <c r="F195" t="s">
        <v>2935</v>
      </c>
      <c r="G195" t="s">
        <v>2936</v>
      </c>
      <c r="H195" t="s">
        <v>2912</v>
      </c>
      <c r="I195" s="1" t="s">
        <v>1456</v>
      </c>
      <c r="J195" t="s">
        <v>2913</v>
      </c>
      <c r="K195" s="25">
        <f>Tabelle5[[#This Row],[value_present]]*Tabelle5[[#This Row],[binding_level]]</f>
        <v>3</v>
      </c>
    </row>
    <row r="196" spans="1:11" x14ac:dyDescent="0.25">
      <c r="A196" s="24">
        <v>5</v>
      </c>
      <c r="B196" s="2">
        <v>28</v>
      </c>
      <c r="C196" s="2" t="s">
        <v>154</v>
      </c>
      <c r="D196" s="3">
        <v>1</v>
      </c>
      <c r="E196" s="1">
        <v>2</v>
      </c>
      <c r="F196" t="s">
        <v>2937</v>
      </c>
      <c r="G196" t="s">
        <v>2938</v>
      </c>
      <c r="H196" t="s">
        <v>2914</v>
      </c>
      <c r="I196" s="1" t="s">
        <v>1456</v>
      </c>
      <c r="J196" t="s">
        <v>2915</v>
      </c>
      <c r="K196" s="25">
        <f>Tabelle5[[#This Row],[value_present]]*Tabelle5[[#This Row],[binding_level]]</f>
        <v>2</v>
      </c>
    </row>
    <row r="197" spans="1:11" x14ac:dyDescent="0.25">
      <c r="A197" s="24">
        <v>5</v>
      </c>
      <c r="B197" s="2">
        <v>28</v>
      </c>
      <c r="C197" s="2" t="s">
        <v>161</v>
      </c>
      <c r="D197" s="3">
        <v>1</v>
      </c>
      <c r="E197" s="1">
        <v>3</v>
      </c>
      <c r="F197" t="s">
        <v>2939</v>
      </c>
      <c r="G197" t="s">
        <v>2940</v>
      </c>
      <c r="H197" t="s">
        <v>2916</v>
      </c>
      <c r="I197" s="1" t="s">
        <v>1456</v>
      </c>
      <c r="J197" t="s">
        <v>2917</v>
      </c>
      <c r="K197" s="25">
        <f>Tabelle5[[#This Row],[value_present]]*Tabelle5[[#This Row],[binding_level]]</f>
        <v>3</v>
      </c>
    </row>
    <row r="198" spans="1:11" x14ac:dyDescent="0.25">
      <c r="A198" s="24">
        <v>5</v>
      </c>
      <c r="B198" s="2">
        <v>28</v>
      </c>
      <c r="C198" s="2" t="s">
        <v>166</v>
      </c>
      <c r="D198" s="3">
        <v>1</v>
      </c>
      <c r="E198" s="1">
        <v>2</v>
      </c>
      <c r="F198" t="s">
        <v>2941</v>
      </c>
      <c r="G198" t="s">
        <v>2942</v>
      </c>
      <c r="H198" t="s">
        <v>2918</v>
      </c>
      <c r="I198" s="1" t="s">
        <v>1456</v>
      </c>
      <c r="J198" t="s">
        <v>2919</v>
      </c>
      <c r="K198" s="25">
        <f>Tabelle5[[#This Row],[value_present]]*Tabelle5[[#This Row],[binding_level]]</f>
        <v>2</v>
      </c>
    </row>
    <row r="199" spans="1:11" ht="15.75" thickBot="1" x14ac:dyDescent="0.3">
      <c r="A199" s="26">
        <v>5</v>
      </c>
      <c r="B199" s="27">
        <v>28</v>
      </c>
      <c r="C199" s="27" t="s">
        <v>174</v>
      </c>
      <c r="D199" s="28">
        <v>0</v>
      </c>
      <c r="E199" s="29"/>
      <c r="F199" s="30"/>
      <c r="G199" s="30"/>
      <c r="H199" s="30"/>
      <c r="I199" s="29" t="s">
        <v>1456</v>
      </c>
      <c r="J199" s="30" t="s">
        <v>2920</v>
      </c>
      <c r="K199" s="31">
        <f>Tabelle5[[#This Row],[value_present]]*Tabelle5[[#This Row],[binding_level]]</f>
        <v>0</v>
      </c>
    </row>
    <row r="200" spans="1:11" x14ac:dyDescent="0.25">
      <c r="A200" s="18">
        <v>5</v>
      </c>
      <c r="B200" s="19">
        <v>30</v>
      </c>
      <c r="C200" s="19" t="s">
        <v>53</v>
      </c>
      <c r="D200" s="20">
        <v>1</v>
      </c>
      <c r="E200" s="21">
        <v>3</v>
      </c>
      <c r="F200" s="22" t="s">
        <v>3008</v>
      </c>
      <c r="G200" s="22" t="s">
        <v>3007</v>
      </c>
      <c r="H200" s="22" t="s">
        <v>2983</v>
      </c>
      <c r="I200" s="21" t="s">
        <v>1456</v>
      </c>
      <c r="J200" s="22" t="s">
        <v>2984</v>
      </c>
      <c r="K200" s="23">
        <f>Tabelle5[[#This Row],[value_present]]*Tabelle5[[#This Row],[binding_level]]</f>
        <v>3</v>
      </c>
    </row>
    <row r="201" spans="1:11" x14ac:dyDescent="0.25">
      <c r="A201" s="24">
        <v>5</v>
      </c>
      <c r="B201" s="2">
        <v>30</v>
      </c>
      <c r="C201" s="2" t="s">
        <v>61</v>
      </c>
      <c r="D201" s="3">
        <v>1</v>
      </c>
      <c r="E201" s="1">
        <v>1</v>
      </c>
      <c r="F201" t="s">
        <v>3010</v>
      </c>
      <c r="G201" t="s">
        <v>3009</v>
      </c>
      <c r="H201" t="s">
        <v>2985</v>
      </c>
      <c r="I201" s="1" t="s">
        <v>1457</v>
      </c>
      <c r="J201" t="s">
        <v>2986</v>
      </c>
      <c r="K201" s="25">
        <f>Tabelle5[[#This Row],[value_present]]*Tabelle5[[#This Row],[binding_level]]</f>
        <v>1</v>
      </c>
    </row>
    <row r="202" spans="1:11" x14ac:dyDescent="0.25">
      <c r="A202" s="24">
        <v>5</v>
      </c>
      <c r="B202" s="2">
        <v>30</v>
      </c>
      <c r="C202" s="2" t="s">
        <v>69</v>
      </c>
      <c r="D202" s="3">
        <v>1</v>
      </c>
      <c r="E202" s="1">
        <v>1</v>
      </c>
      <c r="F202" t="s">
        <v>3011</v>
      </c>
      <c r="G202" t="s">
        <v>3010</v>
      </c>
      <c r="H202" t="s">
        <v>2985</v>
      </c>
      <c r="I202" s="1" t="s">
        <v>1456</v>
      </c>
      <c r="J202" t="s">
        <v>2987</v>
      </c>
      <c r="K202" s="25">
        <f>Tabelle5[[#This Row],[value_present]]*Tabelle5[[#This Row],[binding_level]]</f>
        <v>1</v>
      </c>
    </row>
    <row r="203" spans="1:11" x14ac:dyDescent="0.25">
      <c r="A203" s="24">
        <v>5</v>
      </c>
      <c r="B203" s="2">
        <v>30</v>
      </c>
      <c r="C203" s="2" t="s">
        <v>76</v>
      </c>
      <c r="D203" s="3">
        <v>0</v>
      </c>
      <c r="E203" s="1"/>
      <c r="I203" s="1" t="s">
        <v>1456</v>
      </c>
      <c r="J203" t="s">
        <v>2988</v>
      </c>
      <c r="K203" s="25">
        <f>Tabelle5[[#This Row],[value_present]]*Tabelle5[[#This Row],[binding_level]]</f>
        <v>0</v>
      </c>
    </row>
    <row r="204" spans="1:11" x14ac:dyDescent="0.25">
      <c r="A204" s="24">
        <v>5</v>
      </c>
      <c r="B204" s="2">
        <v>30</v>
      </c>
      <c r="C204" s="2" t="s">
        <v>83</v>
      </c>
      <c r="D204" s="3">
        <v>1</v>
      </c>
      <c r="E204" s="1">
        <v>1</v>
      </c>
      <c r="F204" t="s">
        <v>3013</v>
      </c>
      <c r="G204" t="s">
        <v>3012</v>
      </c>
      <c r="H204" t="s">
        <v>2985</v>
      </c>
      <c r="I204" s="1" t="s">
        <v>1456</v>
      </c>
      <c r="J204" t="s">
        <v>2989</v>
      </c>
      <c r="K204" s="25">
        <f>Tabelle5[[#This Row],[value_present]]*Tabelle5[[#This Row],[binding_level]]</f>
        <v>1</v>
      </c>
    </row>
    <row r="205" spans="1:11" x14ac:dyDescent="0.25">
      <c r="A205" s="24">
        <v>5</v>
      </c>
      <c r="B205" s="2">
        <v>30</v>
      </c>
      <c r="C205" s="2" t="s">
        <v>90</v>
      </c>
      <c r="D205" s="3">
        <v>1</v>
      </c>
      <c r="E205" s="1">
        <v>1</v>
      </c>
      <c r="F205" t="s">
        <v>3014</v>
      </c>
      <c r="G205" t="s">
        <v>3014</v>
      </c>
      <c r="H205" t="s">
        <v>2985</v>
      </c>
      <c r="I205" s="1" t="s">
        <v>1456</v>
      </c>
      <c r="J205" t="s">
        <v>2990</v>
      </c>
      <c r="K205" s="25">
        <f>Tabelle5[[#This Row],[value_present]]*Tabelle5[[#This Row],[binding_level]]</f>
        <v>1</v>
      </c>
    </row>
    <row r="206" spans="1:11" x14ac:dyDescent="0.25">
      <c r="A206" s="24">
        <v>5</v>
      </c>
      <c r="B206" s="2">
        <v>30</v>
      </c>
      <c r="C206" s="2" t="s">
        <v>98</v>
      </c>
      <c r="D206" s="3">
        <v>0</v>
      </c>
      <c r="E206" s="1"/>
      <c r="I206" s="1" t="s">
        <v>1457</v>
      </c>
      <c r="J206" t="s">
        <v>2991</v>
      </c>
      <c r="K206" s="25">
        <f>Tabelle5[[#This Row],[value_present]]*Tabelle5[[#This Row],[binding_level]]</f>
        <v>0</v>
      </c>
    </row>
    <row r="207" spans="1:11" x14ac:dyDescent="0.25">
      <c r="A207" s="24">
        <v>5</v>
      </c>
      <c r="B207" s="2">
        <v>30</v>
      </c>
      <c r="C207" s="2" t="s">
        <v>106</v>
      </c>
      <c r="D207" s="3">
        <v>1</v>
      </c>
      <c r="E207" s="1">
        <v>1</v>
      </c>
      <c r="F207" t="s">
        <v>3016</v>
      </c>
      <c r="G207" t="s">
        <v>3015</v>
      </c>
      <c r="H207" t="s">
        <v>2992</v>
      </c>
      <c r="I207" s="1" t="s">
        <v>1456</v>
      </c>
      <c r="J207" t="s">
        <v>2993</v>
      </c>
      <c r="K207" s="25">
        <f>Tabelle5[[#This Row],[value_present]]*Tabelle5[[#This Row],[binding_level]]</f>
        <v>1</v>
      </c>
    </row>
    <row r="208" spans="1:11" x14ac:dyDescent="0.25">
      <c r="A208" s="24">
        <v>5</v>
      </c>
      <c r="B208" s="2">
        <v>30</v>
      </c>
      <c r="C208" s="2" t="s">
        <v>112</v>
      </c>
      <c r="D208" s="3">
        <v>1</v>
      </c>
      <c r="E208" s="1">
        <v>3</v>
      </c>
      <c r="F208" t="s">
        <v>3017</v>
      </c>
      <c r="G208" t="s">
        <v>3006</v>
      </c>
      <c r="H208" t="s">
        <v>2994</v>
      </c>
      <c r="I208" s="1" t="s">
        <v>1457</v>
      </c>
      <c r="J208" t="s">
        <v>2995</v>
      </c>
      <c r="K208" s="25">
        <f>Tabelle5[[#This Row],[value_present]]*Tabelle5[[#This Row],[binding_level]]</f>
        <v>3</v>
      </c>
    </row>
    <row r="209" spans="1:11" x14ac:dyDescent="0.25">
      <c r="A209" s="24">
        <v>5</v>
      </c>
      <c r="B209" s="2">
        <v>30</v>
      </c>
      <c r="C209" s="2" t="s">
        <v>118</v>
      </c>
      <c r="D209" s="3">
        <v>0</v>
      </c>
      <c r="E209" s="1"/>
      <c r="I209" s="1" t="s">
        <v>1456</v>
      </c>
      <c r="J209" t="s">
        <v>2843</v>
      </c>
      <c r="K209" s="25">
        <f>Tabelle5[[#This Row],[value_present]]*Tabelle5[[#This Row],[binding_level]]</f>
        <v>0</v>
      </c>
    </row>
    <row r="210" spans="1:11" x14ac:dyDescent="0.25">
      <c r="A210" s="24">
        <v>5</v>
      </c>
      <c r="B210" s="2">
        <v>30</v>
      </c>
      <c r="C210" s="2" t="s">
        <v>125</v>
      </c>
      <c r="D210" s="3">
        <v>0</v>
      </c>
      <c r="E210" s="1"/>
      <c r="I210" s="1" t="s">
        <v>1541</v>
      </c>
      <c r="J210" t="s">
        <v>2996</v>
      </c>
      <c r="K210" s="25">
        <f>Tabelle5[[#This Row],[value_present]]*Tabelle5[[#This Row],[binding_level]]</f>
        <v>0</v>
      </c>
    </row>
    <row r="211" spans="1:11" x14ac:dyDescent="0.25">
      <c r="A211" s="24">
        <v>5</v>
      </c>
      <c r="B211" s="2">
        <v>30</v>
      </c>
      <c r="C211" s="2" t="s">
        <v>132</v>
      </c>
      <c r="D211" s="3">
        <v>1</v>
      </c>
      <c r="E211" s="1">
        <v>1</v>
      </c>
      <c r="F211" t="s">
        <v>3018</v>
      </c>
      <c r="G211" t="s">
        <v>3018</v>
      </c>
      <c r="H211" t="s">
        <v>2997</v>
      </c>
      <c r="I211" s="1" t="s">
        <v>1457</v>
      </c>
      <c r="J211" t="s">
        <v>2998</v>
      </c>
      <c r="K211" s="25">
        <f>Tabelle5[[#This Row],[value_present]]*Tabelle5[[#This Row],[binding_level]]</f>
        <v>1</v>
      </c>
    </row>
    <row r="212" spans="1:11" x14ac:dyDescent="0.25">
      <c r="A212" s="24">
        <v>5</v>
      </c>
      <c r="B212" s="2">
        <v>30</v>
      </c>
      <c r="C212" s="2" t="s">
        <v>140</v>
      </c>
      <c r="D212" s="3">
        <v>1</v>
      </c>
      <c r="E212" s="1">
        <v>1</v>
      </c>
      <c r="F212" t="s">
        <v>3019</v>
      </c>
      <c r="G212" t="s">
        <v>3020</v>
      </c>
      <c r="H212" t="s">
        <v>2999</v>
      </c>
      <c r="I212" s="1" t="s">
        <v>1456</v>
      </c>
      <c r="J212" t="s">
        <v>3000</v>
      </c>
      <c r="K212" s="25">
        <f>Tabelle5[[#This Row],[value_present]]*Tabelle5[[#This Row],[binding_level]]</f>
        <v>1</v>
      </c>
    </row>
    <row r="213" spans="1:11" x14ac:dyDescent="0.25">
      <c r="A213" s="24">
        <v>5</v>
      </c>
      <c r="B213" s="2">
        <v>30</v>
      </c>
      <c r="C213" s="2" t="s">
        <v>147</v>
      </c>
      <c r="D213" s="3">
        <v>0</v>
      </c>
      <c r="E213" s="1"/>
      <c r="I213" s="1" t="s">
        <v>1457</v>
      </c>
      <c r="J213" t="s">
        <v>3001</v>
      </c>
      <c r="K213" s="25">
        <f>Tabelle5[[#This Row],[value_present]]*Tabelle5[[#This Row],[binding_level]]</f>
        <v>0</v>
      </c>
    </row>
    <row r="214" spans="1:11" x14ac:dyDescent="0.25">
      <c r="A214" s="24">
        <v>5</v>
      </c>
      <c r="B214" s="2">
        <v>30</v>
      </c>
      <c r="C214" s="2" t="s">
        <v>154</v>
      </c>
      <c r="D214" s="3">
        <v>0</v>
      </c>
      <c r="E214" s="1"/>
      <c r="I214" s="1" t="s">
        <v>1457</v>
      </c>
      <c r="J214" t="s">
        <v>3002</v>
      </c>
      <c r="K214" s="25">
        <f>Tabelle5[[#This Row],[value_present]]*Tabelle5[[#This Row],[binding_level]]</f>
        <v>0</v>
      </c>
    </row>
    <row r="215" spans="1:11" x14ac:dyDescent="0.25">
      <c r="A215" s="24">
        <v>5</v>
      </c>
      <c r="B215" s="2">
        <v>30</v>
      </c>
      <c r="C215" s="2" t="s">
        <v>161</v>
      </c>
      <c r="D215" s="3">
        <v>0</v>
      </c>
      <c r="E215" s="1"/>
      <c r="I215" s="1" t="s">
        <v>1456</v>
      </c>
      <c r="J215" t="s">
        <v>3003</v>
      </c>
      <c r="K215" s="25">
        <f>Tabelle5[[#This Row],[value_present]]*Tabelle5[[#This Row],[binding_level]]</f>
        <v>0</v>
      </c>
    </row>
    <row r="216" spans="1:11" x14ac:dyDescent="0.25">
      <c r="A216" s="24">
        <v>5</v>
      </c>
      <c r="B216" s="2">
        <v>30</v>
      </c>
      <c r="C216" s="2" t="s">
        <v>166</v>
      </c>
      <c r="D216" s="3">
        <v>0</v>
      </c>
      <c r="E216" s="1"/>
      <c r="I216" s="1" t="s">
        <v>1456</v>
      </c>
      <c r="J216" t="s">
        <v>3004</v>
      </c>
      <c r="K216" s="25">
        <f>Tabelle5[[#This Row],[value_present]]*Tabelle5[[#This Row],[binding_level]]</f>
        <v>0</v>
      </c>
    </row>
    <row r="217" spans="1:11" ht="15.75" thickBot="1" x14ac:dyDescent="0.3">
      <c r="A217" s="26">
        <v>5</v>
      </c>
      <c r="B217" s="27">
        <v>30</v>
      </c>
      <c r="C217" s="27" t="s">
        <v>174</v>
      </c>
      <c r="D217" s="28">
        <v>0</v>
      </c>
      <c r="E217" s="29"/>
      <c r="F217" s="30"/>
      <c r="G217" s="30"/>
      <c r="H217" s="30"/>
      <c r="I217" s="29" t="s">
        <v>1456</v>
      </c>
      <c r="J217" s="30" t="s">
        <v>3005</v>
      </c>
      <c r="K217" s="31">
        <f>Tabelle5[[#This Row],[value_present]]*Tabelle5[[#This Row],[binding_level]]</f>
        <v>0</v>
      </c>
    </row>
    <row r="218" spans="1:11" x14ac:dyDescent="0.25">
      <c r="A218" s="18">
        <v>5</v>
      </c>
      <c r="B218" s="19">
        <v>31</v>
      </c>
      <c r="C218" s="19" t="s">
        <v>53</v>
      </c>
      <c r="D218" s="20">
        <v>1</v>
      </c>
      <c r="E218" s="21">
        <v>1</v>
      </c>
      <c r="F218" t="s">
        <v>3064</v>
      </c>
      <c r="G218" s="22" t="s">
        <v>3063</v>
      </c>
      <c r="H218" s="22" t="s">
        <v>3041</v>
      </c>
      <c r="I218" s="21" t="s">
        <v>1456</v>
      </c>
      <c r="J218" s="22" t="s">
        <v>3042</v>
      </c>
      <c r="K218" s="23">
        <f>Tabelle5[[#This Row],[value_present]]*Tabelle5[[#This Row],[binding_level]]</f>
        <v>1</v>
      </c>
    </row>
    <row r="219" spans="1:11" x14ac:dyDescent="0.25">
      <c r="A219" s="24">
        <v>5</v>
      </c>
      <c r="B219" s="2">
        <v>31</v>
      </c>
      <c r="C219" s="2" t="s">
        <v>61</v>
      </c>
      <c r="D219" s="3">
        <v>1</v>
      </c>
      <c r="E219" s="1">
        <v>1</v>
      </c>
      <c r="F219" t="s">
        <v>3066</v>
      </c>
      <c r="G219" t="s">
        <v>3065</v>
      </c>
      <c r="H219" t="s">
        <v>3043</v>
      </c>
      <c r="I219" s="1" t="s">
        <v>1457</v>
      </c>
      <c r="J219" t="s">
        <v>3044</v>
      </c>
      <c r="K219" s="25">
        <f>Tabelle5[[#This Row],[value_present]]*Tabelle5[[#This Row],[binding_level]]</f>
        <v>1</v>
      </c>
    </row>
    <row r="220" spans="1:11" x14ac:dyDescent="0.25">
      <c r="A220" s="24">
        <v>5</v>
      </c>
      <c r="B220" s="2">
        <v>31</v>
      </c>
      <c r="C220" s="2" t="s">
        <v>69</v>
      </c>
      <c r="D220" s="3">
        <v>1</v>
      </c>
      <c r="E220" s="1">
        <v>1</v>
      </c>
      <c r="F220" t="s">
        <v>3068</v>
      </c>
      <c r="G220" t="s">
        <v>3067</v>
      </c>
      <c r="H220" t="s">
        <v>3045</v>
      </c>
      <c r="I220" s="1" t="s">
        <v>1456</v>
      </c>
      <c r="J220" t="s">
        <v>3046</v>
      </c>
      <c r="K220" s="25">
        <f>Tabelle5[[#This Row],[value_present]]*Tabelle5[[#This Row],[binding_level]]</f>
        <v>1</v>
      </c>
    </row>
    <row r="221" spans="1:11" x14ac:dyDescent="0.25">
      <c r="A221" s="24">
        <v>5</v>
      </c>
      <c r="B221" s="2">
        <v>31</v>
      </c>
      <c r="C221" s="2" t="s">
        <v>76</v>
      </c>
      <c r="D221" s="3">
        <v>0</v>
      </c>
      <c r="E221" s="1"/>
      <c r="I221" s="1" t="s">
        <v>1456</v>
      </c>
      <c r="J221" t="s">
        <v>3047</v>
      </c>
      <c r="K221" s="25">
        <f>Tabelle5[[#This Row],[value_present]]*Tabelle5[[#This Row],[binding_level]]</f>
        <v>0</v>
      </c>
    </row>
    <row r="222" spans="1:11" x14ac:dyDescent="0.25">
      <c r="A222" s="24">
        <v>5</v>
      </c>
      <c r="B222" s="2">
        <v>31</v>
      </c>
      <c r="C222" s="2" t="s">
        <v>83</v>
      </c>
      <c r="D222" s="3">
        <v>1</v>
      </c>
      <c r="E222" s="1">
        <v>1</v>
      </c>
      <c r="F222" t="s">
        <v>3070</v>
      </c>
      <c r="G222" t="s">
        <v>3069</v>
      </c>
      <c r="H222" t="s">
        <v>2698</v>
      </c>
      <c r="I222" s="1" t="s">
        <v>1456</v>
      </c>
      <c r="J222" t="s">
        <v>3048</v>
      </c>
      <c r="K222" s="25">
        <f>Tabelle5[[#This Row],[value_present]]*Tabelle5[[#This Row],[binding_level]]</f>
        <v>1</v>
      </c>
    </row>
    <row r="223" spans="1:11" x14ac:dyDescent="0.25">
      <c r="A223" s="24">
        <v>5</v>
      </c>
      <c r="B223" s="2">
        <v>31</v>
      </c>
      <c r="C223" s="2" t="s">
        <v>90</v>
      </c>
      <c r="D223" s="3">
        <v>1</v>
      </c>
      <c r="E223" s="1">
        <v>2</v>
      </c>
      <c r="F223" t="s">
        <v>3072</v>
      </c>
      <c r="G223" t="s">
        <v>3071</v>
      </c>
      <c r="H223" t="s">
        <v>3049</v>
      </c>
      <c r="I223" s="1" t="s">
        <v>1456</v>
      </c>
      <c r="J223" t="s">
        <v>3050</v>
      </c>
      <c r="K223" s="25">
        <f>Tabelle5[[#This Row],[value_present]]*Tabelle5[[#This Row],[binding_level]]</f>
        <v>2</v>
      </c>
    </row>
    <row r="224" spans="1:11" x14ac:dyDescent="0.25">
      <c r="A224" s="24">
        <v>5</v>
      </c>
      <c r="B224" s="2">
        <v>31</v>
      </c>
      <c r="C224" s="2" t="s">
        <v>98</v>
      </c>
      <c r="D224" s="3">
        <v>1</v>
      </c>
      <c r="E224" s="1">
        <v>1</v>
      </c>
      <c r="F224" t="s">
        <v>3073</v>
      </c>
      <c r="G224" t="s">
        <v>3073</v>
      </c>
      <c r="H224" t="s">
        <v>3049</v>
      </c>
      <c r="I224" s="1" t="s">
        <v>1457</v>
      </c>
      <c r="J224" t="s">
        <v>3051</v>
      </c>
      <c r="K224" s="25">
        <f>Tabelle5[[#This Row],[value_present]]*Tabelle5[[#This Row],[binding_level]]</f>
        <v>1</v>
      </c>
    </row>
    <row r="225" spans="1:11" x14ac:dyDescent="0.25">
      <c r="A225" s="24">
        <v>5</v>
      </c>
      <c r="B225" s="2">
        <v>31</v>
      </c>
      <c r="C225" s="2" t="s">
        <v>106</v>
      </c>
      <c r="D225" s="3">
        <v>1</v>
      </c>
      <c r="E225" s="1">
        <v>1</v>
      </c>
      <c r="F225" t="s">
        <v>3075</v>
      </c>
      <c r="G225" t="s">
        <v>3074</v>
      </c>
      <c r="H225" t="s">
        <v>3041</v>
      </c>
      <c r="I225" s="1" t="s">
        <v>1457</v>
      </c>
      <c r="J225" t="s">
        <v>3052</v>
      </c>
      <c r="K225" s="25">
        <f>Tabelle5[[#This Row],[value_present]]*Tabelle5[[#This Row],[binding_level]]</f>
        <v>1</v>
      </c>
    </row>
    <row r="226" spans="1:11" x14ac:dyDescent="0.25">
      <c r="A226" s="24">
        <v>5</v>
      </c>
      <c r="B226" s="2">
        <v>31</v>
      </c>
      <c r="C226" s="2" t="s">
        <v>112</v>
      </c>
      <c r="D226" s="3">
        <v>0</v>
      </c>
      <c r="E226" s="1"/>
      <c r="I226" s="1" t="s">
        <v>1457</v>
      </c>
      <c r="J226" t="s">
        <v>3053</v>
      </c>
      <c r="K226" s="25">
        <f>Tabelle5[[#This Row],[value_present]]*Tabelle5[[#This Row],[binding_level]]</f>
        <v>0</v>
      </c>
    </row>
    <row r="227" spans="1:11" x14ac:dyDescent="0.25">
      <c r="A227" s="24">
        <v>5</v>
      </c>
      <c r="B227" s="2">
        <v>31</v>
      </c>
      <c r="C227" s="2" t="s">
        <v>118</v>
      </c>
      <c r="D227" s="3">
        <v>0</v>
      </c>
      <c r="E227" s="1"/>
      <c r="I227" s="1" t="s">
        <v>1456</v>
      </c>
      <c r="J227" t="s">
        <v>2843</v>
      </c>
      <c r="K227" s="25">
        <f>Tabelle5[[#This Row],[value_present]]*Tabelle5[[#This Row],[binding_level]]</f>
        <v>0</v>
      </c>
    </row>
    <row r="228" spans="1:11" x14ac:dyDescent="0.25">
      <c r="A228" s="24">
        <v>5</v>
      </c>
      <c r="B228" s="2">
        <v>31</v>
      </c>
      <c r="C228" s="2" t="s">
        <v>125</v>
      </c>
      <c r="D228" s="3">
        <v>1</v>
      </c>
      <c r="E228" s="1">
        <v>1</v>
      </c>
      <c r="F228" t="s">
        <v>3077</v>
      </c>
      <c r="G228" t="s">
        <v>3076</v>
      </c>
      <c r="H228" t="s">
        <v>2604</v>
      </c>
      <c r="I228" s="1" t="s">
        <v>1457</v>
      </c>
      <c r="J228" t="s">
        <v>3054</v>
      </c>
      <c r="K228" s="25">
        <f>Tabelle5[[#This Row],[value_present]]*Tabelle5[[#This Row],[binding_level]]</f>
        <v>1</v>
      </c>
    </row>
    <row r="229" spans="1:11" x14ac:dyDescent="0.25">
      <c r="A229" s="24">
        <v>5</v>
      </c>
      <c r="B229" s="2">
        <v>31</v>
      </c>
      <c r="C229" s="2" t="s">
        <v>132</v>
      </c>
      <c r="D229" s="3">
        <v>0</v>
      </c>
      <c r="E229" s="1"/>
      <c r="I229" s="1" t="s">
        <v>1456</v>
      </c>
      <c r="J229" t="s">
        <v>3055</v>
      </c>
      <c r="K229" s="25">
        <f>Tabelle5[[#This Row],[value_present]]*Tabelle5[[#This Row],[binding_level]]</f>
        <v>0</v>
      </c>
    </row>
    <row r="230" spans="1:11" x14ac:dyDescent="0.25">
      <c r="A230" s="24">
        <v>5</v>
      </c>
      <c r="B230" s="2">
        <v>31</v>
      </c>
      <c r="C230" s="2" t="s">
        <v>140</v>
      </c>
      <c r="D230" s="3">
        <v>1</v>
      </c>
      <c r="E230" s="1">
        <v>1</v>
      </c>
      <c r="F230" t="s">
        <v>3079</v>
      </c>
      <c r="G230" t="s">
        <v>3078</v>
      </c>
      <c r="H230" t="s">
        <v>3045</v>
      </c>
      <c r="I230" s="1" t="s">
        <v>1456</v>
      </c>
      <c r="J230" t="s">
        <v>3056</v>
      </c>
      <c r="K230" s="25">
        <f>Tabelle5[[#This Row],[value_present]]*Tabelle5[[#This Row],[binding_level]]</f>
        <v>1</v>
      </c>
    </row>
    <row r="231" spans="1:11" x14ac:dyDescent="0.25">
      <c r="A231" s="24">
        <v>5</v>
      </c>
      <c r="B231" s="2">
        <v>31</v>
      </c>
      <c r="C231" s="2" t="s">
        <v>147</v>
      </c>
      <c r="D231" s="3">
        <v>1</v>
      </c>
      <c r="E231" s="1">
        <v>2</v>
      </c>
      <c r="F231" t="s">
        <v>3081</v>
      </c>
      <c r="G231" t="s">
        <v>3080</v>
      </c>
      <c r="H231" t="s">
        <v>3049</v>
      </c>
      <c r="I231" s="1" t="s">
        <v>1456</v>
      </c>
      <c r="J231" t="s">
        <v>3057</v>
      </c>
      <c r="K231" s="25">
        <f>Tabelle5[[#This Row],[value_present]]*Tabelle5[[#This Row],[binding_level]]</f>
        <v>2</v>
      </c>
    </row>
    <row r="232" spans="1:11" x14ac:dyDescent="0.25">
      <c r="A232" s="24">
        <v>5</v>
      </c>
      <c r="B232" s="2">
        <v>31</v>
      </c>
      <c r="C232" s="2" t="s">
        <v>154</v>
      </c>
      <c r="D232" s="3">
        <v>1</v>
      </c>
      <c r="E232" s="1">
        <v>1</v>
      </c>
      <c r="F232" t="s">
        <v>3083</v>
      </c>
      <c r="G232" t="s">
        <v>3082</v>
      </c>
      <c r="H232" t="s">
        <v>2604</v>
      </c>
      <c r="I232" s="1" t="s">
        <v>1457</v>
      </c>
      <c r="J232" t="s">
        <v>3058</v>
      </c>
      <c r="K232" s="25">
        <f>Tabelle5[[#This Row],[value_present]]*Tabelle5[[#This Row],[binding_level]]</f>
        <v>1</v>
      </c>
    </row>
    <row r="233" spans="1:11" x14ac:dyDescent="0.25">
      <c r="A233" s="24">
        <v>5</v>
      </c>
      <c r="B233" s="2">
        <v>31</v>
      </c>
      <c r="C233" s="2" t="s">
        <v>161</v>
      </c>
      <c r="D233" s="3">
        <v>1</v>
      </c>
      <c r="E233" s="1">
        <v>1</v>
      </c>
      <c r="F233" t="s">
        <v>3085</v>
      </c>
      <c r="G233" t="s">
        <v>3084</v>
      </c>
      <c r="H233" t="s">
        <v>3059</v>
      </c>
      <c r="I233" s="1" t="s">
        <v>1457</v>
      </c>
      <c r="J233" t="s">
        <v>3060</v>
      </c>
      <c r="K233" s="25">
        <f>Tabelle5[[#This Row],[value_present]]*Tabelle5[[#This Row],[binding_level]]</f>
        <v>1</v>
      </c>
    </row>
    <row r="234" spans="1:11" x14ac:dyDescent="0.25">
      <c r="A234" s="24">
        <v>5</v>
      </c>
      <c r="B234" s="2">
        <v>31</v>
      </c>
      <c r="C234" s="2" t="s">
        <v>166</v>
      </c>
      <c r="D234" s="3">
        <v>1</v>
      </c>
      <c r="E234" s="1">
        <v>1</v>
      </c>
      <c r="F234" t="s">
        <v>3086</v>
      </c>
      <c r="G234" t="s">
        <v>3085</v>
      </c>
      <c r="H234" t="s">
        <v>3049</v>
      </c>
      <c r="I234" s="1" t="s">
        <v>1457</v>
      </c>
      <c r="J234" t="s">
        <v>3061</v>
      </c>
      <c r="K234" s="25">
        <f>Tabelle5[[#This Row],[value_present]]*Tabelle5[[#This Row],[binding_level]]</f>
        <v>1</v>
      </c>
    </row>
    <row r="235" spans="1:11" ht="15.75" thickBot="1" x14ac:dyDescent="0.3">
      <c r="A235" s="26">
        <v>5</v>
      </c>
      <c r="B235" s="27">
        <v>31</v>
      </c>
      <c r="C235" s="27" t="s">
        <v>174</v>
      </c>
      <c r="D235" s="28">
        <v>0</v>
      </c>
      <c r="E235" s="29"/>
      <c r="F235" s="30"/>
      <c r="G235" s="30"/>
      <c r="H235" s="30"/>
      <c r="I235" s="29" t="s">
        <v>1456</v>
      </c>
      <c r="J235" s="30" t="s">
        <v>3062</v>
      </c>
      <c r="K235" s="31">
        <f>Tabelle5[[#This Row],[value_present]]*Tabelle5[[#This Row],[binding_level]]</f>
        <v>0</v>
      </c>
    </row>
    <row r="236" spans="1:11" x14ac:dyDescent="0.25">
      <c r="A236" s="18">
        <v>6</v>
      </c>
      <c r="B236" s="19">
        <v>34</v>
      </c>
      <c r="C236" s="19" t="s">
        <v>53</v>
      </c>
      <c r="D236" s="20">
        <v>0</v>
      </c>
      <c r="E236" s="21"/>
      <c r="F236" s="22"/>
      <c r="G236" s="22"/>
      <c r="H236" s="22"/>
      <c r="I236" s="21" t="s">
        <v>1457</v>
      </c>
      <c r="J236" s="22" t="s">
        <v>3119</v>
      </c>
      <c r="K236" s="23">
        <f>Tabelle5[[#This Row],[value_present]]*Tabelle5[[#This Row],[binding_level]]</f>
        <v>0</v>
      </c>
    </row>
    <row r="237" spans="1:11" x14ac:dyDescent="0.25">
      <c r="A237" s="24">
        <v>6</v>
      </c>
      <c r="B237" s="2">
        <v>34</v>
      </c>
      <c r="C237" s="2" t="s">
        <v>61</v>
      </c>
      <c r="D237" s="3">
        <v>0</v>
      </c>
      <c r="E237" s="1"/>
      <c r="I237" s="1" t="s">
        <v>1457</v>
      </c>
      <c r="J237" t="s">
        <v>3120</v>
      </c>
      <c r="K237" s="25">
        <f>Tabelle5[[#This Row],[value_present]]*Tabelle5[[#This Row],[binding_level]]</f>
        <v>0</v>
      </c>
    </row>
    <row r="238" spans="1:11" x14ac:dyDescent="0.25">
      <c r="A238" s="24">
        <v>6</v>
      </c>
      <c r="B238" s="2">
        <v>34</v>
      </c>
      <c r="C238" s="2" t="s">
        <v>69</v>
      </c>
      <c r="D238" s="3">
        <v>1</v>
      </c>
      <c r="E238" s="1">
        <v>3</v>
      </c>
      <c r="F238" t="s">
        <v>3141</v>
      </c>
      <c r="G238" t="s">
        <v>3140</v>
      </c>
      <c r="H238" t="s">
        <v>3121</v>
      </c>
      <c r="I238" s="1" t="s">
        <v>1457</v>
      </c>
      <c r="J238" t="s">
        <v>3122</v>
      </c>
      <c r="K238" s="25">
        <f>Tabelle5[[#This Row],[value_present]]*Tabelle5[[#This Row],[binding_level]]</f>
        <v>3</v>
      </c>
    </row>
    <row r="239" spans="1:11" x14ac:dyDescent="0.25">
      <c r="A239" s="24">
        <v>6</v>
      </c>
      <c r="B239" s="2">
        <v>34</v>
      </c>
      <c r="C239" s="2" t="s">
        <v>76</v>
      </c>
      <c r="D239" s="3">
        <v>0</v>
      </c>
      <c r="E239" s="1"/>
      <c r="I239" s="1" t="s">
        <v>1456</v>
      </c>
      <c r="J239" t="s">
        <v>3123</v>
      </c>
      <c r="K239" s="25">
        <f>Tabelle5[[#This Row],[value_present]]*Tabelle5[[#This Row],[binding_level]]</f>
        <v>0</v>
      </c>
    </row>
    <row r="240" spans="1:11" x14ac:dyDescent="0.25">
      <c r="A240" s="24">
        <v>6</v>
      </c>
      <c r="B240" s="2">
        <v>34</v>
      </c>
      <c r="C240" s="2" t="s">
        <v>83</v>
      </c>
      <c r="D240" s="3">
        <v>1</v>
      </c>
      <c r="E240" s="1">
        <v>3</v>
      </c>
      <c r="F240" t="s">
        <v>3142</v>
      </c>
      <c r="G240" t="s">
        <v>3142</v>
      </c>
      <c r="H240" t="s">
        <v>3124</v>
      </c>
      <c r="I240" s="1" t="s">
        <v>1457</v>
      </c>
      <c r="J240" t="s">
        <v>3125</v>
      </c>
      <c r="K240" s="25">
        <f>Tabelle5[[#This Row],[value_present]]*Tabelle5[[#This Row],[binding_level]]</f>
        <v>3</v>
      </c>
    </row>
    <row r="241" spans="1:11" x14ac:dyDescent="0.25">
      <c r="A241" s="24">
        <v>6</v>
      </c>
      <c r="B241" s="2">
        <v>34</v>
      </c>
      <c r="C241" s="2" t="s">
        <v>90</v>
      </c>
      <c r="D241" s="3">
        <v>0</v>
      </c>
      <c r="E241" s="1"/>
      <c r="I241" s="1" t="s">
        <v>1457</v>
      </c>
      <c r="J241" t="s">
        <v>3126</v>
      </c>
      <c r="K241" s="25">
        <f>Tabelle5[[#This Row],[value_present]]*Tabelle5[[#This Row],[binding_level]]</f>
        <v>0</v>
      </c>
    </row>
    <row r="242" spans="1:11" x14ac:dyDescent="0.25">
      <c r="A242" s="24">
        <v>6</v>
      </c>
      <c r="B242" s="2">
        <v>34</v>
      </c>
      <c r="C242" s="2" t="s">
        <v>98</v>
      </c>
      <c r="D242" s="3">
        <v>1</v>
      </c>
      <c r="E242" s="1">
        <v>3</v>
      </c>
      <c r="F242" t="s">
        <v>3144</v>
      </c>
      <c r="G242" t="s">
        <v>3143</v>
      </c>
      <c r="H242" t="s">
        <v>3121</v>
      </c>
      <c r="I242" s="1" t="s">
        <v>1457</v>
      </c>
      <c r="J242" t="s">
        <v>3127</v>
      </c>
      <c r="K242" s="25">
        <f>Tabelle5[[#This Row],[value_present]]*Tabelle5[[#This Row],[binding_level]]</f>
        <v>3</v>
      </c>
    </row>
    <row r="243" spans="1:11" x14ac:dyDescent="0.25">
      <c r="A243" s="24">
        <v>6</v>
      </c>
      <c r="B243" s="2">
        <v>34</v>
      </c>
      <c r="C243" s="2" t="s">
        <v>106</v>
      </c>
      <c r="D243" s="3">
        <v>0</v>
      </c>
      <c r="E243" s="1"/>
      <c r="I243" s="1" t="s">
        <v>1457</v>
      </c>
      <c r="J243" t="s">
        <v>3128</v>
      </c>
      <c r="K243" s="25">
        <f>Tabelle5[[#This Row],[value_present]]*Tabelle5[[#This Row],[binding_level]]</f>
        <v>0</v>
      </c>
    </row>
    <row r="244" spans="1:11" x14ac:dyDescent="0.25">
      <c r="A244" s="24">
        <v>6</v>
      </c>
      <c r="B244" s="2">
        <v>34</v>
      </c>
      <c r="C244" s="2" t="s">
        <v>112</v>
      </c>
      <c r="D244" s="3">
        <v>1</v>
      </c>
      <c r="E244" s="1">
        <v>3</v>
      </c>
      <c r="F244" t="s">
        <v>3146</v>
      </c>
      <c r="G244" t="s">
        <v>3145</v>
      </c>
      <c r="H244" t="s">
        <v>3124</v>
      </c>
      <c r="I244" s="1" t="s">
        <v>1456</v>
      </c>
      <c r="J244" t="s">
        <v>3129</v>
      </c>
      <c r="K244" s="25">
        <f>Tabelle5[[#This Row],[value_present]]*Tabelle5[[#This Row],[binding_level]]</f>
        <v>3</v>
      </c>
    </row>
    <row r="245" spans="1:11" x14ac:dyDescent="0.25">
      <c r="A245" s="24">
        <v>6</v>
      </c>
      <c r="B245" s="2">
        <v>34</v>
      </c>
      <c r="C245" s="2" t="s">
        <v>118</v>
      </c>
      <c r="D245" s="3">
        <v>0</v>
      </c>
      <c r="E245" s="1"/>
      <c r="I245" s="1" t="s">
        <v>1456</v>
      </c>
      <c r="J245" t="s">
        <v>2160</v>
      </c>
      <c r="K245" s="25">
        <f>Tabelle5[[#This Row],[value_present]]*Tabelle5[[#This Row],[binding_level]]</f>
        <v>0</v>
      </c>
    </row>
    <row r="246" spans="1:11" x14ac:dyDescent="0.25">
      <c r="A246" s="24">
        <v>6</v>
      </c>
      <c r="B246" s="2">
        <v>34</v>
      </c>
      <c r="C246" s="2" t="s">
        <v>125</v>
      </c>
      <c r="D246" s="3">
        <v>0</v>
      </c>
      <c r="E246" s="1"/>
      <c r="I246" s="1" t="s">
        <v>1457</v>
      </c>
      <c r="J246" t="s">
        <v>3130</v>
      </c>
      <c r="K246" s="25">
        <f>Tabelle5[[#This Row],[value_present]]*Tabelle5[[#This Row],[binding_level]]</f>
        <v>0</v>
      </c>
    </row>
    <row r="247" spans="1:11" x14ac:dyDescent="0.25">
      <c r="A247" s="24">
        <v>6</v>
      </c>
      <c r="B247" s="2">
        <v>34</v>
      </c>
      <c r="C247" s="2" t="s">
        <v>132</v>
      </c>
      <c r="D247" s="3">
        <v>1</v>
      </c>
      <c r="E247" s="1">
        <v>3</v>
      </c>
      <c r="F247" t="s">
        <v>3147</v>
      </c>
      <c r="G247" t="s">
        <v>3148</v>
      </c>
      <c r="H247" t="s">
        <v>3131</v>
      </c>
      <c r="I247" s="1" t="s">
        <v>1456</v>
      </c>
      <c r="J247" t="s">
        <v>3132</v>
      </c>
      <c r="K247" s="25">
        <f>Tabelle5[[#This Row],[value_present]]*Tabelle5[[#This Row],[binding_level]]</f>
        <v>3</v>
      </c>
    </row>
    <row r="248" spans="1:11" x14ac:dyDescent="0.25">
      <c r="A248" s="24">
        <v>6</v>
      </c>
      <c r="B248" s="2">
        <v>34</v>
      </c>
      <c r="C248" s="2" t="s">
        <v>140</v>
      </c>
      <c r="D248" s="3">
        <v>0</v>
      </c>
      <c r="E248" s="1"/>
      <c r="I248" s="1" t="s">
        <v>1457</v>
      </c>
      <c r="J248" t="s">
        <v>3133</v>
      </c>
      <c r="K248" s="25">
        <f>Tabelle5[[#This Row],[value_present]]*Tabelle5[[#This Row],[binding_level]]</f>
        <v>0</v>
      </c>
    </row>
    <row r="249" spans="1:11" x14ac:dyDescent="0.25">
      <c r="A249" s="24">
        <v>6</v>
      </c>
      <c r="B249" s="2">
        <v>34</v>
      </c>
      <c r="C249" s="2" t="s">
        <v>147</v>
      </c>
      <c r="D249" s="3">
        <v>0</v>
      </c>
      <c r="E249" s="1"/>
      <c r="I249" s="1" t="s">
        <v>1457</v>
      </c>
      <c r="J249" t="s">
        <v>3134</v>
      </c>
      <c r="K249" s="25">
        <f>Tabelle5[[#This Row],[value_present]]*Tabelle5[[#This Row],[binding_level]]</f>
        <v>0</v>
      </c>
    </row>
    <row r="250" spans="1:11" x14ac:dyDescent="0.25">
      <c r="A250" s="24">
        <v>6</v>
      </c>
      <c r="B250" s="2">
        <v>34</v>
      </c>
      <c r="C250" s="2" t="s">
        <v>154</v>
      </c>
      <c r="D250" s="3">
        <v>1</v>
      </c>
      <c r="E250" s="1">
        <v>2</v>
      </c>
      <c r="F250" t="s">
        <v>3150</v>
      </c>
      <c r="G250" t="s">
        <v>3149</v>
      </c>
      <c r="H250" t="s">
        <v>3135</v>
      </c>
      <c r="I250" s="1" t="s">
        <v>1456</v>
      </c>
      <c r="J250" t="s">
        <v>3136</v>
      </c>
      <c r="K250" s="25">
        <f>Tabelle5[[#This Row],[value_present]]*Tabelle5[[#This Row],[binding_level]]</f>
        <v>2</v>
      </c>
    </row>
    <row r="251" spans="1:11" x14ac:dyDescent="0.25">
      <c r="A251" s="24">
        <v>6</v>
      </c>
      <c r="B251" s="2">
        <v>34</v>
      </c>
      <c r="C251" s="2" t="s">
        <v>161</v>
      </c>
      <c r="D251" s="3">
        <v>1</v>
      </c>
      <c r="E251" s="1">
        <v>3</v>
      </c>
      <c r="F251" t="s">
        <v>3152</v>
      </c>
      <c r="G251" t="s">
        <v>3151</v>
      </c>
      <c r="H251" t="s">
        <v>3124</v>
      </c>
      <c r="I251" s="1" t="s">
        <v>1456</v>
      </c>
      <c r="J251" t="s">
        <v>3137</v>
      </c>
      <c r="K251" s="25">
        <f>Tabelle5[[#This Row],[value_present]]*Tabelle5[[#This Row],[binding_level]]</f>
        <v>3</v>
      </c>
    </row>
    <row r="252" spans="1:11" x14ac:dyDescent="0.25">
      <c r="A252" s="24">
        <v>6</v>
      </c>
      <c r="B252" s="2">
        <v>34</v>
      </c>
      <c r="C252" s="2" t="s">
        <v>166</v>
      </c>
      <c r="D252" s="3">
        <v>0</v>
      </c>
      <c r="E252" s="1"/>
      <c r="I252" s="1" t="s">
        <v>1541</v>
      </c>
      <c r="J252" t="s">
        <v>3138</v>
      </c>
      <c r="K252" s="25">
        <f>Tabelle5[[#This Row],[value_present]]*Tabelle5[[#This Row],[binding_level]]</f>
        <v>0</v>
      </c>
    </row>
    <row r="253" spans="1:11" ht="15.75" thickBot="1" x14ac:dyDescent="0.3">
      <c r="A253" s="26">
        <v>6</v>
      </c>
      <c r="B253" s="27">
        <v>34</v>
      </c>
      <c r="C253" s="27" t="s">
        <v>174</v>
      </c>
      <c r="D253" s="28">
        <v>0</v>
      </c>
      <c r="E253" s="29"/>
      <c r="F253" s="30"/>
      <c r="G253" s="30"/>
      <c r="H253" s="30"/>
      <c r="I253" s="29" t="s">
        <v>1456</v>
      </c>
      <c r="J253" s="30" t="s">
        <v>3139</v>
      </c>
      <c r="K253" s="31">
        <f>Tabelle5[[#This Row],[value_present]]*Tabelle5[[#This Row],[binding_level]]</f>
        <v>0</v>
      </c>
    </row>
    <row r="254" spans="1:11" x14ac:dyDescent="0.25">
      <c r="A254" s="18">
        <v>6</v>
      </c>
      <c r="B254" s="19">
        <v>36</v>
      </c>
      <c r="C254" s="19" t="s">
        <v>53</v>
      </c>
      <c r="D254" s="20">
        <v>0</v>
      </c>
      <c r="E254" s="21"/>
      <c r="F254" s="22"/>
      <c r="G254" s="22"/>
      <c r="H254" s="22"/>
      <c r="I254" s="21" t="s">
        <v>1457</v>
      </c>
      <c r="J254" s="22" t="s">
        <v>3189</v>
      </c>
      <c r="K254" s="23">
        <f>Tabelle5[[#This Row],[value_present]]*Tabelle5[[#This Row],[binding_level]]</f>
        <v>0</v>
      </c>
    </row>
    <row r="255" spans="1:11" x14ac:dyDescent="0.25">
      <c r="A255" s="24">
        <v>6</v>
      </c>
      <c r="B255" s="2">
        <v>36</v>
      </c>
      <c r="C255" s="2" t="s">
        <v>61</v>
      </c>
      <c r="D255" s="3">
        <v>0</v>
      </c>
      <c r="E255" s="1"/>
      <c r="I255" s="1" t="s">
        <v>1457</v>
      </c>
      <c r="J255" t="s">
        <v>3190</v>
      </c>
      <c r="K255" s="25">
        <f>Tabelle5[[#This Row],[value_present]]*Tabelle5[[#This Row],[binding_level]]</f>
        <v>0</v>
      </c>
    </row>
    <row r="256" spans="1:11" x14ac:dyDescent="0.25">
      <c r="A256" s="24">
        <v>6</v>
      </c>
      <c r="B256" s="2">
        <v>36</v>
      </c>
      <c r="C256" s="2" t="s">
        <v>69</v>
      </c>
      <c r="D256" s="3">
        <v>0</v>
      </c>
      <c r="E256" s="1"/>
      <c r="I256" s="1" t="s">
        <v>1456</v>
      </c>
      <c r="J256" t="s">
        <v>3191</v>
      </c>
      <c r="K256" s="25">
        <f>Tabelle5[[#This Row],[value_present]]*Tabelle5[[#This Row],[binding_level]]</f>
        <v>0</v>
      </c>
    </row>
    <row r="257" spans="1:11" x14ac:dyDescent="0.25">
      <c r="A257" s="24">
        <v>6</v>
      </c>
      <c r="B257" s="2">
        <v>36</v>
      </c>
      <c r="C257" s="2" t="s">
        <v>76</v>
      </c>
      <c r="D257" s="3">
        <v>0</v>
      </c>
      <c r="E257" s="1"/>
      <c r="I257" s="1" t="s">
        <v>1456</v>
      </c>
      <c r="J257" t="s">
        <v>3192</v>
      </c>
      <c r="K257" s="25">
        <f>Tabelle5[[#This Row],[value_present]]*Tabelle5[[#This Row],[binding_level]]</f>
        <v>0</v>
      </c>
    </row>
    <row r="258" spans="1:11" x14ac:dyDescent="0.25">
      <c r="A258" s="24">
        <v>6</v>
      </c>
      <c r="B258" s="2">
        <v>36</v>
      </c>
      <c r="C258" s="2" t="s">
        <v>83</v>
      </c>
      <c r="D258" s="3">
        <v>1</v>
      </c>
      <c r="E258" s="1">
        <v>1</v>
      </c>
      <c r="F258" t="s">
        <v>3207</v>
      </c>
      <c r="G258" t="s">
        <v>3206</v>
      </c>
      <c r="H258" t="s">
        <v>3193</v>
      </c>
      <c r="I258" s="1" t="s">
        <v>1456</v>
      </c>
      <c r="J258" t="s">
        <v>3194</v>
      </c>
      <c r="K258" s="25">
        <f>Tabelle5[[#This Row],[value_present]]*Tabelle5[[#This Row],[binding_level]]</f>
        <v>1</v>
      </c>
    </row>
    <row r="259" spans="1:11" x14ac:dyDescent="0.25">
      <c r="A259" s="24">
        <v>6</v>
      </c>
      <c r="B259" s="2">
        <v>36</v>
      </c>
      <c r="C259" s="2" t="s">
        <v>90</v>
      </c>
      <c r="D259" s="3">
        <v>1</v>
      </c>
      <c r="E259" s="1">
        <v>1</v>
      </c>
      <c r="F259" t="s">
        <v>3209</v>
      </c>
      <c r="G259" t="s">
        <v>3208</v>
      </c>
      <c r="H259" t="s">
        <v>3193</v>
      </c>
      <c r="I259" s="1" t="s">
        <v>1456</v>
      </c>
      <c r="J259" t="s">
        <v>3195</v>
      </c>
      <c r="K259" s="25">
        <f>Tabelle5[[#This Row],[value_present]]*Tabelle5[[#This Row],[binding_level]]</f>
        <v>1</v>
      </c>
    </row>
    <row r="260" spans="1:11" x14ac:dyDescent="0.25">
      <c r="A260" s="24">
        <v>6</v>
      </c>
      <c r="B260" s="2">
        <v>36</v>
      </c>
      <c r="C260" s="2" t="s">
        <v>98</v>
      </c>
      <c r="D260" s="3">
        <v>0</v>
      </c>
      <c r="E260" s="1"/>
      <c r="I260" s="1" t="s">
        <v>1456</v>
      </c>
      <c r="J260" t="s">
        <v>3196</v>
      </c>
      <c r="K260" s="25">
        <f>Tabelle5[[#This Row],[value_present]]*Tabelle5[[#This Row],[binding_level]]</f>
        <v>0</v>
      </c>
    </row>
    <row r="261" spans="1:11" x14ac:dyDescent="0.25">
      <c r="A261" s="24">
        <v>6</v>
      </c>
      <c r="B261" s="2">
        <v>36</v>
      </c>
      <c r="C261" s="2" t="s">
        <v>106</v>
      </c>
      <c r="D261" s="3">
        <v>0</v>
      </c>
      <c r="E261" s="1"/>
      <c r="I261" s="1" t="s">
        <v>1457</v>
      </c>
      <c r="J261" t="s">
        <v>3197</v>
      </c>
      <c r="K261" s="25">
        <f>Tabelle5[[#This Row],[value_present]]*Tabelle5[[#This Row],[binding_level]]</f>
        <v>0</v>
      </c>
    </row>
    <row r="262" spans="1:11" x14ac:dyDescent="0.25">
      <c r="A262" s="24">
        <v>6</v>
      </c>
      <c r="B262" s="2">
        <v>36</v>
      </c>
      <c r="C262" s="2" t="s">
        <v>112</v>
      </c>
      <c r="D262" s="3">
        <v>1</v>
      </c>
      <c r="E262" s="1">
        <v>1</v>
      </c>
      <c r="F262" t="s">
        <v>3211</v>
      </c>
      <c r="G262" t="s">
        <v>3210</v>
      </c>
      <c r="H262" t="s">
        <v>3193</v>
      </c>
      <c r="I262" s="1" t="s">
        <v>1456</v>
      </c>
      <c r="J262" t="s">
        <v>3198</v>
      </c>
      <c r="K262" s="25">
        <f>Tabelle5[[#This Row],[value_present]]*Tabelle5[[#This Row],[binding_level]]</f>
        <v>1</v>
      </c>
    </row>
    <row r="263" spans="1:11" x14ac:dyDescent="0.25">
      <c r="A263" s="24">
        <v>6</v>
      </c>
      <c r="B263" s="2">
        <v>36</v>
      </c>
      <c r="C263" s="2" t="s">
        <v>118</v>
      </c>
      <c r="D263" s="3">
        <v>0</v>
      </c>
      <c r="E263" s="1"/>
      <c r="I263" s="1" t="s">
        <v>1456</v>
      </c>
      <c r="J263" t="s">
        <v>2160</v>
      </c>
      <c r="K263" s="25">
        <f>Tabelle5[[#This Row],[value_present]]*Tabelle5[[#This Row],[binding_level]]</f>
        <v>0</v>
      </c>
    </row>
    <row r="264" spans="1:11" x14ac:dyDescent="0.25">
      <c r="A264" s="24">
        <v>6</v>
      </c>
      <c r="B264" s="2">
        <v>36</v>
      </c>
      <c r="C264" s="2" t="s">
        <v>125</v>
      </c>
      <c r="D264" s="3">
        <v>0</v>
      </c>
      <c r="E264" s="1"/>
      <c r="I264" s="1" t="s">
        <v>1457</v>
      </c>
      <c r="J264" t="s">
        <v>3199</v>
      </c>
      <c r="K264" s="25">
        <f>Tabelle5[[#This Row],[value_present]]*Tabelle5[[#This Row],[binding_level]]</f>
        <v>0</v>
      </c>
    </row>
    <row r="265" spans="1:11" x14ac:dyDescent="0.25">
      <c r="A265" s="24">
        <v>6</v>
      </c>
      <c r="B265" s="2">
        <v>36</v>
      </c>
      <c r="C265" s="2" t="s">
        <v>132</v>
      </c>
      <c r="D265" s="3">
        <v>0</v>
      </c>
      <c r="E265" s="1"/>
      <c r="I265" s="1" t="s">
        <v>1456</v>
      </c>
      <c r="J265" t="s">
        <v>3055</v>
      </c>
      <c r="K265" s="25">
        <f>Tabelle5[[#This Row],[value_present]]*Tabelle5[[#This Row],[binding_level]]</f>
        <v>0</v>
      </c>
    </row>
    <row r="266" spans="1:11" x14ac:dyDescent="0.25">
      <c r="A266" s="24">
        <v>6</v>
      </c>
      <c r="B266" s="2">
        <v>36</v>
      </c>
      <c r="C266" s="2" t="s">
        <v>140</v>
      </c>
      <c r="D266" s="3">
        <v>1</v>
      </c>
      <c r="E266" s="1">
        <v>1</v>
      </c>
      <c r="F266" t="s">
        <v>3213</v>
      </c>
      <c r="G266" t="s">
        <v>3212</v>
      </c>
      <c r="H266" t="s">
        <v>2604</v>
      </c>
      <c r="I266" s="1" t="s">
        <v>1456</v>
      </c>
      <c r="J266" t="s">
        <v>3200</v>
      </c>
      <c r="K266" s="25">
        <f>Tabelle5[[#This Row],[value_present]]*Tabelle5[[#This Row],[binding_level]]</f>
        <v>1</v>
      </c>
    </row>
    <row r="267" spans="1:11" x14ac:dyDescent="0.25">
      <c r="A267" s="24">
        <v>6</v>
      </c>
      <c r="B267" s="2">
        <v>36</v>
      </c>
      <c r="C267" s="2" t="s">
        <v>147</v>
      </c>
      <c r="D267" s="3">
        <v>0</v>
      </c>
      <c r="E267" s="1"/>
      <c r="I267" s="1" t="s">
        <v>1457</v>
      </c>
      <c r="J267" t="s">
        <v>3201</v>
      </c>
      <c r="K267" s="25">
        <f>Tabelle5[[#This Row],[value_present]]*Tabelle5[[#This Row],[binding_level]]</f>
        <v>0</v>
      </c>
    </row>
    <row r="268" spans="1:11" x14ac:dyDescent="0.25">
      <c r="A268" s="24">
        <v>6</v>
      </c>
      <c r="B268" s="2">
        <v>36</v>
      </c>
      <c r="C268" s="2" t="s">
        <v>154</v>
      </c>
      <c r="D268" s="3">
        <v>0</v>
      </c>
      <c r="E268" s="1"/>
      <c r="I268" s="1" t="s">
        <v>1457</v>
      </c>
      <c r="J268" t="s">
        <v>3202</v>
      </c>
      <c r="K268" s="25">
        <f>Tabelle5[[#This Row],[value_present]]*Tabelle5[[#This Row],[binding_level]]</f>
        <v>0</v>
      </c>
    </row>
    <row r="269" spans="1:11" x14ac:dyDescent="0.25">
      <c r="A269" s="24">
        <v>6</v>
      </c>
      <c r="B269" s="2">
        <v>36</v>
      </c>
      <c r="C269" s="2" t="s">
        <v>161</v>
      </c>
      <c r="D269" s="3">
        <v>1</v>
      </c>
      <c r="E269" s="1">
        <v>1</v>
      </c>
      <c r="F269" t="s">
        <v>3215</v>
      </c>
      <c r="G269" t="s">
        <v>3214</v>
      </c>
      <c r="H269" t="s">
        <v>3193</v>
      </c>
      <c r="I269" s="1" t="s">
        <v>1457</v>
      </c>
      <c r="J269" t="s">
        <v>3203</v>
      </c>
      <c r="K269" s="25">
        <f>Tabelle5[[#This Row],[value_present]]*Tabelle5[[#This Row],[binding_level]]</f>
        <v>1</v>
      </c>
    </row>
    <row r="270" spans="1:11" x14ac:dyDescent="0.25">
      <c r="A270" s="24">
        <v>6</v>
      </c>
      <c r="B270" s="2">
        <v>36</v>
      </c>
      <c r="C270" s="2" t="s">
        <v>166</v>
      </c>
      <c r="D270" s="3">
        <v>0</v>
      </c>
      <c r="E270" s="1"/>
      <c r="I270" s="1" t="s">
        <v>1456</v>
      </c>
      <c r="J270" t="s">
        <v>3204</v>
      </c>
      <c r="K270" s="25">
        <f>Tabelle5[[#This Row],[value_present]]*Tabelle5[[#This Row],[binding_level]]</f>
        <v>0</v>
      </c>
    </row>
    <row r="271" spans="1:11" ht="15.75" thickBot="1" x14ac:dyDescent="0.3">
      <c r="A271" s="26">
        <v>6</v>
      </c>
      <c r="B271" s="27">
        <v>36</v>
      </c>
      <c r="C271" s="27" t="s">
        <v>174</v>
      </c>
      <c r="D271" s="28">
        <v>0</v>
      </c>
      <c r="E271" s="29"/>
      <c r="F271" s="30"/>
      <c r="G271" s="30"/>
      <c r="H271" s="30"/>
      <c r="I271" s="29" t="s">
        <v>1456</v>
      </c>
      <c r="J271" s="30" t="s">
        <v>3205</v>
      </c>
      <c r="K271" s="31">
        <f>Tabelle5[[#This Row],[value_present]]*Tabelle5[[#This Row],[binding_level]]</f>
        <v>0</v>
      </c>
    </row>
    <row r="272" spans="1:11" x14ac:dyDescent="0.25">
      <c r="A272" s="18">
        <v>7</v>
      </c>
      <c r="B272" s="19">
        <v>37</v>
      </c>
      <c r="C272" s="19" t="s">
        <v>53</v>
      </c>
      <c r="D272" s="20">
        <v>1</v>
      </c>
      <c r="E272" s="21">
        <v>2</v>
      </c>
      <c r="F272" s="22" t="s">
        <v>3262</v>
      </c>
      <c r="G272" s="22" t="s">
        <v>3261</v>
      </c>
      <c r="H272" s="22" t="s">
        <v>3239</v>
      </c>
      <c r="I272" s="21" t="s">
        <v>1456</v>
      </c>
      <c r="J272" s="22" t="s">
        <v>3240</v>
      </c>
      <c r="K272" s="23">
        <f>Tabelle5[[#This Row],[value_present]]*Tabelle5[[#This Row],[binding_level]]</f>
        <v>2</v>
      </c>
    </row>
    <row r="273" spans="1:11" x14ac:dyDescent="0.25">
      <c r="A273" s="24">
        <v>7</v>
      </c>
      <c r="B273" s="2">
        <v>37</v>
      </c>
      <c r="C273" s="2" t="s">
        <v>61</v>
      </c>
      <c r="D273" s="3">
        <v>1</v>
      </c>
      <c r="E273" s="1">
        <v>3</v>
      </c>
      <c r="F273" t="s">
        <v>3264</v>
      </c>
      <c r="G273" t="s">
        <v>3263</v>
      </c>
      <c r="H273" t="s">
        <v>3216</v>
      </c>
      <c r="I273" s="1" t="s">
        <v>1456</v>
      </c>
      <c r="J273" t="s">
        <v>3241</v>
      </c>
      <c r="K273" s="25">
        <f>Tabelle5[[#This Row],[value_present]]*Tabelle5[[#This Row],[binding_level]]</f>
        <v>3</v>
      </c>
    </row>
    <row r="274" spans="1:11" x14ac:dyDescent="0.25">
      <c r="A274" s="24">
        <v>7</v>
      </c>
      <c r="B274" s="2">
        <v>37</v>
      </c>
      <c r="C274" s="2" t="s">
        <v>69</v>
      </c>
      <c r="D274" s="3">
        <v>1</v>
      </c>
      <c r="E274" s="1">
        <v>1</v>
      </c>
      <c r="F274" t="s">
        <v>3266</v>
      </c>
      <c r="G274" t="s">
        <v>3265</v>
      </c>
      <c r="H274" t="s">
        <v>3193</v>
      </c>
      <c r="I274" s="1" t="s">
        <v>1456</v>
      </c>
      <c r="J274" t="s">
        <v>3242</v>
      </c>
      <c r="K274" s="25">
        <f>Tabelle5[[#This Row],[value_present]]*Tabelle5[[#This Row],[binding_level]]</f>
        <v>1</v>
      </c>
    </row>
    <row r="275" spans="1:11" x14ac:dyDescent="0.25">
      <c r="A275" s="24">
        <v>7</v>
      </c>
      <c r="B275" s="2">
        <v>37</v>
      </c>
      <c r="C275" s="2" t="s">
        <v>76</v>
      </c>
      <c r="D275" s="3">
        <v>1</v>
      </c>
      <c r="E275" s="1">
        <v>1</v>
      </c>
      <c r="F275" t="s">
        <v>3268</v>
      </c>
      <c r="G275" t="s">
        <v>3267</v>
      </c>
      <c r="H275" t="s">
        <v>3193</v>
      </c>
      <c r="I275" s="1" t="s">
        <v>1456</v>
      </c>
      <c r="J275" t="s">
        <v>3243</v>
      </c>
      <c r="K275" s="25">
        <f>Tabelle5[[#This Row],[value_present]]*Tabelle5[[#This Row],[binding_level]]</f>
        <v>1</v>
      </c>
    </row>
    <row r="276" spans="1:11" x14ac:dyDescent="0.25">
      <c r="A276" s="24">
        <v>7</v>
      </c>
      <c r="B276" s="2">
        <v>37</v>
      </c>
      <c r="C276" s="2" t="s">
        <v>83</v>
      </c>
      <c r="D276" s="3">
        <v>1</v>
      </c>
      <c r="E276" s="1">
        <v>1</v>
      </c>
      <c r="F276" t="s">
        <v>3270</v>
      </c>
      <c r="G276" t="s">
        <v>3269</v>
      </c>
      <c r="H276" t="s">
        <v>3193</v>
      </c>
      <c r="I276" s="1" t="s">
        <v>1456</v>
      </c>
      <c r="J276" t="s">
        <v>3244</v>
      </c>
      <c r="K276" s="25">
        <f>Tabelle5[[#This Row],[value_present]]*Tabelle5[[#This Row],[binding_level]]</f>
        <v>1</v>
      </c>
    </row>
    <row r="277" spans="1:11" x14ac:dyDescent="0.25">
      <c r="A277" s="24">
        <v>7</v>
      </c>
      <c r="B277" s="2">
        <v>37</v>
      </c>
      <c r="C277" s="2" t="s">
        <v>90</v>
      </c>
      <c r="D277" s="3">
        <v>1</v>
      </c>
      <c r="E277" s="1">
        <v>2</v>
      </c>
      <c r="F277" t="s">
        <v>3272</v>
      </c>
      <c r="G277" t="s">
        <v>3271</v>
      </c>
      <c r="H277" t="s">
        <v>3193</v>
      </c>
      <c r="I277" s="1" t="s">
        <v>1456</v>
      </c>
      <c r="J277" t="s">
        <v>3245</v>
      </c>
      <c r="K277" s="25">
        <f>Tabelle5[[#This Row],[value_present]]*Tabelle5[[#This Row],[binding_level]]</f>
        <v>2</v>
      </c>
    </row>
    <row r="278" spans="1:11" x14ac:dyDescent="0.25">
      <c r="A278" s="24">
        <v>7</v>
      </c>
      <c r="B278" s="2">
        <v>37</v>
      </c>
      <c r="C278" s="2" t="s">
        <v>98</v>
      </c>
      <c r="D278" s="3">
        <v>1</v>
      </c>
      <c r="E278" s="1">
        <v>2</v>
      </c>
      <c r="F278" t="s">
        <v>3274</v>
      </c>
      <c r="G278" t="s">
        <v>3273</v>
      </c>
      <c r="H278" t="s">
        <v>3193</v>
      </c>
      <c r="I278" s="1" t="s">
        <v>1456</v>
      </c>
      <c r="J278" t="s">
        <v>3246</v>
      </c>
      <c r="K278" s="25">
        <f>Tabelle5[[#This Row],[value_present]]*Tabelle5[[#This Row],[binding_level]]</f>
        <v>2</v>
      </c>
    </row>
    <row r="279" spans="1:11" x14ac:dyDescent="0.25">
      <c r="A279" s="24">
        <v>7</v>
      </c>
      <c r="B279" s="2">
        <v>37</v>
      </c>
      <c r="C279" s="2" t="s">
        <v>106</v>
      </c>
      <c r="D279" s="3">
        <v>1</v>
      </c>
      <c r="E279" s="1">
        <v>2</v>
      </c>
      <c r="F279" t="s">
        <v>3276</v>
      </c>
      <c r="G279" t="s">
        <v>3275</v>
      </c>
      <c r="H279" t="s">
        <v>3247</v>
      </c>
      <c r="I279" s="1" t="s">
        <v>1456</v>
      </c>
      <c r="J279" t="s">
        <v>3248</v>
      </c>
      <c r="K279" s="25">
        <f>Tabelle5[[#This Row],[value_present]]*Tabelle5[[#This Row],[binding_level]]</f>
        <v>2</v>
      </c>
    </row>
    <row r="280" spans="1:11" x14ac:dyDescent="0.25">
      <c r="A280" s="24">
        <v>7</v>
      </c>
      <c r="B280" s="2">
        <v>37</v>
      </c>
      <c r="C280" s="2" t="s">
        <v>112</v>
      </c>
      <c r="D280" s="3">
        <v>1</v>
      </c>
      <c r="E280" s="1">
        <v>2</v>
      </c>
      <c r="F280" t="s">
        <v>3278</v>
      </c>
      <c r="G280" t="s">
        <v>3277</v>
      </c>
      <c r="H280" t="s">
        <v>3193</v>
      </c>
      <c r="I280" s="1" t="s">
        <v>1456</v>
      </c>
      <c r="J280" t="s">
        <v>3249</v>
      </c>
      <c r="K280" s="25">
        <f>Tabelle5[[#This Row],[value_present]]*Tabelle5[[#This Row],[binding_level]]</f>
        <v>2</v>
      </c>
    </row>
    <row r="281" spans="1:11" x14ac:dyDescent="0.25">
      <c r="A281" s="24">
        <v>7</v>
      </c>
      <c r="B281" s="2">
        <v>37</v>
      </c>
      <c r="C281" s="2" t="s">
        <v>118</v>
      </c>
      <c r="D281" s="3">
        <v>0</v>
      </c>
      <c r="E281" s="1"/>
      <c r="I281" s="1" t="s">
        <v>1456</v>
      </c>
      <c r="J281" t="s">
        <v>2843</v>
      </c>
      <c r="K281" s="25">
        <f>Tabelle5[[#This Row],[value_present]]*Tabelle5[[#This Row],[binding_level]]</f>
        <v>0</v>
      </c>
    </row>
    <row r="282" spans="1:11" x14ac:dyDescent="0.25">
      <c r="A282" s="24">
        <v>7</v>
      </c>
      <c r="B282" s="2">
        <v>37</v>
      </c>
      <c r="C282" s="2" t="s">
        <v>125</v>
      </c>
      <c r="D282" s="3">
        <v>0</v>
      </c>
      <c r="E282" s="1"/>
      <c r="I282" s="1" t="s">
        <v>1457</v>
      </c>
      <c r="J282" t="s">
        <v>3250</v>
      </c>
      <c r="K282" s="25">
        <f>Tabelle5[[#This Row],[value_present]]*Tabelle5[[#This Row],[binding_level]]</f>
        <v>0</v>
      </c>
    </row>
    <row r="283" spans="1:11" x14ac:dyDescent="0.25">
      <c r="A283" s="24">
        <v>7</v>
      </c>
      <c r="B283" s="2">
        <v>37</v>
      </c>
      <c r="C283" s="2" t="s">
        <v>132</v>
      </c>
      <c r="D283" s="3">
        <v>1</v>
      </c>
      <c r="E283" s="1">
        <v>1</v>
      </c>
      <c r="F283" t="s">
        <v>3280</v>
      </c>
      <c r="G283" t="s">
        <v>3279</v>
      </c>
      <c r="H283" t="s">
        <v>3251</v>
      </c>
      <c r="I283" s="1" t="s">
        <v>1456</v>
      </c>
      <c r="J283" t="s">
        <v>3252</v>
      </c>
      <c r="K283" s="25">
        <f>Tabelle5[[#This Row],[value_present]]*Tabelle5[[#This Row],[binding_level]]</f>
        <v>1</v>
      </c>
    </row>
    <row r="284" spans="1:11" x14ac:dyDescent="0.25">
      <c r="A284" s="24">
        <v>7</v>
      </c>
      <c r="B284" s="2">
        <v>37</v>
      </c>
      <c r="C284" s="2" t="s">
        <v>140</v>
      </c>
      <c r="D284" s="3">
        <v>1</v>
      </c>
      <c r="E284" s="1">
        <v>1</v>
      </c>
      <c r="F284" t="s">
        <v>3282</v>
      </c>
      <c r="G284" t="s">
        <v>3281</v>
      </c>
      <c r="H284" t="s">
        <v>3193</v>
      </c>
      <c r="I284" s="1" t="s">
        <v>1456</v>
      </c>
      <c r="J284" t="s">
        <v>3253</v>
      </c>
      <c r="K284" s="25">
        <f>Tabelle5[[#This Row],[value_present]]*Tabelle5[[#This Row],[binding_level]]</f>
        <v>1</v>
      </c>
    </row>
    <row r="285" spans="1:11" x14ac:dyDescent="0.25">
      <c r="A285" s="24">
        <v>7</v>
      </c>
      <c r="B285" s="2">
        <v>37</v>
      </c>
      <c r="C285" s="2" t="s">
        <v>147</v>
      </c>
      <c r="D285" s="3">
        <v>1</v>
      </c>
      <c r="E285" s="1">
        <v>1</v>
      </c>
      <c r="F285" t="s">
        <v>3284</v>
      </c>
      <c r="G285" t="s">
        <v>3283</v>
      </c>
      <c r="H285" t="s">
        <v>3193</v>
      </c>
      <c r="I285" s="1" t="s">
        <v>1457</v>
      </c>
      <c r="J285" t="s">
        <v>3254</v>
      </c>
      <c r="K285" s="25">
        <f>Tabelle5[[#This Row],[value_present]]*Tabelle5[[#This Row],[binding_level]]</f>
        <v>1</v>
      </c>
    </row>
    <row r="286" spans="1:11" x14ac:dyDescent="0.25">
      <c r="A286" s="24">
        <v>7</v>
      </c>
      <c r="B286" s="2">
        <v>37</v>
      </c>
      <c r="C286" s="2" t="s">
        <v>154</v>
      </c>
      <c r="D286" s="3">
        <v>0</v>
      </c>
      <c r="E286" s="1"/>
      <c r="I286" s="1" t="s">
        <v>1457</v>
      </c>
      <c r="J286" t="s">
        <v>3255</v>
      </c>
      <c r="K286" s="25">
        <f>Tabelle5[[#This Row],[value_present]]*Tabelle5[[#This Row],[binding_level]]</f>
        <v>0</v>
      </c>
    </row>
    <row r="287" spans="1:11" x14ac:dyDescent="0.25">
      <c r="A287" s="24">
        <v>7</v>
      </c>
      <c r="B287" s="2">
        <v>37</v>
      </c>
      <c r="C287" s="2" t="s">
        <v>161</v>
      </c>
      <c r="D287" s="3">
        <v>1</v>
      </c>
      <c r="E287" s="1">
        <v>2</v>
      </c>
      <c r="F287" t="s">
        <v>3286</v>
      </c>
      <c r="G287" t="s">
        <v>3285</v>
      </c>
      <c r="H287" t="s">
        <v>3256</v>
      </c>
      <c r="I287" s="1" t="s">
        <v>1456</v>
      </c>
      <c r="J287" t="s">
        <v>3257</v>
      </c>
      <c r="K287" s="25">
        <f>Tabelle5[[#This Row],[value_present]]*Tabelle5[[#This Row],[binding_level]]</f>
        <v>2</v>
      </c>
    </row>
    <row r="288" spans="1:11" x14ac:dyDescent="0.25">
      <c r="A288" s="24">
        <v>7</v>
      </c>
      <c r="B288" s="2">
        <v>37</v>
      </c>
      <c r="C288" s="2" t="s">
        <v>166</v>
      </c>
      <c r="D288" s="3">
        <v>1</v>
      </c>
      <c r="E288" s="1">
        <v>2</v>
      </c>
      <c r="F288" t="s">
        <v>3288</v>
      </c>
      <c r="G288" t="s">
        <v>3287</v>
      </c>
      <c r="H288" t="s">
        <v>3258</v>
      </c>
      <c r="I288" s="1" t="s">
        <v>1456</v>
      </c>
      <c r="J288" t="s">
        <v>3259</v>
      </c>
      <c r="K288" s="25">
        <f>Tabelle5[[#This Row],[value_present]]*Tabelle5[[#This Row],[binding_level]]</f>
        <v>2</v>
      </c>
    </row>
    <row r="289" spans="1:11" ht="15.75" thickBot="1" x14ac:dyDescent="0.3">
      <c r="A289" s="26">
        <v>7</v>
      </c>
      <c r="B289" s="27">
        <v>37</v>
      </c>
      <c r="C289" s="27" t="s">
        <v>174</v>
      </c>
      <c r="D289" s="28">
        <v>1</v>
      </c>
      <c r="E289" s="29">
        <v>1</v>
      </c>
      <c r="F289" s="30" t="s">
        <v>3290</v>
      </c>
      <c r="G289" s="30" t="s">
        <v>3289</v>
      </c>
      <c r="H289" s="30" t="s">
        <v>3193</v>
      </c>
      <c r="I289" s="29" t="s">
        <v>1457</v>
      </c>
      <c r="J289" s="30" t="s">
        <v>3260</v>
      </c>
      <c r="K289" s="31">
        <f>Tabelle5[[#This Row],[value_present]]*Tabelle5[[#This Row],[binding_level]]</f>
        <v>1</v>
      </c>
    </row>
    <row r="290" spans="1:11" x14ac:dyDescent="0.25">
      <c r="A290" s="18">
        <v>7</v>
      </c>
      <c r="B290" s="19">
        <v>38</v>
      </c>
      <c r="C290" s="19" t="s">
        <v>53</v>
      </c>
      <c r="D290" s="20">
        <v>1</v>
      </c>
      <c r="E290" s="21">
        <v>2</v>
      </c>
      <c r="F290" s="22" t="s">
        <v>3344</v>
      </c>
      <c r="G290" s="22" t="s">
        <v>3343</v>
      </c>
      <c r="H290" s="22" t="s">
        <v>3293</v>
      </c>
      <c r="I290" s="21" t="s">
        <v>1456</v>
      </c>
      <c r="J290" s="22" t="s">
        <v>3326</v>
      </c>
      <c r="K290" s="23">
        <f>Tabelle5[[#This Row],[value_present]]*Tabelle5[[#This Row],[binding_level]]</f>
        <v>2</v>
      </c>
    </row>
    <row r="291" spans="1:11" x14ac:dyDescent="0.25">
      <c r="A291" s="24">
        <v>7</v>
      </c>
      <c r="B291" s="2">
        <v>38</v>
      </c>
      <c r="C291" s="2" t="s">
        <v>61</v>
      </c>
      <c r="D291" s="3">
        <v>0</v>
      </c>
      <c r="E291" s="1"/>
      <c r="I291" s="1" t="s">
        <v>1456</v>
      </c>
      <c r="J291" t="s">
        <v>3327</v>
      </c>
      <c r="K291" s="25">
        <f>Tabelle5[[#This Row],[value_present]]*Tabelle5[[#This Row],[binding_level]]</f>
        <v>0</v>
      </c>
    </row>
    <row r="292" spans="1:11" x14ac:dyDescent="0.25">
      <c r="A292" s="24">
        <v>7</v>
      </c>
      <c r="B292" s="2">
        <v>38</v>
      </c>
      <c r="C292" s="2" t="s">
        <v>69</v>
      </c>
      <c r="D292" s="3">
        <v>1</v>
      </c>
      <c r="E292" s="1">
        <v>1</v>
      </c>
      <c r="F292" t="s">
        <v>3346</v>
      </c>
      <c r="G292" t="s">
        <v>3345</v>
      </c>
      <c r="H292" t="s">
        <v>3193</v>
      </c>
      <c r="I292" s="1" t="s">
        <v>1457</v>
      </c>
      <c r="J292" t="s">
        <v>3328</v>
      </c>
      <c r="K292" s="25">
        <f>Tabelle5[[#This Row],[value_present]]*Tabelle5[[#This Row],[binding_level]]</f>
        <v>1</v>
      </c>
    </row>
    <row r="293" spans="1:11" x14ac:dyDescent="0.25">
      <c r="A293" s="24">
        <v>7</v>
      </c>
      <c r="B293" s="2">
        <v>38</v>
      </c>
      <c r="C293" s="2" t="s">
        <v>76</v>
      </c>
      <c r="D293" s="3">
        <v>1</v>
      </c>
      <c r="E293" s="1">
        <v>1</v>
      </c>
      <c r="F293" t="s">
        <v>3348</v>
      </c>
      <c r="G293" t="s">
        <v>3347</v>
      </c>
      <c r="H293" t="s">
        <v>3293</v>
      </c>
      <c r="I293" s="1" t="s">
        <v>1457</v>
      </c>
      <c r="J293" t="s">
        <v>3329</v>
      </c>
      <c r="K293" s="25">
        <f>Tabelle5[[#This Row],[value_present]]*Tabelle5[[#This Row],[binding_level]]</f>
        <v>1</v>
      </c>
    </row>
    <row r="294" spans="1:11" x14ac:dyDescent="0.25">
      <c r="A294" s="24">
        <v>7</v>
      </c>
      <c r="B294" s="2">
        <v>38</v>
      </c>
      <c r="C294" s="2" t="s">
        <v>83</v>
      </c>
      <c r="D294" s="3">
        <v>0</v>
      </c>
      <c r="E294" s="1"/>
      <c r="I294" s="1" t="s">
        <v>1456</v>
      </c>
      <c r="J294" t="s">
        <v>3330</v>
      </c>
      <c r="K294" s="25">
        <f>Tabelle5[[#This Row],[value_present]]*Tabelle5[[#This Row],[binding_level]]</f>
        <v>0</v>
      </c>
    </row>
    <row r="295" spans="1:11" x14ac:dyDescent="0.25">
      <c r="A295" s="24">
        <v>7</v>
      </c>
      <c r="B295" s="2">
        <v>38</v>
      </c>
      <c r="C295" s="2" t="s">
        <v>90</v>
      </c>
      <c r="D295" s="3">
        <v>0</v>
      </c>
      <c r="E295" s="1"/>
      <c r="I295" s="1" t="s">
        <v>1457</v>
      </c>
      <c r="J295" t="s">
        <v>3331</v>
      </c>
      <c r="K295" s="25">
        <f>Tabelle5[[#This Row],[value_present]]*Tabelle5[[#This Row],[binding_level]]</f>
        <v>0</v>
      </c>
    </row>
    <row r="296" spans="1:11" x14ac:dyDescent="0.25">
      <c r="A296" s="24">
        <v>7</v>
      </c>
      <c r="B296" s="2">
        <v>38</v>
      </c>
      <c r="C296" s="2" t="s">
        <v>98</v>
      </c>
      <c r="D296" s="3">
        <v>0</v>
      </c>
      <c r="E296" s="1"/>
      <c r="I296" s="1" t="s">
        <v>1457</v>
      </c>
      <c r="J296" t="s">
        <v>3332</v>
      </c>
      <c r="K296" s="25">
        <f>Tabelle5[[#This Row],[value_present]]*Tabelle5[[#This Row],[binding_level]]</f>
        <v>0</v>
      </c>
    </row>
    <row r="297" spans="1:11" x14ac:dyDescent="0.25">
      <c r="A297" s="24">
        <v>7</v>
      </c>
      <c r="B297" s="2">
        <v>38</v>
      </c>
      <c r="C297" s="2" t="s">
        <v>106</v>
      </c>
      <c r="D297" s="3">
        <v>0</v>
      </c>
      <c r="E297" s="1"/>
      <c r="I297" s="1" t="s">
        <v>1457</v>
      </c>
      <c r="J297" t="s">
        <v>3333</v>
      </c>
      <c r="K297" s="25">
        <f>Tabelle5[[#This Row],[value_present]]*Tabelle5[[#This Row],[binding_level]]</f>
        <v>0</v>
      </c>
    </row>
    <row r="298" spans="1:11" x14ac:dyDescent="0.25">
      <c r="A298" s="24">
        <v>7</v>
      </c>
      <c r="B298" s="2">
        <v>38</v>
      </c>
      <c r="C298" s="2" t="s">
        <v>112</v>
      </c>
      <c r="D298" s="3">
        <v>0</v>
      </c>
      <c r="E298" s="1"/>
      <c r="I298" s="1" t="s">
        <v>1457</v>
      </c>
      <c r="J298" t="s">
        <v>3334</v>
      </c>
      <c r="K298" s="25">
        <f>Tabelle5[[#This Row],[value_present]]*Tabelle5[[#This Row],[binding_level]]</f>
        <v>0</v>
      </c>
    </row>
    <row r="299" spans="1:11" x14ac:dyDescent="0.25">
      <c r="A299" s="24">
        <v>7</v>
      </c>
      <c r="B299" s="2">
        <v>38</v>
      </c>
      <c r="C299" s="2" t="s">
        <v>118</v>
      </c>
      <c r="D299" s="3">
        <v>0</v>
      </c>
      <c r="E299" s="1"/>
      <c r="I299" s="1" t="s">
        <v>1456</v>
      </c>
      <c r="J299" t="s">
        <v>2160</v>
      </c>
      <c r="K299" s="25">
        <f>Tabelle5[[#This Row],[value_present]]*Tabelle5[[#This Row],[binding_level]]</f>
        <v>0</v>
      </c>
    </row>
    <row r="300" spans="1:11" x14ac:dyDescent="0.25">
      <c r="A300" s="24">
        <v>7</v>
      </c>
      <c r="B300" s="2">
        <v>38</v>
      </c>
      <c r="C300" s="2" t="s">
        <v>125</v>
      </c>
      <c r="D300" s="3">
        <v>0</v>
      </c>
      <c r="E300" s="1"/>
      <c r="I300" s="1" t="s">
        <v>1457</v>
      </c>
      <c r="J300" t="s">
        <v>3335</v>
      </c>
      <c r="K300" s="25">
        <f>Tabelle5[[#This Row],[value_present]]*Tabelle5[[#This Row],[binding_level]]</f>
        <v>0</v>
      </c>
    </row>
    <row r="301" spans="1:11" x14ac:dyDescent="0.25">
      <c r="A301" s="24">
        <v>7</v>
      </c>
      <c r="B301" s="2">
        <v>38</v>
      </c>
      <c r="C301" s="2" t="s">
        <v>132</v>
      </c>
      <c r="D301" s="3">
        <v>0</v>
      </c>
      <c r="E301" s="1"/>
      <c r="I301" s="1" t="s">
        <v>1456</v>
      </c>
      <c r="J301" t="s">
        <v>3336</v>
      </c>
      <c r="K301" s="25">
        <f>Tabelle5[[#This Row],[value_present]]*Tabelle5[[#This Row],[binding_level]]</f>
        <v>0</v>
      </c>
    </row>
    <row r="302" spans="1:11" x14ac:dyDescent="0.25">
      <c r="A302" s="24">
        <v>7</v>
      </c>
      <c r="B302" s="2">
        <v>38</v>
      </c>
      <c r="C302" s="2" t="s">
        <v>140</v>
      </c>
      <c r="D302" s="3">
        <v>0</v>
      </c>
      <c r="E302" s="1"/>
      <c r="I302" s="1" t="s">
        <v>1457</v>
      </c>
      <c r="J302" t="s">
        <v>3337</v>
      </c>
      <c r="K302" s="25">
        <f>Tabelle5[[#This Row],[value_present]]*Tabelle5[[#This Row],[binding_level]]</f>
        <v>0</v>
      </c>
    </row>
    <row r="303" spans="1:11" x14ac:dyDescent="0.25">
      <c r="A303" s="24">
        <v>7</v>
      </c>
      <c r="B303" s="2">
        <v>38</v>
      </c>
      <c r="C303" s="2" t="s">
        <v>147</v>
      </c>
      <c r="D303" s="3">
        <v>0</v>
      </c>
      <c r="E303" s="1"/>
      <c r="I303" s="1" t="s">
        <v>1457</v>
      </c>
      <c r="J303" t="s">
        <v>3338</v>
      </c>
      <c r="K303" s="25">
        <f>Tabelle5[[#This Row],[value_present]]*Tabelle5[[#This Row],[binding_level]]</f>
        <v>0</v>
      </c>
    </row>
    <row r="304" spans="1:11" x14ac:dyDescent="0.25">
      <c r="A304" s="24">
        <v>7</v>
      </c>
      <c r="B304" s="2">
        <v>38</v>
      </c>
      <c r="C304" s="2" t="s">
        <v>154</v>
      </c>
      <c r="D304" s="3">
        <v>0</v>
      </c>
      <c r="E304" s="1"/>
      <c r="I304" s="1" t="s">
        <v>1456</v>
      </c>
      <c r="J304" t="s">
        <v>3339</v>
      </c>
      <c r="K304" s="25">
        <f>Tabelle5[[#This Row],[value_present]]*Tabelle5[[#This Row],[binding_level]]</f>
        <v>0</v>
      </c>
    </row>
    <row r="305" spans="1:11" x14ac:dyDescent="0.25">
      <c r="A305" s="24">
        <v>7</v>
      </c>
      <c r="B305" s="2">
        <v>38</v>
      </c>
      <c r="C305" s="2" t="s">
        <v>161</v>
      </c>
      <c r="D305" s="3">
        <v>0</v>
      </c>
      <c r="E305" s="1"/>
      <c r="I305" s="1" t="s">
        <v>1457</v>
      </c>
      <c r="J305" t="s">
        <v>3340</v>
      </c>
      <c r="K305" s="25">
        <f>Tabelle5[[#This Row],[value_present]]*Tabelle5[[#This Row],[binding_level]]</f>
        <v>0</v>
      </c>
    </row>
    <row r="306" spans="1:11" x14ac:dyDescent="0.25">
      <c r="A306" s="24">
        <v>7</v>
      </c>
      <c r="B306" s="2">
        <v>38</v>
      </c>
      <c r="C306" s="2" t="s">
        <v>166</v>
      </c>
      <c r="D306" s="3">
        <v>0</v>
      </c>
      <c r="E306" s="1"/>
      <c r="I306" s="1" t="s">
        <v>1456</v>
      </c>
      <c r="J306" t="s">
        <v>3341</v>
      </c>
      <c r="K306" s="25">
        <f>Tabelle5[[#This Row],[value_present]]*Tabelle5[[#This Row],[binding_level]]</f>
        <v>0</v>
      </c>
    </row>
    <row r="307" spans="1:11" ht="15.75" thickBot="1" x14ac:dyDescent="0.3">
      <c r="A307" s="26">
        <v>7</v>
      </c>
      <c r="B307" s="27">
        <v>38</v>
      </c>
      <c r="C307" s="27" t="s">
        <v>174</v>
      </c>
      <c r="D307" s="28">
        <v>0</v>
      </c>
      <c r="E307" s="29"/>
      <c r="F307" s="30"/>
      <c r="G307" s="30"/>
      <c r="H307" s="30"/>
      <c r="I307" s="29" t="s">
        <v>1456</v>
      </c>
      <c r="J307" s="30" t="s">
        <v>3342</v>
      </c>
      <c r="K307" s="31">
        <f>Tabelle5[[#This Row],[value_present]]*Tabelle5[[#This Row],[binding_level]]</f>
        <v>0</v>
      </c>
    </row>
    <row r="308" spans="1:11" x14ac:dyDescent="0.25">
      <c r="A308" s="18">
        <v>9</v>
      </c>
      <c r="B308" s="19">
        <v>46</v>
      </c>
      <c r="C308" s="19" t="s">
        <v>53</v>
      </c>
      <c r="D308" s="20">
        <v>1</v>
      </c>
      <c r="E308" s="21">
        <v>3</v>
      </c>
      <c r="F308" t="s">
        <v>3388</v>
      </c>
      <c r="G308" s="22" t="s">
        <v>3387</v>
      </c>
      <c r="H308" s="22" t="s">
        <v>3193</v>
      </c>
      <c r="I308" s="21" t="s">
        <v>1456</v>
      </c>
      <c r="J308" s="22" t="s">
        <v>3370</v>
      </c>
      <c r="K308" s="23">
        <f>Tabelle5[[#This Row],[value_present]]*Tabelle5[[#This Row],[binding_level]]</f>
        <v>3</v>
      </c>
    </row>
    <row r="309" spans="1:11" x14ac:dyDescent="0.25">
      <c r="A309" s="24">
        <v>9</v>
      </c>
      <c r="B309" s="2">
        <v>46</v>
      </c>
      <c r="C309" s="2" t="s">
        <v>61</v>
      </c>
      <c r="D309" s="3">
        <v>0</v>
      </c>
      <c r="E309" s="1"/>
      <c r="I309" s="1" t="s">
        <v>1457</v>
      </c>
      <c r="J309" t="s">
        <v>3371</v>
      </c>
      <c r="K309" s="25">
        <f>Tabelle5[[#This Row],[value_present]]*Tabelle5[[#This Row],[binding_level]]</f>
        <v>0</v>
      </c>
    </row>
    <row r="310" spans="1:11" x14ac:dyDescent="0.25">
      <c r="A310" s="24">
        <v>9</v>
      </c>
      <c r="B310" s="2">
        <v>46</v>
      </c>
      <c r="C310" s="2" t="s">
        <v>69</v>
      </c>
      <c r="D310" s="3">
        <v>1</v>
      </c>
      <c r="E310" s="1">
        <v>3</v>
      </c>
      <c r="F310" t="s">
        <v>3390</v>
      </c>
      <c r="G310" t="s">
        <v>3389</v>
      </c>
      <c r="H310" t="s">
        <v>2698</v>
      </c>
      <c r="I310" s="1" t="s">
        <v>1456</v>
      </c>
      <c r="J310" t="s">
        <v>3372</v>
      </c>
      <c r="K310" s="25">
        <f>Tabelle5[[#This Row],[value_present]]*Tabelle5[[#This Row],[binding_level]]</f>
        <v>3</v>
      </c>
    </row>
    <row r="311" spans="1:11" x14ac:dyDescent="0.25">
      <c r="A311" s="24">
        <v>9</v>
      </c>
      <c r="B311" s="2">
        <v>46</v>
      </c>
      <c r="C311" s="2" t="s">
        <v>76</v>
      </c>
      <c r="D311" s="3">
        <v>1</v>
      </c>
      <c r="E311" s="1">
        <v>2</v>
      </c>
      <c r="F311" t="s">
        <v>3392</v>
      </c>
      <c r="G311" t="s">
        <v>3391</v>
      </c>
      <c r="H311" t="s">
        <v>2602</v>
      </c>
      <c r="I311" s="1" t="s">
        <v>1456</v>
      </c>
      <c r="J311" t="s">
        <v>3373</v>
      </c>
      <c r="K311" s="25">
        <f>Tabelle5[[#This Row],[value_present]]*Tabelle5[[#This Row],[binding_level]]</f>
        <v>2</v>
      </c>
    </row>
    <row r="312" spans="1:11" x14ac:dyDescent="0.25">
      <c r="A312" s="24">
        <v>9</v>
      </c>
      <c r="B312" s="2">
        <v>46</v>
      </c>
      <c r="C312" s="2" t="s">
        <v>83</v>
      </c>
      <c r="D312" s="3">
        <v>1</v>
      </c>
      <c r="E312" s="1">
        <v>2</v>
      </c>
      <c r="F312" t="s">
        <v>3394</v>
      </c>
      <c r="G312" t="s">
        <v>3393</v>
      </c>
      <c r="H312" t="s">
        <v>3193</v>
      </c>
      <c r="I312" s="1" t="s">
        <v>1456</v>
      </c>
      <c r="J312" t="s">
        <v>3374</v>
      </c>
      <c r="K312" s="25">
        <f>Tabelle5[[#This Row],[value_present]]*Tabelle5[[#This Row],[binding_level]]</f>
        <v>2</v>
      </c>
    </row>
    <row r="313" spans="1:11" x14ac:dyDescent="0.25">
      <c r="A313" s="24">
        <v>9</v>
      </c>
      <c r="B313" s="2">
        <v>46</v>
      </c>
      <c r="C313" s="2" t="s">
        <v>90</v>
      </c>
      <c r="D313" s="3">
        <v>1</v>
      </c>
      <c r="E313" s="1">
        <v>2</v>
      </c>
      <c r="F313" t="s">
        <v>3396</v>
      </c>
      <c r="G313" t="s">
        <v>3395</v>
      </c>
      <c r="H313" t="s">
        <v>2698</v>
      </c>
      <c r="I313" s="1" t="s">
        <v>1456</v>
      </c>
      <c r="J313" t="s">
        <v>3375</v>
      </c>
      <c r="K313" s="25">
        <f>Tabelle5[[#This Row],[value_present]]*Tabelle5[[#This Row],[binding_level]]</f>
        <v>2</v>
      </c>
    </row>
    <row r="314" spans="1:11" x14ac:dyDescent="0.25">
      <c r="A314" s="24">
        <v>9</v>
      </c>
      <c r="B314" s="2">
        <v>46</v>
      </c>
      <c r="C314" s="2" t="s">
        <v>98</v>
      </c>
      <c r="D314" s="3">
        <v>1</v>
      </c>
      <c r="E314" s="1">
        <v>2</v>
      </c>
      <c r="F314" t="s">
        <v>3398</v>
      </c>
      <c r="G314" t="s">
        <v>3397</v>
      </c>
      <c r="H314" t="s">
        <v>3193</v>
      </c>
      <c r="I314" s="1" t="s">
        <v>1456</v>
      </c>
      <c r="J314" t="s">
        <v>3376</v>
      </c>
      <c r="K314" s="25">
        <f>Tabelle5[[#This Row],[value_present]]*Tabelle5[[#This Row],[binding_level]]</f>
        <v>2</v>
      </c>
    </row>
    <row r="315" spans="1:11" x14ac:dyDescent="0.25">
      <c r="A315" s="24">
        <v>9</v>
      </c>
      <c r="B315" s="2">
        <v>46</v>
      </c>
      <c r="C315" s="2" t="s">
        <v>106</v>
      </c>
      <c r="D315" s="3">
        <v>1</v>
      </c>
      <c r="E315" s="1">
        <v>2</v>
      </c>
      <c r="F315" t="s">
        <v>3400</v>
      </c>
      <c r="G315" t="s">
        <v>3399</v>
      </c>
      <c r="H315" t="s">
        <v>2698</v>
      </c>
      <c r="I315" s="1" t="s">
        <v>1456</v>
      </c>
      <c r="J315" t="s">
        <v>3377</v>
      </c>
      <c r="K315" s="25">
        <f>Tabelle5[[#This Row],[value_present]]*Tabelle5[[#This Row],[binding_level]]</f>
        <v>2</v>
      </c>
    </row>
    <row r="316" spans="1:11" x14ac:dyDescent="0.25">
      <c r="A316" s="24">
        <v>9</v>
      </c>
      <c r="B316" s="2">
        <v>46</v>
      </c>
      <c r="C316" s="2" t="s">
        <v>112</v>
      </c>
      <c r="D316" s="3">
        <v>1</v>
      </c>
      <c r="E316" s="1">
        <v>2</v>
      </c>
      <c r="F316" t="s">
        <v>3402</v>
      </c>
      <c r="G316" t="s">
        <v>3401</v>
      </c>
      <c r="H316" t="s">
        <v>3193</v>
      </c>
      <c r="I316" s="1" t="s">
        <v>1457</v>
      </c>
      <c r="J316" t="s">
        <v>3378</v>
      </c>
      <c r="K316" s="25">
        <f>Tabelle5[[#This Row],[value_present]]*Tabelle5[[#This Row],[binding_level]]</f>
        <v>2</v>
      </c>
    </row>
    <row r="317" spans="1:11" x14ac:dyDescent="0.25">
      <c r="A317" s="24">
        <v>9</v>
      </c>
      <c r="B317" s="2">
        <v>46</v>
      </c>
      <c r="C317" s="2" t="s">
        <v>118</v>
      </c>
      <c r="D317" s="3">
        <v>0</v>
      </c>
      <c r="E317" s="1"/>
      <c r="I317" s="1" t="s">
        <v>1456</v>
      </c>
      <c r="J317" t="s">
        <v>3379</v>
      </c>
      <c r="K317" s="25">
        <f>Tabelle5[[#This Row],[value_present]]*Tabelle5[[#This Row],[binding_level]]</f>
        <v>0</v>
      </c>
    </row>
    <row r="318" spans="1:11" x14ac:dyDescent="0.25">
      <c r="A318" s="24">
        <v>9</v>
      </c>
      <c r="B318" s="2">
        <v>46</v>
      </c>
      <c r="C318" s="2" t="s">
        <v>125</v>
      </c>
      <c r="D318" s="3">
        <v>0</v>
      </c>
      <c r="E318" s="1"/>
      <c r="I318" s="1" t="s">
        <v>1456</v>
      </c>
      <c r="J318" t="s">
        <v>3380</v>
      </c>
      <c r="K318" s="25">
        <f>Tabelle5[[#This Row],[value_present]]*Tabelle5[[#This Row],[binding_level]]</f>
        <v>0</v>
      </c>
    </row>
    <row r="319" spans="1:11" x14ac:dyDescent="0.25">
      <c r="A319" s="24">
        <v>9</v>
      </c>
      <c r="B319" s="2">
        <v>46</v>
      </c>
      <c r="C319" s="2" t="s">
        <v>132</v>
      </c>
      <c r="D319" s="3">
        <v>0</v>
      </c>
      <c r="E319" s="1"/>
      <c r="I319" s="1" t="s">
        <v>1456</v>
      </c>
      <c r="J319" t="s">
        <v>3055</v>
      </c>
      <c r="K319" s="25">
        <f>Tabelle5[[#This Row],[value_present]]*Tabelle5[[#This Row],[binding_level]]</f>
        <v>0</v>
      </c>
    </row>
    <row r="320" spans="1:11" x14ac:dyDescent="0.25">
      <c r="A320" s="24">
        <v>9</v>
      </c>
      <c r="B320" s="2">
        <v>46</v>
      </c>
      <c r="C320" s="2" t="s">
        <v>140</v>
      </c>
      <c r="D320" s="3">
        <v>0</v>
      </c>
      <c r="E320" s="1"/>
      <c r="I320" s="1" t="s">
        <v>1457</v>
      </c>
      <c r="J320" t="s">
        <v>3381</v>
      </c>
      <c r="K320" s="25">
        <f>Tabelle5[[#This Row],[value_present]]*Tabelle5[[#This Row],[binding_level]]</f>
        <v>0</v>
      </c>
    </row>
    <row r="321" spans="1:11" x14ac:dyDescent="0.25">
      <c r="A321" s="24">
        <v>9</v>
      </c>
      <c r="B321" s="2">
        <v>46</v>
      </c>
      <c r="C321" s="2" t="s">
        <v>147</v>
      </c>
      <c r="D321" s="3">
        <v>1</v>
      </c>
      <c r="E321" s="1">
        <v>2</v>
      </c>
      <c r="F321" t="s">
        <v>3404</v>
      </c>
      <c r="G321" t="s">
        <v>3403</v>
      </c>
      <c r="H321" t="s">
        <v>3293</v>
      </c>
      <c r="I321" s="1" t="s">
        <v>1456</v>
      </c>
      <c r="J321" t="s">
        <v>3382</v>
      </c>
      <c r="K321" s="25">
        <f>Tabelle5[[#This Row],[value_present]]*Tabelle5[[#This Row],[binding_level]]</f>
        <v>2</v>
      </c>
    </row>
    <row r="322" spans="1:11" x14ac:dyDescent="0.25">
      <c r="A322" s="24">
        <v>9</v>
      </c>
      <c r="B322" s="2">
        <v>46</v>
      </c>
      <c r="C322" s="2" t="s">
        <v>154</v>
      </c>
      <c r="D322" s="3">
        <v>1</v>
      </c>
      <c r="E322" s="1">
        <v>2</v>
      </c>
      <c r="F322" t="s">
        <v>3406</v>
      </c>
      <c r="G322" t="s">
        <v>3405</v>
      </c>
      <c r="H322" t="s">
        <v>3193</v>
      </c>
      <c r="I322" s="1" t="s">
        <v>1456</v>
      </c>
      <c r="J322" t="s">
        <v>3383</v>
      </c>
      <c r="K322" s="25">
        <f>Tabelle5[[#This Row],[value_present]]*Tabelle5[[#This Row],[binding_level]]</f>
        <v>2</v>
      </c>
    </row>
    <row r="323" spans="1:11" x14ac:dyDescent="0.25">
      <c r="A323" s="24">
        <v>9</v>
      </c>
      <c r="B323" s="2">
        <v>46</v>
      </c>
      <c r="C323" s="2" t="s">
        <v>161</v>
      </c>
      <c r="D323" s="3">
        <v>0</v>
      </c>
      <c r="E323" s="1"/>
      <c r="I323" s="1" t="s">
        <v>1457</v>
      </c>
      <c r="J323" t="s">
        <v>3384</v>
      </c>
      <c r="K323" s="25">
        <f>Tabelle5[[#This Row],[value_present]]*Tabelle5[[#This Row],[binding_level]]</f>
        <v>0</v>
      </c>
    </row>
    <row r="324" spans="1:11" x14ac:dyDescent="0.25">
      <c r="A324" s="24">
        <v>9</v>
      </c>
      <c r="B324" s="2">
        <v>46</v>
      </c>
      <c r="C324" s="2" t="s">
        <v>166</v>
      </c>
      <c r="D324" s="3">
        <v>1</v>
      </c>
      <c r="E324" s="1">
        <v>1</v>
      </c>
      <c r="F324" t="s">
        <v>3408</v>
      </c>
      <c r="G324" t="s">
        <v>3407</v>
      </c>
      <c r="H324" t="s">
        <v>1387</v>
      </c>
      <c r="I324" s="1" t="s">
        <v>1457</v>
      </c>
      <c r="J324" t="s">
        <v>3385</v>
      </c>
      <c r="K324" s="25">
        <f>Tabelle5[[#This Row],[value_present]]*Tabelle5[[#This Row],[binding_level]]</f>
        <v>1</v>
      </c>
    </row>
    <row r="325" spans="1:11" ht="15.75" thickBot="1" x14ac:dyDescent="0.3">
      <c r="A325" s="24">
        <v>9</v>
      </c>
      <c r="B325" s="2">
        <v>46</v>
      </c>
      <c r="C325" s="2" t="s">
        <v>174</v>
      </c>
      <c r="D325" s="3">
        <v>1</v>
      </c>
      <c r="E325" s="1">
        <v>2</v>
      </c>
      <c r="F325" s="30" t="s">
        <v>3410</v>
      </c>
      <c r="G325" s="30" t="s">
        <v>3409</v>
      </c>
      <c r="H325" t="s">
        <v>3293</v>
      </c>
      <c r="I325" s="1" t="s">
        <v>1456</v>
      </c>
      <c r="J325" t="s">
        <v>3386</v>
      </c>
      <c r="K325" s="25">
        <f>Tabelle5[[#This Row],[value_present]]*Tabelle5[[#This Row],[binding_level]]</f>
        <v>2</v>
      </c>
    </row>
    <row r="326" spans="1:11" x14ac:dyDescent="0.25">
      <c r="A326" s="18">
        <v>9</v>
      </c>
      <c r="B326" s="19">
        <v>48</v>
      </c>
      <c r="C326" s="19" t="s">
        <v>53</v>
      </c>
      <c r="D326" s="20">
        <v>1</v>
      </c>
      <c r="E326" s="21">
        <v>1</v>
      </c>
      <c r="F326" t="s">
        <v>3458</v>
      </c>
      <c r="G326" t="s">
        <v>3457</v>
      </c>
      <c r="H326" s="22" t="s">
        <v>3256</v>
      </c>
      <c r="I326" s="21" t="s">
        <v>1457</v>
      </c>
      <c r="J326" s="22" t="s">
        <v>3439</v>
      </c>
      <c r="K326" s="23">
        <f>Tabelle5[[#This Row],[value_present]]*Tabelle5[[#This Row],[binding_level]]</f>
        <v>1</v>
      </c>
    </row>
    <row r="327" spans="1:11" x14ac:dyDescent="0.25">
      <c r="A327" s="24">
        <v>9</v>
      </c>
      <c r="B327" s="2">
        <v>48</v>
      </c>
      <c r="C327" s="2" t="s">
        <v>61</v>
      </c>
      <c r="D327" s="3">
        <v>1</v>
      </c>
      <c r="E327" s="1">
        <v>2</v>
      </c>
      <c r="F327" t="s">
        <v>3460</v>
      </c>
      <c r="G327" t="s">
        <v>3459</v>
      </c>
      <c r="H327" t="s">
        <v>1404</v>
      </c>
      <c r="I327" s="1" t="s">
        <v>1456</v>
      </c>
      <c r="J327" t="s">
        <v>3440</v>
      </c>
      <c r="K327" s="25">
        <f>Tabelle5[[#This Row],[value_present]]*Tabelle5[[#This Row],[binding_level]]</f>
        <v>2</v>
      </c>
    </row>
    <row r="328" spans="1:11" x14ac:dyDescent="0.25">
      <c r="A328" s="24">
        <v>9</v>
      </c>
      <c r="B328" s="2">
        <v>48</v>
      </c>
      <c r="C328" s="2" t="s">
        <v>69</v>
      </c>
      <c r="D328" s="3">
        <v>1</v>
      </c>
      <c r="E328" s="1">
        <v>1</v>
      </c>
      <c r="F328" t="s">
        <v>3462</v>
      </c>
      <c r="G328" t="s">
        <v>3461</v>
      </c>
      <c r="H328" t="s">
        <v>1387</v>
      </c>
      <c r="I328" s="1" t="s">
        <v>1456</v>
      </c>
      <c r="J328" t="s">
        <v>3441</v>
      </c>
      <c r="K328" s="25">
        <f>Tabelle5[[#This Row],[value_present]]*Tabelle5[[#This Row],[binding_level]]</f>
        <v>1</v>
      </c>
    </row>
    <row r="329" spans="1:11" x14ac:dyDescent="0.25">
      <c r="A329" s="24">
        <v>9</v>
      </c>
      <c r="B329" s="2">
        <v>48</v>
      </c>
      <c r="C329" s="2" t="s">
        <v>76</v>
      </c>
      <c r="D329" s="3">
        <v>1</v>
      </c>
      <c r="E329" s="1">
        <v>1</v>
      </c>
      <c r="F329" t="s">
        <v>3464</v>
      </c>
      <c r="G329" t="s">
        <v>3463</v>
      </c>
      <c r="H329" t="s">
        <v>3442</v>
      </c>
      <c r="I329" s="1" t="s">
        <v>1456</v>
      </c>
      <c r="J329" t="s">
        <v>3443</v>
      </c>
      <c r="K329" s="25">
        <f>Tabelle5[[#This Row],[value_present]]*Tabelle5[[#This Row],[binding_level]]</f>
        <v>1</v>
      </c>
    </row>
    <row r="330" spans="1:11" x14ac:dyDescent="0.25">
      <c r="A330" s="24">
        <v>9</v>
      </c>
      <c r="B330" s="2">
        <v>48</v>
      </c>
      <c r="C330" s="2" t="s">
        <v>83</v>
      </c>
      <c r="D330" s="3">
        <v>1</v>
      </c>
      <c r="E330" s="1">
        <v>2</v>
      </c>
      <c r="F330" t="s">
        <v>3465</v>
      </c>
      <c r="G330" t="s">
        <v>3466</v>
      </c>
      <c r="H330" t="s">
        <v>3442</v>
      </c>
      <c r="I330" s="1" t="s">
        <v>1456</v>
      </c>
      <c r="J330" t="s">
        <v>3444</v>
      </c>
      <c r="K330" s="25">
        <f>Tabelle5[[#This Row],[value_present]]*Tabelle5[[#This Row],[binding_level]]</f>
        <v>2</v>
      </c>
    </row>
    <row r="331" spans="1:11" x14ac:dyDescent="0.25">
      <c r="A331" s="24">
        <v>9</v>
      </c>
      <c r="B331" s="2">
        <v>48</v>
      </c>
      <c r="C331" s="2" t="s">
        <v>90</v>
      </c>
      <c r="D331" s="3">
        <v>1</v>
      </c>
      <c r="E331" s="1">
        <v>1</v>
      </c>
      <c r="F331" t="s">
        <v>3467</v>
      </c>
      <c r="G331" t="s">
        <v>3468</v>
      </c>
      <c r="H331" t="s">
        <v>1404</v>
      </c>
      <c r="I331" s="1" t="s">
        <v>1457</v>
      </c>
      <c r="J331" t="s">
        <v>3445</v>
      </c>
      <c r="K331" s="25">
        <f>Tabelle5[[#This Row],[value_present]]*Tabelle5[[#This Row],[binding_level]]</f>
        <v>1</v>
      </c>
    </row>
    <row r="332" spans="1:11" x14ac:dyDescent="0.25">
      <c r="A332" s="24">
        <v>9</v>
      </c>
      <c r="B332" s="2">
        <v>48</v>
      </c>
      <c r="C332" s="2" t="s">
        <v>98</v>
      </c>
      <c r="D332" s="3">
        <v>1</v>
      </c>
      <c r="E332" s="1">
        <v>1</v>
      </c>
      <c r="F332" t="s">
        <v>3469</v>
      </c>
      <c r="G332" t="s">
        <v>3470</v>
      </c>
      <c r="H332" t="s">
        <v>1387</v>
      </c>
      <c r="I332" s="1" t="s">
        <v>1457</v>
      </c>
      <c r="J332" t="s">
        <v>3446</v>
      </c>
      <c r="K332" s="25">
        <f>Tabelle5[[#This Row],[value_present]]*Tabelle5[[#This Row],[binding_level]]</f>
        <v>1</v>
      </c>
    </row>
    <row r="333" spans="1:11" x14ac:dyDescent="0.25">
      <c r="A333" s="24">
        <v>9</v>
      </c>
      <c r="B333" s="2">
        <v>48</v>
      </c>
      <c r="C333" s="2" t="s">
        <v>106</v>
      </c>
      <c r="D333" s="3">
        <v>0</v>
      </c>
      <c r="E333" s="1"/>
      <c r="I333" s="1" t="s">
        <v>1457</v>
      </c>
      <c r="J333" t="s">
        <v>3447</v>
      </c>
      <c r="K333" s="25">
        <f>Tabelle5[[#This Row],[value_present]]*Tabelle5[[#This Row],[binding_level]]</f>
        <v>0</v>
      </c>
    </row>
    <row r="334" spans="1:11" x14ac:dyDescent="0.25">
      <c r="A334" s="24">
        <v>9</v>
      </c>
      <c r="B334" s="2">
        <v>48</v>
      </c>
      <c r="C334" s="2" t="s">
        <v>112</v>
      </c>
      <c r="D334" s="3">
        <v>1</v>
      </c>
      <c r="E334" s="1">
        <v>1</v>
      </c>
      <c r="F334" t="s">
        <v>3471</v>
      </c>
      <c r="G334" t="s">
        <v>3472</v>
      </c>
      <c r="H334" t="s">
        <v>1387</v>
      </c>
      <c r="I334" s="1" t="s">
        <v>1456</v>
      </c>
      <c r="J334" t="s">
        <v>3448</v>
      </c>
      <c r="K334" s="25">
        <f>Tabelle5[[#This Row],[value_present]]*Tabelle5[[#This Row],[binding_level]]</f>
        <v>1</v>
      </c>
    </row>
    <row r="335" spans="1:11" x14ac:dyDescent="0.25">
      <c r="A335" s="24">
        <v>9</v>
      </c>
      <c r="B335" s="2">
        <v>48</v>
      </c>
      <c r="C335" s="2" t="s">
        <v>118</v>
      </c>
      <c r="D335" s="3">
        <v>0</v>
      </c>
      <c r="E335" s="1"/>
      <c r="I335" s="1" t="s">
        <v>1456</v>
      </c>
      <c r="J335" t="s">
        <v>2908</v>
      </c>
      <c r="K335" s="25">
        <f>Tabelle5[[#This Row],[value_present]]*Tabelle5[[#This Row],[binding_level]]</f>
        <v>0</v>
      </c>
    </row>
    <row r="336" spans="1:11" x14ac:dyDescent="0.25">
      <c r="A336" s="24">
        <v>9</v>
      </c>
      <c r="B336" s="2">
        <v>48</v>
      </c>
      <c r="C336" s="2" t="s">
        <v>125</v>
      </c>
      <c r="D336" s="3">
        <v>0</v>
      </c>
      <c r="E336" s="1"/>
      <c r="I336" s="1" t="s">
        <v>1456</v>
      </c>
      <c r="J336" t="s">
        <v>3449</v>
      </c>
      <c r="K336" s="25">
        <f>Tabelle5[[#This Row],[value_present]]*Tabelle5[[#This Row],[binding_level]]</f>
        <v>0</v>
      </c>
    </row>
    <row r="337" spans="1:11" x14ac:dyDescent="0.25">
      <c r="A337" s="24">
        <v>9</v>
      </c>
      <c r="B337" s="2">
        <v>48</v>
      </c>
      <c r="C337" s="2" t="s">
        <v>132</v>
      </c>
      <c r="D337" s="3">
        <v>0</v>
      </c>
      <c r="E337" s="1"/>
      <c r="I337" s="1" t="s">
        <v>1456</v>
      </c>
      <c r="J337" t="s">
        <v>3450</v>
      </c>
      <c r="K337" s="25">
        <f>Tabelle5[[#This Row],[value_present]]*Tabelle5[[#This Row],[binding_level]]</f>
        <v>0</v>
      </c>
    </row>
    <row r="338" spans="1:11" x14ac:dyDescent="0.25">
      <c r="A338" s="24">
        <v>9</v>
      </c>
      <c r="B338" s="2">
        <v>48</v>
      </c>
      <c r="C338" s="2" t="s">
        <v>140</v>
      </c>
      <c r="D338" s="3">
        <v>0</v>
      </c>
      <c r="E338" s="1"/>
      <c r="I338" s="1" t="s">
        <v>1457</v>
      </c>
      <c r="J338" t="s">
        <v>3451</v>
      </c>
      <c r="K338" s="25">
        <f>Tabelle5[[#This Row],[value_present]]*Tabelle5[[#This Row],[binding_level]]</f>
        <v>0</v>
      </c>
    </row>
    <row r="339" spans="1:11" x14ac:dyDescent="0.25">
      <c r="A339" s="24">
        <v>9</v>
      </c>
      <c r="B339" s="2">
        <v>48</v>
      </c>
      <c r="C339" s="2" t="s">
        <v>147</v>
      </c>
      <c r="D339" s="3">
        <v>1</v>
      </c>
      <c r="E339" s="1">
        <v>2</v>
      </c>
      <c r="F339" t="s">
        <v>3473</v>
      </c>
      <c r="G339" t="s">
        <v>3474</v>
      </c>
      <c r="H339" t="s">
        <v>2833</v>
      </c>
      <c r="I339" s="1" t="s">
        <v>1456</v>
      </c>
      <c r="J339" t="s">
        <v>3452</v>
      </c>
      <c r="K339" s="25">
        <f>Tabelle5[[#This Row],[value_present]]*Tabelle5[[#This Row],[binding_level]]</f>
        <v>2</v>
      </c>
    </row>
    <row r="340" spans="1:11" x14ac:dyDescent="0.25">
      <c r="A340" s="24">
        <v>9</v>
      </c>
      <c r="B340" s="2">
        <v>48</v>
      </c>
      <c r="C340" s="2" t="s">
        <v>154</v>
      </c>
      <c r="D340" s="3">
        <v>1</v>
      </c>
      <c r="E340" s="1">
        <v>1</v>
      </c>
      <c r="F340" t="s">
        <v>3475</v>
      </c>
      <c r="G340" t="s">
        <v>3476</v>
      </c>
      <c r="H340" t="s">
        <v>3193</v>
      </c>
      <c r="I340" s="1" t="s">
        <v>1457</v>
      </c>
      <c r="J340" t="s">
        <v>3453</v>
      </c>
      <c r="K340" s="25">
        <f>Tabelle5[[#This Row],[value_present]]*Tabelle5[[#This Row],[binding_level]]</f>
        <v>1</v>
      </c>
    </row>
    <row r="341" spans="1:11" x14ac:dyDescent="0.25">
      <c r="A341" s="24">
        <v>9</v>
      </c>
      <c r="B341" s="2">
        <v>48</v>
      </c>
      <c r="C341" s="2" t="s">
        <v>161</v>
      </c>
      <c r="D341" s="3">
        <v>1</v>
      </c>
      <c r="E341" s="1">
        <v>1</v>
      </c>
      <c r="F341" t="s">
        <v>3477</v>
      </c>
      <c r="G341" t="s">
        <v>3478</v>
      </c>
      <c r="H341" t="s">
        <v>1387</v>
      </c>
      <c r="I341" s="1" t="s">
        <v>1456</v>
      </c>
      <c r="J341" t="s">
        <v>3454</v>
      </c>
      <c r="K341" s="25">
        <f>Tabelle5[[#This Row],[value_present]]*Tabelle5[[#This Row],[binding_level]]</f>
        <v>1</v>
      </c>
    </row>
    <row r="342" spans="1:11" x14ac:dyDescent="0.25">
      <c r="A342" s="24">
        <v>9</v>
      </c>
      <c r="B342" s="2">
        <v>48</v>
      </c>
      <c r="C342" s="2" t="s">
        <v>166</v>
      </c>
      <c r="D342" s="3">
        <v>1</v>
      </c>
      <c r="E342" s="1">
        <v>1</v>
      </c>
      <c r="F342" t="s">
        <v>3479</v>
      </c>
      <c r="G342" t="s">
        <v>3480</v>
      </c>
      <c r="H342" t="s">
        <v>3442</v>
      </c>
      <c r="I342" s="1" t="s">
        <v>1456</v>
      </c>
      <c r="J342" t="s">
        <v>3455</v>
      </c>
      <c r="K342" s="25">
        <f>Tabelle5[[#This Row],[value_present]]*Tabelle5[[#This Row],[binding_level]]</f>
        <v>1</v>
      </c>
    </row>
    <row r="343" spans="1:11" ht="15.75" thickBot="1" x14ac:dyDescent="0.3">
      <c r="A343" s="24">
        <v>9</v>
      </c>
      <c r="B343" s="2">
        <v>48</v>
      </c>
      <c r="C343" s="2" t="s">
        <v>174</v>
      </c>
      <c r="D343" s="3">
        <v>1</v>
      </c>
      <c r="E343" s="1">
        <v>1</v>
      </c>
      <c r="F343" t="s">
        <v>3481</v>
      </c>
      <c r="G343" t="s">
        <v>3482</v>
      </c>
      <c r="H343" t="s">
        <v>1387</v>
      </c>
      <c r="I343" s="1" t="s">
        <v>1457</v>
      </c>
      <c r="J343" t="s">
        <v>3456</v>
      </c>
      <c r="K343" s="25">
        <f>Tabelle5[[#This Row],[value_present]]*Tabelle5[[#This Row],[binding_level]]</f>
        <v>1</v>
      </c>
    </row>
    <row r="344" spans="1:11" x14ac:dyDescent="0.25">
      <c r="A344" s="18">
        <v>10</v>
      </c>
      <c r="B344" s="19">
        <v>52</v>
      </c>
      <c r="C344" s="19" t="s">
        <v>53</v>
      </c>
      <c r="D344" s="20">
        <v>0</v>
      </c>
      <c r="E344" s="21"/>
      <c r="F344" s="22"/>
      <c r="G344" s="22"/>
      <c r="H344" s="22"/>
      <c r="I344" s="21" t="s">
        <v>1456</v>
      </c>
      <c r="J344" s="22" t="s">
        <v>3512</v>
      </c>
      <c r="K344" s="23">
        <f>Tabelle5[[#This Row],[value_present]]*Tabelle5[[#This Row],[binding_level]]</f>
        <v>0</v>
      </c>
    </row>
    <row r="345" spans="1:11" x14ac:dyDescent="0.25">
      <c r="A345" s="24">
        <v>10</v>
      </c>
      <c r="B345" s="2">
        <v>52</v>
      </c>
      <c r="C345" s="2" t="s">
        <v>61</v>
      </c>
      <c r="D345" s="3">
        <v>0</v>
      </c>
      <c r="E345" s="1"/>
      <c r="I345" s="1" t="s">
        <v>1457</v>
      </c>
      <c r="J345" t="s">
        <v>3513</v>
      </c>
      <c r="K345" s="25">
        <f>Tabelle5[[#This Row],[value_present]]*Tabelle5[[#This Row],[binding_level]]</f>
        <v>0</v>
      </c>
    </row>
    <row r="346" spans="1:11" x14ac:dyDescent="0.25">
      <c r="A346" s="24">
        <v>10</v>
      </c>
      <c r="B346" s="2">
        <v>52</v>
      </c>
      <c r="C346" s="2" t="s">
        <v>69</v>
      </c>
      <c r="D346" s="3">
        <v>1</v>
      </c>
      <c r="E346" s="1">
        <v>1</v>
      </c>
      <c r="F346" t="s">
        <v>3528</v>
      </c>
      <c r="G346" t="s">
        <v>3529</v>
      </c>
      <c r="H346" t="s">
        <v>3514</v>
      </c>
      <c r="I346" s="1" t="s">
        <v>1456</v>
      </c>
      <c r="J346" t="s">
        <v>3515</v>
      </c>
      <c r="K346" s="25">
        <f>Tabelle5[[#This Row],[value_present]]*Tabelle5[[#This Row],[binding_level]]</f>
        <v>1</v>
      </c>
    </row>
    <row r="347" spans="1:11" x14ac:dyDescent="0.25">
      <c r="A347" s="24">
        <v>10</v>
      </c>
      <c r="B347" s="2">
        <v>52</v>
      </c>
      <c r="C347" s="2" t="s">
        <v>76</v>
      </c>
      <c r="D347" s="3">
        <v>0</v>
      </c>
      <c r="E347" s="1"/>
      <c r="I347" s="1" t="s">
        <v>1456</v>
      </c>
      <c r="J347" t="s">
        <v>2898</v>
      </c>
      <c r="K347" s="25">
        <f>Tabelle5[[#This Row],[value_present]]*Tabelle5[[#This Row],[binding_level]]</f>
        <v>0</v>
      </c>
    </row>
    <row r="348" spans="1:11" x14ac:dyDescent="0.25">
      <c r="A348" s="24">
        <v>10</v>
      </c>
      <c r="B348" s="2">
        <v>52</v>
      </c>
      <c r="C348" s="2" t="s">
        <v>83</v>
      </c>
      <c r="D348" s="3">
        <v>1</v>
      </c>
      <c r="E348" s="1">
        <v>1</v>
      </c>
      <c r="F348" t="s">
        <v>3533</v>
      </c>
      <c r="G348" t="s">
        <v>3532</v>
      </c>
      <c r="H348" t="s">
        <v>3514</v>
      </c>
      <c r="I348" s="1" t="s">
        <v>1456</v>
      </c>
      <c r="J348" t="s">
        <v>3516</v>
      </c>
      <c r="K348" s="25">
        <f>Tabelle5[[#This Row],[value_present]]*Tabelle5[[#This Row],[binding_level]]</f>
        <v>1</v>
      </c>
    </row>
    <row r="349" spans="1:11" x14ac:dyDescent="0.25">
      <c r="A349" s="24">
        <v>10</v>
      </c>
      <c r="B349" s="2">
        <v>52</v>
      </c>
      <c r="C349" s="2" t="s">
        <v>90</v>
      </c>
      <c r="D349" s="3">
        <v>0</v>
      </c>
      <c r="E349" s="1"/>
      <c r="I349" s="1" t="s">
        <v>1457</v>
      </c>
      <c r="J349" t="s">
        <v>3517</v>
      </c>
      <c r="K349" s="25">
        <f>Tabelle5[[#This Row],[value_present]]*Tabelle5[[#This Row],[binding_level]]</f>
        <v>0</v>
      </c>
    </row>
    <row r="350" spans="1:11" x14ac:dyDescent="0.25">
      <c r="A350" s="24">
        <v>10</v>
      </c>
      <c r="B350" s="2">
        <v>52</v>
      </c>
      <c r="C350" s="2" t="s">
        <v>98</v>
      </c>
      <c r="D350" s="3">
        <v>0</v>
      </c>
      <c r="E350" s="1"/>
      <c r="I350" s="1" t="s">
        <v>1457</v>
      </c>
      <c r="J350" t="s">
        <v>3518</v>
      </c>
      <c r="K350" s="25">
        <f>Tabelle5[[#This Row],[value_present]]*Tabelle5[[#This Row],[binding_level]]</f>
        <v>0</v>
      </c>
    </row>
    <row r="351" spans="1:11" x14ac:dyDescent="0.25">
      <c r="A351" s="24">
        <v>10</v>
      </c>
      <c r="B351" s="2">
        <v>52</v>
      </c>
      <c r="C351" s="2" t="s">
        <v>106</v>
      </c>
      <c r="D351" s="3">
        <v>1</v>
      </c>
      <c r="E351" s="1">
        <v>1</v>
      </c>
      <c r="F351" t="s">
        <v>3530</v>
      </c>
      <c r="G351" t="s">
        <v>3531</v>
      </c>
      <c r="H351" t="s">
        <v>3514</v>
      </c>
      <c r="I351" s="1" t="s">
        <v>1456</v>
      </c>
      <c r="J351" t="s">
        <v>3519</v>
      </c>
      <c r="K351" s="25">
        <f>Tabelle5[[#This Row],[value_present]]*Tabelle5[[#This Row],[binding_level]]</f>
        <v>1</v>
      </c>
    </row>
    <row r="352" spans="1:11" x14ac:dyDescent="0.25">
      <c r="A352" s="24">
        <v>10</v>
      </c>
      <c r="B352" s="2">
        <v>52</v>
      </c>
      <c r="C352" s="2" t="s">
        <v>112</v>
      </c>
      <c r="D352" s="3">
        <v>0</v>
      </c>
      <c r="E352" s="1"/>
      <c r="I352" s="1" t="s">
        <v>1457</v>
      </c>
      <c r="J352" t="s">
        <v>3520</v>
      </c>
      <c r="K352" s="25">
        <f>Tabelle5[[#This Row],[value_present]]*Tabelle5[[#This Row],[binding_level]]</f>
        <v>0</v>
      </c>
    </row>
    <row r="353" spans="1:11" x14ac:dyDescent="0.25">
      <c r="A353" s="24">
        <v>10</v>
      </c>
      <c r="B353" s="2">
        <v>52</v>
      </c>
      <c r="C353" s="2" t="s">
        <v>118</v>
      </c>
      <c r="D353" s="3">
        <v>0</v>
      </c>
      <c r="E353" s="1"/>
      <c r="I353" s="1" t="s">
        <v>1456</v>
      </c>
      <c r="J353" t="s">
        <v>2843</v>
      </c>
      <c r="K353" s="25">
        <f>Tabelle5[[#This Row],[value_present]]*Tabelle5[[#This Row],[binding_level]]</f>
        <v>0</v>
      </c>
    </row>
    <row r="354" spans="1:11" x14ac:dyDescent="0.25">
      <c r="A354" s="24">
        <v>10</v>
      </c>
      <c r="B354" s="2">
        <v>52</v>
      </c>
      <c r="C354" s="2" t="s">
        <v>125</v>
      </c>
      <c r="D354" s="3">
        <v>0</v>
      </c>
      <c r="E354" s="1"/>
      <c r="I354" s="1" t="s">
        <v>1456</v>
      </c>
      <c r="J354" t="s">
        <v>3449</v>
      </c>
      <c r="K354" s="25">
        <f>Tabelle5[[#This Row],[value_present]]*Tabelle5[[#This Row],[binding_level]]</f>
        <v>0</v>
      </c>
    </row>
    <row r="355" spans="1:11" x14ac:dyDescent="0.25">
      <c r="A355" s="24">
        <v>10</v>
      </c>
      <c r="B355" s="2">
        <v>52</v>
      </c>
      <c r="C355" s="2" t="s">
        <v>132</v>
      </c>
      <c r="D355" s="3">
        <v>0</v>
      </c>
      <c r="E355" s="1"/>
      <c r="I355" s="1" t="s">
        <v>1457</v>
      </c>
      <c r="J355" t="s">
        <v>3521</v>
      </c>
      <c r="K355" s="25">
        <f>Tabelle5[[#This Row],[value_present]]*Tabelle5[[#This Row],[binding_level]]</f>
        <v>0</v>
      </c>
    </row>
    <row r="356" spans="1:11" x14ac:dyDescent="0.25">
      <c r="A356" s="24">
        <v>10</v>
      </c>
      <c r="B356" s="2">
        <v>52</v>
      </c>
      <c r="C356" s="2" t="s">
        <v>140</v>
      </c>
      <c r="D356" s="3">
        <v>1</v>
      </c>
      <c r="E356" s="1">
        <v>1</v>
      </c>
      <c r="F356" t="s">
        <v>3535</v>
      </c>
      <c r="G356" t="s">
        <v>3534</v>
      </c>
      <c r="H356" t="s">
        <v>3514</v>
      </c>
      <c r="I356" s="1" t="s">
        <v>1456</v>
      </c>
      <c r="J356" t="s">
        <v>3522</v>
      </c>
      <c r="K356" s="25">
        <f>Tabelle5[[#This Row],[value_present]]*Tabelle5[[#This Row],[binding_level]]</f>
        <v>1</v>
      </c>
    </row>
    <row r="357" spans="1:11" x14ac:dyDescent="0.25">
      <c r="A357" s="24">
        <v>10</v>
      </c>
      <c r="B357" s="2">
        <v>52</v>
      </c>
      <c r="C357" s="2" t="s">
        <v>147</v>
      </c>
      <c r="D357" s="3">
        <v>0</v>
      </c>
      <c r="E357" s="1"/>
      <c r="I357" s="1" t="s">
        <v>1457</v>
      </c>
      <c r="J357" t="s">
        <v>3523</v>
      </c>
      <c r="K357" s="25">
        <f>Tabelle5[[#This Row],[value_present]]*Tabelle5[[#This Row],[binding_level]]</f>
        <v>0</v>
      </c>
    </row>
    <row r="358" spans="1:11" x14ac:dyDescent="0.25">
      <c r="A358" s="24">
        <v>10</v>
      </c>
      <c r="B358" s="2">
        <v>52</v>
      </c>
      <c r="C358" s="2" t="s">
        <v>154</v>
      </c>
      <c r="D358" s="3">
        <v>1</v>
      </c>
      <c r="E358" s="1">
        <v>1</v>
      </c>
      <c r="F358" t="s">
        <v>3537</v>
      </c>
      <c r="G358" t="s">
        <v>3536</v>
      </c>
      <c r="H358" t="s">
        <v>3514</v>
      </c>
      <c r="I358" s="1" t="s">
        <v>1456</v>
      </c>
      <c r="J358" t="s">
        <v>3524</v>
      </c>
      <c r="K358" s="25">
        <f>Tabelle5[[#This Row],[value_present]]*Tabelle5[[#This Row],[binding_level]]</f>
        <v>1</v>
      </c>
    </row>
    <row r="359" spans="1:11" x14ac:dyDescent="0.25">
      <c r="A359" s="24">
        <v>10</v>
      </c>
      <c r="B359" s="2">
        <v>52</v>
      </c>
      <c r="C359" s="2" t="s">
        <v>161</v>
      </c>
      <c r="D359" s="3">
        <v>0</v>
      </c>
      <c r="E359" s="1"/>
      <c r="I359" s="1" t="s">
        <v>1456</v>
      </c>
      <c r="J359" t="s">
        <v>3525</v>
      </c>
      <c r="K359" s="25">
        <f>Tabelle5[[#This Row],[value_present]]*Tabelle5[[#This Row],[binding_level]]</f>
        <v>0</v>
      </c>
    </row>
    <row r="360" spans="1:11" x14ac:dyDescent="0.25">
      <c r="A360" s="24">
        <v>10</v>
      </c>
      <c r="B360" s="2">
        <v>52</v>
      </c>
      <c r="C360" s="2" t="s">
        <v>166</v>
      </c>
      <c r="D360" s="3">
        <v>0</v>
      </c>
      <c r="E360" s="1"/>
      <c r="I360" s="1" t="s">
        <v>1457</v>
      </c>
      <c r="J360" t="s">
        <v>3526</v>
      </c>
      <c r="K360" s="25">
        <f>Tabelle5[[#This Row],[value_present]]*Tabelle5[[#This Row],[binding_level]]</f>
        <v>0</v>
      </c>
    </row>
    <row r="361" spans="1:11" ht="15.75" thickBot="1" x14ac:dyDescent="0.3">
      <c r="A361" s="26">
        <v>10</v>
      </c>
      <c r="B361" s="27">
        <v>52</v>
      </c>
      <c r="C361" s="27" t="s">
        <v>174</v>
      </c>
      <c r="D361" s="28">
        <v>0</v>
      </c>
      <c r="E361" s="29"/>
      <c r="F361" s="30"/>
      <c r="G361" s="30"/>
      <c r="H361" s="30"/>
      <c r="I361" s="29" t="s">
        <v>1456</v>
      </c>
      <c r="J361" s="30" t="s">
        <v>3527</v>
      </c>
      <c r="K361" s="31">
        <f>Tabelle5[[#This Row],[value_present]]*Tabelle5[[#This Row],[binding_level]]</f>
        <v>0</v>
      </c>
    </row>
    <row r="362" spans="1:11" x14ac:dyDescent="0.25">
      <c r="A362" s="18">
        <v>10</v>
      </c>
      <c r="B362" s="19">
        <v>53</v>
      </c>
      <c r="C362" s="19" t="s">
        <v>53</v>
      </c>
      <c r="D362" s="20">
        <v>0</v>
      </c>
      <c r="E362" s="21"/>
      <c r="F362" s="22"/>
      <c r="G362" s="22"/>
      <c r="H362" s="22"/>
      <c r="I362" s="21" t="s">
        <v>1457</v>
      </c>
      <c r="J362" s="22" t="s">
        <v>3566</v>
      </c>
      <c r="K362" s="23">
        <f>Tabelle5[[#This Row],[value_present]]*Tabelle5[[#This Row],[binding_level]]</f>
        <v>0</v>
      </c>
    </row>
    <row r="363" spans="1:11" x14ac:dyDescent="0.25">
      <c r="A363" s="24">
        <v>10</v>
      </c>
      <c r="B363" s="2">
        <v>53</v>
      </c>
      <c r="C363" s="2" t="s">
        <v>61</v>
      </c>
      <c r="D363" s="3">
        <v>1</v>
      </c>
      <c r="E363" s="1">
        <v>2</v>
      </c>
      <c r="F363" t="s">
        <v>3581</v>
      </c>
      <c r="G363" t="s">
        <v>3582</v>
      </c>
      <c r="H363" t="s">
        <v>3216</v>
      </c>
      <c r="I363" s="1" t="s">
        <v>1456</v>
      </c>
      <c r="J363" t="s">
        <v>3567</v>
      </c>
      <c r="K363" s="25">
        <f>Tabelle5[[#This Row],[value_present]]*Tabelle5[[#This Row],[binding_level]]</f>
        <v>2</v>
      </c>
    </row>
    <row r="364" spans="1:11" x14ac:dyDescent="0.25">
      <c r="A364" s="24">
        <v>10</v>
      </c>
      <c r="B364" s="2">
        <v>53</v>
      </c>
      <c r="C364" s="2" t="s">
        <v>69</v>
      </c>
      <c r="D364" s="3">
        <v>0</v>
      </c>
      <c r="E364" s="1"/>
      <c r="I364" s="1" t="s">
        <v>1456</v>
      </c>
      <c r="J364" t="s">
        <v>3568</v>
      </c>
      <c r="K364" s="25">
        <f>Tabelle5[[#This Row],[value_present]]*Tabelle5[[#This Row],[binding_level]]</f>
        <v>0</v>
      </c>
    </row>
    <row r="365" spans="1:11" x14ac:dyDescent="0.25">
      <c r="A365" s="24">
        <v>10</v>
      </c>
      <c r="B365" s="2">
        <v>53</v>
      </c>
      <c r="C365" s="2" t="s">
        <v>76</v>
      </c>
      <c r="D365" s="3">
        <v>1</v>
      </c>
      <c r="E365" s="1">
        <v>2</v>
      </c>
      <c r="F365" t="s">
        <v>3585</v>
      </c>
      <c r="G365" t="s">
        <v>3586</v>
      </c>
      <c r="H365" t="s">
        <v>3216</v>
      </c>
      <c r="I365" s="1" t="s">
        <v>1456</v>
      </c>
      <c r="J365" t="s">
        <v>3569</v>
      </c>
      <c r="K365" s="25">
        <f>Tabelle5[[#This Row],[value_present]]*Tabelle5[[#This Row],[binding_level]]</f>
        <v>2</v>
      </c>
    </row>
    <row r="366" spans="1:11" x14ac:dyDescent="0.25">
      <c r="A366" s="24">
        <v>10</v>
      </c>
      <c r="B366" s="2">
        <v>53</v>
      </c>
      <c r="C366" s="2" t="s">
        <v>83</v>
      </c>
      <c r="D366" s="3">
        <v>1</v>
      </c>
      <c r="E366" s="1">
        <v>2</v>
      </c>
      <c r="F366" t="s">
        <v>3583</v>
      </c>
      <c r="G366" t="s">
        <v>3584</v>
      </c>
      <c r="H366" t="s">
        <v>3216</v>
      </c>
      <c r="I366" s="1" t="s">
        <v>1456</v>
      </c>
      <c r="J366" t="s">
        <v>3570</v>
      </c>
      <c r="K366" s="25">
        <f>Tabelle5[[#This Row],[value_present]]*Tabelle5[[#This Row],[binding_level]]</f>
        <v>2</v>
      </c>
    </row>
    <row r="367" spans="1:11" x14ac:dyDescent="0.25">
      <c r="A367" s="24">
        <v>10</v>
      </c>
      <c r="B367" s="2">
        <v>53</v>
      </c>
      <c r="C367" s="2" t="s">
        <v>90</v>
      </c>
      <c r="D367" s="3">
        <v>0</v>
      </c>
      <c r="E367" s="1"/>
      <c r="I367" s="1" t="s">
        <v>1457</v>
      </c>
      <c r="J367" t="s">
        <v>3571</v>
      </c>
      <c r="K367" s="25">
        <f>Tabelle5[[#This Row],[value_present]]*Tabelle5[[#This Row],[binding_level]]</f>
        <v>0</v>
      </c>
    </row>
    <row r="368" spans="1:11" x14ac:dyDescent="0.25">
      <c r="A368" s="24">
        <v>10</v>
      </c>
      <c r="B368" s="2">
        <v>53</v>
      </c>
      <c r="C368" s="2" t="s">
        <v>98</v>
      </c>
      <c r="D368" s="3">
        <v>0</v>
      </c>
      <c r="E368" s="1"/>
      <c r="I368" s="1" t="s">
        <v>1457</v>
      </c>
      <c r="J368" t="s">
        <v>3572</v>
      </c>
      <c r="K368" s="25">
        <f>Tabelle5[[#This Row],[value_present]]*Tabelle5[[#This Row],[binding_level]]</f>
        <v>0</v>
      </c>
    </row>
    <row r="369" spans="1:11" x14ac:dyDescent="0.25">
      <c r="A369" s="24">
        <v>10</v>
      </c>
      <c r="B369" s="2">
        <v>53</v>
      </c>
      <c r="C369" s="2" t="s">
        <v>106</v>
      </c>
      <c r="D369" s="3">
        <v>0</v>
      </c>
      <c r="E369" s="1"/>
      <c r="I369" s="1" t="s">
        <v>1457</v>
      </c>
      <c r="J369" t="s">
        <v>3573</v>
      </c>
      <c r="K369" s="25">
        <f>Tabelle5[[#This Row],[value_present]]*Tabelle5[[#This Row],[binding_level]]</f>
        <v>0</v>
      </c>
    </row>
    <row r="370" spans="1:11" x14ac:dyDescent="0.25">
      <c r="A370" s="24">
        <v>10</v>
      </c>
      <c r="B370" s="2">
        <v>53</v>
      </c>
      <c r="C370" s="2" t="s">
        <v>112</v>
      </c>
      <c r="D370" s="3">
        <v>0</v>
      </c>
      <c r="E370" s="1"/>
      <c r="I370" s="1" t="s">
        <v>1456</v>
      </c>
      <c r="J370" t="s">
        <v>3574</v>
      </c>
      <c r="K370" s="25">
        <f>Tabelle5[[#This Row],[value_present]]*Tabelle5[[#This Row],[binding_level]]</f>
        <v>0</v>
      </c>
    </row>
    <row r="371" spans="1:11" x14ac:dyDescent="0.25">
      <c r="A371" s="24">
        <v>10</v>
      </c>
      <c r="B371" s="2">
        <v>53</v>
      </c>
      <c r="C371" s="2" t="s">
        <v>118</v>
      </c>
      <c r="D371" s="3">
        <v>0</v>
      </c>
      <c r="E371" s="1"/>
      <c r="I371" s="1" t="s">
        <v>1456</v>
      </c>
      <c r="J371" t="s">
        <v>3575</v>
      </c>
      <c r="K371" s="25">
        <f>Tabelle5[[#This Row],[value_present]]*Tabelle5[[#This Row],[binding_level]]</f>
        <v>0</v>
      </c>
    </row>
    <row r="372" spans="1:11" x14ac:dyDescent="0.25">
      <c r="A372" s="24">
        <v>10</v>
      </c>
      <c r="B372" s="2">
        <v>53</v>
      </c>
      <c r="C372" s="2" t="s">
        <v>125</v>
      </c>
      <c r="D372" s="3">
        <v>0</v>
      </c>
      <c r="E372" s="1"/>
      <c r="I372" s="1" t="s">
        <v>1456</v>
      </c>
      <c r="J372" t="s">
        <v>3449</v>
      </c>
      <c r="K372" s="25">
        <f>Tabelle5[[#This Row],[value_present]]*Tabelle5[[#This Row],[binding_level]]</f>
        <v>0</v>
      </c>
    </row>
    <row r="373" spans="1:11" x14ac:dyDescent="0.25">
      <c r="A373" s="24">
        <v>10</v>
      </c>
      <c r="B373" s="2">
        <v>53</v>
      </c>
      <c r="C373" s="2" t="s">
        <v>132</v>
      </c>
      <c r="D373" s="3">
        <v>0</v>
      </c>
      <c r="E373" s="1"/>
      <c r="I373" s="1" t="s">
        <v>1456</v>
      </c>
      <c r="J373" t="s">
        <v>3576</v>
      </c>
      <c r="K373" s="25">
        <f>Tabelle5[[#This Row],[value_present]]*Tabelle5[[#This Row],[binding_level]]</f>
        <v>0</v>
      </c>
    </row>
    <row r="374" spans="1:11" x14ac:dyDescent="0.25">
      <c r="A374" s="24">
        <v>10</v>
      </c>
      <c r="B374" s="2">
        <v>53</v>
      </c>
      <c r="C374" s="2" t="s">
        <v>140</v>
      </c>
      <c r="D374" s="3">
        <v>0</v>
      </c>
      <c r="E374" s="1"/>
      <c r="I374" s="1" t="s">
        <v>1456</v>
      </c>
      <c r="J374" t="s">
        <v>3577</v>
      </c>
      <c r="K374" s="25">
        <f>Tabelle5[[#This Row],[value_present]]*Tabelle5[[#This Row],[binding_level]]</f>
        <v>0</v>
      </c>
    </row>
    <row r="375" spans="1:11" x14ac:dyDescent="0.25">
      <c r="A375" s="24">
        <v>10</v>
      </c>
      <c r="B375" s="2">
        <v>53</v>
      </c>
      <c r="C375" s="2" t="s">
        <v>147</v>
      </c>
      <c r="D375" s="3">
        <v>1</v>
      </c>
      <c r="E375" s="1">
        <v>2</v>
      </c>
      <c r="F375" t="s">
        <v>3587</v>
      </c>
      <c r="G375" t="s">
        <v>3588</v>
      </c>
      <c r="H375" t="s">
        <v>3216</v>
      </c>
      <c r="I375" s="1" t="s">
        <v>1456</v>
      </c>
      <c r="J375" t="s">
        <v>3578</v>
      </c>
      <c r="K375" s="25">
        <f>Tabelle5[[#This Row],[value_present]]*Tabelle5[[#This Row],[binding_level]]</f>
        <v>2</v>
      </c>
    </row>
    <row r="376" spans="1:11" x14ac:dyDescent="0.25">
      <c r="A376" s="24">
        <v>10</v>
      </c>
      <c r="B376" s="2">
        <v>53</v>
      </c>
      <c r="C376" s="2" t="s">
        <v>154</v>
      </c>
      <c r="D376" s="3">
        <v>1</v>
      </c>
      <c r="E376" s="1">
        <v>2</v>
      </c>
      <c r="F376" t="s">
        <v>3589</v>
      </c>
      <c r="G376" t="s">
        <v>3590</v>
      </c>
      <c r="H376" t="s">
        <v>3216</v>
      </c>
      <c r="I376" s="1" t="s">
        <v>1456</v>
      </c>
      <c r="J376" t="s">
        <v>3579</v>
      </c>
      <c r="K376" s="25">
        <f>Tabelle5[[#This Row],[value_present]]*Tabelle5[[#This Row],[binding_level]]</f>
        <v>2</v>
      </c>
    </row>
    <row r="377" spans="1:11" x14ac:dyDescent="0.25">
      <c r="A377" s="24">
        <v>10</v>
      </c>
      <c r="B377" s="2">
        <v>53</v>
      </c>
      <c r="C377" s="2" t="s">
        <v>161</v>
      </c>
      <c r="D377" s="3">
        <v>0</v>
      </c>
      <c r="E377" s="1"/>
      <c r="I377" s="1" t="s">
        <v>1456</v>
      </c>
      <c r="J377" t="s">
        <v>3580</v>
      </c>
      <c r="K377" s="25">
        <f>Tabelle5[[#This Row],[value_present]]*Tabelle5[[#This Row],[binding_level]]</f>
        <v>0</v>
      </c>
    </row>
    <row r="378" spans="1:11" x14ac:dyDescent="0.25">
      <c r="A378" s="24">
        <v>10</v>
      </c>
      <c r="B378" s="2">
        <v>53</v>
      </c>
      <c r="C378" s="2" t="s">
        <v>166</v>
      </c>
      <c r="D378" s="3">
        <v>0</v>
      </c>
      <c r="E378" s="1"/>
      <c r="I378" s="1" t="s">
        <v>1457</v>
      </c>
      <c r="J378" t="s">
        <v>3526</v>
      </c>
      <c r="K378" s="25">
        <f>Tabelle5[[#This Row],[value_present]]*Tabelle5[[#This Row],[binding_level]]</f>
        <v>0</v>
      </c>
    </row>
    <row r="379" spans="1:11" ht="15.75" thickBot="1" x14ac:dyDescent="0.3">
      <c r="A379" s="26">
        <v>10</v>
      </c>
      <c r="B379" s="27">
        <v>53</v>
      </c>
      <c r="C379" s="27" t="s">
        <v>174</v>
      </c>
      <c r="D379" s="28">
        <v>0</v>
      </c>
      <c r="E379" s="29"/>
      <c r="F379" s="30"/>
      <c r="G379" s="30"/>
      <c r="H379" s="30"/>
      <c r="I379" s="29" t="s">
        <v>1456</v>
      </c>
      <c r="J379" s="30" t="s">
        <v>3527</v>
      </c>
      <c r="K379" s="31">
        <f>Tabelle5[[#This Row],[value_present]]*Tabelle5[[#This Row],[binding_level]]</f>
        <v>0</v>
      </c>
    </row>
    <row r="380" spans="1:11" x14ac:dyDescent="0.25">
      <c r="A380" s="18">
        <v>11</v>
      </c>
      <c r="B380" s="19">
        <v>56</v>
      </c>
      <c r="C380" s="19" t="s">
        <v>53</v>
      </c>
      <c r="D380" s="20">
        <v>0</v>
      </c>
      <c r="E380" s="21"/>
      <c r="F380" s="22"/>
      <c r="G380" s="22"/>
      <c r="H380" s="22"/>
      <c r="I380" s="21" t="s">
        <v>1456</v>
      </c>
      <c r="J380" s="22" t="s">
        <v>3624</v>
      </c>
      <c r="K380" s="23">
        <f>Tabelle5[[#This Row],[value_present]]*Tabelle5[[#This Row],[binding_level]]</f>
        <v>0</v>
      </c>
    </row>
    <row r="381" spans="1:11" x14ac:dyDescent="0.25">
      <c r="A381" s="24">
        <v>11</v>
      </c>
      <c r="B381" s="2">
        <v>56</v>
      </c>
      <c r="C381" s="2" t="s">
        <v>61</v>
      </c>
      <c r="D381" s="3">
        <v>0</v>
      </c>
      <c r="E381" s="1"/>
      <c r="I381" s="1" t="s">
        <v>1457</v>
      </c>
      <c r="J381" t="s">
        <v>3625</v>
      </c>
      <c r="K381" s="25">
        <f>Tabelle5[[#This Row],[value_present]]*Tabelle5[[#This Row],[binding_level]]</f>
        <v>0</v>
      </c>
    </row>
    <row r="382" spans="1:11" x14ac:dyDescent="0.25">
      <c r="A382" s="24">
        <v>11</v>
      </c>
      <c r="B382" s="2">
        <v>56</v>
      </c>
      <c r="C382" s="2" t="s">
        <v>69</v>
      </c>
      <c r="D382" s="3">
        <v>0</v>
      </c>
      <c r="E382" s="1"/>
      <c r="I382" s="1" t="s">
        <v>1457</v>
      </c>
      <c r="J382" t="s">
        <v>3626</v>
      </c>
      <c r="K382" s="25">
        <f>Tabelle5[[#This Row],[value_present]]*Tabelle5[[#This Row],[binding_level]]</f>
        <v>0</v>
      </c>
    </row>
    <row r="383" spans="1:11" x14ac:dyDescent="0.25">
      <c r="A383" s="24">
        <v>11</v>
      </c>
      <c r="B383" s="2">
        <v>56</v>
      </c>
      <c r="C383" s="2" t="s">
        <v>76</v>
      </c>
      <c r="D383" s="3">
        <v>1</v>
      </c>
      <c r="E383" s="1">
        <v>1</v>
      </c>
      <c r="F383" t="s">
        <v>3614</v>
      </c>
      <c r="G383" t="s">
        <v>3615</v>
      </c>
      <c r="H383" t="s">
        <v>3613</v>
      </c>
      <c r="I383" s="1" t="s">
        <v>1456</v>
      </c>
      <c r="J383" t="s">
        <v>3627</v>
      </c>
      <c r="K383" s="25">
        <f>Tabelle5[[#This Row],[value_present]]*Tabelle5[[#This Row],[binding_level]]</f>
        <v>1</v>
      </c>
    </row>
    <row r="384" spans="1:11" x14ac:dyDescent="0.25">
      <c r="A384" s="24">
        <v>11</v>
      </c>
      <c r="B384" s="2">
        <v>56</v>
      </c>
      <c r="C384" s="2" t="s">
        <v>83</v>
      </c>
      <c r="D384" s="3">
        <v>1</v>
      </c>
      <c r="E384" s="1">
        <v>1</v>
      </c>
      <c r="F384" t="s">
        <v>3622</v>
      </c>
      <c r="G384" t="s">
        <v>3623</v>
      </c>
      <c r="H384" t="s">
        <v>3613</v>
      </c>
      <c r="I384" s="1" t="s">
        <v>1457</v>
      </c>
      <c r="J384" t="s">
        <v>3628</v>
      </c>
      <c r="K384" s="25">
        <f>Tabelle5[[#This Row],[value_present]]*Tabelle5[[#This Row],[binding_level]]</f>
        <v>1</v>
      </c>
    </row>
    <row r="385" spans="1:11" x14ac:dyDescent="0.25">
      <c r="A385" s="24">
        <v>11</v>
      </c>
      <c r="B385" s="2">
        <v>56</v>
      </c>
      <c r="C385" s="2" t="s">
        <v>90</v>
      </c>
      <c r="D385" s="3">
        <v>1</v>
      </c>
      <c r="E385" s="1">
        <v>1</v>
      </c>
      <c r="F385" t="s">
        <v>3616</v>
      </c>
      <c r="G385" t="s">
        <v>3617</v>
      </c>
      <c r="H385" t="s">
        <v>3613</v>
      </c>
      <c r="I385" s="1" t="s">
        <v>1456</v>
      </c>
      <c r="J385" t="s">
        <v>3629</v>
      </c>
      <c r="K385" s="25">
        <f>Tabelle5[[#This Row],[value_present]]*Tabelle5[[#This Row],[binding_level]]</f>
        <v>1</v>
      </c>
    </row>
    <row r="386" spans="1:11" x14ac:dyDescent="0.25">
      <c r="A386" s="24">
        <v>11</v>
      </c>
      <c r="B386" s="2">
        <v>56</v>
      </c>
      <c r="C386" s="2" t="s">
        <v>98</v>
      </c>
      <c r="D386" s="3">
        <v>1</v>
      </c>
      <c r="E386" s="1">
        <v>1</v>
      </c>
      <c r="F386" t="s">
        <v>3618</v>
      </c>
      <c r="G386" t="s">
        <v>3619</v>
      </c>
      <c r="H386" t="s">
        <v>3613</v>
      </c>
      <c r="I386" s="1" t="s">
        <v>1456</v>
      </c>
      <c r="J386" t="s">
        <v>3630</v>
      </c>
      <c r="K386" s="25">
        <f>Tabelle5[[#This Row],[value_present]]*Tabelle5[[#This Row],[binding_level]]</f>
        <v>1</v>
      </c>
    </row>
    <row r="387" spans="1:11" x14ac:dyDescent="0.25">
      <c r="A387" s="24">
        <v>11</v>
      </c>
      <c r="B387" s="2">
        <v>56</v>
      </c>
      <c r="C387" s="2" t="s">
        <v>106</v>
      </c>
      <c r="D387" s="3">
        <v>0</v>
      </c>
      <c r="E387" s="1"/>
      <c r="I387" s="1" t="s">
        <v>1457</v>
      </c>
      <c r="J387" t="s">
        <v>3631</v>
      </c>
      <c r="K387" s="25">
        <f>Tabelle5[[#This Row],[value_present]]*Tabelle5[[#This Row],[binding_level]]</f>
        <v>0</v>
      </c>
    </row>
    <row r="388" spans="1:11" x14ac:dyDescent="0.25">
      <c r="A388" s="24">
        <v>11</v>
      </c>
      <c r="B388" s="2">
        <v>56</v>
      </c>
      <c r="C388" s="2" t="s">
        <v>112</v>
      </c>
      <c r="D388" s="3">
        <v>1</v>
      </c>
      <c r="E388" s="1">
        <v>1</v>
      </c>
      <c r="F388" t="s">
        <v>3620</v>
      </c>
      <c r="G388" t="s">
        <v>3621</v>
      </c>
      <c r="H388" t="s">
        <v>3613</v>
      </c>
      <c r="I388" s="1" t="s">
        <v>1456</v>
      </c>
      <c r="J388" t="s">
        <v>3632</v>
      </c>
      <c r="K388" s="25">
        <f>Tabelle5[[#This Row],[value_present]]*Tabelle5[[#This Row],[binding_level]]</f>
        <v>1</v>
      </c>
    </row>
    <row r="389" spans="1:11" x14ac:dyDescent="0.25">
      <c r="A389" s="24">
        <v>11</v>
      </c>
      <c r="B389" s="2">
        <v>56</v>
      </c>
      <c r="C389" s="2" t="s">
        <v>118</v>
      </c>
      <c r="D389" s="3">
        <v>0</v>
      </c>
      <c r="E389" s="1"/>
      <c r="I389" s="1" t="s">
        <v>1456</v>
      </c>
      <c r="J389" t="s">
        <v>3633</v>
      </c>
      <c r="K389" s="25">
        <f>Tabelle5[[#This Row],[value_present]]*Tabelle5[[#This Row],[binding_level]]</f>
        <v>0</v>
      </c>
    </row>
    <row r="390" spans="1:11" x14ac:dyDescent="0.25">
      <c r="A390" s="24">
        <v>11</v>
      </c>
      <c r="B390" s="2">
        <v>56</v>
      </c>
      <c r="C390" s="2" t="s">
        <v>125</v>
      </c>
      <c r="D390" s="3">
        <v>0</v>
      </c>
      <c r="E390" s="1"/>
      <c r="I390" s="1" t="s">
        <v>1457</v>
      </c>
      <c r="J390" t="s">
        <v>3634</v>
      </c>
      <c r="K390" s="25">
        <f>Tabelle5[[#This Row],[value_present]]*Tabelle5[[#This Row],[binding_level]]</f>
        <v>0</v>
      </c>
    </row>
    <row r="391" spans="1:11" x14ac:dyDescent="0.25">
      <c r="A391" s="24">
        <v>11</v>
      </c>
      <c r="B391" s="2">
        <v>56</v>
      </c>
      <c r="C391" s="2" t="s">
        <v>132</v>
      </c>
      <c r="D391" s="3">
        <v>0</v>
      </c>
      <c r="E391" s="1"/>
      <c r="I391" s="1" t="s">
        <v>1456</v>
      </c>
      <c r="J391" t="s">
        <v>3635</v>
      </c>
      <c r="K391" s="25">
        <f>Tabelle5[[#This Row],[value_present]]*Tabelle5[[#This Row],[binding_level]]</f>
        <v>0</v>
      </c>
    </row>
    <row r="392" spans="1:11" x14ac:dyDescent="0.25">
      <c r="A392" s="24">
        <v>11</v>
      </c>
      <c r="B392" s="2">
        <v>56</v>
      </c>
      <c r="C392" s="2" t="s">
        <v>140</v>
      </c>
      <c r="D392" s="3">
        <v>0</v>
      </c>
      <c r="E392" s="1"/>
      <c r="I392" s="1" t="s">
        <v>1457</v>
      </c>
      <c r="J392" t="s">
        <v>3636</v>
      </c>
      <c r="K392" s="25">
        <f>Tabelle5[[#This Row],[value_present]]*Tabelle5[[#This Row],[binding_level]]</f>
        <v>0</v>
      </c>
    </row>
    <row r="393" spans="1:11" x14ac:dyDescent="0.25">
      <c r="A393" s="24">
        <v>11</v>
      </c>
      <c r="B393" s="2">
        <v>56</v>
      </c>
      <c r="C393" s="2" t="s">
        <v>147</v>
      </c>
      <c r="D393" s="3">
        <v>0</v>
      </c>
      <c r="E393" s="1"/>
      <c r="I393" s="1" t="s">
        <v>1457</v>
      </c>
      <c r="J393" t="s">
        <v>3637</v>
      </c>
      <c r="K393" s="25">
        <f>Tabelle5[[#This Row],[value_present]]*Tabelle5[[#This Row],[binding_level]]</f>
        <v>0</v>
      </c>
    </row>
    <row r="394" spans="1:11" x14ac:dyDescent="0.25">
      <c r="A394" s="24">
        <v>11</v>
      </c>
      <c r="B394" s="2">
        <v>56</v>
      </c>
      <c r="C394" s="2" t="s">
        <v>154</v>
      </c>
      <c r="D394" s="3">
        <v>1</v>
      </c>
      <c r="E394" s="1">
        <v>1</v>
      </c>
      <c r="F394" t="s">
        <v>3611</v>
      </c>
      <c r="G394" t="s">
        <v>3612</v>
      </c>
      <c r="H394" t="s">
        <v>3613</v>
      </c>
      <c r="I394" s="1" t="s">
        <v>1456</v>
      </c>
      <c r="J394" t="s">
        <v>3638</v>
      </c>
      <c r="K394" s="25">
        <f>Tabelle5[[#This Row],[value_present]]*Tabelle5[[#This Row],[binding_level]]</f>
        <v>1</v>
      </c>
    </row>
    <row r="395" spans="1:11" x14ac:dyDescent="0.25">
      <c r="A395" s="24">
        <v>11</v>
      </c>
      <c r="B395" s="2">
        <v>56</v>
      </c>
      <c r="C395" s="2" t="s">
        <v>161</v>
      </c>
      <c r="D395" s="3">
        <v>0</v>
      </c>
      <c r="E395" s="1"/>
      <c r="I395" s="1" t="s">
        <v>1457</v>
      </c>
      <c r="J395" t="s">
        <v>3639</v>
      </c>
      <c r="K395" s="25">
        <f>Tabelle5[[#This Row],[value_present]]*Tabelle5[[#This Row],[binding_level]]</f>
        <v>0</v>
      </c>
    </row>
    <row r="396" spans="1:11" x14ac:dyDescent="0.25">
      <c r="A396" s="24">
        <v>11</v>
      </c>
      <c r="B396" s="2">
        <v>56</v>
      </c>
      <c r="C396" s="2" t="s">
        <v>166</v>
      </c>
      <c r="D396" s="3">
        <v>0</v>
      </c>
      <c r="E396" s="1"/>
      <c r="I396" s="1" t="s">
        <v>1457</v>
      </c>
      <c r="J396" t="s">
        <v>3640</v>
      </c>
      <c r="K396" s="25">
        <f>Tabelle5[[#This Row],[value_present]]*Tabelle5[[#This Row],[binding_level]]</f>
        <v>0</v>
      </c>
    </row>
    <row r="397" spans="1:11" ht="15.75" thickBot="1" x14ac:dyDescent="0.3">
      <c r="A397" s="26">
        <v>11</v>
      </c>
      <c r="B397" s="27">
        <v>56</v>
      </c>
      <c r="C397" s="27" t="s">
        <v>174</v>
      </c>
      <c r="D397" s="28">
        <v>0</v>
      </c>
      <c r="E397" s="29"/>
      <c r="F397" s="30"/>
      <c r="G397" s="30"/>
      <c r="H397" s="30"/>
      <c r="I397" s="29" t="s">
        <v>1457</v>
      </c>
      <c r="J397" s="30" t="s">
        <v>3641</v>
      </c>
      <c r="K397" s="31">
        <f>Tabelle5[[#This Row],[value_present]]*Tabelle5[[#This Row],[binding_level]]</f>
        <v>0</v>
      </c>
    </row>
    <row r="398" spans="1:11" x14ac:dyDescent="0.25">
      <c r="A398" s="18">
        <v>11</v>
      </c>
      <c r="B398" s="19">
        <v>57</v>
      </c>
      <c r="C398" s="19" t="s">
        <v>53</v>
      </c>
      <c r="D398" s="20">
        <v>0</v>
      </c>
      <c r="E398" s="21"/>
      <c r="F398" s="22"/>
      <c r="G398" s="22"/>
      <c r="H398" s="22"/>
      <c r="I398" s="21" t="s">
        <v>1456</v>
      </c>
      <c r="J398" s="22" t="s">
        <v>3670</v>
      </c>
      <c r="K398" s="23">
        <f>Tabelle5[[#This Row],[value_present]]*Tabelle5[[#This Row],[binding_level]]</f>
        <v>0</v>
      </c>
    </row>
    <row r="399" spans="1:11" x14ac:dyDescent="0.25">
      <c r="A399" s="24">
        <v>11</v>
      </c>
      <c r="B399" s="2">
        <v>57</v>
      </c>
      <c r="C399" s="2" t="s">
        <v>61</v>
      </c>
      <c r="D399" s="3">
        <v>0</v>
      </c>
      <c r="E399" s="1"/>
      <c r="I399" s="1" t="s">
        <v>1457</v>
      </c>
      <c r="J399" t="s">
        <v>3671</v>
      </c>
      <c r="K399" s="25">
        <f>Tabelle5[[#This Row],[value_present]]*Tabelle5[[#This Row],[binding_level]]</f>
        <v>0</v>
      </c>
    </row>
    <row r="400" spans="1:11" x14ac:dyDescent="0.25">
      <c r="A400" s="24">
        <v>11</v>
      </c>
      <c r="B400" s="2">
        <v>57</v>
      </c>
      <c r="C400" s="2" t="s">
        <v>69</v>
      </c>
      <c r="D400" s="3">
        <v>0</v>
      </c>
      <c r="E400" s="1"/>
      <c r="I400" s="1" t="s">
        <v>1457</v>
      </c>
      <c r="J400" t="s">
        <v>3672</v>
      </c>
      <c r="K400" s="25">
        <f>Tabelle5[[#This Row],[value_present]]*Tabelle5[[#This Row],[binding_level]]</f>
        <v>0</v>
      </c>
    </row>
    <row r="401" spans="1:11" x14ac:dyDescent="0.25">
      <c r="A401" s="24">
        <v>11</v>
      </c>
      <c r="B401" s="2">
        <v>57</v>
      </c>
      <c r="C401" s="2" t="s">
        <v>76</v>
      </c>
      <c r="D401" s="3">
        <v>1</v>
      </c>
      <c r="E401" s="1">
        <v>1</v>
      </c>
      <c r="F401" t="s">
        <v>3663</v>
      </c>
      <c r="G401" t="s">
        <v>3615</v>
      </c>
      <c r="H401" t="s">
        <v>3673</v>
      </c>
      <c r="I401" s="1" t="s">
        <v>1456</v>
      </c>
      <c r="J401" t="s">
        <v>3674</v>
      </c>
      <c r="K401" s="25">
        <f>Tabelle5[[#This Row],[value_present]]*Tabelle5[[#This Row],[binding_level]]</f>
        <v>1</v>
      </c>
    </row>
    <row r="402" spans="1:11" x14ac:dyDescent="0.25">
      <c r="A402" s="24">
        <v>11</v>
      </c>
      <c r="B402" s="2">
        <v>57</v>
      </c>
      <c r="C402" s="2" t="s">
        <v>83</v>
      </c>
      <c r="D402" s="3">
        <v>0</v>
      </c>
      <c r="E402" s="1"/>
      <c r="I402" s="1" t="s">
        <v>1456</v>
      </c>
      <c r="J402" t="s">
        <v>3675</v>
      </c>
      <c r="K402" s="25">
        <f>Tabelle5[[#This Row],[value_present]]*Tabelle5[[#This Row],[binding_level]]</f>
        <v>0</v>
      </c>
    </row>
    <row r="403" spans="1:11" x14ac:dyDescent="0.25">
      <c r="A403" s="24">
        <v>11</v>
      </c>
      <c r="B403" s="2">
        <v>57</v>
      </c>
      <c r="C403" s="2" t="s">
        <v>90</v>
      </c>
      <c r="D403" s="3">
        <v>1</v>
      </c>
      <c r="E403" s="1">
        <v>1</v>
      </c>
      <c r="F403" t="s">
        <v>3664</v>
      </c>
      <c r="G403" t="s">
        <v>3665</v>
      </c>
      <c r="H403" t="s">
        <v>3673</v>
      </c>
      <c r="I403" s="1" t="s">
        <v>1456</v>
      </c>
      <c r="J403" t="s">
        <v>3676</v>
      </c>
      <c r="K403" s="25">
        <f>Tabelle5[[#This Row],[value_present]]*Tabelle5[[#This Row],[binding_level]]</f>
        <v>1</v>
      </c>
    </row>
    <row r="404" spans="1:11" x14ac:dyDescent="0.25">
      <c r="A404" s="24">
        <v>11</v>
      </c>
      <c r="B404" s="2">
        <v>57</v>
      </c>
      <c r="C404" s="2" t="s">
        <v>98</v>
      </c>
      <c r="D404" s="3">
        <v>1</v>
      </c>
      <c r="E404" s="1">
        <v>1</v>
      </c>
      <c r="F404" t="s">
        <v>3666</v>
      </c>
      <c r="G404" t="s">
        <v>3619</v>
      </c>
      <c r="H404" t="s">
        <v>3673</v>
      </c>
      <c r="I404" s="1" t="s">
        <v>1456</v>
      </c>
      <c r="J404" t="s">
        <v>3677</v>
      </c>
      <c r="K404" s="25">
        <f>Tabelle5[[#This Row],[value_present]]*Tabelle5[[#This Row],[binding_level]]</f>
        <v>1</v>
      </c>
    </row>
    <row r="405" spans="1:11" x14ac:dyDescent="0.25">
      <c r="A405" s="24">
        <v>11</v>
      </c>
      <c r="B405" s="2">
        <v>57</v>
      </c>
      <c r="C405" s="2" t="s">
        <v>106</v>
      </c>
      <c r="D405" s="3">
        <v>0</v>
      </c>
      <c r="E405" s="1"/>
      <c r="I405" s="1" t="s">
        <v>1457</v>
      </c>
      <c r="J405" t="s">
        <v>3573</v>
      </c>
      <c r="K405" s="25">
        <f>Tabelle5[[#This Row],[value_present]]*Tabelle5[[#This Row],[binding_level]]</f>
        <v>0</v>
      </c>
    </row>
    <row r="406" spans="1:11" x14ac:dyDescent="0.25">
      <c r="A406" s="24">
        <v>11</v>
      </c>
      <c r="B406" s="2">
        <v>57</v>
      </c>
      <c r="C406" s="2" t="s">
        <v>112</v>
      </c>
      <c r="D406" s="3">
        <v>1</v>
      </c>
      <c r="E406" s="1">
        <v>1</v>
      </c>
      <c r="F406" t="s">
        <v>3667</v>
      </c>
      <c r="G406" t="s">
        <v>3621</v>
      </c>
      <c r="H406" t="s">
        <v>3673</v>
      </c>
      <c r="I406" s="1" t="s">
        <v>1456</v>
      </c>
      <c r="J406" t="s">
        <v>3678</v>
      </c>
      <c r="K406" s="25">
        <f>Tabelle5[[#This Row],[value_present]]*Tabelle5[[#This Row],[binding_level]]</f>
        <v>1</v>
      </c>
    </row>
    <row r="407" spans="1:11" x14ac:dyDescent="0.25">
      <c r="A407" s="24">
        <v>11</v>
      </c>
      <c r="B407" s="2">
        <v>57</v>
      </c>
      <c r="C407" s="2" t="s">
        <v>118</v>
      </c>
      <c r="D407" s="3">
        <v>0</v>
      </c>
      <c r="E407" s="1"/>
      <c r="I407" s="1" t="s">
        <v>1456</v>
      </c>
      <c r="J407" t="s">
        <v>3575</v>
      </c>
      <c r="K407" s="25">
        <f>Tabelle5[[#This Row],[value_present]]*Tabelle5[[#This Row],[binding_level]]</f>
        <v>0</v>
      </c>
    </row>
    <row r="408" spans="1:11" x14ac:dyDescent="0.25">
      <c r="A408" s="24">
        <v>11</v>
      </c>
      <c r="B408" s="2">
        <v>57</v>
      </c>
      <c r="C408" s="2" t="s">
        <v>125</v>
      </c>
      <c r="D408" s="3">
        <v>0</v>
      </c>
      <c r="E408" s="1"/>
      <c r="I408" s="1" t="s">
        <v>1456</v>
      </c>
      <c r="J408" t="s">
        <v>3449</v>
      </c>
      <c r="K408" s="25">
        <f>Tabelle5[[#This Row],[value_present]]*Tabelle5[[#This Row],[binding_level]]</f>
        <v>0</v>
      </c>
    </row>
    <row r="409" spans="1:11" x14ac:dyDescent="0.25">
      <c r="A409" s="24">
        <v>11</v>
      </c>
      <c r="B409" s="2">
        <v>57</v>
      </c>
      <c r="C409" s="2" t="s">
        <v>132</v>
      </c>
      <c r="D409" s="3">
        <v>0</v>
      </c>
      <c r="E409" s="1"/>
      <c r="I409" s="1" t="s">
        <v>1456</v>
      </c>
      <c r="J409" t="s">
        <v>3576</v>
      </c>
      <c r="K409" s="25">
        <f>Tabelle5[[#This Row],[value_present]]*Tabelle5[[#This Row],[binding_level]]</f>
        <v>0</v>
      </c>
    </row>
    <row r="410" spans="1:11" x14ac:dyDescent="0.25">
      <c r="A410" s="24">
        <v>11</v>
      </c>
      <c r="B410" s="2">
        <v>57</v>
      </c>
      <c r="C410" s="2" t="s">
        <v>140</v>
      </c>
      <c r="D410" s="3">
        <v>0</v>
      </c>
      <c r="E410" s="1"/>
      <c r="I410" s="1" t="s">
        <v>1457</v>
      </c>
      <c r="J410" t="s">
        <v>3679</v>
      </c>
      <c r="K410" s="25">
        <f>Tabelle5[[#This Row],[value_present]]*Tabelle5[[#This Row],[binding_level]]</f>
        <v>0</v>
      </c>
    </row>
    <row r="411" spans="1:11" x14ac:dyDescent="0.25">
      <c r="A411" s="24">
        <v>11</v>
      </c>
      <c r="B411" s="2">
        <v>57</v>
      </c>
      <c r="C411" s="2" t="s">
        <v>147</v>
      </c>
      <c r="D411" s="3">
        <v>0</v>
      </c>
      <c r="E411" s="1"/>
      <c r="I411" s="1" t="s">
        <v>1457</v>
      </c>
      <c r="J411" t="s">
        <v>3680</v>
      </c>
      <c r="K411" s="25">
        <f>Tabelle5[[#This Row],[value_present]]*Tabelle5[[#This Row],[binding_level]]</f>
        <v>0</v>
      </c>
    </row>
    <row r="412" spans="1:11" x14ac:dyDescent="0.25">
      <c r="A412" s="24">
        <v>11</v>
      </c>
      <c r="B412" s="2">
        <v>57</v>
      </c>
      <c r="C412" s="2" t="s">
        <v>154</v>
      </c>
      <c r="D412" s="3">
        <v>1</v>
      </c>
      <c r="E412" s="1">
        <v>1</v>
      </c>
      <c r="F412" t="s">
        <v>3661</v>
      </c>
      <c r="G412" t="s">
        <v>3662</v>
      </c>
      <c r="H412" t="s">
        <v>3673</v>
      </c>
      <c r="I412" s="1" t="s">
        <v>1456</v>
      </c>
      <c r="J412" t="s">
        <v>3681</v>
      </c>
      <c r="K412" s="25">
        <f>Tabelle5[[#This Row],[value_present]]*Tabelle5[[#This Row],[binding_level]]</f>
        <v>1</v>
      </c>
    </row>
    <row r="413" spans="1:11" x14ac:dyDescent="0.25">
      <c r="A413" s="24">
        <v>11</v>
      </c>
      <c r="B413" s="2">
        <v>57</v>
      </c>
      <c r="C413" s="2" t="s">
        <v>161</v>
      </c>
      <c r="D413" s="3">
        <v>0</v>
      </c>
      <c r="E413" s="1"/>
      <c r="I413" s="1" t="s">
        <v>1457</v>
      </c>
      <c r="J413" t="s">
        <v>3668</v>
      </c>
      <c r="K413" s="25">
        <f>Tabelle5[[#This Row],[value_present]]*Tabelle5[[#This Row],[binding_level]]</f>
        <v>0</v>
      </c>
    </row>
    <row r="414" spans="1:11" x14ac:dyDescent="0.25">
      <c r="A414" s="24">
        <v>11</v>
      </c>
      <c r="B414" s="2">
        <v>57</v>
      </c>
      <c r="C414" s="2" t="s">
        <v>166</v>
      </c>
      <c r="D414" s="3">
        <v>0</v>
      </c>
      <c r="E414" s="1"/>
      <c r="I414" s="1" t="s">
        <v>1457</v>
      </c>
      <c r="J414" t="s">
        <v>3669</v>
      </c>
      <c r="K414" s="25">
        <f>Tabelle5[[#This Row],[value_present]]*Tabelle5[[#This Row],[binding_level]]</f>
        <v>0</v>
      </c>
    </row>
    <row r="415" spans="1:11" ht="15.75" thickBot="1" x14ac:dyDescent="0.3">
      <c r="A415" s="26">
        <v>11</v>
      </c>
      <c r="B415" s="27">
        <v>57</v>
      </c>
      <c r="C415" s="27" t="s">
        <v>174</v>
      </c>
      <c r="D415" s="28">
        <v>0</v>
      </c>
      <c r="E415" s="29"/>
      <c r="F415" s="30"/>
      <c r="G415" s="30"/>
      <c r="H415" s="30"/>
      <c r="I415" s="29" t="s">
        <v>1457</v>
      </c>
      <c r="J415" s="30" t="s">
        <v>3682</v>
      </c>
      <c r="K415" s="31">
        <f>Tabelle5[[#This Row],[value_present]]*Tabelle5[[#This Row],[binding_level]]</f>
        <v>0</v>
      </c>
    </row>
    <row r="416" spans="1:11" x14ac:dyDescent="0.25">
      <c r="A416" s="18">
        <v>12</v>
      </c>
      <c r="B416" s="19">
        <v>62</v>
      </c>
      <c r="C416" s="19" t="s">
        <v>53</v>
      </c>
      <c r="D416" s="20">
        <v>1</v>
      </c>
      <c r="E416" s="21">
        <v>1</v>
      </c>
      <c r="F416" s="22" t="s">
        <v>3826</v>
      </c>
      <c r="G416" s="22" t="s">
        <v>3827</v>
      </c>
      <c r="H416" s="22" t="s">
        <v>3806</v>
      </c>
      <c r="I416" s="21" t="s">
        <v>1456</v>
      </c>
      <c r="J416" s="22" t="s">
        <v>3807</v>
      </c>
      <c r="K416" s="23">
        <f>Tabelle5[[#This Row],[value_present]]*Tabelle5[[#This Row],[binding_level]]</f>
        <v>1</v>
      </c>
    </row>
    <row r="417" spans="1:11" x14ac:dyDescent="0.25">
      <c r="A417" s="24">
        <v>12</v>
      </c>
      <c r="B417" s="2">
        <v>62</v>
      </c>
      <c r="C417" s="2" t="s">
        <v>61</v>
      </c>
      <c r="D417" s="3">
        <v>1</v>
      </c>
      <c r="E417" s="1">
        <v>1</v>
      </c>
      <c r="F417" t="s">
        <v>3828</v>
      </c>
      <c r="G417" t="s">
        <v>3829</v>
      </c>
      <c r="H417" t="s">
        <v>3808</v>
      </c>
      <c r="I417" s="1" t="s">
        <v>1457</v>
      </c>
      <c r="J417" t="s">
        <v>3809</v>
      </c>
      <c r="K417" s="25">
        <f>Tabelle5[[#This Row],[value_present]]*Tabelle5[[#This Row],[binding_level]]</f>
        <v>1</v>
      </c>
    </row>
    <row r="418" spans="1:11" x14ac:dyDescent="0.25">
      <c r="A418" s="24">
        <v>12</v>
      </c>
      <c r="B418" s="2">
        <v>62</v>
      </c>
      <c r="C418" s="2" t="s">
        <v>69</v>
      </c>
      <c r="D418" s="3">
        <v>1</v>
      </c>
      <c r="E418" s="1">
        <v>1</v>
      </c>
      <c r="F418" t="s">
        <v>3830</v>
      </c>
      <c r="G418" t="s">
        <v>3831</v>
      </c>
      <c r="H418" t="s">
        <v>3806</v>
      </c>
      <c r="I418" s="1" t="s">
        <v>1456</v>
      </c>
      <c r="J418" t="s">
        <v>3810</v>
      </c>
      <c r="K418" s="25">
        <f>Tabelle5[[#This Row],[value_present]]*Tabelle5[[#This Row],[binding_level]]</f>
        <v>1</v>
      </c>
    </row>
    <row r="419" spans="1:11" x14ac:dyDescent="0.25">
      <c r="A419" s="24">
        <v>12</v>
      </c>
      <c r="B419" s="2">
        <v>62</v>
      </c>
      <c r="C419" s="2" t="s">
        <v>76</v>
      </c>
      <c r="D419" s="3">
        <v>1</v>
      </c>
      <c r="E419" s="1">
        <v>1</v>
      </c>
      <c r="F419" t="s">
        <v>3832</v>
      </c>
      <c r="G419" t="s">
        <v>3831</v>
      </c>
      <c r="H419" t="s">
        <v>3806</v>
      </c>
      <c r="I419" s="1" t="s">
        <v>1456</v>
      </c>
      <c r="J419" t="s">
        <v>3811</v>
      </c>
      <c r="K419" s="25">
        <f>Tabelle5[[#This Row],[value_present]]*Tabelle5[[#This Row],[binding_level]]</f>
        <v>1</v>
      </c>
    </row>
    <row r="420" spans="1:11" x14ac:dyDescent="0.25">
      <c r="A420" s="24">
        <v>12</v>
      </c>
      <c r="B420" s="2">
        <v>62</v>
      </c>
      <c r="C420" s="2" t="s">
        <v>83</v>
      </c>
      <c r="D420" s="3">
        <v>1</v>
      </c>
      <c r="E420" s="1">
        <v>1</v>
      </c>
      <c r="F420" t="s">
        <v>3833</v>
      </c>
      <c r="G420" t="s">
        <v>3834</v>
      </c>
      <c r="H420" t="s">
        <v>3808</v>
      </c>
      <c r="I420" s="1" t="s">
        <v>1456</v>
      </c>
      <c r="J420" t="s">
        <v>3812</v>
      </c>
      <c r="K420" s="25">
        <f>Tabelle5[[#This Row],[value_present]]*Tabelle5[[#This Row],[binding_level]]</f>
        <v>1</v>
      </c>
    </row>
    <row r="421" spans="1:11" x14ac:dyDescent="0.25">
      <c r="A421" s="24">
        <v>12</v>
      </c>
      <c r="B421" s="2">
        <v>62</v>
      </c>
      <c r="C421" s="2" t="s">
        <v>90</v>
      </c>
      <c r="D421" s="3">
        <v>1</v>
      </c>
      <c r="E421" s="1">
        <v>1</v>
      </c>
      <c r="F421" t="s">
        <v>3835</v>
      </c>
      <c r="G421" t="s">
        <v>3836</v>
      </c>
      <c r="H421" t="s">
        <v>3806</v>
      </c>
      <c r="I421" s="1" t="s">
        <v>1456</v>
      </c>
      <c r="J421" t="s">
        <v>3813</v>
      </c>
      <c r="K421" s="25">
        <f>Tabelle5[[#This Row],[value_present]]*Tabelle5[[#This Row],[binding_level]]</f>
        <v>1</v>
      </c>
    </row>
    <row r="422" spans="1:11" x14ac:dyDescent="0.25">
      <c r="A422" s="24">
        <v>12</v>
      </c>
      <c r="B422" s="2">
        <v>62</v>
      </c>
      <c r="C422" s="2" t="s">
        <v>98</v>
      </c>
      <c r="D422" s="3">
        <v>1</v>
      </c>
      <c r="E422" s="1">
        <v>1</v>
      </c>
      <c r="F422" t="s">
        <v>3837</v>
      </c>
      <c r="G422" t="s">
        <v>3838</v>
      </c>
      <c r="H422" t="s">
        <v>3808</v>
      </c>
      <c r="I422" s="1" t="s">
        <v>1456</v>
      </c>
      <c r="J422" t="s">
        <v>3814</v>
      </c>
      <c r="K422" s="25">
        <f>Tabelle5[[#This Row],[value_present]]*Tabelle5[[#This Row],[binding_level]]</f>
        <v>1</v>
      </c>
    </row>
    <row r="423" spans="1:11" x14ac:dyDescent="0.25">
      <c r="A423" s="24">
        <v>12</v>
      </c>
      <c r="B423" s="2">
        <v>62</v>
      </c>
      <c r="C423" s="2" t="s">
        <v>106</v>
      </c>
      <c r="D423" s="3">
        <v>1</v>
      </c>
      <c r="E423" s="1">
        <v>1</v>
      </c>
      <c r="F423" t="s">
        <v>3839</v>
      </c>
      <c r="G423" t="s">
        <v>3840</v>
      </c>
      <c r="H423" t="s">
        <v>3808</v>
      </c>
      <c r="I423" s="1" t="s">
        <v>1457</v>
      </c>
      <c r="J423" t="s">
        <v>3815</v>
      </c>
      <c r="K423" s="25">
        <f>Tabelle5[[#This Row],[value_present]]*Tabelle5[[#This Row],[binding_level]]</f>
        <v>1</v>
      </c>
    </row>
    <row r="424" spans="1:11" x14ac:dyDescent="0.25">
      <c r="A424" s="24">
        <v>12</v>
      </c>
      <c r="B424" s="2">
        <v>62</v>
      </c>
      <c r="C424" s="2" t="s">
        <v>112</v>
      </c>
      <c r="D424" s="3">
        <v>1</v>
      </c>
      <c r="E424" s="1">
        <v>1</v>
      </c>
      <c r="F424" t="s">
        <v>3841</v>
      </c>
      <c r="G424" t="s">
        <v>3842</v>
      </c>
      <c r="H424" t="s">
        <v>3808</v>
      </c>
      <c r="I424" s="1" t="s">
        <v>1456</v>
      </c>
      <c r="J424" t="s">
        <v>3816</v>
      </c>
      <c r="K424" s="25">
        <f>Tabelle5[[#This Row],[value_present]]*Tabelle5[[#This Row],[binding_level]]</f>
        <v>1</v>
      </c>
    </row>
    <row r="425" spans="1:11" x14ac:dyDescent="0.25">
      <c r="A425" s="24">
        <v>12</v>
      </c>
      <c r="B425" s="2">
        <v>62</v>
      </c>
      <c r="C425" s="2" t="s">
        <v>118</v>
      </c>
      <c r="D425" s="3">
        <v>0</v>
      </c>
      <c r="E425" s="1"/>
      <c r="I425" s="1" t="s">
        <v>1456</v>
      </c>
      <c r="J425" t="s">
        <v>3817</v>
      </c>
      <c r="K425" s="25">
        <f>Tabelle5[[#This Row],[value_present]]*Tabelle5[[#This Row],[binding_level]]</f>
        <v>0</v>
      </c>
    </row>
    <row r="426" spans="1:11" x14ac:dyDescent="0.25">
      <c r="A426" s="24">
        <v>12</v>
      </c>
      <c r="B426" s="2">
        <v>62</v>
      </c>
      <c r="C426" s="2" t="s">
        <v>125</v>
      </c>
      <c r="D426" s="3">
        <v>1</v>
      </c>
      <c r="E426" s="1">
        <v>1</v>
      </c>
      <c r="F426" t="s">
        <v>3843</v>
      </c>
      <c r="G426" t="s">
        <v>3844</v>
      </c>
      <c r="H426" t="s">
        <v>3808</v>
      </c>
      <c r="I426" s="1" t="s">
        <v>1457</v>
      </c>
      <c r="J426" t="s">
        <v>3818</v>
      </c>
      <c r="K426" s="25">
        <f>Tabelle5[[#This Row],[value_present]]*Tabelle5[[#This Row],[binding_level]]</f>
        <v>1</v>
      </c>
    </row>
    <row r="427" spans="1:11" x14ac:dyDescent="0.25">
      <c r="A427" s="24">
        <v>12</v>
      </c>
      <c r="B427" s="2">
        <v>62</v>
      </c>
      <c r="C427" s="2" t="s">
        <v>132</v>
      </c>
      <c r="D427" s="3">
        <v>0</v>
      </c>
      <c r="E427" s="1"/>
      <c r="I427" s="1" t="s">
        <v>1456</v>
      </c>
      <c r="J427" t="s">
        <v>3819</v>
      </c>
      <c r="K427" s="25">
        <f>Tabelle5[[#This Row],[value_present]]*Tabelle5[[#This Row],[binding_level]]</f>
        <v>0</v>
      </c>
    </row>
    <row r="428" spans="1:11" x14ac:dyDescent="0.25">
      <c r="A428" s="24">
        <v>12</v>
      </c>
      <c r="B428" s="2">
        <v>62</v>
      </c>
      <c r="C428" s="2" t="s">
        <v>140</v>
      </c>
      <c r="D428" s="3">
        <v>0</v>
      </c>
      <c r="E428" s="1"/>
      <c r="I428" s="1" t="s">
        <v>1457</v>
      </c>
      <c r="J428" t="s">
        <v>3820</v>
      </c>
      <c r="K428" s="25">
        <f>Tabelle5[[#This Row],[value_present]]*Tabelle5[[#This Row],[binding_level]]</f>
        <v>0</v>
      </c>
    </row>
    <row r="429" spans="1:11" x14ac:dyDescent="0.25">
      <c r="A429" s="24">
        <v>12</v>
      </c>
      <c r="B429" s="2">
        <v>62</v>
      </c>
      <c r="C429" s="2" t="s">
        <v>147</v>
      </c>
      <c r="D429" s="3">
        <v>1</v>
      </c>
      <c r="E429" s="1">
        <v>1</v>
      </c>
      <c r="F429" t="s">
        <v>3845</v>
      </c>
      <c r="G429" t="s">
        <v>3846</v>
      </c>
      <c r="H429" t="s">
        <v>3808</v>
      </c>
      <c r="I429" s="1" t="s">
        <v>1457</v>
      </c>
      <c r="J429" t="s">
        <v>3821</v>
      </c>
      <c r="K429" s="25">
        <f>Tabelle5[[#This Row],[value_present]]*Tabelle5[[#This Row],[binding_level]]</f>
        <v>1</v>
      </c>
    </row>
    <row r="430" spans="1:11" x14ac:dyDescent="0.25">
      <c r="A430" s="24">
        <v>12</v>
      </c>
      <c r="B430" s="2">
        <v>62</v>
      </c>
      <c r="C430" s="2" t="s">
        <v>154</v>
      </c>
      <c r="D430" s="3">
        <v>1</v>
      </c>
      <c r="E430" s="1">
        <v>1</v>
      </c>
      <c r="F430" t="s">
        <v>3847</v>
      </c>
      <c r="G430" t="s">
        <v>3848</v>
      </c>
      <c r="H430" t="s">
        <v>3806</v>
      </c>
      <c r="I430" s="1" t="s">
        <v>1457</v>
      </c>
      <c r="J430" t="s">
        <v>3822</v>
      </c>
      <c r="K430" s="25">
        <f>Tabelle5[[#This Row],[value_present]]*Tabelle5[[#This Row],[binding_level]]</f>
        <v>1</v>
      </c>
    </row>
    <row r="431" spans="1:11" x14ac:dyDescent="0.25">
      <c r="A431" s="24">
        <v>12</v>
      </c>
      <c r="B431" s="2">
        <v>62</v>
      </c>
      <c r="C431" s="2" t="s">
        <v>161</v>
      </c>
      <c r="D431" s="3">
        <v>0</v>
      </c>
      <c r="E431" s="1"/>
      <c r="I431" s="1" t="s">
        <v>1457</v>
      </c>
      <c r="J431" t="s">
        <v>3823</v>
      </c>
      <c r="K431" s="25">
        <f>Tabelle5[[#This Row],[value_present]]*Tabelle5[[#This Row],[binding_level]]</f>
        <v>0</v>
      </c>
    </row>
    <row r="432" spans="1:11" x14ac:dyDescent="0.25">
      <c r="A432" s="24">
        <v>12</v>
      </c>
      <c r="B432" s="2">
        <v>62</v>
      </c>
      <c r="C432" s="2" t="s">
        <v>166</v>
      </c>
      <c r="D432" s="3">
        <v>0</v>
      </c>
      <c r="E432" s="1"/>
      <c r="I432" s="1" t="s">
        <v>1456</v>
      </c>
      <c r="J432" t="s">
        <v>3824</v>
      </c>
      <c r="K432" s="25">
        <f>Tabelle5[[#This Row],[value_present]]*Tabelle5[[#This Row],[binding_level]]</f>
        <v>0</v>
      </c>
    </row>
    <row r="433" spans="1:11" ht="15.75" thickBot="1" x14ac:dyDescent="0.3">
      <c r="A433" s="26">
        <v>12</v>
      </c>
      <c r="B433" s="27">
        <v>62</v>
      </c>
      <c r="C433" s="27" t="s">
        <v>174</v>
      </c>
      <c r="D433" s="28">
        <v>0</v>
      </c>
      <c r="E433" s="29"/>
      <c r="F433" s="30"/>
      <c r="G433" s="30"/>
      <c r="H433" s="30"/>
      <c r="I433" s="29" t="s">
        <v>1457</v>
      </c>
      <c r="J433" s="30" t="s">
        <v>3825</v>
      </c>
      <c r="K433" s="31">
        <f>Tabelle5[[#This Row],[value_present]]*Tabelle5[[#This Row],[binding_level]]</f>
        <v>0</v>
      </c>
    </row>
    <row r="434" spans="1:11" x14ac:dyDescent="0.25">
      <c r="A434" s="18">
        <v>12</v>
      </c>
      <c r="B434" s="19">
        <v>64</v>
      </c>
      <c r="C434" s="19" t="s">
        <v>53</v>
      </c>
      <c r="D434" s="20">
        <v>1</v>
      </c>
      <c r="E434" s="21">
        <v>3</v>
      </c>
      <c r="F434" s="22" t="s">
        <v>3900</v>
      </c>
      <c r="G434" s="22" t="s">
        <v>3901</v>
      </c>
      <c r="H434" s="22" t="s">
        <v>3880</v>
      </c>
      <c r="I434" s="21" t="s">
        <v>1457</v>
      </c>
      <c r="J434" s="22" t="s">
        <v>3881</v>
      </c>
      <c r="K434" s="23">
        <f>Tabelle5[[#This Row],[value_present]]*Tabelle5[[#This Row],[binding_level]]</f>
        <v>3</v>
      </c>
    </row>
    <row r="435" spans="1:11" x14ac:dyDescent="0.25">
      <c r="A435" s="24">
        <v>12</v>
      </c>
      <c r="B435" s="2">
        <v>64</v>
      </c>
      <c r="C435" s="2" t="s">
        <v>61</v>
      </c>
      <c r="D435" s="3">
        <v>0</v>
      </c>
      <c r="E435" s="1"/>
      <c r="I435" s="1" t="s">
        <v>1457</v>
      </c>
      <c r="J435" t="s">
        <v>3882</v>
      </c>
      <c r="K435" s="25">
        <f>Tabelle5[[#This Row],[value_present]]*Tabelle5[[#This Row],[binding_level]]</f>
        <v>0</v>
      </c>
    </row>
    <row r="436" spans="1:11" x14ac:dyDescent="0.25">
      <c r="A436" s="24">
        <v>12</v>
      </c>
      <c r="B436" s="2">
        <v>64</v>
      </c>
      <c r="C436" s="2" t="s">
        <v>69</v>
      </c>
      <c r="D436" s="3">
        <v>0</v>
      </c>
      <c r="E436" s="1"/>
      <c r="I436" s="1" t="s">
        <v>1456</v>
      </c>
      <c r="J436" t="s">
        <v>3883</v>
      </c>
      <c r="K436" s="25">
        <f>Tabelle5[[#This Row],[value_present]]*Tabelle5[[#This Row],[binding_level]]</f>
        <v>0</v>
      </c>
    </row>
    <row r="437" spans="1:11" x14ac:dyDescent="0.25">
      <c r="A437" s="24">
        <v>12</v>
      </c>
      <c r="B437" s="2">
        <v>64</v>
      </c>
      <c r="C437" s="2" t="s">
        <v>76</v>
      </c>
      <c r="D437" s="3">
        <v>0</v>
      </c>
      <c r="E437" s="1"/>
      <c r="I437" s="1" t="s">
        <v>1456</v>
      </c>
      <c r="J437" t="s">
        <v>3884</v>
      </c>
      <c r="K437" s="25">
        <f>Tabelle5[[#This Row],[value_present]]*Tabelle5[[#This Row],[binding_level]]</f>
        <v>0</v>
      </c>
    </row>
    <row r="438" spans="1:11" x14ac:dyDescent="0.25">
      <c r="A438" s="24">
        <v>12</v>
      </c>
      <c r="B438" s="2">
        <v>64</v>
      </c>
      <c r="C438" s="2" t="s">
        <v>83</v>
      </c>
      <c r="D438" s="3">
        <v>0</v>
      </c>
      <c r="E438" s="1"/>
      <c r="I438" s="1" t="s">
        <v>1456</v>
      </c>
      <c r="J438" t="s">
        <v>3885</v>
      </c>
      <c r="K438" s="25">
        <f>Tabelle5[[#This Row],[value_present]]*Tabelle5[[#This Row],[binding_level]]</f>
        <v>0</v>
      </c>
    </row>
    <row r="439" spans="1:11" x14ac:dyDescent="0.25">
      <c r="A439" s="24">
        <v>12</v>
      </c>
      <c r="B439" s="2">
        <v>64</v>
      </c>
      <c r="C439" s="2" t="s">
        <v>90</v>
      </c>
      <c r="D439" s="3">
        <v>0</v>
      </c>
      <c r="E439" s="1"/>
      <c r="I439" s="1" t="s">
        <v>1457</v>
      </c>
      <c r="J439" t="s">
        <v>3886</v>
      </c>
      <c r="K439" s="25">
        <f>Tabelle5[[#This Row],[value_present]]*Tabelle5[[#This Row],[binding_level]]</f>
        <v>0</v>
      </c>
    </row>
    <row r="440" spans="1:11" x14ac:dyDescent="0.25">
      <c r="A440" s="24">
        <v>12</v>
      </c>
      <c r="B440" s="2">
        <v>64</v>
      </c>
      <c r="C440" s="2" t="s">
        <v>98</v>
      </c>
      <c r="D440" s="3">
        <v>1</v>
      </c>
      <c r="E440" s="1">
        <v>1</v>
      </c>
      <c r="F440" t="s">
        <v>3902</v>
      </c>
      <c r="G440" t="s">
        <v>3903</v>
      </c>
      <c r="H440" t="s">
        <v>3887</v>
      </c>
      <c r="I440" s="1" t="s">
        <v>1456</v>
      </c>
      <c r="J440" t="s">
        <v>3888</v>
      </c>
      <c r="K440" s="25">
        <f>Tabelle5[[#This Row],[value_present]]*Tabelle5[[#This Row],[binding_level]]</f>
        <v>1</v>
      </c>
    </row>
    <row r="441" spans="1:11" x14ac:dyDescent="0.25">
      <c r="A441" s="24">
        <v>12</v>
      </c>
      <c r="B441" s="2">
        <v>64</v>
      </c>
      <c r="C441" s="2" t="s">
        <v>106</v>
      </c>
      <c r="D441" s="3">
        <v>0</v>
      </c>
      <c r="E441" s="1"/>
      <c r="I441" s="1" t="s">
        <v>1457</v>
      </c>
      <c r="J441" t="s">
        <v>3889</v>
      </c>
      <c r="K441" s="25">
        <f>Tabelle5[[#This Row],[value_present]]*Tabelle5[[#This Row],[binding_level]]</f>
        <v>0</v>
      </c>
    </row>
    <row r="442" spans="1:11" x14ac:dyDescent="0.25">
      <c r="A442" s="24">
        <v>12</v>
      </c>
      <c r="B442" s="2">
        <v>64</v>
      </c>
      <c r="C442" s="2" t="s">
        <v>112</v>
      </c>
      <c r="D442" s="3">
        <v>0</v>
      </c>
      <c r="E442" s="1"/>
      <c r="I442" s="1" t="s">
        <v>1457</v>
      </c>
      <c r="J442" t="s">
        <v>3890</v>
      </c>
      <c r="K442" s="25">
        <f>Tabelle5[[#This Row],[value_present]]*Tabelle5[[#This Row],[binding_level]]</f>
        <v>0</v>
      </c>
    </row>
    <row r="443" spans="1:11" x14ac:dyDescent="0.25">
      <c r="A443" s="24">
        <v>12</v>
      </c>
      <c r="B443" s="2">
        <v>64</v>
      </c>
      <c r="C443" s="2" t="s">
        <v>118</v>
      </c>
      <c r="D443" s="3">
        <v>0</v>
      </c>
      <c r="E443" s="1"/>
      <c r="I443" s="1" t="s">
        <v>1456</v>
      </c>
      <c r="J443" t="s">
        <v>3891</v>
      </c>
      <c r="K443" s="25">
        <f>Tabelle5[[#This Row],[value_present]]*Tabelle5[[#This Row],[binding_level]]</f>
        <v>0</v>
      </c>
    </row>
    <row r="444" spans="1:11" x14ac:dyDescent="0.25">
      <c r="A444" s="24">
        <v>12</v>
      </c>
      <c r="B444" s="2">
        <v>64</v>
      </c>
      <c r="C444" s="2" t="s">
        <v>125</v>
      </c>
      <c r="D444" s="3">
        <v>0</v>
      </c>
      <c r="E444" s="1"/>
      <c r="I444" s="1" t="s">
        <v>1456</v>
      </c>
      <c r="J444" t="s">
        <v>3892</v>
      </c>
      <c r="K444" s="25">
        <f>Tabelle5[[#This Row],[value_present]]*Tabelle5[[#This Row],[binding_level]]</f>
        <v>0</v>
      </c>
    </row>
    <row r="445" spans="1:11" x14ac:dyDescent="0.25">
      <c r="A445" s="24">
        <v>12</v>
      </c>
      <c r="B445" s="2">
        <v>64</v>
      </c>
      <c r="C445" s="2" t="s">
        <v>132</v>
      </c>
      <c r="D445" s="3">
        <v>0</v>
      </c>
      <c r="E445" s="1"/>
      <c r="I445" s="1" t="s">
        <v>1456</v>
      </c>
      <c r="J445" t="s">
        <v>3893</v>
      </c>
      <c r="K445" s="25">
        <f>Tabelle5[[#This Row],[value_present]]*Tabelle5[[#This Row],[binding_level]]</f>
        <v>0</v>
      </c>
    </row>
    <row r="446" spans="1:11" x14ac:dyDescent="0.25">
      <c r="A446" s="24">
        <v>12</v>
      </c>
      <c r="B446" s="2">
        <v>64</v>
      </c>
      <c r="C446" s="2" t="s">
        <v>140</v>
      </c>
      <c r="D446" s="3">
        <v>0</v>
      </c>
      <c r="E446" s="1"/>
      <c r="I446" s="1" t="s">
        <v>1457</v>
      </c>
      <c r="J446" t="s">
        <v>3894</v>
      </c>
      <c r="K446" s="25">
        <f>Tabelle5[[#This Row],[value_present]]*Tabelle5[[#This Row],[binding_level]]</f>
        <v>0</v>
      </c>
    </row>
    <row r="447" spans="1:11" x14ac:dyDescent="0.25">
      <c r="A447" s="24">
        <v>12</v>
      </c>
      <c r="B447" s="2">
        <v>64</v>
      </c>
      <c r="C447" s="2" t="s">
        <v>147</v>
      </c>
      <c r="D447" s="3">
        <v>0</v>
      </c>
      <c r="E447" s="1"/>
      <c r="I447" s="1" t="s">
        <v>1457</v>
      </c>
      <c r="J447" t="s">
        <v>3895</v>
      </c>
      <c r="K447" s="25">
        <f>Tabelle5[[#This Row],[value_present]]*Tabelle5[[#This Row],[binding_level]]</f>
        <v>0</v>
      </c>
    </row>
    <row r="448" spans="1:11" x14ac:dyDescent="0.25">
      <c r="A448" s="24">
        <v>12</v>
      </c>
      <c r="B448" s="2">
        <v>64</v>
      </c>
      <c r="C448" s="2" t="s">
        <v>154</v>
      </c>
      <c r="D448" s="3">
        <v>0</v>
      </c>
      <c r="E448" s="1"/>
      <c r="I448" s="1" t="s">
        <v>1456</v>
      </c>
      <c r="J448" t="s">
        <v>3896</v>
      </c>
      <c r="K448" s="25">
        <f>Tabelle5[[#This Row],[value_present]]*Tabelle5[[#This Row],[binding_level]]</f>
        <v>0</v>
      </c>
    </row>
    <row r="449" spans="1:11" x14ac:dyDescent="0.25">
      <c r="A449" s="24">
        <v>12</v>
      </c>
      <c r="B449" s="2">
        <v>64</v>
      </c>
      <c r="C449" s="2" t="s">
        <v>161</v>
      </c>
      <c r="D449" s="3">
        <v>0</v>
      </c>
      <c r="E449" s="1"/>
      <c r="I449" s="1" t="s">
        <v>1457</v>
      </c>
      <c r="J449" t="s">
        <v>3897</v>
      </c>
      <c r="K449" s="25">
        <f>Tabelle5[[#This Row],[value_present]]*Tabelle5[[#This Row],[binding_level]]</f>
        <v>0</v>
      </c>
    </row>
    <row r="450" spans="1:11" x14ac:dyDescent="0.25">
      <c r="A450" s="24">
        <v>12</v>
      </c>
      <c r="B450" s="2">
        <v>64</v>
      </c>
      <c r="C450" s="2" t="s">
        <v>166</v>
      </c>
      <c r="D450" s="3">
        <v>0</v>
      </c>
      <c r="E450" s="1"/>
      <c r="I450" s="1" t="s">
        <v>1457</v>
      </c>
      <c r="J450" t="s">
        <v>3898</v>
      </c>
      <c r="K450" s="25">
        <f>Tabelle5[[#This Row],[value_present]]*Tabelle5[[#This Row],[binding_level]]</f>
        <v>0</v>
      </c>
    </row>
    <row r="451" spans="1:11" ht="15.75" thickBot="1" x14ac:dyDescent="0.3">
      <c r="A451" s="26">
        <v>12</v>
      </c>
      <c r="B451" s="27">
        <v>64</v>
      </c>
      <c r="C451" s="27" t="s">
        <v>174</v>
      </c>
      <c r="D451" s="28">
        <v>0</v>
      </c>
      <c r="E451" s="29"/>
      <c r="F451" s="30"/>
      <c r="G451" s="30"/>
      <c r="H451" s="30"/>
      <c r="I451" s="29" t="s">
        <v>1456</v>
      </c>
      <c r="J451" s="30" t="s">
        <v>3899</v>
      </c>
      <c r="K451" s="31">
        <f>Tabelle5[[#This Row],[value_present]]*Tabelle5[[#This Row],[binding_level]]</f>
        <v>0</v>
      </c>
    </row>
    <row r="452" spans="1:11" x14ac:dyDescent="0.25">
      <c r="A452" s="18">
        <v>12</v>
      </c>
      <c r="B452" s="19">
        <v>69</v>
      </c>
      <c r="C452" s="19" t="s">
        <v>53</v>
      </c>
      <c r="D452" s="20">
        <v>1</v>
      </c>
      <c r="E452" s="21">
        <v>1</v>
      </c>
      <c r="F452" t="s">
        <v>3961</v>
      </c>
      <c r="G452" t="s">
        <v>3962</v>
      </c>
      <c r="H452" s="22" t="s">
        <v>3933</v>
      </c>
      <c r="I452" s="21" t="s">
        <v>3934</v>
      </c>
      <c r="J452" s="22"/>
      <c r="K452" s="23">
        <f>Tabelle5[[#This Row],[value_present]]*Tabelle5[[#This Row],[binding_level]]</f>
        <v>1</v>
      </c>
    </row>
    <row r="453" spans="1:11" x14ac:dyDescent="0.25">
      <c r="A453" s="24">
        <v>12</v>
      </c>
      <c r="B453" s="2">
        <v>69</v>
      </c>
      <c r="C453" s="2" t="s">
        <v>61</v>
      </c>
      <c r="D453" s="3">
        <v>1</v>
      </c>
      <c r="E453" s="1">
        <v>1</v>
      </c>
      <c r="F453" t="s">
        <v>3978</v>
      </c>
      <c r="G453" t="s">
        <v>3977</v>
      </c>
      <c r="H453" t="s">
        <v>3935</v>
      </c>
      <c r="I453" s="1" t="s">
        <v>1457</v>
      </c>
      <c r="J453" t="s">
        <v>3936</v>
      </c>
      <c r="K453" s="25">
        <f>Tabelle5[[#This Row],[value_present]]*Tabelle5[[#This Row],[binding_level]]</f>
        <v>1</v>
      </c>
    </row>
    <row r="454" spans="1:11" x14ac:dyDescent="0.25">
      <c r="A454" s="24">
        <v>12</v>
      </c>
      <c r="B454" s="2">
        <v>69</v>
      </c>
      <c r="C454" s="2" t="s">
        <v>69</v>
      </c>
      <c r="D454" s="3">
        <v>1</v>
      </c>
      <c r="E454" s="1">
        <v>1</v>
      </c>
      <c r="F454" t="s">
        <v>3980</v>
      </c>
      <c r="G454" t="s">
        <v>3979</v>
      </c>
      <c r="H454" t="s">
        <v>3937</v>
      </c>
      <c r="I454" s="1" t="s">
        <v>1456</v>
      </c>
      <c r="J454" t="s">
        <v>3938</v>
      </c>
      <c r="K454" s="25">
        <f>Tabelle5[[#This Row],[value_present]]*Tabelle5[[#This Row],[binding_level]]</f>
        <v>1</v>
      </c>
    </row>
    <row r="455" spans="1:11" x14ac:dyDescent="0.25">
      <c r="A455" s="24">
        <v>12</v>
      </c>
      <c r="B455" s="2">
        <v>69</v>
      </c>
      <c r="C455" s="2" t="s">
        <v>76</v>
      </c>
      <c r="D455" s="3">
        <v>1</v>
      </c>
      <c r="E455" s="1">
        <v>1</v>
      </c>
      <c r="F455" t="s">
        <v>3963</v>
      </c>
      <c r="G455" t="s">
        <v>3964</v>
      </c>
      <c r="H455" t="s">
        <v>3939</v>
      </c>
      <c r="I455" s="1" t="s">
        <v>1456</v>
      </c>
      <c r="J455" t="s">
        <v>3940</v>
      </c>
      <c r="K455" s="25">
        <f>Tabelle5[[#This Row],[value_present]]*Tabelle5[[#This Row],[binding_level]]</f>
        <v>1</v>
      </c>
    </row>
    <row r="456" spans="1:11" x14ac:dyDescent="0.25">
      <c r="A456" s="24">
        <v>12</v>
      </c>
      <c r="B456" s="2">
        <v>69</v>
      </c>
      <c r="C456" s="2" t="s">
        <v>83</v>
      </c>
      <c r="D456" s="3">
        <v>1</v>
      </c>
      <c r="E456" s="1">
        <v>1</v>
      </c>
      <c r="F456" t="s">
        <v>3965</v>
      </c>
      <c r="G456" t="s">
        <v>3966</v>
      </c>
      <c r="H456" t="s">
        <v>3941</v>
      </c>
      <c r="I456" s="1" t="s">
        <v>1456</v>
      </c>
      <c r="J456" t="s">
        <v>3942</v>
      </c>
      <c r="K456" s="25">
        <f>Tabelle5[[#This Row],[value_present]]*Tabelle5[[#This Row],[binding_level]]</f>
        <v>1</v>
      </c>
    </row>
    <row r="457" spans="1:11" x14ac:dyDescent="0.25">
      <c r="A457" s="24">
        <v>12</v>
      </c>
      <c r="B457" s="2">
        <v>69</v>
      </c>
      <c r="C457" s="2" t="s">
        <v>90</v>
      </c>
      <c r="D457" s="3">
        <v>1</v>
      </c>
      <c r="E457" s="1">
        <v>1</v>
      </c>
      <c r="F457" t="s">
        <v>3982</v>
      </c>
      <c r="G457" t="s">
        <v>3981</v>
      </c>
      <c r="H457" t="s">
        <v>3943</v>
      </c>
      <c r="I457" s="1" t="s">
        <v>1457</v>
      </c>
      <c r="J457" t="s">
        <v>3944</v>
      </c>
      <c r="K457" s="25">
        <f>Tabelle5[[#This Row],[value_present]]*Tabelle5[[#This Row],[binding_level]]</f>
        <v>1</v>
      </c>
    </row>
    <row r="458" spans="1:11" x14ac:dyDescent="0.25">
      <c r="A458" s="24">
        <v>12</v>
      </c>
      <c r="B458" s="2">
        <v>69</v>
      </c>
      <c r="C458" s="2" t="s">
        <v>98</v>
      </c>
      <c r="D458" s="3">
        <v>1</v>
      </c>
      <c r="E458" s="1">
        <v>1</v>
      </c>
      <c r="F458" t="s">
        <v>3967</v>
      </c>
      <c r="G458" t="s">
        <v>3968</v>
      </c>
      <c r="H458" t="s">
        <v>3939</v>
      </c>
      <c r="I458" s="1" t="s">
        <v>1457</v>
      </c>
      <c r="J458" t="s">
        <v>3945</v>
      </c>
      <c r="K458" s="25">
        <f>Tabelle5[[#This Row],[value_present]]*Tabelle5[[#This Row],[binding_level]]</f>
        <v>1</v>
      </c>
    </row>
    <row r="459" spans="1:11" x14ac:dyDescent="0.25">
      <c r="A459" s="24">
        <v>12</v>
      </c>
      <c r="B459" s="2">
        <v>69</v>
      </c>
      <c r="C459" s="2" t="s">
        <v>106</v>
      </c>
      <c r="D459" s="3">
        <v>0</v>
      </c>
      <c r="E459" s="1"/>
      <c r="I459" s="1" t="s">
        <v>1457</v>
      </c>
      <c r="J459" t="s">
        <v>3946</v>
      </c>
      <c r="K459" s="25">
        <f>Tabelle5[[#This Row],[value_present]]*Tabelle5[[#This Row],[binding_level]]</f>
        <v>0</v>
      </c>
    </row>
    <row r="460" spans="1:11" x14ac:dyDescent="0.25">
      <c r="A460" s="24">
        <v>12</v>
      </c>
      <c r="B460" s="2">
        <v>69</v>
      </c>
      <c r="C460" s="2" t="s">
        <v>112</v>
      </c>
      <c r="D460" s="3">
        <v>1</v>
      </c>
      <c r="E460" s="1">
        <v>1</v>
      </c>
      <c r="F460" t="s">
        <v>3969</v>
      </c>
      <c r="G460" t="s">
        <v>3970</v>
      </c>
      <c r="H460" t="s">
        <v>3947</v>
      </c>
      <c r="I460" s="1" t="s">
        <v>1456</v>
      </c>
      <c r="J460" t="s">
        <v>3948</v>
      </c>
      <c r="K460" s="25">
        <f>Tabelle5[[#This Row],[value_present]]*Tabelle5[[#This Row],[binding_level]]</f>
        <v>1</v>
      </c>
    </row>
    <row r="461" spans="1:11" x14ac:dyDescent="0.25">
      <c r="A461" s="24">
        <v>12</v>
      </c>
      <c r="B461" s="2">
        <v>69</v>
      </c>
      <c r="C461" s="2" t="s">
        <v>118</v>
      </c>
      <c r="D461" s="3">
        <v>0</v>
      </c>
      <c r="E461" s="1"/>
      <c r="I461" s="1" t="s">
        <v>1456</v>
      </c>
      <c r="J461" t="s">
        <v>3949</v>
      </c>
      <c r="K461" s="25">
        <f>Tabelle5[[#This Row],[value_present]]*Tabelle5[[#This Row],[binding_level]]</f>
        <v>0</v>
      </c>
    </row>
    <row r="462" spans="1:11" x14ac:dyDescent="0.25">
      <c r="A462" s="24">
        <v>12</v>
      </c>
      <c r="B462" s="2">
        <v>69</v>
      </c>
      <c r="C462" s="2" t="s">
        <v>125</v>
      </c>
      <c r="D462" s="3">
        <v>0</v>
      </c>
      <c r="E462" s="1"/>
      <c r="I462" s="1" t="s">
        <v>1456</v>
      </c>
      <c r="J462" t="s">
        <v>3892</v>
      </c>
      <c r="K462" s="25">
        <f>Tabelle5[[#This Row],[value_present]]*Tabelle5[[#This Row],[binding_level]]</f>
        <v>0</v>
      </c>
    </row>
    <row r="463" spans="1:11" x14ac:dyDescent="0.25">
      <c r="A463" s="24">
        <v>12</v>
      </c>
      <c r="B463" s="2">
        <v>69</v>
      </c>
      <c r="C463" s="2" t="s">
        <v>132</v>
      </c>
      <c r="D463" s="3">
        <v>0</v>
      </c>
      <c r="E463" s="1"/>
      <c r="I463" s="1" t="s">
        <v>1456</v>
      </c>
      <c r="J463" t="s">
        <v>3950</v>
      </c>
      <c r="K463" s="25">
        <f>Tabelle5[[#This Row],[value_present]]*Tabelle5[[#This Row],[binding_level]]</f>
        <v>0</v>
      </c>
    </row>
    <row r="464" spans="1:11" x14ac:dyDescent="0.25">
      <c r="A464" s="24">
        <v>12</v>
      </c>
      <c r="B464" s="2">
        <v>69</v>
      </c>
      <c r="C464" s="2" t="s">
        <v>140</v>
      </c>
      <c r="D464" s="3">
        <v>0</v>
      </c>
      <c r="E464" s="1"/>
      <c r="I464" s="1" t="s">
        <v>1457</v>
      </c>
      <c r="J464" t="s">
        <v>3951</v>
      </c>
      <c r="K464" s="25">
        <f>Tabelle5[[#This Row],[value_present]]*Tabelle5[[#This Row],[binding_level]]</f>
        <v>0</v>
      </c>
    </row>
    <row r="465" spans="1:11" x14ac:dyDescent="0.25">
      <c r="A465" s="24">
        <v>12</v>
      </c>
      <c r="B465" s="2">
        <v>69</v>
      </c>
      <c r="C465" s="2" t="s">
        <v>147</v>
      </c>
      <c r="D465" s="3">
        <v>1</v>
      </c>
      <c r="E465" s="1">
        <v>1</v>
      </c>
      <c r="F465" t="s">
        <v>3971</v>
      </c>
      <c r="G465" t="s">
        <v>3972</v>
      </c>
      <c r="H465" t="s">
        <v>3952</v>
      </c>
      <c r="I465" s="1" t="s">
        <v>1457</v>
      </c>
      <c r="J465" t="s">
        <v>3953</v>
      </c>
      <c r="K465" s="25">
        <f>Tabelle5[[#This Row],[value_present]]*Tabelle5[[#This Row],[binding_level]]</f>
        <v>1</v>
      </c>
    </row>
    <row r="466" spans="1:11" x14ac:dyDescent="0.25">
      <c r="A466" s="24">
        <v>12</v>
      </c>
      <c r="B466" s="2">
        <v>69</v>
      </c>
      <c r="C466" s="2" t="s">
        <v>154</v>
      </c>
      <c r="D466" s="3">
        <v>1</v>
      </c>
      <c r="E466" s="1">
        <v>1</v>
      </c>
      <c r="F466" t="s">
        <v>3984</v>
      </c>
      <c r="G466" t="s">
        <v>3983</v>
      </c>
      <c r="H466" t="s">
        <v>3954</v>
      </c>
      <c r="I466" s="1" t="s">
        <v>1456</v>
      </c>
      <c r="J466" t="s">
        <v>3955</v>
      </c>
      <c r="K466" s="25">
        <f>Tabelle5[[#This Row],[value_present]]*Tabelle5[[#This Row],[binding_level]]</f>
        <v>1</v>
      </c>
    </row>
    <row r="467" spans="1:11" x14ac:dyDescent="0.25">
      <c r="A467" s="24">
        <v>12</v>
      </c>
      <c r="B467" s="2">
        <v>69</v>
      </c>
      <c r="C467" s="2" t="s">
        <v>161</v>
      </c>
      <c r="D467" s="3">
        <v>1</v>
      </c>
      <c r="E467" s="1">
        <v>1</v>
      </c>
      <c r="F467" t="s">
        <v>3973</v>
      </c>
      <c r="G467" t="s">
        <v>3974</v>
      </c>
      <c r="H467" t="s">
        <v>3956</v>
      </c>
      <c r="I467" s="1" t="s">
        <v>1456</v>
      </c>
      <c r="J467" t="s">
        <v>3957</v>
      </c>
      <c r="K467" s="25">
        <f>Tabelle5[[#This Row],[value_present]]*Tabelle5[[#This Row],[binding_level]]</f>
        <v>1</v>
      </c>
    </row>
    <row r="468" spans="1:11" x14ac:dyDescent="0.25">
      <c r="A468" s="24">
        <v>12</v>
      </c>
      <c r="B468" s="2">
        <v>69</v>
      </c>
      <c r="C468" s="2" t="s">
        <v>166</v>
      </c>
      <c r="D468" s="3">
        <v>1</v>
      </c>
      <c r="E468" s="1">
        <v>1</v>
      </c>
      <c r="F468" t="s">
        <v>3975</v>
      </c>
      <c r="G468" t="s">
        <v>3976</v>
      </c>
      <c r="H468" t="s">
        <v>3958</v>
      </c>
      <c r="I468" s="1" t="s">
        <v>1457</v>
      </c>
      <c r="J468" t="s">
        <v>3959</v>
      </c>
      <c r="K468" s="25">
        <f>Tabelle5[[#This Row],[value_present]]*Tabelle5[[#This Row],[binding_level]]</f>
        <v>1</v>
      </c>
    </row>
    <row r="469" spans="1:11" ht="15.75" thickBot="1" x14ac:dyDescent="0.3">
      <c r="A469" s="26">
        <v>12</v>
      </c>
      <c r="B469" s="27">
        <v>69</v>
      </c>
      <c r="C469" s="27" t="s">
        <v>174</v>
      </c>
      <c r="D469" s="28">
        <v>0</v>
      </c>
      <c r="E469" s="29"/>
      <c r="F469" s="30"/>
      <c r="G469" s="30"/>
      <c r="H469" s="30"/>
      <c r="I469" s="29" t="s">
        <v>1456</v>
      </c>
      <c r="J469" s="30" t="s">
        <v>3960</v>
      </c>
      <c r="K469" s="31">
        <f>Tabelle5[[#This Row],[value_present]]*Tabelle5[[#This Row],[binding_level]]</f>
        <v>0</v>
      </c>
    </row>
    <row r="470" spans="1:11" x14ac:dyDescent="0.25">
      <c r="A470" s="18">
        <v>12</v>
      </c>
      <c r="B470" s="19">
        <v>70</v>
      </c>
      <c r="C470" s="19" t="s">
        <v>53</v>
      </c>
      <c r="D470" s="20">
        <v>1</v>
      </c>
      <c r="E470" s="21">
        <v>1</v>
      </c>
      <c r="F470" s="22" t="s">
        <v>4059</v>
      </c>
      <c r="G470" s="22" t="s">
        <v>4058</v>
      </c>
      <c r="H470" s="22" t="s">
        <v>4020</v>
      </c>
      <c r="I470" s="21" t="s">
        <v>1456</v>
      </c>
      <c r="J470" s="22" t="s">
        <v>4021</v>
      </c>
      <c r="K470" s="23">
        <f>Tabelle5[[#This Row],[value_present]]*Tabelle5[[#This Row],[binding_level]]</f>
        <v>1</v>
      </c>
    </row>
    <row r="471" spans="1:11" x14ac:dyDescent="0.25">
      <c r="A471" s="24">
        <v>12</v>
      </c>
      <c r="B471" s="2">
        <v>70</v>
      </c>
      <c r="C471" s="2" t="s">
        <v>61</v>
      </c>
      <c r="D471" s="3">
        <v>1</v>
      </c>
      <c r="E471" s="1">
        <v>1</v>
      </c>
      <c r="F471" t="s">
        <v>4046</v>
      </c>
      <c r="G471" t="s">
        <v>4047</v>
      </c>
      <c r="H471" t="s">
        <v>4022</v>
      </c>
      <c r="I471" s="1" t="s">
        <v>1457</v>
      </c>
      <c r="J471" t="s">
        <v>4023</v>
      </c>
      <c r="K471" s="25">
        <f>Tabelle5[[#This Row],[value_present]]*Tabelle5[[#This Row],[binding_level]]</f>
        <v>1</v>
      </c>
    </row>
    <row r="472" spans="1:11" x14ac:dyDescent="0.25">
      <c r="A472" s="24">
        <v>12</v>
      </c>
      <c r="B472" s="2">
        <v>70</v>
      </c>
      <c r="C472" s="2" t="s">
        <v>69</v>
      </c>
      <c r="D472" s="3">
        <v>1</v>
      </c>
      <c r="E472" s="1">
        <v>1</v>
      </c>
      <c r="F472" t="s">
        <v>4061</v>
      </c>
      <c r="G472" t="s">
        <v>4060</v>
      </c>
      <c r="H472" t="s">
        <v>4022</v>
      </c>
      <c r="I472" s="1" t="s">
        <v>1456</v>
      </c>
      <c r="J472" t="s">
        <v>4024</v>
      </c>
      <c r="K472" s="25">
        <f>Tabelle5[[#This Row],[value_present]]*Tabelle5[[#This Row],[binding_level]]</f>
        <v>1</v>
      </c>
    </row>
    <row r="473" spans="1:11" x14ac:dyDescent="0.25">
      <c r="A473" s="24">
        <v>12</v>
      </c>
      <c r="B473" s="2">
        <v>70</v>
      </c>
      <c r="C473" s="2" t="s">
        <v>76</v>
      </c>
      <c r="D473" s="3">
        <v>1</v>
      </c>
      <c r="E473" s="1">
        <v>1</v>
      </c>
      <c r="F473" t="s">
        <v>4063</v>
      </c>
      <c r="G473" t="s">
        <v>4062</v>
      </c>
      <c r="H473" t="s">
        <v>4022</v>
      </c>
      <c r="I473" s="1" t="s">
        <v>1456</v>
      </c>
      <c r="J473" t="s">
        <v>4025</v>
      </c>
      <c r="K473" s="25">
        <f>Tabelle5[[#This Row],[value_present]]*Tabelle5[[#This Row],[binding_level]]</f>
        <v>1</v>
      </c>
    </row>
    <row r="474" spans="1:11" x14ac:dyDescent="0.25">
      <c r="A474" s="24">
        <v>12</v>
      </c>
      <c r="B474" s="2">
        <v>70</v>
      </c>
      <c r="C474" s="2" t="s">
        <v>83</v>
      </c>
      <c r="D474" s="3">
        <v>1</v>
      </c>
      <c r="E474" s="1">
        <v>1</v>
      </c>
      <c r="F474" t="s">
        <v>4048</v>
      </c>
      <c r="G474" t="s">
        <v>4049</v>
      </c>
      <c r="H474" t="s">
        <v>4022</v>
      </c>
      <c r="I474" s="1" t="s">
        <v>1456</v>
      </c>
      <c r="J474" t="s">
        <v>4026</v>
      </c>
      <c r="K474" s="25">
        <f>Tabelle5[[#This Row],[value_present]]*Tabelle5[[#This Row],[binding_level]]</f>
        <v>1</v>
      </c>
    </row>
    <row r="475" spans="1:11" x14ac:dyDescent="0.25">
      <c r="A475" s="24">
        <v>12</v>
      </c>
      <c r="B475" s="2">
        <v>70</v>
      </c>
      <c r="C475" s="2" t="s">
        <v>90</v>
      </c>
      <c r="D475" s="3">
        <v>1</v>
      </c>
      <c r="E475" s="1">
        <v>1</v>
      </c>
      <c r="F475" t="s">
        <v>4050</v>
      </c>
      <c r="G475" t="s">
        <v>4051</v>
      </c>
      <c r="H475" t="s">
        <v>4027</v>
      </c>
      <c r="I475" s="1" t="s">
        <v>1456</v>
      </c>
      <c r="J475" t="s">
        <v>4028</v>
      </c>
      <c r="K475" s="25">
        <f>Tabelle5[[#This Row],[value_present]]*Tabelle5[[#This Row],[binding_level]]</f>
        <v>1</v>
      </c>
    </row>
    <row r="476" spans="1:11" x14ac:dyDescent="0.25">
      <c r="A476" s="24">
        <v>12</v>
      </c>
      <c r="B476" s="2">
        <v>70</v>
      </c>
      <c r="C476" s="2" t="s">
        <v>98</v>
      </c>
      <c r="D476" s="3">
        <v>1</v>
      </c>
      <c r="E476" s="1">
        <v>1</v>
      </c>
      <c r="F476" t="s">
        <v>4052</v>
      </c>
      <c r="G476" t="s">
        <v>4053</v>
      </c>
      <c r="H476" t="s">
        <v>4029</v>
      </c>
      <c r="I476" s="1" t="s">
        <v>1456</v>
      </c>
      <c r="J476" t="s">
        <v>4030</v>
      </c>
      <c r="K476" s="25">
        <f>Tabelle5[[#This Row],[value_present]]*Tabelle5[[#This Row],[binding_level]]</f>
        <v>1</v>
      </c>
    </row>
    <row r="477" spans="1:11" x14ac:dyDescent="0.25">
      <c r="A477" s="24">
        <v>12</v>
      </c>
      <c r="B477" s="2">
        <v>70</v>
      </c>
      <c r="C477" s="2" t="s">
        <v>106</v>
      </c>
      <c r="D477" s="3">
        <v>1</v>
      </c>
      <c r="E477" s="1">
        <v>1</v>
      </c>
      <c r="F477" t="s">
        <v>4065</v>
      </c>
      <c r="G477" t="s">
        <v>4064</v>
      </c>
      <c r="H477" t="s">
        <v>4031</v>
      </c>
      <c r="I477" s="1" t="s">
        <v>1456</v>
      </c>
      <c r="J477" t="s">
        <v>4032</v>
      </c>
      <c r="K477" s="25">
        <f>Tabelle5[[#This Row],[value_present]]*Tabelle5[[#This Row],[binding_level]]</f>
        <v>1</v>
      </c>
    </row>
    <row r="478" spans="1:11" x14ac:dyDescent="0.25">
      <c r="A478" s="24">
        <v>12</v>
      </c>
      <c r="B478" s="2">
        <v>70</v>
      </c>
      <c r="C478" s="2" t="s">
        <v>112</v>
      </c>
      <c r="D478" s="3">
        <v>1</v>
      </c>
      <c r="E478" s="1">
        <v>1</v>
      </c>
      <c r="F478" t="s">
        <v>4067</v>
      </c>
      <c r="G478" t="s">
        <v>4066</v>
      </c>
      <c r="H478" t="s">
        <v>4033</v>
      </c>
      <c r="I478" s="1" t="s">
        <v>1457</v>
      </c>
      <c r="J478" t="s">
        <v>4034</v>
      </c>
      <c r="K478" s="25">
        <f>Tabelle5[[#This Row],[value_present]]*Tabelle5[[#This Row],[binding_level]]</f>
        <v>1</v>
      </c>
    </row>
    <row r="479" spans="1:11" x14ac:dyDescent="0.25">
      <c r="A479" s="24">
        <v>12</v>
      </c>
      <c r="B479" s="2">
        <v>70</v>
      </c>
      <c r="C479" s="2" t="s">
        <v>118</v>
      </c>
      <c r="D479" s="3">
        <v>0</v>
      </c>
      <c r="E479" s="1"/>
      <c r="I479" s="1" t="s">
        <v>1456</v>
      </c>
      <c r="J479" t="s">
        <v>4035</v>
      </c>
      <c r="K479" s="25">
        <f>Tabelle5[[#This Row],[value_present]]*Tabelle5[[#This Row],[binding_level]]</f>
        <v>0</v>
      </c>
    </row>
    <row r="480" spans="1:11" x14ac:dyDescent="0.25">
      <c r="A480" s="24">
        <v>12</v>
      </c>
      <c r="B480" s="2">
        <v>70</v>
      </c>
      <c r="C480" s="2" t="s">
        <v>125</v>
      </c>
      <c r="D480" s="3">
        <v>0</v>
      </c>
      <c r="E480" s="1"/>
      <c r="I480" s="1" t="s">
        <v>1457</v>
      </c>
      <c r="J480" t="s">
        <v>4036</v>
      </c>
      <c r="K480" s="25">
        <f>Tabelle5[[#This Row],[value_present]]*Tabelle5[[#This Row],[binding_level]]</f>
        <v>0</v>
      </c>
    </row>
    <row r="481" spans="1:11" x14ac:dyDescent="0.25">
      <c r="A481" s="24">
        <v>12</v>
      </c>
      <c r="B481" s="2">
        <v>70</v>
      </c>
      <c r="C481" s="2" t="s">
        <v>132</v>
      </c>
      <c r="D481" s="3">
        <v>0</v>
      </c>
      <c r="E481" s="1"/>
      <c r="I481" s="1" t="s">
        <v>1457</v>
      </c>
      <c r="J481" t="s">
        <v>4037</v>
      </c>
      <c r="K481" s="25">
        <f>Tabelle5[[#This Row],[value_present]]*Tabelle5[[#This Row],[binding_level]]</f>
        <v>0</v>
      </c>
    </row>
    <row r="482" spans="1:11" x14ac:dyDescent="0.25">
      <c r="A482" s="24">
        <v>12</v>
      </c>
      <c r="B482" s="2">
        <v>70</v>
      </c>
      <c r="C482" s="2" t="s">
        <v>140</v>
      </c>
      <c r="D482" s="3">
        <v>0</v>
      </c>
      <c r="E482" s="1"/>
      <c r="I482" s="1" t="s">
        <v>1457</v>
      </c>
      <c r="J482" t="s">
        <v>4038</v>
      </c>
      <c r="K482" s="25">
        <f>Tabelle5[[#This Row],[value_present]]*Tabelle5[[#This Row],[binding_level]]</f>
        <v>0</v>
      </c>
    </row>
    <row r="483" spans="1:11" x14ac:dyDescent="0.25">
      <c r="A483" s="24">
        <v>12</v>
      </c>
      <c r="B483" s="2">
        <v>70</v>
      </c>
      <c r="C483" s="2" t="s">
        <v>147</v>
      </c>
      <c r="D483" s="3">
        <v>1</v>
      </c>
      <c r="E483" s="1">
        <v>1</v>
      </c>
      <c r="F483" t="s">
        <v>4054</v>
      </c>
      <c r="G483" t="s">
        <v>4055</v>
      </c>
      <c r="H483" t="s">
        <v>4022</v>
      </c>
      <c r="I483" s="1" t="s">
        <v>1457</v>
      </c>
      <c r="J483" t="s">
        <v>4039</v>
      </c>
      <c r="K483" s="25">
        <f>Tabelle5[[#This Row],[value_present]]*Tabelle5[[#This Row],[binding_level]]</f>
        <v>1</v>
      </c>
    </row>
    <row r="484" spans="1:11" x14ac:dyDescent="0.25">
      <c r="A484" s="24">
        <v>12</v>
      </c>
      <c r="B484" s="2">
        <v>70</v>
      </c>
      <c r="C484" s="2" t="s">
        <v>154</v>
      </c>
      <c r="D484" s="3">
        <v>1</v>
      </c>
      <c r="E484" s="1">
        <v>1</v>
      </c>
      <c r="F484" t="s">
        <v>4056</v>
      </c>
      <c r="G484" t="s">
        <v>4057</v>
      </c>
      <c r="H484" t="s">
        <v>4022</v>
      </c>
      <c r="I484" s="1" t="s">
        <v>1457</v>
      </c>
      <c r="J484" t="s">
        <v>4040</v>
      </c>
      <c r="K484" s="25">
        <f>Tabelle5[[#This Row],[value_present]]*Tabelle5[[#This Row],[binding_level]]</f>
        <v>1</v>
      </c>
    </row>
    <row r="485" spans="1:11" x14ac:dyDescent="0.25">
      <c r="A485" s="24">
        <v>12</v>
      </c>
      <c r="B485" s="2">
        <v>70</v>
      </c>
      <c r="C485" s="2" t="s">
        <v>161</v>
      </c>
      <c r="D485" s="3">
        <v>1</v>
      </c>
      <c r="E485" s="1">
        <v>1</v>
      </c>
      <c r="F485" t="s">
        <v>4069</v>
      </c>
      <c r="G485" t="s">
        <v>4068</v>
      </c>
      <c r="H485" t="s">
        <v>4041</v>
      </c>
      <c r="I485" s="1" t="s">
        <v>1456</v>
      </c>
      <c r="J485" t="s">
        <v>4042</v>
      </c>
      <c r="K485" s="25">
        <f>Tabelle5[[#This Row],[value_present]]*Tabelle5[[#This Row],[binding_level]]</f>
        <v>1</v>
      </c>
    </row>
    <row r="486" spans="1:11" x14ac:dyDescent="0.25">
      <c r="A486" s="24">
        <v>12</v>
      </c>
      <c r="B486" s="2">
        <v>70</v>
      </c>
      <c r="C486" s="2" t="s">
        <v>166</v>
      </c>
      <c r="D486" s="3">
        <v>1</v>
      </c>
      <c r="E486" s="1">
        <v>1</v>
      </c>
      <c r="F486" t="s">
        <v>4071</v>
      </c>
      <c r="G486" t="s">
        <v>4070</v>
      </c>
      <c r="H486" t="s">
        <v>4043</v>
      </c>
      <c r="I486" s="1" t="s">
        <v>1457</v>
      </c>
      <c r="J486" t="s">
        <v>4044</v>
      </c>
      <c r="K486" s="25">
        <f>Tabelle5[[#This Row],[value_present]]*Tabelle5[[#This Row],[binding_level]]</f>
        <v>1</v>
      </c>
    </row>
    <row r="487" spans="1:11" ht="15.75" thickBot="1" x14ac:dyDescent="0.3">
      <c r="A487" s="26">
        <v>12</v>
      </c>
      <c r="B487" s="27">
        <v>70</v>
      </c>
      <c r="C487" s="27" t="s">
        <v>174</v>
      </c>
      <c r="D487" s="28">
        <v>0</v>
      </c>
      <c r="E487" s="29"/>
      <c r="F487" s="30"/>
      <c r="G487" s="30"/>
      <c r="H487" s="30"/>
      <c r="I487" s="29" t="s">
        <v>1456</v>
      </c>
      <c r="J487" s="30" t="s">
        <v>4045</v>
      </c>
      <c r="K487" s="31">
        <f>Tabelle5[[#This Row],[value_present]]*Tabelle5[[#This Row],[binding_level]]</f>
        <v>0</v>
      </c>
    </row>
    <row r="488" spans="1:11" x14ac:dyDescent="0.25">
      <c r="A488" s="18">
        <v>13</v>
      </c>
      <c r="B488" s="19">
        <v>73</v>
      </c>
      <c r="C488" s="19" t="s">
        <v>53</v>
      </c>
      <c r="D488" s="20">
        <v>0</v>
      </c>
      <c r="E488" s="21"/>
      <c r="F488" s="22"/>
      <c r="G488" s="22"/>
      <c r="H488" s="22"/>
      <c r="I488" s="21" t="s">
        <v>1456</v>
      </c>
      <c r="J488" s="22" t="s">
        <v>4104</v>
      </c>
      <c r="K488" s="23">
        <f>Tabelle5[[#This Row],[value_present]]*Tabelle5[[#This Row],[binding_level]]</f>
        <v>0</v>
      </c>
    </row>
    <row r="489" spans="1:11" x14ac:dyDescent="0.25">
      <c r="A489" s="24">
        <v>13</v>
      </c>
      <c r="B489" s="2">
        <v>73</v>
      </c>
      <c r="C489" s="2" t="s">
        <v>61</v>
      </c>
      <c r="D489" s="3">
        <v>0</v>
      </c>
      <c r="E489" s="1"/>
      <c r="I489" s="1" t="s">
        <v>1457</v>
      </c>
      <c r="J489" t="s">
        <v>4105</v>
      </c>
      <c r="K489" s="25">
        <f>Tabelle5[[#This Row],[value_present]]*Tabelle5[[#This Row],[binding_level]]</f>
        <v>0</v>
      </c>
    </row>
    <row r="490" spans="1:11" x14ac:dyDescent="0.25">
      <c r="A490" s="24">
        <v>13</v>
      </c>
      <c r="B490" s="2">
        <v>73</v>
      </c>
      <c r="C490" s="2" t="s">
        <v>69</v>
      </c>
      <c r="D490" s="3">
        <v>1</v>
      </c>
      <c r="E490" s="1">
        <v>1</v>
      </c>
      <c r="F490" t="s">
        <v>4127</v>
      </c>
      <c r="G490" t="s">
        <v>4134</v>
      </c>
      <c r="H490" t="s">
        <v>4106</v>
      </c>
      <c r="I490" s="1" t="s">
        <v>1456</v>
      </c>
      <c r="J490" t="s">
        <v>4107</v>
      </c>
      <c r="K490" s="25">
        <f>Tabelle5[[#This Row],[value_present]]*Tabelle5[[#This Row],[binding_level]]</f>
        <v>1</v>
      </c>
    </row>
    <row r="491" spans="1:11" x14ac:dyDescent="0.25">
      <c r="A491" s="24">
        <v>13</v>
      </c>
      <c r="B491" s="2">
        <v>73</v>
      </c>
      <c r="C491" s="2" t="s">
        <v>76</v>
      </c>
      <c r="D491" s="3">
        <v>1</v>
      </c>
      <c r="E491" s="1">
        <v>1</v>
      </c>
      <c r="F491" t="s">
        <v>4128</v>
      </c>
      <c r="G491" t="s">
        <v>4129</v>
      </c>
      <c r="H491" t="s">
        <v>4108</v>
      </c>
      <c r="I491" s="1" t="s">
        <v>1456</v>
      </c>
      <c r="J491" t="s">
        <v>4109</v>
      </c>
      <c r="K491" s="25">
        <f>Tabelle5[[#This Row],[value_present]]*Tabelle5[[#This Row],[binding_level]]</f>
        <v>1</v>
      </c>
    </row>
    <row r="492" spans="1:11" x14ac:dyDescent="0.25">
      <c r="A492" s="24">
        <v>13</v>
      </c>
      <c r="B492" s="2">
        <v>73</v>
      </c>
      <c r="C492" s="2" t="s">
        <v>83</v>
      </c>
      <c r="D492" s="3">
        <v>1</v>
      </c>
      <c r="E492" s="1">
        <v>1</v>
      </c>
      <c r="F492" t="s">
        <v>4130</v>
      </c>
      <c r="G492" t="s">
        <v>4131</v>
      </c>
      <c r="H492" t="s">
        <v>4108</v>
      </c>
      <c r="I492" s="1" t="s">
        <v>1456</v>
      </c>
      <c r="J492" t="s">
        <v>4110</v>
      </c>
      <c r="K492" s="25">
        <f>Tabelle5[[#This Row],[value_present]]*Tabelle5[[#This Row],[binding_level]]</f>
        <v>1</v>
      </c>
    </row>
    <row r="493" spans="1:11" x14ac:dyDescent="0.25">
      <c r="A493" s="24">
        <v>13</v>
      </c>
      <c r="B493" s="2">
        <v>73</v>
      </c>
      <c r="C493" s="2" t="s">
        <v>90</v>
      </c>
      <c r="D493" s="3">
        <v>0</v>
      </c>
      <c r="E493" s="1"/>
      <c r="I493" s="1" t="s">
        <v>1457</v>
      </c>
      <c r="J493" t="s">
        <v>4111</v>
      </c>
      <c r="K493" s="25">
        <f>Tabelle5[[#This Row],[value_present]]*Tabelle5[[#This Row],[binding_level]]</f>
        <v>0</v>
      </c>
    </row>
    <row r="494" spans="1:11" x14ac:dyDescent="0.25">
      <c r="A494" s="24">
        <v>13</v>
      </c>
      <c r="B494" s="2">
        <v>73</v>
      </c>
      <c r="C494" s="2" t="s">
        <v>98</v>
      </c>
      <c r="D494" s="3">
        <v>0</v>
      </c>
      <c r="E494" s="1"/>
      <c r="I494" s="1" t="s">
        <v>1457</v>
      </c>
      <c r="J494" t="s">
        <v>4112</v>
      </c>
      <c r="K494" s="25">
        <f>Tabelle5[[#This Row],[value_present]]*Tabelle5[[#This Row],[binding_level]]</f>
        <v>0</v>
      </c>
    </row>
    <row r="495" spans="1:11" x14ac:dyDescent="0.25">
      <c r="A495" s="24">
        <v>13</v>
      </c>
      <c r="B495" s="2">
        <v>73</v>
      </c>
      <c r="C495" s="2" t="s">
        <v>106</v>
      </c>
      <c r="D495" s="3">
        <v>0</v>
      </c>
      <c r="E495" s="1"/>
      <c r="I495" s="1" t="s">
        <v>1457</v>
      </c>
      <c r="J495" t="s">
        <v>4113</v>
      </c>
      <c r="K495" s="25">
        <f>Tabelle5[[#This Row],[value_present]]*Tabelle5[[#This Row],[binding_level]]</f>
        <v>0</v>
      </c>
    </row>
    <row r="496" spans="1:11" x14ac:dyDescent="0.25">
      <c r="A496" s="24">
        <v>13</v>
      </c>
      <c r="B496" s="2">
        <v>73</v>
      </c>
      <c r="C496" s="2" t="s">
        <v>112</v>
      </c>
      <c r="D496" s="3">
        <v>1</v>
      </c>
      <c r="E496" s="1">
        <v>1</v>
      </c>
      <c r="F496" t="s">
        <v>4136</v>
      </c>
      <c r="G496" t="s">
        <v>4135</v>
      </c>
      <c r="H496" t="s">
        <v>4114</v>
      </c>
      <c r="I496" s="1" t="s">
        <v>1456</v>
      </c>
      <c r="J496" t="s">
        <v>4115</v>
      </c>
      <c r="K496" s="25">
        <f>Tabelle5[[#This Row],[value_present]]*Tabelle5[[#This Row],[binding_level]]</f>
        <v>1</v>
      </c>
    </row>
    <row r="497" spans="1:11" x14ac:dyDescent="0.25">
      <c r="A497" s="24">
        <v>13</v>
      </c>
      <c r="B497" s="2">
        <v>73</v>
      </c>
      <c r="C497" s="2" t="s">
        <v>118</v>
      </c>
      <c r="D497" s="3">
        <v>0</v>
      </c>
      <c r="E497" s="1"/>
      <c r="I497" s="1" t="s">
        <v>1456</v>
      </c>
      <c r="J497" t="s">
        <v>4116</v>
      </c>
      <c r="K497" s="25">
        <f>Tabelle5[[#This Row],[value_present]]*Tabelle5[[#This Row],[binding_level]]</f>
        <v>0</v>
      </c>
    </row>
    <row r="498" spans="1:11" x14ac:dyDescent="0.25">
      <c r="A498" s="24">
        <v>13</v>
      </c>
      <c r="B498" s="2">
        <v>73</v>
      </c>
      <c r="C498" s="2" t="s">
        <v>125</v>
      </c>
      <c r="D498" s="3">
        <v>0</v>
      </c>
      <c r="E498" s="1"/>
      <c r="I498" s="1" t="s">
        <v>1456</v>
      </c>
      <c r="J498" t="s">
        <v>4117</v>
      </c>
      <c r="K498" s="25">
        <f>Tabelle5[[#This Row],[value_present]]*Tabelle5[[#This Row],[binding_level]]</f>
        <v>0</v>
      </c>
    </row>
    <row r="499" spans="1:11" x14ac:dyDescent="0.25">
      <c r="A499" s="24">
        <v>13</v>
      </c>
      <c r="B499" s="2">
        <v>73</v>
      </c>
      <c r="C499" s="2" t="s">
        <v>132</v>
      </c>
      <c r="D499" s="3">
        <v>0</v>
      </c>
      <c r="E499" s="1"/>
      <c r="I499" s="1" t="s">
        <v>1456</v>
      </c>
      <c r="J499" t="s">
        <v>4118</v>
      </c>
      <c r="K499" s="25">
        <f>Tabelle5[[#This Row],[value_present]]*Tabelle5[[#This Row],[binding_level]]</f>
        <v>0</v>
      </c>
    </row>
    <row r="500" spans="1:11" x14ac:dyDescent="0.25">
      <c r="A500" s="24">
        <v>13</v>
      </c>
      <c r="B500" s="2">
        <v>73</v>
      </c>
      <c r="C500" s="2" t="s">
        <v>140</v>
      </c>
      <c r="D500" s="3">
        <v>0</v>
      </c>
      <c r="E500" s="1"/>
      <c r="I500" s="1" t="s">
        <v>1457</v>
      </c>
      <c r="J500" t="s">
        <v>4119</v>
      </c>
      <c r="K500" s="25">
        <f>Tabelle5[[#This Row],[value_present]]*Tabelle5[[#This Row],[binding_level]]</f>
        <v>0</v>
      </c>
    </row>
    <row r="501" spans="1:11" x14ac:dyDescent="0.25">
      <c r="A501" s="24">
        <v>13</v>
      </c>
      <c r="B501" s="2">
        <v>73</v>
      </c>
      <c r="C501" s="2" t="s">
        <v>147</v>
      </c>
      <c r="D501" s="3">
        <v>1</v>
      </c>
      <c r="E501" s="1">
        <v>1</v>
      </c>
      <c r="F501" t="s">
        <v>4133</v>
      </c>
      <c r="G501" t="s">
        <v>4132</v>
      </c>
      <c r="H501" t="s">
        <v>4120</v>
      </c>
      <c r="I501" s="1" t="s">
        <v>1457</v>
      </c>
      <c r="J501" t="s">
        <v>4121</v>
      </c>
      <c r="K501" s="25">
        <f>Tabelle5[[#This Row],[value_present]]*Tabelle5[[#This Row],[binding_level]]</f>
        <v>1</v>
      </c>
    </row>
    <row r="502" spans="1:11" x14ac:dyDescent="0.25">
      <c r="A502" s="24">
        <v>13</v>
      </c>
      <c r="B502" s="2">
        <v>73</v>
      </c>
      <c r="C502" s="2" t="s">
        <v>154</v>
      </c>
      <c r="D502" s="3">
        <v>0</v>
      </c>
      <c r="E502" s="1"/>
      <c r="I502" s="1" t="s">
        <v>1457</v>
      </c>
      <c r="J502" t="s">
        <v>4122</v>
      </c>
      <c r="K502" s="25">
        <f>Tabelle5[[#This Row],[value_present]]*Tabelle5[[#This Row],[binding_level]]</f>
        <v>0</v>
      </c>
    </row>
    <row r="503" spans="1:11" x14ac:dyDescent="0.25">
      <c r="A503" s="24">
        <v>13</v>
      </c>
      <c r="B503" s="2">
        <v>73</v>
      </c>
      <c r="C503" s="2" t="s">
        <v>161</v>
      </c>
      <c r="D503" s="3">
        <v>1</v>
      </c>
      <c r="E503" s="1">
        <v>1</v>
      </c>
      <c r="F503" t="s">
        <v>4138</v>
      </c>
      <c r="G503" t="s">
        <v>4137</v>
      </c>
      <c r="H503" t="s">
        <v>4123</v>
      </c>
      <c r="I503" s="1" t="s">
        <v>1456</v>
      </c>
      <c r="J503" t="s">
        <v>4124</v>
      </c>
      <c r="K503" s="25">
        <f>Tabelle5[[#This Row],[value_present]]*Tabelle5[[#This Row],[binding_level]]</f>
        <v>1</v>
      </c>
    </row>
    <row r="504" spans="1:11" x14ac:dyDescent="0.25">
      <c r="A504" s="24">
        <v>13</v>
      </c>
      <c r="B504" s="2">
        <v>73</v>
      </c>
      <c r="C504" s="2" t="s">
        <v>166</v>
      </c>
      <c r="D504" s="3">
        <v>0</v>
      </c>
      <c r="E504" s="1"/>
      <c r="I504" s="1" t="s">
        <v>1457</v>
      </c>
      <c r="J504" t="s">
        <v>4125</v>
      </c>
      <c r="K504" s="25">
        <f>Tabelle5[[#This Row],[value_present]]*Tabelle5[[#This Row],[binding_level]]</f>
        <v>0</v>
      </c>
    </row>
    <row r="505" spans="1:11" ht="15.75" thickBot="1" x14ac:dyDescent="0.3">
      <c r="A505" s="26">
        <v>13</v>
      </c>
      <c r="B505" s="27">
        <v>73</v>
      </c>
      <c r="C505" s="27" t="s">
        <v>174</v>
      </c>
      <c r="D505" s="28">
        <v>0</v>
      </c>
      <c r="E505" s="29"/>
      <c r="F505" s="30"/>
      <c r="G505" s="30"/>
      <c r="H505" s="30"/>
      <c r="I505" s="29" t="s">
        <v>1456</v>
      </c>
      <c r="J505" s="30" t="s">
        <v>4126</v>
      </c>
      <c r="K505" s="31">
        <f>Tabelle5[[#This Row],[value_present]]*Tabelle5[[#This Row],[binding_level]]</f>
        <v>0</v>
      </c>
    </row>
    <row r="506" spans="1:11" x14ac:dyDescent="0.25">
      <c r="A506" s="18">
        <v>13</v>
      </c>
      <c r="B506" s="19">
        <v>74</v>
      </c>
      <c r="C506" s="19" t="s">
        <v>53</v>
      </c>
      <c r="D506" s="20">
        <v>0</v>
      </c>
      <c r="E506" s="21"/>
      <c r="F506" s="22"/>
      <c r="G506" s="22"/>
      <c r="H506" s="22"/>
      <c r="I506" s="21" t="s">
        <v>1456</v>
      </c>
      <c r="J506" s="22" t="s">
        <v>4166</v>
      </c>
      <c r="K506" s="23">
        <f>Tabelle5[[#This Row],[value_present]]*Tabelle5[[#This Row],[binding_level]]</f>
        <v>0</v>
      </c>
    </row>
    <row r="507" spans="1:11" x14ac:dyDescent="0.25">
      <c r="A507" s="24">
        <v>13</v>
      </c>
      <c r="B507" s="2">
        <v>74</v>
      </c>
      <c r="C507" s="2" t="s">
        <v>61</v>
      </c>
      <c r="D507" s="3">
        <v>0</v>
      </c>
      <c r="E507" s="1"/>
      <c r="I507" s="1" t="s">
        <v>1457</v>
      </c>
      <c r="J507" t="s">
        <v>4167</v>
      </c>
      <c r="K507" s="25">
        <f>Tabelle5[[#This Row],[value_present]]*Tabelle5[[#This Row],[binding_level]]</f>
        <v>0</v>
      </c>
    </row>
    <row r="508" spans="1:11" x14ac:dyDescent="0.25">
      <c r="A508" s="24">
        <v>13</v>
      </c>
      <c r="B508" s="2">
        <v>74</v>
      </c>
      <c r="C508" s="2" t="s">
        <v>69</v>
      </c>
      <c r="D508" s="3">
        <v>0</v>
      </c>
      <c r="E508" s="1"/>
      <c r="I508" s="1" t="s">
        <v>1456</v>
      </c>
      <c r="J508" t="s">
        <v>4168</v>
      </c>
      <c r="K508" s="25">
        <f>Tabelle5[[#This Row],[value_present]]*Tabelle5[[#This Row],[binding_level]]</f>
        <v>0</v>
      </c>
    </row>
    <row r="509" spans="1:11" x14ac:dyDescent="0.25">
      <c r="A509" s="24">
        <v>13</v>
      </c>
      <c r="B509" s="2">
        <v>74</v>
      </c>
      <c r="C509" s="2" t="s">
        <v>76</v>
      </c>
      <c r="D509" s="3">
        <v>0</v>
      </c>
      <c r="E509" s="1"/>
      <c r="I509" s="1" t="s">
        <v>1456</v>
      </c>
      <c r="J509" t="s">
        <v>4169</v>
      </c>
      <c r="K509" s="25">
        <f>Tabelle5[[#This Row],[value_present]]*Tabelle5[[#This Row],[binding_level]]</f>
        <v>0</v>
      </c>
    </row>
    <row r="510" spans="1:11" x14ac:dyDescent="0.25">
      <c r="A510" s="24">
        <v>13</v>
      </c>
      <c r="B510" s="2">
        <v>74</v>
      </c>
      <c r="C510" s="2" t="s">
        <v>83</v>
      </c>
      <c r="D510" s="3">
        <v>0</v>
      </c>
      <c r="E510" s="1"/>
      <c r="I510" s="1" t="s">
        <v>1456</v>
      </c>
      <c r="J510" t="s">
        <v>4170</v>
      </c>
      <c r="K510" s="25">
        <f>Tabelle5[[#This Row],[value_present]]*Tabelle5[[#This Row],[binding_level]]</f>
        <v>0</v>
      </c>
    </row>
    <row r="511" spans="1:11" x14ac:dyDescent="0.25">
      <c r="A511" s="24">
        <v>13</v>
      </c>
      <c r="B511" s="2">
        <v>74</v>
      </c>
      <c r="C511" s="2" t="s">
        <v>90</v>
      </c>
      <c r="D511" s="3">
        <v>0</v>
      </c>
      <c r="E511" s="1"/>
      <c r="I511" s="1" t="s">
        <v>1457</v>
      </c>
      <c r="J511" t="s">
        <v>4171</v>
      </c>
      <c r="K511" s="25">
        <f>Tabelle5[[#This Row],[value_present]]*Tabelle5[[#This Row],[binding_level]]</f>
        <v>0</v>
      </c>
    </row>
    <row r="512" spans="1:11" x14ac:dyDescent="0.25">
      <c r="A512" s="24">
        <v>13</v>
      </c>
      <c r="B512" s="2">
        <v>74</v>
      </c>
      <c r="C512" s="2" t="s">
        <v>98</v>
      </c>
      <c r="D512" s="3">
        <v>0</v>
      </c>
      <c r="E512" s="1"/>
      <c r="I512" s="1" t="s">
        <v>1457</v>
      </c>
      <c r="J512" t="s">
        <v>4172</v>
      </c>
      <c r="K512" s="25">
        <f>Tabelle5[[#This Row],[value_present]]*Tabelle5[[#This Row],[binding_level]]</f>
        <v>0</v>
      </c>
    </row>
    <row r="513" spans="1:11" x14ac:dyDescent="0.25">
      <c r="A513" s="24">
        <v>13</v>
      </c>
      <c r="B513" s="2">
        <v>74</v>
      </c>
      <c r="C513" s="2" t="s">
        <v>106</v>
      </c>
      <c r="D513" s="3">
        <v>0</v>
      </c>
      <c r="E513" s="1"/>
      <c r="I513" s="1" t="s">
        <v>1456</v>
      </c>
      <c r="J513" t="s">
        <v>4173</v>
      </c>
      <c r="K513" s="25">
        <f>Tabelle5[[#This Row],[value_present]]*Tabelle5[[#This Row],[binding_level]]</f>
        <v>0</v>
      </c>
    </row>
    <row r="514" spans="1:11" x14ac:dyDescent="0.25">
      <c r="A514" s="24">
        <v>13</v>
      </c>
      <c r="B514" s="2">
        <v>74</v>
      </c>
      <c r="C514" s="2" t="s">
        <v>112</v>
      </c>
      <c r="D514" s="3">
        <v>0</v>
      </c>
      <c r="E514" s="1"/>
      <c r="I514" s="1" t="s">
        <v>1456</v>
      </c>
      <c r="J514" t="s">
        <v>4174</v>
      </c>
      <c r="K514" s="25">
        <f>Tabelle5[[#This Row],[value_present]]*Tabelle5[[#This Row],[binding_level]]</f>
        <v>0</v>
      </c>
    </row>
    <row r="515" spans="1:11" x14ac:dyDescent="0.25">
      <c r="A515" s="24">
        <v>13</v>
      </c>
      <c r="B515" s="2">
        <v>74</v>
      </c>
      <c r="C515" s="2" t="s">
        <v>118</v>
      </c>
      <c r="D515" s="3">
        <v>0</v>
      </c>
      <c r="E515" s="1"/>
      <c r="I515" s="1" t="s">
        <v>1456</v>
      </c>
      <c r="J515" t="s">
        <v>4175</v>
      </c>
      <c r="K515" s="25">
        <f>Tabelle5[[#This Row],[value_present]]*Tabelle5[[#This Row],[binding_level]]</f>
        <v>0</v>
      </c>
    </row>
    <row r="516" spans="1:11" x14ac:dyDescent="0.25">
      <c r="A516" s="24">
        <v>13</v>
      </c>
      <c r="B516" s="2">
        <v>74</v>
      </c>
      <c r="C516" s="2" t="s">
        <v>125</v>
      </c>
      <c r="D516" s="3">
        <v>0</v>
      </c>
      <c r="E516" s="1"/>
      <c r="I516" s="1" t="s">
        <v>1456</v>
      </c>
      <c r="J516" t="s">
        <v>3892</v>
      </c>
      <c r="K516" s="25">
        <f>Tabelle5[[#This Row],[value_present]]*Tabelle5[[#This Row],[binding_level]]</f>
        <v>0</v>
      </c>
    </row>
    <row r="517" spans="1:11" x14ac:dyDescent="0.25">
      <c r="A517" s="24">
        <v>13</v>
      </c>
      <c r="B517" s="2">
        <v>74</v>
      </c>
      <c r="C517" s="2" t="s">
        <v>132</v>
      </c>
      <c r="D517" s="3">
        <v>0</v>
      </c>
      <c r="E517" s="1"/>
      <c r="I517" s="1" t="s">
        <v>1456</v>
      </c>
      <c r="J517" t="s">
        <v>4176</v>
      </c>
      <c r="K517" s="25">
        <f>Tabelle5[[#This Row],[value_present]]*Tabelle5[[#This Row],[binding_level]]</f>
        <v>0</v>
      </c>
    </row>
    <row r="518" spans="1:11" x14ac:dyDescent="0.25">
      <c r="A518" s="24">
        <v>13</v>
      </c>
      <c r="B518" s="2">
        <v>74</v>
      </c>
      <c r="C518" s="2" t="s">
        <v>140</v>
      </c>
      <c r="D518" s="3">
        <v>0</v>
      </c>
      <c r="E518" s="1"/>
      <c r="I518" s="1" t="s">
        <v>1456</v>
      </c>
      <c r="J518" t="s">
        <v>4177</v>
      </c>
      <c r="K518" s="25">
        <f>Tabelle5[[#This Row],[value_present]]*Tabelle5[[#This Row],[binding_level]]</f>
        <v>0</v>
      </c>
    </row>
    <row r="519" spans="1:11" x14ac:dyDescent="0.25">
      <c r="A519" s="24">
        <v>13</v>
      </c>
      <c r="B519" s="2">
        <v>74</v>
      </c>
      <c r="C519" s="2" t="s">
        <v>147</v>
      </c>
      <c r="D519" s="3">
        <v>1</v>
      </c>
      <c r="E519" s="1">
        <v>2</v>
      </c>
      <c r="F519" t="s">
        <v>4184</v>
      </c>
      <c r="G519" t="s">
        <v>4183</v>
      </c>
      <c r="H519" t="s">
        <v>4178</v>
      </c>
      <c r="I519" s="1" t="s">
        <v>1456</v>
      </c>
      <c r="J519" t="s">
        <v>4179</v>
      </c>
      <c r="K519" s="25">
        <f>Tabelle5[[#This Row],[value_present]]*Tabelle5[[#This Row],[binding_level]]</f>
        <v>2</v>
      </c>
    </row>
    <row r="520" spans="1:11" x14ac:dyDescent="0.25">
      <c r="A520" s="24">
        <v>13</v>
      </c>
      <c r="B520" s="2">
        <v>74</v>
      </c>
      <c r="C520" s="2" t="s">
        <v>154</v>
      </c>
      <c r="D520" s="3">
        <v>0</v>
      </c>
      <c r="E520" s="1"/>
      <c r="I520" s="1" t="s">
        <v>1457</v>
      </c>
      <c r="J520" t="s">
        <v>4180</v>
      </c>
      <c r="K520" s="25">
        <f>Tabelle5[[#This Row],[value_present]]*Tabelle5[[#This Row],[binding_level]]</f>
        <v>0</v>
      </c>
    </row>
    <row r="521" spans="1:11" x14ac:dyDescent="0.25">
      <c r="A521" s="24">
        <v>13</v>
      </c>
      <c r="B521" s="2">
        <v>74</v>
      </c>
      <c r="C521" s="2" t="s">
        <v>161</v>
      </c>
      <c r="D521" s="3">
        <v>0</v>
      </c>
      <c r="E521" s="1"/>
      <c r="I521" s="1" t="s">
        <v>1457</v>
      </c>
      <c r="J521" t="s">
        <v>4181</v>
      </c>
      <c r="K521" s="25">
        <f>Tabelle5[[#This Row],[value_present]]*Tabelle5[[#This Row],[binding_level]]</f>
        <v>0</v>
      </c>
    </row>
    <row r="522" spans="1:11" x14ac:dyDescent="0.25">
      <c r="A522" s="24">
        <v>13</v>
      </c>
      <c r="B522" s="2">
        <v>74</v>
      </c>
      <c r="C522" s="2" t="s">
        <v>166</v>
      </c>
      <c r="D522" s="3">
        <v>0</v>
      </c>
      <c r="E522" s="1"/>
      <c r="I522" s="1" t="s">
        <v>1457</v>
      </c>
      <c r="J522" t="s">
        <v>4182</v>
      </c>
      <c r="K522" s="25">
        <f>Tabelle5[[#This Row],[value_present]]*Tabelle5[[#This Row],[binding_level]]</f>
        <v>0</v>
      </c>
    </row>
    <row r="523" spans="1:11" ht="15.75" thickBot="1" x14ac:dyDescent="0.3">
      <c r="A523" s="26">
        <v>13</v>
      </c>
      <c r="B523" s="27">
        <v>74</v>
      </c>
      <c r="C523" s="27" t="s">
        <v>174</v>
      </c>
      <c r="D523" s="28">
        <v>0</v>
      </c>
      <c r="E523" s="29"/>
      <c r="F523" s="30"/>
      <c r="G523" s="30"/>
      <c r="H523" s="30"/>
      <c r="I523" s="29" t="s">
        <v>1456</v>
      </c>
      <c r="J523" s="30" t="s">
        <v>3899</v>
      </c>
      <c r="K523" s="31">
        <f>Tabelle5[[#This Row],[value_present]]*Tabelle5[[#This Row],[binding_level]]</f>
        <v>0</v>
      </c>
    </row>
    <row r="524" spans="1:11" x14ac:dyDescent="0.25">
      <c r="A524" s="18">
        <v>15</v>
      </c>
      <c r="B524" s="19">
        <v>86</v>
      </c>
      <c r="C524" s="19" t="s">
        <v>53</v>
      </c>
      <c r="D524" s="20">
        <v>1</v>
      </c>
      <c r="E524" s="21">
        <v>3</v>
      </c>
      <c r="F524" t="s">
        <v>4234</v>
      </c>
      <c r="G524" t="s">
        <v>4235</v>
      </c>
      <c r="H524" s="22" t="s">
        <v>4207</v>
      </c>
      <c r="I524" s="1" t="s">
        <v>1457</v>
      </c>
      <c r="J524" s="22" t="s">
        <v>4208</v>
      </c>
      <c r="K524" s="23">
        <f>Tabelle5[[#This Row],[value_present]]*Tabelle5[[#This Row],[binding_level]]</f>
        <v>3</v>
      </c>
    </row>
    <row r="525" spans="1:11" x14ac:dyDescent="0.25">
      <c r="A525" s="24">
        <v>15</v>
      </c>
      <c r="B525" s="2">
        <v>86</v>
      </c>
      <c r="C525" s="2" t="s">
        <v>61</v>
      </c>
      <c r="D525" s="3">
        <v>1</v>
      </c>
      <c r="E525" s="1">
        <v>3</v>
      </c>
      <c r="F525" t="s">
        <v>4232</v>
      </c>
      <c r="G525" t="s">
        <v>4233</v>
      </c>
      <c r="H525" t="s">
        <v>4209</v>
      </c>
      <c r="I525" s="1" t="s">
        <v>1456</v>
      </c>
      <c r="J525" t="s">
        <v>4210</v>
      </c>
      <c r="K525" s="25">
        <f>Tabelle5[[#This Row],[value_present]]*Tabelle5[[#This Row],[binding_level]]</f>
        <v>3</v>
      </c>
    </row>
    <row r="526" spans="1:11" x14ac:dyDescent="0.25">
      <c r="A526" s="24">
        <v>15</v>
      </c>
      <c r="B526" s="2">
        <v>86</v>
      </c>
      <c r="C526" s="2" t="s">
        <v>69</v>
      </c>
      <c r="D526" s="3">
        <v>1</v>
      </c>
      <c r="E526" s="1">
        <v>3</v>
      </c>
      <c r="F526" t="s">
        <v>4238</v>
      </c>
      <c r="G526" t="s">
        <v>4237</v>
      </c>
      <c r="H526" t="s">
        <v>4211</v>
      </c>
      <c r="I526" s="1" t="s">
        <v>1457</v>
      </c>
      <c r="J526" t="s">
        <v>4212</v>
      </c>
      <c r="K526" s="25">
        <f>Tabelle5[[#This Row],[value_present]]*Tabelle5[[#This Row],[binding_level]]</f>
        <v>3</v>
      </c>
    </row>
    <row r="527" spans="1:11" x14ac:dyDescent="0.25">
      <c r="A527" s="24">
        <v>15</v>
      </c>
      <c r="B527" s="2">
        <v>86</v>
      </c>
      <c r="C527" s="2" t="s">
        <v>76</v>
      </c>
      <c r="D527" s="3">
        <v>1</v>
      </c>
      <c r="E527" s="1">
        <v>3</v>
      </c>
      <c r="F527" t="s">
        <v>4236</v>
      </c>
      <c r="G527" t="s">
        <v>1812</v>
      </c>
      <c r="H527" t="s">
        <v>4213</v>
      </c>
      <c r="I527" s="1" t="s">
        <v>1457</v>
      </c>
      <c r="J527" t="s">
        <v>4214</v>
      </c>
      <c r="K527" s="25">
        <f>Tabelle5[[#This Row],[value_present]]*Tabelle5[[#This Row],[binding_level]]</f>
        <v>3</v>
      </c>
    </row>
    <row r="528" spans="1:11" x14ac:dyDescent="0.25">
      <c r="A528" s="24">
        <v>15</v>
      </c>
      <c r="B528" s="2">
        <v>86</v>
      </c>
      <c r="C528" s="2" t="s">
        <v>83</v>
      </c>
      <c r="D528" s="3">
        <v>1</v>
      </c>
      <c r="E528" s="1">
        <v>3</v>
      </c>
      <c r="F528" t="s">
        <v>4240</v>
      </c>
      <c r="G528" t="s">
        <v>4239</v>
      </c>
      <c r="H528" t="s">
        <v>4215</v>
      </c>
      <c r="I528" s="1"/>
      <c r="J528" t="s">
        <v>4216</v>
      </c>
      <c r="K528" s="25">
        <f>Tabelle5[[#This Row],[value_present]]*Tabelle5[[#This Row],[binding_level]]</f>
        <v>3</v>
      </c>
    </row>
    <row r="529" spans="1:11" x14ac:dyDescent="0.25">
      <c r="A529" s="24">
        <v>15</v>
      </c>
      <c r="B529" s="2">
        <v>86</v>
      </c>
      <c r="C529" s="2" t="s">
        <v>90</v>
      </c>
      <c r="D529" s="3">
        <v>1</v>
      </c>
      <c r="E529" s="1">
        <v>3</v>
      </c>
      <c r="F529" t="s">
        <v>4242</v>
      </c>
      <c r="G529" t="s">
        <v>4241</v>
      </c>
      <c r="H529" t="s">
        <v>4217</v>
      </c>
      <c r="I529" s="1" t="s">
        <v>1456</v>
      </c>
      <c r="J529" t="s">
        <v>4218</v>
      </c>
      <c r="K529" s="25">
        <f>Tabelle5[[#This Row],[value_present]]*Tabelle5[[#This Row],[binding_level]]</f>
        <v>3</v>
      </c>
    </row>
    <row r="530" spans="1:11" x14ac:dyDescent="0.25">
      <c r="A530" s="24">
        <v>15</v>
      </c>
      <c r="B530" s="2">
        <v>86</v>
      </c>
      <c r="C530" s="2" t="s">
        <v>98</v>
      </c>
      <c r="D530" s="3">
        <v>1</v>
      </c>
      <c r="E530" s="1">
        <v>3</v>
      </c>
      <c r="F530" t="s">
        <v>4244</v>
      </c>
      <c r="G530" t="s">
        <v>4243</v>
      </c>
      <c r="H530" t="s">
        <v>4219</v>
      </c>
      <c r="I530" s="1" t="s">
        <v>1456</v>
      </c>
      <c r="J530" t="s">
        <v>4220</v>
      </c>
      <c r="K530" s="25">
        <f>Tabelle5[[#This Row],[value_present]]*Tabelle5[[#This Row],[binding_level]]</f>
        <v>3</v>
      </c>
    </row>
    <row r="531" spans="1:11" x14ac:dyDescent="0.25">
      <c r="A531" s="24">
        <v>15</v>
      </c>
      <c r="B531" s="2">
        <v>86</v>
      </c>
      <c r="C531" s="2" t="s">
        <v>106</v>
      </c>
      <c r="D531" s="3">
        <v>1</v>
      </c>
      <c r="E531" s="1">
        <v>3</v>
      </c>
      <c r="F531" t="s">
        <v>4246</v>
      </c>
      <c r="G531" t="s">
        <v>4245</v>
      </c>
      <c r="H531" t="s">
        <v>4215</v>
      </c>
      <c r="I531" s="1" t="s">
        <v>1456</v>
      </c>
      <c r="J531" t="s">
        <v>4221</v>
      </c>
      <c r="K531" s="25">
        <f>Tabelle5[[#This Row],[value_present]]*Tabelle5[[#This Row],[binding_level]]</f>
        <v>3</v>
      </c>
    </row>
    <row r="532" spans="1:11" x14ac:dyDescent="0.25">
      <c r="A532" s="24">
        <v>15</v>
      </c>
      <c r="B532" s="2">
        <v>86</v>
      </c>
      <c r="C532" s="2" t="s">
        <v>112</v>
      </c>
      <c r="D532" s="3">
        <v>1</v>
      </c>
      <c r="E532" s="1">
        <v>3</v>
      </c>
      <c r="F532" t="s">
        <v>4248</v>
      </c>
      <c r="G532" t="s">
        <v>4247</v>
      </c>
      <c r="H532" t="s">
        <v>4222</v>
      </c>
      <c r="I532" s="1" t="s">
        <v>1456</v>
      </c>
      <c r="J532" t="s">
        <v>4223</v>
      </c>
      <c r="K532" s="25">
        <f>Tabelle5[[#This Row],[value_present]]*Tabelle5[[#This Row],[binding_level]]</f>
        <v>3</v>
      </c>
    </row>
    <row r="533" spans="1:11" x14ac:dyDescent="0.25">
      <c r="A533" s="24">
        <v>15</v>
      </c>
      <c r="B533" s="2">
        <v>86</v>
      </c>
      <c r="C533" s="2" t="s">
        <v>118</v>
      </c>
      <c r="D533" s="3">
        <v>0</v>
      </c>
      <c r="E533" s="1"/>
      <c r="I533" s="1" t="s">
        <v>1456</v>
      </c>
      <c r="K533" s="25">
        <f>Tabelle5[[#This Row],[value_present]]*Tabelle5[[#This Row],[binding_level]]</f>
        <v>0</v>
      </c>
    </row>
    <row r="534" spans="1:11" x14ac:dyDescent="0.25">
      <c r="A534" s="24">
        <v>15</v>
      </c>
      <c r="B534" s="2">
        <v>86</v>
      </c>
      <c r="C534" s="2" t="s">
        <v>125</v>
      </c>
      <c r="D534" s="3">
        <v>0</v>
      </c>
      <c r="E534" s="1"/>
      <c r="I534" s="1" t="s">
        <v>1456</v>
      </c>
      <c r="K534" s="25">
        <f>Tabelle5[[#This Row],[value_present]]*Tabelle5[[#This Row],[binding_level]]</f>
        <v>0</v>
      </c>
    </row>
    <row r="535" spans="1:11" x14ac:dyDescent="0.25">
      <c r="A535" s="24">
        <v>15</v>
      </c>
      <c r="B535" s="2">
        <v>86</v>
      </c>
      <c r="C535" s="2" t="s">
        <v>132</v>
      </c>
      <c r="D535" s="3">
        <v>0</v>
      </c>
      <c r="E535" s="1"/>
      <c r="I535" s="1" t="s">
        <v>1456</v>
      </c>
      <c r="K535" s="25">
        <f>Tabelle5[[#This Row],[value_present]]*Tabelle5[[#This Row],[binding_level]]</f>
        <v>0</v>
      </c>
    </row>
    <row r="536" spans="1:11" x14ac:dyDescent="0.25">
      <c r="A536" s="24">
        <v>15</v>
      </c>
      <c r="B536" s="2">
        <v>86</v>
      </c>
      <c r="C536" s="2" t="s">
        <v>140</v>
      </c>
      <c r="D536" s="3">
        <v>1</v>
      </c>
      <c r="E536" s="1">
        <v>2</v>
      </c>
      <c r="F536" t="s">
        <v>4250</v>
      </c>
      <c r="G536" t="s">
        <v>4249</v>
      </c>
      <c r="H536" t="s">
        <v>4224</v>
      </c>
      <c r="I536" s="1" t="s">
        <v>1457</v>
      </c>
      <c r="J536" t="s">
        <v>4225</v>
      </c>
      <c r="K536" s="25">
        <f>Tabelle5[[#This Row],[value_present]]*Tabelle5[[#This Row],[binding_level]]</f>
        <v>2</v>
      </c>
    </row>
    <row r="537" spans="1:11" x14ac:dyDescent="0.25">
      <c r="A537" s="24">
        <v>15</v>
      </c>
      <c r="B537" s="2">
        <v>86</v>
      </c>
      <c r="C537" s="2" t="s">
        <v>147</v>
      </c>
      <c r="D537" s="3">
        <v>1</v>
      </c>
      <c r="E537" s="1">
        <v>2</v>
      </c>
      <c r="F537" t="s">
        <v>4252</v>
      </c>
      <c r="G537" t="s">
        <v>4251</v>
      </c>
      <c r="H537" t="s">
        <v>4226</v>
      </c>
      <c r="I537" s="1" t="s">
        <v>1456</v>
      </c>
      <c r="J537" t="s">
        <v>4227</v>
      </c>
      <c r="K537" s="25">
        <f>Tabelle5[[#This Row],[value_present]]*Tabelle5[[#This Row],[binding_level]]</f>
        <v>2</v>
      </c>
    </row>
    <row r="538" spans="1:11" x14ac:dyDescent="0.25">
      <c r="A538" s="24">
        <v>15</v>
      </c>
      <c r="B538" s="2">
        <v>86</v>
      </c>
      <c r="C538" s="2" t="s">
        <v>154</v>
      </c>
      <c r="D538" s="3">
        <v>1</v>
      </c>
      <c r="E538" s="1">
        <v>2</v>
      </c>
      <c r="F538" t="s">
        <v>4253</v>
      </c>
      <c r="G538" t="s">
        <v>4254</v>
      </c>
      <c r="H538" t="s">
        <v>4228</v>
      </c>
      <c r="I538" s="1" t="s">
        <v>1456</v>
      </c>
      <c r="J538" t="s">
        <v>4229</v>
      </c>
      <c r="K538" s="25">
        <f>Tabelle5[[#This Row],[value_present]]*Tabelle5[[#This Row],[binding_level]]</f>
        <v>2</v>
      </c>
    </row>
    <row r="539" spans="1:11" x14ac:dyDescent="0.25">
      <c r="A539" s="24">
        <v>15</v>
      </c>
      <c r="B539" s="2">
        <v>86</v>
      </c>
      <c r="C539" s="2" t="s">
        <v>161</v>
      </c>
      <c r="D539" s="3">
        <v>1</v>
      </c>
      <c r="E539" s="1">
        <v>3</v>
      </c>
      <c r="F539" t="s">
        <v>4256</v>
      </c>
      <c r="G539" t="s">
        <v>4255</v>
      </c>
      <c r="H539" t="s">
        <v>4230</v>
      </c>
      <c r="I539" s="1" t="s">
        <v>1456</v>
      </c>
      <c r="J539" t="s">
        <v>4231</v>
      </c>
      <c r="K539" s="25">
        <f>Tabelle5[[#This Row],[value_present]]*Tabelle5[[#This Row],[binding_level]]</f>
        <v>3</v>
      </c>
    </row>
    <row r="540" spans="1:11" x14ac:dyDescent="0.25">
      <c r="A540" s="24">
        <v>15</v>
      </c>
      <c r="B540" s="2">
        <v>86</v>
      </c>
      <c r="C540" s="2" t="s">
        <v>166</v>
      </c>
      <c r="D540" s="3">
        <v>0</v>
      </c>
      <c r="E540" s="1"/>
      <c r="I540" s="1" t="s">
        <v>1457</v>
      </c>
      <c r="K540" s="25">
        <f>Tabelle5[[#This Row],[value_present]]*Tabelle5[[#This Row],[binding_level]]</f>
        <v>0</v>
      </c>
    </row>
    <row r="541" spans="1:11" ht="15.75" thickBot="1" x14ac:dyDescent="0.3">
      <c r="A541" s="26">
        <v>15</v>
      </c>
      <c r="B541" s="27">
        <v>86</v>
      </c>
      <c r="C541" s="27" t="s">
        <v>174</v>
      </c>
      <c r="D541" s="28">
        <v>0</v>
      </c>
      <c r="E541" s="29"/>
      <c r="F541" s="30"/>
      <c r="G541" s="30"/>
      <c r="H541" s="30"/>
      <c r="I541" s="29" t="s">
        <v>1456</v>
      </c>
      <c r="J541" s="30"/>
      <c r="K541" s="31">
        <f>Tabelle5[[#This Row],[value_present]]*Tabelle5[[#This Row],[binding_level]]</f>
        <v>0</v>
      </c>
    </row>
    <row r="542" spans="1:11" x14ac:dyDescent="0.25">
      <c r="A542" s="18">
        <v>15</v>
      </c>
      <c r="B542" s="19">
        <v>88</v>
      </c>
      <c r="C542" s="19" t="s">
        <v>53</v>
      </c>
      <c r="D542" s="20">
        <v>0</v>
      </c>
      <c r="E542" s="21"/>
      <c r="F542" s="22"/>
      <c r="G542" s="22"/>
      <c r="H542" s="22"/>
      <c r="I542" s="21" t="s">
        <v>1456</v>
      </c>
      <c r="J542" s="22" t="s">
        <v>4166</v>
      </c>
      <c r="K542" s="23">
        <f>Tabelle5[[#This Row],[value_present]]*Tabelle5[[#This Row],[binding_level]]</f>
        <v>0</v>
      </c>
    </row>
    <row r="543" spans="1:11" x14ac:dyDescent="0.25">
      <c r="A543" s="24">
        <v>15</v>
      </c>
      <c r="B543" s="2">
        <v>88</v>
      </c>
      <c r="C543" s="2" t="s">
        <v>61</v>
      </c>
      <c r="D543" s="3">
        <v>1</v>
      </c>
      <c r="E543" s="1">
        <v>1</v>
      </c>
      <c r="F543" t="s">
        <v>4302</v>
      </c>
      <c r="G543" t="s">
        <v>4303</v>
      </c>
      <c r="H543" t="s">
        <v>4287</v>
      </c>
      <c r="I543" s="1" t="s">
        <v>1457</v>
      </c>
      <c r="J543" t="s">
        <v>4288</v>
      </c>
      <c r="K543" s="25">
        <f>Tabelle5[[#This Row],[value_present]]*Tabelle5[[#This Row],[binding_level]]</f>
        <v>1</v>
      </c>
    </row>
    <row r="544" spans="1:11" x14ac:dyDescent="0.25">
      <c r="A544" s="24">
        <v>15</v>
      </c>
      <c r="B544" s="2">
        <v>88</v>
      </c>
      <c r="C544" s="2" t="s">
        <v>69</v>
      </c>
      <c r="D544" s="3">
        <v>0</v>
      </c>
      <c r="E544" s="1"/>
      <c r="I544" s="1" t="s">
        <v>1457</v>
      </c>
      <c r="J544" t="s">
        <v>4289</v>
      </c>
      <c r="K544" s="25">
        <f>Tabelle5[[#This Row],[value_present]]*Tabelle5[[#This Row],[binding_level]]</f>
        <v>0</v>
      </c>
    </row>
    <row r="545" spans="1:11" x14ac:dyDescent="0.25">
      <c r="A545" s="24">
        <v>15</v>
      </c>
      <c r="B545" s="2">
        <v>88</v>
      </c>
      <c r="C545" s="2" t="s">
        <v>76</v>
      </c>
      <c r="D545" s="3">
        <v>0</v>
      </c>
      <c r="E545" s="1"/>
      <c r="I545" s="1" t="s">
        <v>1456</v>
      </c>
      <c r="J545" t="s">
        <v>4290</v>
      </c>
      <c r="K545" s="25">
        <f>Tabelle5[[#This Row],[value_present]]*Tabelle5[[#This Row],[binding_level]]</f>
        <v>0</v>
      </c>
    </row>
    <row r="546" spans="1:11" x14ac:dyDescent="0.25">
      <c r="A546" s="24">
        <v>15</v>
      </c>
      <c r="B546" s="2">
        <v>88</v>
      </c>
      <c r="C546" s="2" t="s">
        <v>83</v>
      </c>
      <c r="D546" s="3">
        <v>0</v>
      </c>
      <c r="E546" s="1"/>
      <c r="I546" s="1" t="s">
        <v>1456</v>
      </c>
      <c r="J546" t="s">
        <v>4291</v>
      </c>
      <c r="K546" s="25">
        <f>Tabelle5[[#This Row],[value_present]]*Tabelle5[[#This Row],[binding_level]]</f>
        <v>0</v>
      </c>
    </row>
    <row r="547" spans="1:11" x14ac:dyDescent="0.25">
      <c r="A547" s="24">
        <v>15</v>
      </c>
      <c r="B547" s="2">
        <v>88</v>
      </c>
      <c r="C547" s="2" t="s">
        <v>90</v>
      </c>
      <c r="D547" s="3">
        <v>0</v>
      </c>
      <c r="E547" s="1"/>
      <c r="I547" s="1" t="s">
        <v>1456</v>
      </c>
      <c r="J547" t="s">
        <v>4292</v>
      </c>
      <c r="K547" s="25">
        <f>Tabelle5[[#This Row],[value_present]]*Tabelle5[[#This Row],[binding_level]]</f>
        <v>0</v>
      </c>
    </row>
    <row r="548" spans="1:11" x14ac:dyDescent="0.25">
      <c r="A548" s="24">
        <v>15</v>
      </c>
      <c r="B548" s="2">
        <v>88</v>
      </c>
      <c r="C548" s="2" t="s">
        <v>98</v>
      </c>
      <c r="D548" s="3">
        <v>0</v>
      </c>
      <c r="E548" s="1"/>
      <c r="I548" s="1" t="s">
        <v>1456</v>
      </c>
      <c r="J548" t="s">
        <v>4293</v>
      </c>
      <c r="K548" s="25">
        <f>Tabelle5[[#This Row],[value_present]]*Tabelle5[[#This Row],[binding_level]]</f>
        <v>0</v>
      </c>
    </row>
    <row r="549" spans="1:11" x14ac:dyDescent="0.25">
      <c r="A549" s="24">
        <v>15</v>
      </c>
      <c r="B549" s="2">
        <v>88</v>
      </c>
      <c r="C549" s="2" t="s">
        <v>106</v>
      </c>
      <c r="D549" s="3">
        <v>0</v>
      </c>
      <c r="E549" s="1"/>
      <c r="I549" s="1" t="s">
        <v>1457</v>
      </c>
      <c r="J549" t="s">
        <v>4294</v>
      </c>
      <c r="K549" s="25">
        <f>Tabelle5[[#This Row],[value_present]]*Tabelle5[[#This Row],[binding_level]]</f>
        <v>0</v>
      </c>
    </row>
    <row r="550" spans="1:11" x14ac:dyDescent="0.25">
      <c r="A550" s="24">
        <v>15</v>
      </c>
      <c r="B550" s="2">
        <v>88</v>
      </c>
      <c r="C550" s="2" t="s">
        <v>112</v>
      </c>
      <c r="D550" s="3">
        <v>0</v>
      </c>
      <c r="E550" s="1"/>
      <c r="I550" s="1" t="s">
        <v>1457</v>
      </c>
      <c r="J550" t="s">
        <v>4295</v>
      </c>
      <c r="K550" s="25">
        <f>Tabelle5[[#This Row],[value_present]]*Tabelle5[[#This Row],[binding_level]]</f>
        <v>0</v>
      </c>
    </row>
    <row r="551" spans="1:11" x14ac:dyDescent="0.25">
      <c r="A551" s="24">
        <v>15</v>
      </c>
      <c r="B551" s="2">
        <v>88</v>
      </c>
      <c r="C551" s="2" t="s">
        <v>118</v>
      </c>
      <c r="D551" s="3">
        <v>0</v>
      </c>
      <c r="E551" s="1"/>
      <c r="I551" s="1" t="s">
        <v>1456</v>
      </c>
      <c r="J551" t="s">
        <v>4175</v>
      </c>
      <c r="K551" s="25">
        <f>Tabelle5[[#This Row],[value_present]]*Tabelle5[[#This Row],[binding_level]]</f>
        <v>0</v>
      </c>
    </row>
    <row r="552" spans="1:11" x14ac:dyDescent="0.25">
      <c r="A552" s="24">
        <v>15</v>
      </c>
      <c r="B552" s="2">
        <v>88</v>
      </c>
      <c r="C552" s="2" t="s">
        <v>125</v>
      </c>
      <c r="D552" s="3">
        <v>0</v>
      </c>
      <c r="E552" s="1"/>
      <c r="I552" s="1" t="s">
        <v>1456</v>
      </c>
      <c r="J552" t="s">
        <v>4117</v>
      </c>
      <c r="K552" s="25">
        <f>Tabelle5[[#This Row],[value_present]]*Tabelle5[[#This Row],[binding_level]]</f>
        <v>0</v>
      </c>
    </row>
    <row r="553" spans="1:11" x14ac:dyDescent="0.25">
      <c r="A553" s="24">
        <v>15</v>
      </c>
      <c r="B553" s="2">
        <v>88</v>
      </c>
      <c r="C553" s="2" t="s">
        <v>132</v>
      </c>
      <c r="D553" s="3">
        <v>1</v>
      </c>
      <c r="E553" s="1">
        <v>1</v>
      </c>
      <c r="F553" t="s">
        <v>4305</v>
      </c>
      <c r="G553" t="s">
        <v>4304</v>
      </c>
      <c r="H553" t="s">
        <v>2700</v>
      </c>
      <c r="I553" s="1" t="s">
        <v>1456</v>
      </c>
      <c r="J553" t="s">
        <v>4296</v>
      </c>
      <c r="K553" s="25">
        <f>Tabelle5[[#This Row],[value_present]]*Tabelle5[[#This Row],[binding_level]]</f>
        <v>1</v>
      </c>
    </row>
    <row r="554" spans="1:11" x14ac:dyDescent="0.25">
      <c r="A554" s="24">
        <v>15</v>
      </c>
      <c r="B554" s="2">
        <v>88</v>
      </c>
      <c r="C554" s="2" t="s">
        <v>140</v>
      </c>
      <c r="D554" s="3">
        <v>0</v>
      </c>
      <c r="E554" s="1"/>
      <c r="I554" s="1" t="s">
        <v>1457</v>
      </c>
      <c r="J554" t="s">
        <v>4297</v>
      </c>
      <c r="K554" s="25">
        <f>Tabelle5[[#This Row],[value_present]]*Tabelle5[[#This Row],[binding_level]]</f>
        <v>0</v>
      </c>
    </row>
    <row r="555" spans="1:11" x14ac:dyDescent="0.25">
      <c r="A555" s="24">
        <v>15</v>
      </c>
      <c r="B555" s="2">
        <v>88</v>
      </c>
      <c r="C555" s="2" t="s">
        <v>147</v>
      </c>
      <c r="D555" s="3">
        <v>0</v>
      </c>
      <c r="E555" s="1"/>
      <c r="I555" s="1" t="s">
        <v>1456</v>
      </c>
      <c r="J555" t="s">
        <v>4298</v>
      </c>
      <c r="K555" s="25">
        <f>Tabelle5[[#This Row],[value_present]]*Tabelle5[[#This Row],[binding_level]]</f>
        <v>0</v>
      </c>
    </row>
    <row r="556" spans="1:11" x14ac:dyDescent="0.25">
      <c r="A556" s="24">
        <v>15</v>
      </c>
      <c r="B556" s="2">
        <v>88</v>
      </c>
      <c r="C556" s="2" t="s">
        <v>154</v>
      </c>
      <c r="D556" s="3">
        <v>0</v>
      </c>
      <c r="E556" s="1"/>
      <c r="I556" s="1" t="s">
        <v>1457</v>
      </c>
      <c r="J556" t="s">
        <v>4299</v>
      </c>
      <c r="K556" s="25">
        <f>Tabelle5[[#This Row],[value_present]]*Tabelle5[[#This Row],[binding_level]]</f>
        <v>0</v>
      </c>
    </row>
    <row r="557" spans="1:11" x14ac:dyDescent="0.25">
      <c r="A557" s="24">
        <v>15</v>
      </c>
      <c r="B557" s="2">
        <v>88</v>
      </c>
      <c r="C557" s="2" t="s">
        <v>161</v>
      </c>
      <c r="D557" s="3">
        <v>0</v>
      </c>
      <c r="E557" s="1"/>
      <c r="I557" s="1" t="s">
        <v>1456</v>
      </c>
      <c r="J557" t="s">
        <v>4300</v>
      </c>
      <c r="K557" s="25">
        <f>Tabelle5[[#This Row],[value_present]]*Tabelle5[[#This Row],[binding_level]]</f>
        <v>0</v>
      </c>
    </row>
    <row r="558" spans="1:11" x14ac:dyDescent="0.25">
      <c r="A558" s="24">
        <v>15</v>
      </c>
      <c r="B558" s="2">
        <v>88</v>
      </c>
      <c r="C558" s="2" t="s">
        <v>166</v>
      </c>
      <c r="D558" s="3">
        <v>0</v>
      </c>
      <c r="E558" s="1"/>
      <c r="I558" s="1" t="s">
        <v>1456</v>
      </c>
      <c r="J558" t="s">
        <v>4301</v>
      </c>
      <c r="K558" s="25">
        <f>Tabelle5[[#This Row],[value_present]]*Tabelle5[[#This Row],[binding_level]]</f>
        <v>0</v>
      </c>
    </row>
    <row r="559" spans="1:11" ht="15.75" thickBot="1" x14ac:dyDescent="0.3">
      <c r="A559" s="26">
        <v>15</v>
      </c>
      <c r="B559" s="27">
        <v>88</v>
      </c>
      <c r="C559" s="27" t="s">
        <v>174</v>
      </c>
      <c r="D559" s="28">
        <v>0</v>
      </c>
      <c r="E559" s="29"/>
      <c r="F559" s="30"/>
      <c r="G559" s="30"/>
      <c r="H559" s="30"/>
      <c r="I559" s="29" t="s">
        <v>1456</v>
      </c>
      <c r="J559" s="30" t="s">
        <v>4126</v>
      </c>
      <c r="K559" s="31">
        <f>Tabelle5[[#This Row],[value_present]]*Tabelle5[[#This Row],[binding_level]]</f>
        <v>0</v>
      </c>
    </row>
    <row r="560" spans="1:11" x14ac:dyDescent="0.25">
      <c r="A560" s="18">
        <v>15</v>
      </c>
      <c r="B560" s="19">
        <v>90</v>
      </c>
      <c r="C560" s="19" t="s">
        <v>53</v>
      </c>
      <c r="D560" s="20">
        <v>1</v>
      </c>
      <c r="E560" s="21">
        <v>3</v>
      </c>
      <c r="F560" t="s">
        <v>4352</v>
      </c>
      <c r="G560" t="s">
        <v>4353</v>
      </c>
      <c r="H560" s="22" t="s">
        <v>4333</v>
      </c>
      <c r="I560" s="21" t="s">
        <v>1456</v>
      </c>
      <c r="J560" s="22" t="s">
        <v>4334</v>
      </c>
      <c r="K560" s="23">
        <f>Tabelle5[[#This Row],[value_present]]*Tabelle5[[#This Row],[binding_level]]</f>
        <v>3</v>
      </c>
    </row>
    <row r="561" spans="1:11" x14ac:dyDescent="0.25">
      <c r="A561" s="24">
        <v>15</v>
      </c>
      <c r="B561" s="2">
        <v>90</v>
      </c>
      <c r="C561" s="2" t="s">
        <v>61</v>
      </c>
      <c r="D561" s="3">
        <v>1</v>
      </c>
      <c r="E561" s="1">
        <v>3</v>
      </c>
      <c r="F561" t="s">
        <v>4354</v>
      </c>
      <c r="G561" t="s">
        <v>4355</v>
      </c>
      <c r="H561" t="s">
        <v>4333</v>
      </c>
      <c r="I561" s="1" t="s">
        <v>1456</v>
      </c>
      <c r="J561" t="s">
        <v>4335</v>
      </c>
      <c r="K561" s="25">
        <f>Tabelle5[[#This Row],[value_present]]*Tabelle5[[#This Row],[binding_level]]</f>
        <v>3</v>
      </c>
    </row>
    <row r="562" spans="1:11" x14ac:dyDescent="0.25">
      <c r="A562" s="24">
        <v>15</v>
      </c>
      <c r="B562" s="2">
        <v>90</v>
      </c>
      <c r="C562" s="2" t="s">
        <v>69</v>
      </c>
      <c r="D562" s="3">
        <v>1</v>
      </c>
      <c r="E562" s="1">
        <v>3</v>
      </c>
      <c r="F562" t="s">
        <v>4369</v>
      </c>
      <c r="G562" t="s">
        <v>4368</v>
      </c>
      <c r="H562" t="s">
        <v>4333</v>
      </c>
      <c r="I562" s="1" t="s">
        <v>1456</v>
      </c>
      <c r="J562" t="s">
        <v>4336</v>
      </c>
      <c r="K562" s="25">
        <f>Tabelle5[[#This Row],[value_present]]*Tabelle5[[#This Row],[binding_level]]</f>
        <v>3</v>
      </c>
    </row>
    <row r="563" spans="1:11" x14ac:dyDescent="0.25">
      <c r="A563" s="24">
        <v>15</v>
      </c>
      <c r="B563" s="2">
        <v>90</v>
      </c>
      <c r="C563" s="2" t="s">
        <v>76</v>
      </c>
      <c r="D563" s="3">
        <v>1</v>
      </c>
      <c r="E563" s="1">
        <v>3</v>
      </c>
      <c r="F563" t="s">
        <v>4356</v>
      </c>
      <c r="G563" t="s">
        <v>4367</v>
      </c>
      <c r="H563" t="s">
        <v>4333</v>
      </c>
      <c r="I563" s="1" t="s">
        <v>1456</v>
      </c>
      <c r="J563" t="s">
        <v>4337</v>
      </c>
      <c r="K563" s="25">
        <f>Tabelle5[[#This Row],[value_present]]*Tabelle5[[#This Row],[binding_level]]</f>
        <v>3</v>
      </c>
    </row>
    <row r="564" spans="1:11" x14ac:dyDescent="0.25">
      <c r="A564" s="24">
        <v>15</v>
      </c>
      <c r="B564" s="2">
        <v>90</v>
      </c>
      <c r="C564" s="2" t="s">
        <v>83</v>
      </c>
      <c r="D564" s="3">
        <v>1</v>
      </c>
      <c r="E564" s="1">
        <v>2</v>
      </c>
      <c r="F564" t="s">
        <v>4357</v>
      </c>
      <c r="G564" t="s">
        <v>4358</v>
      </c>
      <c r="H564" t="s">
        <v>4333</v>
      </c>
      <c r="I564" s="1" t="s">
        <v>1456</v>
      </c>
      <c r="J564" t="s">
        <v>4338</v>
      </c>
      <c r="K564" s="25">
        <f>Tabelle5[[#This Row],[value_present]]*Tabelle5[[#This Row],[binding_level]]</f>
        <v>2</v>
      </c>
    </row>
    <row r="565" spans="1:11" x14ac:dyDescent="0.25">
      <c r="A565" s="24">
        <v>15</v>
      </c>
      <c r="B565" s="2">
        <v>90</v>
      </c>
      <c r="C565" s="2" t="s">
        <v>90</v>
      </c>
      <c r="D565" s="3">
        <v>1</v>
      </c>
      <c r="E565" s="1">
        <v>3</v>
      </c>
      <c r="F565" t="s">
        <v>4371</v>
      </c>
      <c r="G565" t="s">
        <v>4370</v>
      </c>
      <c r="H565" t="s">
        <v>4333</v>
      </c>
      <c r="I565" s="1" t="s">
        <v>1456</v>
      </c>
      <c r="J565" t="s">
        <v>4339</v>
      </c>
      <c r="K565" s="25">
        <f>Tabelle5[[#This Row],[value_present]]*Tabelle5[[#This Row],[binding_level]]</f>
        <v>3</v>
      </c>
    </row>
    <row r="566" spans="1:11" x14ac:dyDescent="0.25">
      <c r="A566" s="24">
        <v>15</v>
      </c>
      <c r="B566" s="2">
        <v>90</v>
      </c>
      <c r="C566" s="2" t="s">
        <v>98</v>
      </c>
      <c r="D566" s="3">
        <v>1</v>
      </c>
      <c r="E566" s="1">
        <v>2</v>
      </c>
      <c r="F566" t="s">
        <v>4359</v>
      </c>
      <c r="G566" t="s">
        <v>4360</v>
      </c>
      <c r="H566" t="s">
        <v>4333</v>
      </c>
      <c r="I566" s="1" t="s">
        <v>1457</v>
      </c>
      <c r="J566" t="s">
        <v>4340</v>
      </c>
      <c r="K566" s="25">
        <f>Tabelle5[[#This Row],[value_present]]*Tabelle5[[#This Row],[binding_level]]</f>
        <v>2</v>
      </c>
    </row>
    <row r="567" spans="1:11" x14ac:dyDescent="0.25">
      <c r="A567" s="24">
        <v>15</v>
      </c>
      <c r="B567" s="2">
        <v>90</v>
      </c>
      <c r="C567" s="2" t="s">
        <v>106</v>
      </c>
      <c r="D567" s="3">
        <v>0</v>
      </c>
      <c r="E567" s="1"/>
      <c r="I567" s="1" t="s">
        <v>1456</v>
      </c>
      <c r="J567" t="s">
        <v>4341</v>
      </c>
      <c r="K567" s="25">
        <f>Tabelle5[[#This Row],[value_present]]*Tabelle5[[#This Row],[binding_level]]</f>
        <v>0</v>
      </c>
    </row>
    <row r="568" spans="1:11" x14ac:dyDescent="0.25">
      <c r="A568" s="24">
        <v>15</v>
      </c>
      <c r="B568" s="2">
        <v>90</v>
      </c>
      <c r="C568" s="2" t="s">
        <v>112</v>
      </c>
      <c r="D568" s="3">
        <v>0</v>
      </c>
      <c r="E568" s="1"/>
      <c r="I568" s="1" t="s">
        <v>1456</v>
      </c>
      <c r="J568" t="s">
        <v>4342</v>
      </c>
      <c r="K568" s="25">
        <f>Tabelle5[[#This Row],[value_present]]*Tabelle5[[#This Row],[binding_level]]</f>
        <v>0</v>
      </c>
    </row>
    <row r="569" spans="1:11" x14ac:dyDescent="0.25">
      <c r="A569" s="24">
        <v>15</v>
      </c>
      <c r="B569" s="2">
        <v>90</v>
      </c>
      <c r="C569" s="2" t="s">
        <v>118</v>
      </c>
      <c r="D569" s="3">
        <v>0</v>
      </c>
      <c r="E569" s="1"/>
      <c r="I569" s="1" t="s">
        <v>1456</v>
      </c>
      <c r="J569" t="s">
        <v>4343</v>
      </c>
      <c r="K569" s="25">
        <f>Tabelle5[[#This Row],[value_present]]*Tabelle5[[#This Row],[binding_level]]</f>
        <v>0</v>
      </c>
    </row>
    <row r="570" spans="1:11" x14ac:dyDescent="0.25">
      <c r="A570" s="24">
        <v>15</v>
      </c>
      <c r="B570" s="2">
        <v>90</v>
      </c>
      <c r="C570" s="2" t="s">
        <v>125</v>
      </c>
      <c r="D570" s="3">
        <v>1</v>
      </c>
      <c r="E570" s="1">
        <v>2</v>
      </c>
      <c r="F570" t="s">
        <v>4361</v>
      </c>
      <c r="G570" t="s">
        <v>4362</v>
      </c>
      <c r="H570" t="s">
        <v>4333</v>
      </c>
      <c r="I570" s="1" t="s">
        <v>1456</v>
      </c>
      <c r="J570" t="s">
        <v>4344</v>
      </c>
      <c r="K570" s="25">
        <f>Tabelle5[[#This Row],[value_present]]*Tabelle5[[#This Row],[binding_level]]</f>
        <v>2</v>
      </c>
    </row>
    <row r="571" spans="1:11" x14ac:dyDescent="0.25">
      <c r="A571" s="24">
        <v>15</v>
      </c>
      <c r="B571" s="2">
        <v>90</v>
      </c>
      <c r="C571" s="2" t="s">
        <v>132</v>
      </c>
      <c r="D571" s="3">
        <v>0</v>
      </c>
      <c r="E571" s="1"/>
      <c r="I571" s="1" t="s">
        <v>1456</v>
      </c>
      <c r="J571" t="s">
        <v>4345</v>
      </c>
      <c r="K571" s="25">
        <f>Tabelle5[[#This Row],[value_present]]*Tabelle5[[#This Row],[binding_level]]</f>
        <v>0</v>
      </c>
    </row>
    <row r="572" spans="1:11" x14ac:dyDescent="0.25">
      <c r="A572" s="24">
        <v>15</v>
      </c>
      <c r="B572" s="2">
        <v>90</v>
      </c>
      <c r="C572" s="2" t="s">
        <v>140</v>
      </c>
      <c r="D572" s="3">
        <v>0</v>
      </c>
      <c r="E572" s="1"/>
      <c r="I572" s="1" t="s">
        <v>1456</v>
      </c>
      <c r="J572" t="s">
        <v>4346</v>
      </c>
      <c r="K572" s="25">
        <f>Tabelle5[[#This Row],[value_present]]*Tabelle5[[#This Row],[binding_level]]</f>
        <v>0</v>
      </c>
    </row>
    <row r="573" spans="1:11" x14ac:dyDescent="0.25">
      <c r="A573" s="24">
        <v>15</v>
      </c>
      <c r="B573" s="2">
        <v>90</v>
      </c>
      <c r="C573" s="2" t="s">
        <v>147</v>
      </c>
      <c r="D573" s="3">
        <v>1</v>
      </c>
      <c r="E573" s="1">
        <v>2</v>
      </c>
      <c r="F573" t="s">
        <v>4363</v>
      </c>
      <c r="G573" t="s">
        <v>4364</v>
      </c>
      <c r="H573" t="s">
        <v>4333</v>
      </c>
      <c r="I573" s="1" t="s">
        <v>1456</v>
      </c>
      <c r="J573" t="s">
        <v>4347</v>
      </c>
      <c r="K573" s="25">
        <f>Tabelle5[[#This Row],[value_present]]*Tabelle5[[#This Row],[binding_level]]</f>
        <v>2</v>
      </c>
    </row>
    <row r="574" spans="1:11" x14ac:dyDescent="0.25">
      <c r="A574" s="24">
        <v>15</v>
      </c>
      <c r="B574" s="2">
        <v>90</v>
      </c>
      <c r="C574" s="2" t="s">
        <v>154</v>
      </c>
      <c r="D574" s="3">
        <v>1</v>
      </c>
      <c r="E574" s="1">
        <v>2</v>
      </c>
      <c r="F574" t="s">
        <v>4365</v>
      </c>
      <c r="G574" t="s">
        <v>4366</v>
      </c>
      <c r="H574" t="s">
        <v>4333</v>
      </c>
      <c r="I574" s="1" t="s">
        <v>1457</v>
      </c>
      <c r="J574" t="s">
        <v>4348</v>
      </c>
      <c r="K574" s="25">
        <f>Tabelle5[[#This Row],[value_present]]*Tabelle5[[#This Row],[binding_level]]</f>
        <v>2</v>
      </c>
    </row>
    <row r="575" spans="1:11" x14ac:dyDescent="0.25">
      <c r="A575" s="24">
        <v>15</v>
      </c>
      <c r="B575" s="2">
        <v>90</v>
      </c>
      <c r="C575" s="2" t="s">
        <v>161</v>
      </c>
      <c r="D575" s="3">
        <v>0</v>
      </c>
      <c r="E575" s="1"/>
      <c r="I575" s="1" t="s">
        <v>1457</v>
      </c>
      <c r="J575" t="s">
        <v>4349</v>
      </c>
      <c r="K575" s="25">
        <f>Tabelle5[[#This Row],[value_present]]*Tabelle5[[#This Row],[binding_level]]</f>
        <v>0</v>
      </c>
    </row>
    <row r="576" spans="1:11" x14ac:dyDescent="0.25">
      <c r="A576" s="24">
        <v>15</v>
      </c>
      <c r="B576" s="2">
        <v>90</v>
      </c>
      <c r="C576" s="2" t="s">
        <v>166</v>
      </c>
      <c r="D576" s="3">
        <v>0</v>
      </c>
      <c r="E576" s="1"/>
      <c r="I576" s="1" t="s">
        <v>1456</v>
      </c>
      <c r="J576" t="s">
        <v>4350</v>
      </c>
      <c r="K576" s="25">
        <f>Tabelle5[[#This Row],[value_present]]*Tabelle5[[#This Row],[binding_level]]</f>
        <v>0</v>
      </c>
    </row>
    <row r="577" spans="1:11" ht="15.75" thickBot="1" x14ac:dyDescent="0.3">
      <c r="A577" s="26">
        <v>15</v>
      </c>
      <c r="B577" s="27">
        <v>90</v>
      </c>
      <c r="C577" s="27" t="s">
        <v>174</v>
      </c>
      <c r="D577" s="28">
        <v>0</v>
      </c>
      <c r="E577" s="29"/>
      <c r="F577" s="30"/>
      <c r="G577" s="30"/>
      <c r="H577" s="30"/>
      <c r="I577" s="29" t="s">
        <v>1457</v>
      </c>
      <c r="J577" s="30" t="s">
        <v>4351</v>
      </c>
      <c r="K577" s="31">
        <f>Tabelle5[[#This Row],[value_present]]*Tabelle5[[#This Row],[binding_level]]</f>
        <v>0</v>
      </c>
    </row>
    <row r="578" spans="1:11" x14ac:dyDescent="0.25">
      <c r="A578" s="18">
        <v>15</v>
      </c>
      <c r="B578" s="19">
        <v>91</v>
      </c>
      <c r="C578" s="19" t="s">
        <v>53</v>
      </c>
      <c r="D578" s="20">
        <v>0</v>
      </c>
      <c r="E578" s="21"/>
      <c r="F578" s="22"/>
      <c r="G578" s="22"/>
      <c r="H578" s="22"/>
      <c r="I578" s="21" t="s">
        <v>1457</v>
      </c>
      <c r="J578" s="22" t="s">
        <v>4415</v>
      </c>
      <c r="K578" s="23">
        <f>Tabelle5[[#This Row],[value_present]]*Tabelle5[[#This Row],[binding_level]]</f>
        <v>0</v>
      </c>
    </row>
    <row r="579" spans="1:11" x14ac:dyDescent="0.25">
      <c r="A579" s="24">
        <v>15</v>
      </c>
      <c r="B579" s="2">
        <v>91</v>
      </c>
      <c r="C579" s="2" t="s">
        <v>61</v>
      </c>
      <c r="D579" s="3">
        <v>0</v>
      </c>
      <c r="E579" s="1"/>
      <c r="I579" s="1" t="s">
        <v>1457</v>
      </c>
      <c r="J579" t="s">
        <v>4416</v>
      </c>
      <c r="K579" s="25">
        <f>Tabelle5[[#This Row],[value_present]]*Tabelle5[[#This Row],[binding_level]]</f>
        <v>0</v>
      </c>
    </row>
    <row r="580" spans="1:11" x14ac:dyDescent="0.25">
      <c r="A580" s="24">
        <v>15</v>
      </c>
      <c r="B580" s="2">
        <v>91</v>
      </c>
      <c r="C580" s="2" t="s">
        <v>69</v>
      </c>
      <c r="D580" s="3">
        <v>0</v>
      </c>
      <c r="E580" s="1"/>
      <c r="I580" s="1" t="s">
        <v>1456</v>
      </c>
      <c r="J580" t="s">
        <v>4417</v>
      </c>
      <c r="K580" s="25">
        <f>Tabelle5[[#This Row],[value_present]]*Tabelle5[[#This Row],[binding_level]]</f>
        <v>0</v>
      </c>
    </row>
    <row r="581" spans="1:11" x14ac:dyDescent="0.25">
      <c r="A581" s="24">
        <v>15</v>
      </c>
      <c r="B581" s="2">
        <v>91</v>
      </c>
      <c r="C581" s="2" t="s">
        <v>76</v>
      </c>
      <c r="D581" s="3">
        <v>0</v>
      </c>
      <c r="E581" s="1"/>
      <c r="I581" s="1" t="s">
        <v>1456</v>
      </c>
      <c r="J581" t="s">
        <v>4418</v>
      </c>
      <c r="K581" s="25">
        <f>Tabelle5[[#This Row],[value_present]]*Tabelle5[[#This Row],[binding_level]]</f>
        <v>0</v>
      </c>
    </row>
    <row r="582" spans="1:11" x14ac:dyDescent="0.25">
      <c r="A582" s="24">
        <v>15</v>
      </c>
      <c r="B582" s="2">
        <v>91</v>
      </c>
      <c r="C582" s="2" t="s">
        <v>83</v>
      </c>
      <c r="D582" s="3">
        <v>0</v>
      </c>
      <c r="E582" s="1"/>
      <c r="I582" s="1" t="s">
        <v>1456</v>
      </c>
      <c r="J582" t="s">
        <v>4419</v>
      </c>
      <c r="K582" s="25">
        <f>Tabelle5[[#This Row],[value_present]]*Tabelle5[[#This Row],[binding_level]]</f>
        <v>0</v>
      </c>
    </row>
    <row r="583" spans="1:11" x14ac:dyDescent="0.25">
      <c r="A583" s="24">
        <v>15</v>
      </c>
      <c r="B583" s="2">
        <v>91</v>
      </c>
      <c r="C583" s="2" t="s">
        <v>90</v>
      </c>
      <c r="D583" s="3">
        <v>1</v>
      </c>
      <c r="E583" s="1">
        <v>3</v>
      </c>
      <c r="F583" t="s">
        <v>4436</v>
      </c>
      <c r="G583" t="s">
        <v>4435</v>
      </c>
      <c r="H583" t="s">
        <v>4420</v>
      </c>
      <c r="I583" s="1" t="s">
        <v>1456</v>
      </c>
      <c r="J583" t="s">
        <v>4421</v>
      </c>
      <c r="K583" s="25">
        <f>Tabelle5[[#This Row],[value_present]]*Tabelle5[[#This Row],[binding_level]]</f>
        <v>3</v>
      </c>
    </row>
    <row r="584" spans="1:11" x14ac:dyDescent="0.25">
      <c r="A584" s="24">
        <v>15</v>
      </c>
      <c r="B584" s="2">
        <v>91</v>
      </c>
      <c r="C584" s="2" t="s">
        <v>98</v>
      </c>
      <c r="D584" s="3">
        <v>0</v>
      </c>
      <c r="E584" s="1"/>
      <c r="I584" s="1" t="s">
        <v>1457</v>
      </c>
      <c r="J584" t="s">
        <v>4422</v>
      </c>
      <c r="K584" s="25">
        <f>Tabelle5[[#This Row],[value_present]]*Tabelle5[[#This Row],[binding_level]]</f>
        <v>0</v>
      </c>
    </row>
    <row r="585" spans="1:11" x14ac:dyDescent="0.25">
      <c r="A585" s="24">
        <v>15</v>
      </c>
      <c r="B585" s="2">
        <v>91</v>
      </c>
      <c r="C585" s="2" t="s">
        <v>106</v>
      </c>
      <c r="D585" s="3">
        <v>0</v>
      </c>
      <c r="E585" s="1"/>
      <c r="I585" s="1" t="s">
        <v>1456</v>
      </c>
      <c r="J585" t="s">
        <v>4423</v>
      </c>
      <c r="K585" s="25">
        <f>Tabelle5[[#This Row],[value_present]]*Tabelle5[[#This Row],[binding_level]]</f>
        <v>0</v>
      </c>
    </row>
    <row r="586" spans="1:11" x14ac:dyDescent="0.25">
      <c r="A586" s="24">
        <v>15</v>
      </c>
      <c r="B586" s="2">
        <v>91</v>
      </c>
      <c r="C586" s="2" t="s">
        <v>112</v>
      </c>
      <c r="D586" s="3">
        <v>0</v>
      </c>
      <c r="E586" s="1"/>
      <c r="I586" s="1" t="s">
        <v>1456</v>
      </c>
      <c r="J586" t="s">
        <v>4424</v>
      </c>
      <c r="K586" s="25">
        <f>Tabelle5[[#This Row],[value_present]]*Tabelle5[[#This Row],[binding_level]]</f>
        <v>0</v>
      </c>
    </row>
    <row r="587" spans="1:11" x14ac:dyDescent="0.25">
      <c r="A587" s="24">
        <v>15</v>
      </c>
      <c r="B587" s="2">
        <v>91</v>
      </c>
      <c r="C587" s="2" t="s">
        <v>118</v>
      </c>
      <c r="D587" s="3">
        <v>0</v>
      </c>
      <c r="E587" s="1"/>
      <c r="I587" s="1" t="s">
        <v>1456</v>
      </c>
      <c r="J587" t="s">
        <v>4343</v>
      </c>
      <c r="K587" s="25">
        <f>Tabelle5[[#This Row],[value_present]]*Tabelle5[[#This Row],[binding_level]]</f>
        <v>0</v>
      </c>
    </row>
    <row r="588" spans="1:11" x14ac:dyDescent="0.25">
      <c r="A588" s="24">
        <v>15</v>
      </c>
      <c r="B588" s="2">
        <v>91</v>
      </c>
      <c r="C588" s="2" t="s">
        <v>125</v>
      </c>
      <c r="D588" s="3">
        <v>0</v>
      </c>
      <c r="E588" s="1"/>
      <c r="I588" s="1" t="s">
        <v>1456</v>
      </c>
      <c r="J588" t="s">
        <v>4425</v>
      </c>
      <c r="K588" s="25">
        <f>Tabelle5[[#This Row],[value_present]]*Tabelle5[[#This Row],[binding_level]]</f>
        <v>0</v>
      </c>
    </row>
    <row r="589" spans="1:11" x14ac:dyDescent="0.25">
      <c r="A589" s="24">
        <v>15</v>
      </c>
      <c r="B589" s="2">
        <v>91</v>
      </c>
      <c r="C589" s="2" t="s">
        <v>132</v>
      </c>
      <c r="D589" s="3">
        <v>0</v>
      </c>
      <c r="E589" s="1"/>
      <c r="I589" s="1" t="s">
        <v>1456</v>
      </c>
      <c r="J589" t="s">
        <v>4426</v>
      </c>
      <c r="K589" s="25">
        <f>Tabelle5[[#This Row],[value_present]]*Tabelle5[[#This Row],[binding_level]]</f>
        <v>0</v>
      </c>
    </row>
    <row r="590" spans="1:11" x14ac:dyDescent="0.25">
      <c r="A590" s="24">
        <v>15</v>
      </c>
      <c r="B590" s="2">
        <v>91</v>
      </c>
      <c r="C590" s="2" t="s">
        <v>140</v>
      </c>
      <c r="D590" s="3">
        <v>0</v>
      </c>
      <c r="E590" s="1"/>
      <c r="I590" s="1" t="s">
        <v>1457</v>
      </c>
      <c r="J590" t="s">
        <v>4427</v>
      </c>
      <c r="K590" s="25">
        <f>Tabelle5[[#This Row],[value_present]]*Tabelle5[[#This Row],[binding_level]]</f>
        <v>0</v>
      </c>
    </row>
    <row r="591" spans="1:11" x14ac:dyDescent="0.25">
      <c r="A591" s="24">
        <v>15</v>
      </c>
      <c r="B591" s="2">
        <v>91</v>
      </c>
      <c r="C591" s="2" t="s">
        <v>147</v>
      </c>
      <c r="D591" s="3">
        <v>1</v>
      </c>
      <c r="E591" s="1">
        <v>3</v>
      </c>
      <c r="F591" t="s">
        <v>4438</v>
      </c>
      <c r="G591" t="s">
        <v>4437</v>
      </c>
      <c r="H591" t="s">
        <v>4428</v>
      </c>
      <c r="I591" s="1" t="s">
        <v>1456</v>
      </c>
      <c r="J591" t="s">
        <v>4429</v>
      </c>
      <c r="K591" s="25">
        <f>Tabelle5[[#This Row],[value_present]]*Tabelle5[[#This Row],[binding_level]]</f>
        <v>3</v>
      </c>
    </row>
    <row r="592" spans="1:11" x14ac:dyDescent="0.25">
      <c r="A592" s="24">
        <v>15</v>
      </c>
      <c r="B592" s="2">
        <v>91</v>
      </c>
      <c r="C592" s="2" t="s">
        <v>154</v>
      </c>
      <c r="D592" s="3">
        <v>1</v>
      </c>
      <c r="E592" s="1">
        <v>3</v>
      </c>
      <c r="F592" t="s">
        <v>4440</v>
      </c>
      <c r="G592" t="s">
        <v>4439</v>
      </c>
      <c r="H592" t="s">
        <v>4430</v>
      </c>
      <c r="I592" s="1" t="s">
        <v>1456</v>
      </c>
      <c r="J592" t="s">
        <v>4431</v>
      </c>
      <c r="K592" s="25">
        <f>Tabelle5[[#This Row],[value_present]]*Tabelle5[[#This Row],[binding_level]]</f>
        <v>3</v>
      </c>
    </row>
    <row r="593" spans="1:11" x14ac:dyDescent="0.25">
      <c r="A593" s="24">
        <v>15</v>
      </c>
      <c r="B593" s="2">
        <v>91</v>
      </c>
      <c r="C593" s="2" t="s">
        <v>161</v>
      </c>
      <c r="D593" s="3">
        <v>0</v>
      </c>
      <c r="E593" s="1"/>
      <c r="I593" s="1" t="s">
        <v>1457</v>
      </c>
      <c r="J593" t="s">
        <v>4432</v>
      </c>
      <c r="K593" s="25">
        <f>Tabelle5[[#This Row],[value_present]]*Tabelle5[[#This Row],[binding_level]]</f>
        <v>0</v>
      </c>
    </row>
    <row r="594" spans="1:11" x14ac:dyDescent="0.25">
      <c r="A594" s="24">
        <v>15</v>
      </c>
      <c r="B594" s="2">
        <v>91</v>
      </c>
      <c r="C594" s="2" t="s">
        <v>166</v>
      </c>
      <c r="D594" s="3">
        <v>0</v>
      </c>
      <c r="E594" s="1"/>
      <c r="I594" s="1" t="s">
        <v>1456</v>
      </c>
      <c r="J594" t="s">
        <v>4433</v>
      </c>
      <c r="K594" s="25">
        <f>Tabelle5[[#This Row],[value_present]]*Tabelle5[[#This Row],[binding_level]]</f>
        <v>0</v>
      </c>
    </row>
    <row r="595" spans="1:11" ht="15.75" thickBot="1" x14ac:dyDescent="0.3">
      <c r="A595" s="26">
        <v>15</v>
      </c>
      <c r="B595" s="27">
        <v>91</v>
      </c>
      <c r="C595" s="27" t="s">
        <v>174</v>
      </c>
      <c r="D595" s="28">
        <v>0</v>
      </c>
      <c r="E595" s="29"/>
      <c r="F595" s="30"/>
      <c r="G595" s="30"/>
      <c r="H595" s="30"/>
      <c r="I595" s="29" t="s">
        <v>1457</v>
      </c>
      <c r="J595" s="30" t="s">
        <v>4434</v>
      </c>
      <c r="K595" s="31">
        <f>Tabelle5[[#This Row],[value_present]]*Tabelle5[[#This Row],[binding_level]]</f>
        <v>0</v>
      </c>
    </row>
    <row r="596" spans="1:11" x14ac:dyDescent="0.25">
      <c r="A596" s="18">
        <v>15</v>
      </c>
      <c r="B596" s="19">
        <v>92</v>
      </c>
      <c r="C596" s="19" t="s">
        <v>53</v>
      </c>
      <c r="D596" s="20">
        <v>0</v>
      </c>
      <c r="E596" s="21"/>
      <c r="F596" s="22"/>
      <c r="G596" s="22"/>
      <c r="H596" s="22"/>
      <c r="I596" s="21" t="s">
        <v>1456</v>
      </c>
      <c r="J596" s="22" t="s">
        <v>4472</v>
      </c>
      <c r="K596" s="23">
        <f>Tabelle5[[#This Row],[value_present]]*Tabelle5[[#This Row],[binding_level]]</f>
        <v>0</v>
      </c>
    </row>
    <row r="597" spans="1:11" x14ac:dyDescent="0.25">
      <c r="A597" s="24">
        <v>15</v>
      </c>
      <c r="B597" s="2">
        <v>92</v>
      </c>
      <c r="C597" s="2" t="s">
        <v>61</v>
      </c>
      <c r="D597" s="3">
        <v>0</v>
      </c>
      <c r="E597" s="1"/>
      <c r="I597" s="1" t="s">
        <v>1457</v>
      </c>
      <c r="J597" t="s">
        <v>4473</v>
      </c>
      <c r="K597" s="25">
        <f>Tabelle5[[#This Row],[value_present]]*Tabelle5[[#This Row],[binding_level]]</f>
        <v>0</v>
      </c>
    </row>
    <row r="598" spans="1:11" x14ac:dyDescent="0.25">
      <c r="A598" s="24">
        <v>15</v>
      </c>
      <c r="B598" s="2">
        <v>92</v>
      </c>
      <c r="C598" s="2" t="s">
        <v>69</v>
      </c>
      <c r="D598" s="3">
        <v>1</v>
      </c>
      <c r="E598" s="1">
        <v>1</v>
      </c>
      <c r="F598" t="s">
        <v>4489</v>
      </c>
      <c r="G598" t="s">
        <v>4490</v>
      </c>
      <c r="H598" t="s">
        <v>2700</v>
      </c>
      <c r="I598" s="1" t="s">
        <v>1457</v>
      </c>
      <c r="J598" t="s">
        <v>4474</v>
      </c>
      <c r="K598" s="25">
        <f>Tabelle5[[#This Row],[value_present]]*Tabelle5[[#This Row],[binding_level]]</f>
        <v>1</v>
      </c>
    </row>
    <row r="599" spans="1:11" x14ac:dyDescent="0.25">
      <c r="A599" s="24">
        <v>15</v>
      </c>
      <c r="B599" s="2">
        <v>92</v>
      </c>
      <c r="C599" s="2" t="s">
        <v>76</v>
      </c>
      <c r="D599" s="3">
        <v>0</v>
      </c>
      <c r="E599" s="1"/>
      <c r="I599" s="1" t="s">
        <v>1456</v>
      </c>
      <c r="J599" t="s">
        <v>4418</v>
      </c>
      <c r="K599" s="25">
        <f>Tabelle5[[#This Row],[value_present]]*Tabelle5[[#This Row],[binding_level]]</f>
        <v>0</v>
      </c>
    </row>
    <row r="600" spans="1:11" x14ac:dyDescent="0.25">
      <c r="A600" s="24">
        <v>15</v>
      </c>
      <c r="B600" s="2">
        <v>92</v>
      </c>
      <c r="C600" s="2" t="s">
        <v>83</v>
      </c>
      <c r="D600" s="3">
        <v>0</v>
      </c>
      <c r="E600" s="1"/>
      <c r="I600" s="1" t="s">
        <v>1456</v>
      </c>
      <c r="J600" t="s">
        <v>4291</v>
      </c>
      <c r="K600" s="25">
        <f>Tabelle5[[#This Row],[value_present]]*Tabelle5[[#This Row],[binding_level]]</f>
        <v>0</v>
      </c>
    </row>
    <row r="601" spans="1:11" x14ac:dyDescent="0.25">
      <c r="A601" s="24">
        <v>15</v>
      </c>
      <c r="B601" s="2">
        <v>92</v>
      </c>
      <c r="C601" s="2" t="s">
        <v>90</v>
      </c>
      <c r="D601" s="3">
        <v>1</v>
      </c>
      <c r="E601" s="1">
        <v>3</v>
      </c>
      <c r="F601" t="s">
        <v>4491</v>
      </c>
      <c r="G601" t="s">
        <v>4492</v>
      </c>
      <c r="H601" t="s">
        <v>4475</v>
      </c>
      <c r="I601" s="1" t="s">
        <v>1456</v>
      </c>
      <c r="J601" t="s">
        <v>4476</v>
      </c>
      <c r="K601" s="25">
        <f>Tabelle5[[#This Row],[value_present]]*Tabelle5[[#This Row],[binding_level]]</f>
        <v>3</v>
      </c>
    </row>
    <row r="602" spans="1:11" x14ac:dyDescent="0.25">
      <c r="A602" s="24">
        <v>15</v>
      </c>
      <c r="B602" s="2">
        <v>92</v>
      </c>
      <c r="C602" s="2" t="s">
        <v>98</v>
      </c>
      <c r="D602" s="3">
        <v>1</v>
      </c>
      <c r="E602" s="1">
        <v>3</v>
      </c>
      <c r="F602" t="s">
        <v>4493</v>
      </c>
      <c r="G602" t="s">
        <v>4492</v>
      </c>
      <c r="H602" t="s">
        <v>4475</v>
      </c>
      <c r="I602" s="1" t="s">
        <v>1456</v>
      </c>
      <c r="J602" t="s">
        <v>4477</v>
      </c>
      <c r="K602" s="25">
        <f>Tabelle5[[#This Row],[value_present]]*Tabelle5[[#This Row],[binding_level]]</f>
        <v>3</v>
      </c>
    </row>
    <row r="603" spans="1:11" x14ac:dyDescent="0.25">
      <c r="A603" s="24">
        <v>15</v>
      </c>
      <c r="B603" s="2">
        <v>92</v>
      </c>
      <c r="C603" s="2" t="s">
        <v>106</v>
      </c>
      <c r="D603" s="3">
        <v>1</v>
      </c>
      <c r="E603" s="1">
        <v>1</v>
      </c>
      <c r="F603" t="s">
        <v>4494</v>
      </c>
      <c r="G603" t="s">
        <v>4490</v>
      </c>
      <c r="H603" t="s">
        <v>2700</v>
      </c>
      <c r="I603" s="1" t="s">
        <v>1457</v>
      </c>
      <c r="J603" t="s">
        <v>4478</v>
      </c>
      <c r="K603" s="25">
        <f>Tabelle5[[#This Row],[value_present]]*Tabelle5[[#This Row],[binding_level]]</f>
        <v>1</v>
      </c>
    </row>
    <row r="604" spans="1:11" x14ac:dyDescent="0.25">
      <c r="A604" s="24">
        <v>15</v>
      </c>
      <c r="B604" s="2">
        <v>92</v>
      </c>
      <c r="C604" s="2" t="s">
        <v>112</v>
      </c>
      <c r="D604" s="3">
        <v>0</v>
      </c>
      <c r="E604" s="1"/>
      <c r="I604" s="1" t="s">
        <v>1456</v>
      </c>
      <c r="J604" t="s">
        <v>4424</v>
      </c>
      <c r="K604" s="25">
        <f>Tabelle5[[#This Row],[value_present]]*Tabelle5[[#This Row],[binding_level]]</f>
        <v>0</v>
      </c>
    </row>
    <row r="605" spans="1:11" x14ac:dyDescent="0.25">
      <c r="A605" s="24">
        <v>15</v>
      </c>
      <c r="B605" s="2">
        <v>92</v>
      </c>
      <c r="C605" s="2" t="s">
        <v>118</v>
      </c>
      <c r="D605" s="3">
        <v>0</v>
      </c>
      <c r="E605" s="1"/>
      <c r="I605" s="1" t="s">
        <v>1456</v>
      </c>
      <c r="J605" t="s">
        <v>4479</v>
      </c>
      <c r="K605" s="25">
        <f>Tabelle5[[#This Row],[value_present]]*Tabelle5[[#This Row],[binding_level]]</f>
        <v>0</v>
      </c>
    </row>
    <row r="606" spans="1:11" x14ac:dyDescent="0.25">
      <c r="A606" s="24">
        <v>15</v>
      </c>
      <c r="B606" s="2">
        <v>92</v>
      </c>
      <c r="C606" s="2" t="s">
        <v>125</v>
      </c>
      <c r="D606" s="3">
        <v>0</v>
      </c>
      <c r="E606" s="1"/>
      <c r="I606" s="1" t="s">
        <v>1456</v>
      </c>
      <c r="J606" t="s">
        <v>4117</v>
      </c>
      <c r="K606" s="25">
        <f>Tabelle5[[#This Row],[value_present]]*Tabelle5[[#This Row],[binding_level]]</f>
        <v>0</v>
      </c>
    </row>
    <row r="607" spans="1:11" x14ac:dyDescent="0.25">
      <c r="A607" s="24">
        <v>15</v>
      </c>
      <c r="B607" s="2">
        <v>92</v>
      </c>
      <c r="C607" s="2" t="s">
        <v>132</v>
      </c>
      <c r="D607" s="3">
        <v>0</v>
      </c>
      <c r="E607" s="1"/>
      <c r="I607" s="1" t="s">
        <v>1456</v>
      </c>
      <c r="J607" t="s">
        <v>4480</v>
      </c>
      <c r="K607" s="25">
        <f>Tabelle5[[#This Row],[value_present]]*Tabelle5[[#This Row],[binding_level]]</f>
        <v>0</v>
      </c>
    </row>
    <row r="608" spans="1:11" x14ac:dyDescent="0.25">
      <c r="A608" s="24">
        <v>15</v>
      </c>
      <c r="B608" s="2">
        <v>92</v>
      </c>
      <c r="C608" s="2" t="s">
        <v>140</v>
      </c>
      <c r="D608" s="3">
        <v>0</v>
      </c>
      <c r="E608" s="1"/>
      <c r="I608" s="1" t="s">
        <v>1457</v>
      </c>
      <c r="J608" t="s">
        <v>4481</v>
      </c>
      <c r="K608" s="25">
        <f>Tabelle5[[#This Row],[value_present]]*Tabelle5[[#This Row],[binding_level]]</f>
        <v>0</v>
      </c>
    </row>
    <row r="609" spans="1:11" x14ac:dyDescent="0.25">
      <c r="A609" s="24">
        <v>15</v>
      </c>
      <c r="B609" s="2">
        <v>92</v>
      </c>
      <c r="C609" s="2" t="s">
        <v>147</v>
      </c>
      <c r="D609" s="3">
        <v>1</v>
      </c>
      <c r="E609" s="1">
        <v>3</v>
      </c>
      <c r="F609" t="s">
        <v>4496</v>
      </c>
      <c r="G609" t="s">
        <v>4495</v>
      </c>
      <c r="H609" t="s">
        <v>4482</v>
      </c>
      <c r="I609" s="1" t="s">
        <v>1456</v>
      </c>
      <c r="J609" t="s">
        <v>4483</v>
      </c>
      <c r="K609" s="25">
        <f>Tabelle5[[#This Row],[value_present]]*Tabelle5[[#This Row],[binding_level]]</f>
        <v>3</v>
      </c>
    </row>
    <row r="610" spans="1:11" x14ac:dyDescent="0.25">
      <c r="A610" s="24">
        <v>15</v>
      </c>
      <c r="B610" s="2">
        <v>92</v>
      </c>
      <c r="C610" s="2" t="s">
        <v>154</v>
      </c>
      <c r="D610" s="3">
        <v>1</v>
      </c>
      <c r="E610" s="1">
        <v>3</v>
      </c>
      <c r="F610" t="s">
        <v>4498</v>
      </c>
      <c r="G610" t="s">
        <v>4497</v>
      </c>
      <c r="H610" t="s">
        <v>4484</v>
      </c>
      <c r="I610" s="1" t="s">
        <v>1456</v>
      </c>
      <c r="J610" t="s">
        <v>4485</v>
      </c>
      <c r="K610" s="25">
        <f>Tabelle5[[#This Row],[value_present]]*Tabelle5[[#This Row],[binding_level]]</f>
        <v>3</v>
      </c>
    </row>
    <row r="611" spans="1:11" x14ac:dyDescent="0.25">
      <c r="A611" s="24">
        <v>15</v>
      </c>
      <c r="B611" s="2">
        <v>92</v>
      </c>
      <c r="C611" s="2" t="s">
        <v>161</v>
      </c>
      <c r="D611" s="3">
        <v>0</v>
      </c>
      <c r="E611" s="1"/>
      <c r="I611" s="1" t="s">
        <v>1457</v>
      </c>
      <c r="J611" t="s">
        <v>4486</v>
      </c>
      <c r="K611" s="25">
        <f>Tabelle5[[#This Row],[value_present]]*Tabelle5[[#This Row],[binding_level]]</f>
        <v>0</v>
      </c>
    </row>
    <row r="612" spans="1:11" x14ac:dyDescent="0.25">
      <c r="A612" s="24">
        <v>15</v>
      </c>
      <c r="B612" s="2">
        <v>92</v>
      </c>
      <c r="C612" s="2" t="s">
        <v>166</v>
      </c>
      <c r="D612" s="3">
        <v>0</v>
      </c>
      <c r="E612" s="1"/>
      <c r="I612" s="1" t="s">
        <v>1456</v>
      </c>
      <c r="J612" t="s">
        <v>4487</v>
      </c>
      <c r="K612" s="25">
        <f>Tabelle5[[#This Row],[value_present]]*Tabelle5[[#This Row],[binding_level]]</f>
        <v>0</v>
      </c>
    </row>
    <row r="613" spans="1:11" ht="15.75" thickBot="1" x14ac:dyDescent="0.3">
      <c r="A613" s="26">
        <v>15</v>
      </c>
      <c r="B613" s="27">
        <v>92</v>
      </c>
      <c r="C613" s="27" t="s">
        <v>174</v>
      </c>
      <c r="D613" s="28">
        <v>0</v>
      </c>
      <c r="E613" s="29"/>
      <c r="F613" s="30"/>
      <c r="G613" s="30"/>
      <c r="H613" s="30"/>
      <c r="I613" s="29" t="s">
        <v>1457</v>
      </c>
      <c r="J613" s="30" t="s">
        <v>4488</v>
      </c>
      <c r="K613" s="31">
        <f>Tabelle5[[#This Row],[value_present]]*Tabelle5[[#This Row],[binding_level]]</f>
        <v>0</v>
      </c>
    </row>
    <row r="614" spans="1:11" x14ac:dyDescent="0.25">
      <c r="A614" s="18">
        <v>15</v>
      </c>
      <c r="B614" s="19">
        <v>93</v>
      </c>
      <c r="C614" s="19" t="s">
        <v>53</v>
      </c>
      <c r="D614" s="20">
        <v>1</v>
      </c>
      <c r="E614" s="21">
        <v>2</v>
      </c>
      <c r="F614" t="s">
        <v>4553</v>
      </c>
      <c r="G614" t="s">
        <v>4552</v>
      </c>
      <c r="H614" s="22" t="s">
        <v>4517</v>
      </c>
      <c r="I614" s="21" t="s">
        <v>1456</v>
      </c>
      <c r="J614" s="22" t="s">
        <v>4518</v>
      </c>
      <c r="K614" s="23">
        <f>Tabelle5[[#This Row],[value_present]]*Tabelle5[[#This Row],[binding_level]]</f>
        <v>2</v>
      </c>
    </row>
    <row r="615" spans="1:11" x14ac:dyDescent="0.25">
      <c r="A615" s="24">
        <v>15</v>
      </c>
      <c r="B615" s="2">
        <v>93</v>
      </c>
      <c r="C615" s="2" t="s">
        <v>61</v>
      </c>
      <c r="D615" s="3">
        <v>1</v>
      </c>
      <c r="E615" s="1">
        <v>2</v>
      </c>
      <c r="F615" t="s">
        <v>4555</v>
      </c>
      <c r="G615" t="s">
        <v>4554</v>
      </c>
      <c r="H615" t="s">
        <v>4519</v>
      </c>
      <c r="I615" s="1" t="s">
        <v>1456</v>
      </c>
      <c r="J615" t="s">
        <v>4520</v>
      </c>
      <c r="K615" s="25">
        <f>Tabelle5[[#This Row],[value_present]]*Tabelle5[[#This Row],[binding_level]]</f>
        <v>2</v>
      </c>
    </row>
    <row r="616" spans="1:11" x14ac:dyDescent="0.25">
      <c r="A616" s="24">
        <v>15</v>
      </c>
      <c r="B616" s="2">
        <v>93</v>
      </c>
      <c r="C616" s="2" t="s">
        <v>69</v>
      </c>
      <c r="D616" s="3">
        <v>1</v>
      </c>
      <c r="E616" s="1">
        <v>2</v>
      </c>
      <c r="F616" t="s">
        <v>4556</v>
      </c>
      <c r="G616" t="s">
        <v>4557</v>
      </c>
      <c r="H616" t="s">
        <v>4521</v>
      </c>
      <c r="I616" s="1" t="s">
        <v>1456</v>
      </c>
      <c r="J616" t="s">
        <v>4522</v>
      </c>
      <c r="K616" s="25">
        <f>Tabelle5[[#This Row],[value_present]]*Tabelle5[[#This Row],[binding_level]]</f>
        <v>2</v>
      </c>
    </row>
    <row r="617" spans="1:11" x14ac:dyDescent="0.25">
      <c r="A617" s="24">
        <v>15</v>
      </c>
      <c r="B617" s="2">
        <v>93</v>
      </c>
      <c r="C617" s="2" t="s">
        <v>76</v>
      </c>
      <c r="D617" s="3">
        <v>1</v>
      </c>
      <c r="E617" s="1">
        <v>1</v>
      </c>
      <c r="F617" t="s">
        <v>4544</v>
      </c>
      <c r="G617" t="s">
        <v>4545</v>
      </c>
      <c r="H617" t="s">
        <v>4523</v>
      </c>
      <c r="I617" s="1" t="s">
        <v>1457</v>
      </c>
      <c r="J617" t="s">
        <v>4524</v>
      </c>
      <c r="K617" s="25">
        <f>Tabelle5[[#This Row],[value_present]]*Tabelle5[[#This Row],[binding_level]]</f>
        <v>1</v>
      </c>
    </row>
    <row r="618" spans="1:11" x14ac:dyDescent="0.25">
      <c r="A618" s="24">
        <v>15</v>
      </c>
      <c r="B618" s="2">
        <v>93</v>
      </c>
      <c r="C618" s="2" t="s">
        <v>83</v>
      </c>
      <c r="D618" s="3">
        <v>0</v>
      </c>
      <c r="E618" s="1"/>
      <c r="I618" s="1" t="s">
        <v>1541</v>
      </c>
      <c r="J618" t="s">
        <v>4525</v>
      </c>
      <c r="K618" s="25">
        <f>Tabelle5[[#This Row],[value_present]]*Tabelle5[[#This Row],[binding_level]]</f>
        <v>0</v>
      </c>
    </row>
    <row r="619" spans="1:11" x14ac:dyDescent="0.25">
      <c r="A619" s="24">
        <v>15</v>
      </c>
      <c r="B619" s="2">
        <v>93</v>
      </c>
      <c r="C619" s="2" t="s">
        <v>90</v>
      </c>
      <c r="D619" s="3">
        <v>1</v>
      </c>
      <c r="E619" s="1">
        <v>3</v>
      </c>
      <c r="F619" t="s">
        <v>4559</v>
      </c>
      <c r="G619" t="s">
        <v>4558</v>
      </c>
      <c r="H619" t="s">
        <v>4519</v>
      </c>
      <c r="I619" s="1" t="s">
        <v>1456</v>
      </c>
      <c r="J619" t="s">
        <v>4526</v>
      </c>
      <c r="K619" s="25">
        <f>Tabelle5[[#This Row],[value_present]]*Tabelle5[[#This Row],[binding_level]]</f>
        <v>3</v>
      </c>
    </row>
    <row r="620" spans="1:11" x14ac:dyDescent="0.25">
      <c r="A620" s="24">
        <v>15</v>
      </c>
      <c r="B620" s="2">
        <v>93</v>
      </c>
      <c r="C620" s="2" t="s">
        <v>98</v>
      </c>
      <c r="D620" s="3">
        <v>0</v>
      </c>
      <c r="E620" s="1"/>
      <c r="I620" s="1" t="s">
        <v>1457</v>
      </c>
      <c r="J620" t="s">
        <v>4527</v>
      </c>
      <c r="K620" s="25">
        <f>Tabelle5[[#This Row],[value_present]]*Tabelle5[[#This Row],[binding_level]]</f>
        <v>0</v>
      </c>
    </row>
    <row r="621" spans="1:11" x14ac:dyDescent="0.25">
      <c r="A621" s="24">
        <v>15</v>
      </c>
      <c r="B621" s="2">
        <v>93</v>
      </c>
      <c r="C621" s="2" t="s">
        <v>106</v>
      </c>
      <c r="D621" s="3">
        <v>1</v>
      </c>
      <c r="E621" s="1">
        <v>1</v>
      </c>
      <c r="F621" t="s">
        <v>4546</v>
      </c>
      <c r="G621" t="s">
        <v>4547</v>
      </c>
      <c r="H621" t="s">
        <v>4528</v>
      </c>
      <c r="I621" s="1" t="s">
        <v>1457</v>
      </c>
      <c r="J621" t="s">
        <v>4529</v>
      </c>
      <c r="K621" s="25">
        <f>Tabelle5[[#This Row],[value_present]]*Tabelle5[[#This Row],[binding_level]]</f>
        <v>1</v>
      </c>
    </row>
    <row r="622" spans="1:11" x14ac:dyDescent="0.25">
      <c r="A622" s="24">
        <v>15</v>
      </c>
      <c r="B622" s="2">
        <v>93</v>
      </c>
      <c r="C622" s="2" t="s">
        <v>112</v>
      </c>
      <c r="D622" s="3">
        <v>1</v>
      </c>
      <c r="E622" s="1">
        <v>1</v>
      </c>
      <c r="F622" t="s">
        <v>4548</v>
      </c>
      <c r="G622" t="s">
        <v>4549</v>
      </c>
      <c r="H622" t="s">
        <v>4530</v>
      </c>
      <c r="I622" s="1" t="s">
        <v>1541</v>
      </c>
      <c r="J622" t="s">
        <v>4531</v>
      </c>
      <c r="K622" s="25">
        <f>Tabelle5[[#This Row],[value_present]]*Tabelle5[[#This Row],[binding_level]]</f>
        <v>1</v>
      </c>
    </row>
    <row r="623" spans="1:11" x14ac:dyDescent="0.25">
      <c r="A623" s="24">
        <v>15</v>
      </c>
      <c r="B623" s="2">
        <v>93</v>
      </c>
      <c r="C623" s="2" t="s">
        <v>118</v>
      </c>
      <c r="D623" s="3">
        <v>0</v>
      </c>
      <c r="E623" s="1"/>
      <c r="I623" s="1" t="s">
        <v>1456</v>
      </c>
      <c r="J623" t="s">
        <v>4532</v>
      </c>
      <c r="K623" s="25">
        <f>Tabelle5[[#This Row],[value_present]]*Tabelle5[[#This Row],[binding_level]]</f>
        <v>0</v>
      </c>
    </row>
    <row r="624" spans="1:11" x14ac:dyDescent="0.25">
      <c r="A624" s="24">
        <v>15</v>
      </c>
      <c r="B624" s="2">
        <v>93</v>
      </c>
      <c r="C624" s="2" t="s">
        <v>125</v>
      </c>
      <c r="D624" s="3">
        <v>0</v>
      </c>
      <c r="E624" s="1"/>
      <c r="I624" s="1" t="s">
        <v>1456</v>
      </c>
      <c r="J624" t="s">
        <v>4533</v>
      </c>
      <c r="K624" s="25">
        <f>Tabelle5[[#This Row],[value_present]]*Tabelle5[[#This Row],[binding_level]]</f>
        <v>0</v>
      </c>
    </row>
    <row r="625" spans="1:11" x14ac:dyDescent="0.25">
      <c r="A625" s="24">
        <v>15</v>
      </c>
      <c r="B625" s="2">
        <v>93</v>
      </c>
      <c r="C625" s="2" t="s">
        <v>132</v>
      </c>
      <c r="D625" s="3">
        <v>0</v>
      </c>
      <c r="E625" s="1"/>
      <c r="I625" s="1" t="s">
        <v>1456</v>
      </c>
      <c r="J625" t="s">
        <v>4534</v>
      </c>
      <c r="K625" s="25">
        <f>Tabelle5[[#This Row],[value_present]]*Tabelle5[[#This Row],[binding_level]]</f>
        <v>0</v>
      </c>
    </row>
    <row r="626" spans="1:11" x14ac:dyDescent="0.25">
      <c r="A626" s="24">
        <v>15</v>
      </c>
      <c r="B626" s="2">
        <v>93</v>
      </c>
      <c r="C626" s="2" t="s">
        <v>140</v>
      </c>
      <c r="D626" s="3">
        <v>1</v>
      </c>
      <c r="E626" s="1">
        <v>1</v>
      </c>
      <c r="F626" t="s">
        <v>4561</v>
      </c>
      <c r="G626" t="s">
        <v>4560</v>
      </c>
      <c r="H626" t="s">
        <v>4535</v>
      </c>
      <c r="I626" s="1" t="s">
        <v>1457</v>
      </c>
      <c r="J626" t="s">
        <v>4536</v>
      </c>
      <c r="K626" s="25">
        <f>Tabelle5[[#This Row],[value_present]]*Tabelle5[[#This Row],[binding_level]]</f>
        <v>1</v>
      </c>
    </row>
    <row r="627" spans="1:11" x14ac:dyDescent="0.25">
      <c r="A627" s="24">
        <v>15</v>
      </c>
      <c r="B627" s="2">
        <v>93</v>
      </c>
      <c r="C627" s="2" t="s">
        <v>147</v>
      </c>
      <c r="D627" s="3">
        <v>1</v>
      </c>
      <c r="E627" s="1">
        <v>2</v>
      </c>
      <c r="F627" t="s">
        <v>4563</v>
      </c>
      <c r="G627" t="s">
        <v>4562</v>
      </c>
      <c r="H627" t="s">
        <v>4517</v>
      </c>
      <c r="I627" s="1" t="s">
        <v>1456</v>
      </c>
      <c r="J627" t="s">
        <v>4537</v>
      </c>
      <c r="K627" s="25">
        <f>Tabelle5[[#This Row],[value_present]]*Tabelle5[[#This Row],[binding_level]]</f>
        <v>2</v>
      </c>
    </row>
    <row r="628" spans="1:11" x14ac:dyDescent="0.25">
      <c r="A628" s="24">
        <v>15</v>
      </c>
      <c r="B628" s="2">
        <v>93</v>
      </c>
      <c r="C628" s="2" t="s">
        <v>154</v>
      </c>
      <c r="D628" s="3">
        <v>1</v>
      </c>
      <c r="E628" s="1">
        <v>2</v>
      </c>
      <c r="F628" t="s">
        <v>4565</v>
      </c>
      <c r="G628" t="s">
        <v>4564</v>
      </c>
      <c r="H628" t="s">
        <v>4538</v>
      </c>
      <c r="I628" s="1" t="s">
        <v>1457</v>
      </c>
      <c r="J628" t="s">
        <v>4539</v>
      </c>
      <c r="K628" s="25">
        <f>Tabelle5[[#This Row],[value_present]]*Tabelle5[[#This Row],[binding_level]]</f>
        <v>2</v>
      </c>
    </row>
    <row r="629" spans="1:11" x14ac:dyDescent="0.25">
      <c r="A629" s="24">
        <v>15</v>
      </c>
      <c r="B629" s="2">
        <v>93</v>
      </c>
      <c r="C629" s="2" t="s">
        <v>161</v>
      </c>
      <c r="D629" s="3">
        <v>0</v>
      </c>
      <c r="E629" s="1"/>
      <c r="I629" s="1" t="s">
        <v>1457</v>
      </c>
      <c r="J629" t="s">
        <v>4540</v>
      </c>
      <c r="K629" s="25">
        <f>Tabelle5[[#This Row],[value_present]]*Tabelle5[[#This Row],[binding_level]]</f>
        <v>0</v>
      </c>
    </row>
    <row r="630" spans="1:11" x14ac:dyDescent="0.25">
      <c r="A630" s="24">
        <v>15</v>
      </c>
      <c r="B630" s="2">
        <v>93</v>
      </c>
      <c r="C630" s="2" t="s">
        <v>166</v>
      </c>
      <c r="D630" s="3">
        <v>1</v>
      </c>
      <c r="E630" s="1">
        <v>2</v>
      </c>
      <c r="F630" t="s">
        <v>4550</v>
      </c>
      <c r="G630" t="s">
        <v>4551</v>
      </c>
      <c r="H630" t="s">
        <v>4541</v>
      </c>
      <c r="I630" s="1" t="s">
        <v>1456</v>
      </c>
      <c r="J630" t="s">
        <v>4542</v>
      </c>
      <c r="K630" s="25">
        <f>Tabelle5[[#This Row],[value_present]]*Tabelle5[[#This Row],[binding_level]]</f>
        <v>2</v>
      </c>
    </row>
    <row r="631" spans="1:11" ht="15.75" thickBot="1" x14ac:dyDescent="0.3">
      <c r="A631" s="26">
        <v>15</v>
      </c>
      <c r="B631" s="27">
        <v>93</v>
      </c>
      <c r="C631" s="27" t="s">
        <v>174</v>
      </c>
      <c r="D631" s="28">
        <v>0</v>
      </c>
      <c r="E631" s="29"/>
      <c r="F631" s="30"/>
      <c r="G631" s="30"/>
      <c r="H631" s="30"/>
      <c r="I631" s="29" t="s">
        <v>1457</v>
      </c>
      <c r="J631" s="30" t="s">
        <v>4543</v>
      </c>
      <c r="K631" s="31">
        <f>Tabelle5[[#This Row],[value_present]]*Tabelle5[[#This Row],[binding_level]]</f>
        <v>0</v>
      </c>
    </row>
    <row r="632" spans="1:11" x14ac:dyDescent="0.25">
      <c r="A632" s="18">
        <v>15</v>
      </c>
      <c r="B632" s="19">
        <v>94</v>
      </c>
      <c r="C632" s="19" t="s">
        <v>53</v>
      </c>
      <c r="D632" s="20">
        <v>1</v>
      </c>
      <c r="E632" s="21">
        <v>3</v>
      </c>
      <c r="F632" t="s">
        <v>4640</v>
      </c>
      <c r="G632" t="s">
        <v>4639</v>
      </c>
      <c r="H632" s="22" t="s">
        <v>4619</v>
      </c>
      <c r="I632" s="21" t="s">
        <v>1456</v>
      </c>
      <c r="J632" s="22" t="s">
        <v>4596</v>
      </c>
      <c r="K632" s="23">
        <f>Tabelle5[[#This Row],[value_present]]*Tabelle5[[#This Row],[binding_level]]</f>
        <v>3</v>
      </c>
    </row>
    <row r="633" spans="1:11" x14ac:dyDescent="0.25">
      <c r="A633" s="24">
        <v>15</v>
      </c>
      <c r="B633" s="2">
        <v>94</v>
      </c>
      <c r="C633" s="2" t="s">
        <v>61</v>
      </c>
      <c r="D633" s="3">
        <v>1</v>
      </c>
      <c r="E633" s="1">
        <v>3</v>
      </c>
      <c r="F633" t="s">
        <v>4642</v>
      </c>
      <c r="G633" t="s">
        <v>4641</v>
      </c>
      <c r="H633" t="s">
        <v>4618</v>
      </c>
      <c r="I633" s="1" t="s">
        <v>1456</v>
      </c>
      <c r="J633" t="s">
        <v>4597</v>
      </c>
      <c r="K633" s="25">
        <f>Tabelle5[[#This Row],[value_present]]*Tabelle5[[#This Row],[binding_level]]</f>
        <v>3</v>
      </c>
    </row>
    <row r="634" spans="1:11" x14ac:dyDescent="0.25">
      <c r="A634" s="24">
        <v>15</v>
      </c>
      <c r="B634" s="2">
        <v>94</v>
      </c>
      <c r="C634" s="2" t="s">
        <v>69</v>
      </c>
      <c r="D634" s="3">
        <v>1</v>
      </c>
      <c r="E634" s="1">
        <v>3</v>
      </c>
      <c r="F634" t="s">
        <v>4644</v>
      </c>
      <c r="G634" t="s">
        <v>4643</v>
      </c>
      <c r="H634" t="s">
        <v>4620</v>
      </c>
      <c r="I634" s="1" t="s">
        <v>1456</v>
      </c>
      <c r="J634" t="s">
        <v>4598</v>
      </c>
      <c r="K634" s="25">
        <f>Tabelle5[[#This Row],[value_present]]*Tabelle5[[#This Row],[binding_level]]</f>
        <v>3</v>
      </c>
    </row>
    <row r="635" spans="1:11" x14ac:dyDescent="0.25">
      <c r="A635" s="24">
        <v>15</v>
      </c>
      <c r="B635" s="2">
        <v>94</v>
      </c>
      <c r="C635" s="2" t="s">
        <v>76</v>
      </c>
      <c r="D635" s="3">
        <v>1</v>
      </c>
      <c r="E635" s="1">
        <v>3</v>
      </c>
      <c r="F635" t="s">
        <v>4646</v>
      </c>
      <c r="G635" t="s">
        <v>4645</v>
      </c>
      <c r="H635" t="s">
        <v>4621</v>
      </c>
      <c r="I635" s="1" t="s">
        <v>1456</v>
      </c>
      <c r="J635" t="s">
        <v>4599</v>
      </c>
      <c r="K635" s="25">
        <f>Tabelle5[[#This Row],[value_present]]*Tabelle5[[#This Row],[binding_level]]</f>
        <v>3</v>
      </c>
    </row>
    <row r="636" spans="1:11" x14ac:dyDescent="0.25">
      <c r="A636" s="24">
        <v>15</v>
      </c>
      <c r="B636" s="2">
        <v>94</v>
      </c>
      <c r="C636" s="2" t="s">
        <v>83</v>
      </c>
      <c r="D636" s="3">
        <v>1</v>
      </c>
      <c r="E636" s="1">
        <v>3</v>
      </c>
      <c r="F636" t="s">
        <v>4648</v>
      </c>
      <c r="G636" t="s">
        <v>4647</v>
      </c>
      <c r="H636" t="s">
        <v>4622</v>
      </c>
      <c r="I636" s="1" t="s">
        <v>1456</v>
      </c>
      <c r="J636" t="s">
        <v>4600</v>
      </c>
      <c r="K636" s="25">
        <f>Tabelle5[[#This Row],[value_present]]*Tabelle5[[#This Row],[binding_level]]</f>
        <v>3</v>
      </c>
    </row>
    <row r="637" spans="1:11" x14ac:dyDescent="0.25">
      <c r="A637" s="24">
        <v>15</v>
      </c>
      <c r="B637" s="2">
        <v>94</v>
      </c>
      <c r="C637" s="2" t="s">
        <v>90</v>
      </c>
      <c r="D637" s="3">
        <v>1</v>
      </c>
      <c r="E637" s="1">
        <v>3</v>
      </c>
      <c r="F637" t="s">
        <v>4650</v>
      </c>
      <c r="G637" t="s">
        <v>4649</v>
      </c>
      <c r="H637" t="s">
        <v>4623</v>
      </c>
      <c r="I637" s="1" t="s">
        <v>1456</v>
      </c>
      <c r="J637" t="s">
        <v>4601</v>
      </c>
      <c r="K637" s="25">
        <f>Tabelle5[[#This Row],[value_present]]*Tabelle5[[#This Row],[binding_level]]</f>
        <v>3</v>
      </c>
    </row>
    <row r="638" spans="1:11" x14ac:dyDescent="0.25">
      <c r="A638" s="24">
        <v>15</v>
      </c>
      <c r="B638" s="2">
        <v>94</v>
      </c>
      <c r="C638" s="2" t="s">
        <v>98</v>
      </c>
      <c r="D638" s="3">
        <v>1</v>
      </c>
      <c r="E638" s="1">
        <v>3</v>
      </c>
      <c r="F638" t="s">
        <v>4652</v>
      </c>
      <c r="G638" t="s">
        <v>4651</v>
      </c>
      <c r="H638" t="s">
        <v>4624</v>
      </c>
      <c r="I638" s="1" t="s">
        <v>1456</v>
      </c>
      <c r="J638" t="s">
        <v>4602</v>
      </c>
      <c r="K638" s="25">
        <f>Tabelle5[[#This Row],[value_present]]*Tabelle5[[#This Row],[binding_level]]</f>
        <v>3</v>
      </c>
    </row>
    <row r="639" spans="1:11" x14ac:dyDescent="0.25">
      <c r="A639" s="24">
        <v>15</v>
      </c>
      <c r="B639" s="2">
        <v>94</v>
      </c>
      <c r="C639" s="2" t="s">
        <v>106</v>
      </c>
      <c r="D639" s="3">
        <v>1</v>
      </c>
      <c r="E639" s="1">
        <v>3</v>
      </c>
      <c r="F639" t="s">
        <v>4654</v>
      </c>
      <c r="G639" t="s">
        <v>4653</v>
      </c>
      <c r="H639" t="s">
        <v>4625</v>
      </c>
      <c r="I639" s="1" t="s">
        <v>1456</v>
      </c>
      <c r="J639" t="s">
        <v>4603</v>
      </c>
      <c r="K639" s="25">
        <f>Tabelle5[[#This Row],[value_present]]*Tabelle5[[#This Row],[binding_level]]</f>
        <v>3</v>
      </c>
    </row>
    <row r="640" spans="1:11" x14ac:dyDescent="0.25">
      <c r="A640" s="24">
        <v>15</v>
      </c>
      <c r="B640" s="2">
        <v>94</v>
      </c>
      <c r="C640" s="2" t="s">
        <v>112</v>
      </c>
      <c r="D640" s="3">
        <v>1</v>
      </c>
      <c r="E640" s="1">
        <v>3</v>
      </c>
      <c r="F640" t="s">
        <v>4656</v>
      </c>
      <c r="G640" t="s">
        <v>4655</v>
      </c>
      <c r="H640" t="s">
        <v>4626</v>
      </c>
      <c r="I640" s="1" t="s">
        <v>1456</v>
      </c>
      <c r="J640" t="s">
        <v>4604</v>
      </c>
      <c r="K640" s="25">
        <f>Tabelle5[[#This Row],[value_present]]*Tabelle5[[#This Row],[binding_level]]</f>
        <v>3</v>
      </c>
    </row>
    <row r="641" spans="1:11" x14ac:dyDescent="0.25">
      <c r="A641" s="24">
        <v>15</v>
      </c>
      <c r="B641" s="2">
        <v>94</v>
      </c>
      <c r="C641" s="2" t="s">
        <v>118</v>
      </c>
      <c r="D641" s="3">
        <v>1</v>
      </c>
      <c r="E641" s="1">
        <v>3</v>
      </c>
      <c r="F641" t="s">
        <v>4633</v>
      </c>
      <c r="G641" t="s">
        <v>4634</v>
      </c>
      <c r="H641" t="s">
        <v>4614</v>
      </c>
      <c r="I641" s="1" t="s">
        <v>1457</v>
      </c>
      <c r="J641" t="s">
        <v>4605</v>
      </c>
      <c r="K641" s="25">
        <f>Tabelle5[[#This Row],[value_present]]*Tabelle5[[#This Row],[binding_level]]</f>
        <v>3</v>
      </c>
    </row>
    <row r="642" spans="1:11" x14ac:dyDescent="0.25">
      <c r="A642" s="24">
        <v>15</v>
      </c>
      <c r="B642" s="2">
        <v>94</v>
      </c>
      <c r="C642" s="2" t="s">
        <v>125</v>
      </c>
      <c r="D642" s="3">
        <v>1</v>
      </c>
      <c r="E642" s="1">
        <v>3</v>
      </c>
      <c r="F642" t="s">
        <v>4635</v>
      </c>
      <c r="G642" t="s">
        <v>4636</v>
      </c>
      <c r="H642" t="s">
        <v>4627</v>
      </c>
      <c r="I642" s="1" t="s">
        <v>1456</v>
      </c>
      <c r="J642" t="s">
        <v>4606</v>
      </c>
      <c r="K642" s="25">
        <f>Tabelle5[[#This Row],[value_present]]*Tabelle5[[#This Row],[binding_level]]</f>
        <v>3</v>
      </c>
    </row>
    <row r="643" spans="1:11" x14ac:dyDescent="0.25">
      <c r="A643" s="24">
        <v>15</v>
      </c>
      <c r="B643" s="2">
        <v>94</v>
      </c>
      <c r="C643" s="2" t="s">
        <v>132</v>
      </c>
      <c r="D643" s="3">
        <v>1</v>
      </c>
      <c r="E643" s="1">
        <v>2</v>
      </c>
      <c r="F643" t="s">
        <v>4637</v>
      </c>
      <c r="G643" t="s">
        <v>4638</v>
      </c>
      <c r="H643" t="s">
        <v>4615</v>
      </c>
      <c r="I643" s="1" t="s">
        <v>1457</v>
      </c>
      <c r="J643" t="s">
        <v>4607</v>
      </c>
      <c r="K643" s="25">
        <f>Tabelle5[[#This Row],[value_present]]*Tabelle5[[#This Row],[binding_level]]</f>
        <v>2</v>
      </c>
    </row>
    <row r="644" spans="1:11" x14ac:dyDescent="0.25">
      <c r="A644" s="24">
        <v>15</v>
      </c>
      <c r="B644" s="2">
        <v>94</v>
      </c>
      <c r="C644" s="2" t="s">
        <v>140</v>
      </c>
      <c r="D644" s="3">
        <v>1</v>
      </c>
      <c r="E644" s="1">
        <v>2</v>
      </c>
      <c r="F644" t="s">
        <v>4658</v>
      </c>
      <c r="G644" t="s">
        <v>4657</v>
      </c>
      <c r="H644" t="s">
        <v>4628</v>
      </c>
      <c r="I644" s="1" t="s">
        <v>1457</v>
      </c>
      <c r="J644" t="s">
        <v>4608</v>
      </c>
      <c r="K644" s="25">
        <f>Tabelle5[[#This Row],[value_present]]*Tabelle5[[#This Row],[binding_level]]</f>
        <v>2</v>
      </c>
    </row>
    <row r="645" spans="1:11" x14ac:dyDescent="0.25">
      <c r="A645" s="24">
        <v>15</v>
      </c>
      <c r="B645" s="2">
        <v>94</v>
      </c>
      <c r="C645" s="2" t="s">
        <v>147</v>
      </c>
      <c r="D645" s="3">
        <v>1</v>
      </c>
      <c r="E645" s="1">
        <v>3</v>
      </c>
      <c r="F645" t="s">
        <v>4650</v>
      </c>
      <c r="G645" t="s">
        <v>4649</v>
      </c>
      <c r="H645" t="s">
        <v>4629</v>
      </c>
      <c r="I645" s="1" t="s">
        <v>1456</v>
      </c>
      <c r="J645" t="s">
        <v>4609</v>
      </c>
      <c r="K645" s="25">
        <f>Tabelle5[[#This Row],[value_present]]*Tabelle5[[#This Row],[binding_level]]</f>
        <v>3</v>
      </c>
    </row>
    <row r="646" spans="1:11" x14ac:dyDescent="0.25">
      <c r="A646" s="24">
        <v>15</v>
      </c>
      <c r="B646" s="2">
        <v>94</v>
      </c>
      <c r="C646" s="2" t="s">
        <v>154</v>
      </c>
      <c r="D646" s="3">
        <v>1</v>
      </c>
      <c r="E646" s="1">
        <v>2</v>
      </c>
      <c r="F646" t="s">
        <v>4660</v>
      </c>
      <c r="G646" t="s">
        <v>4659</v>
      </c>
      <c r="H646" t="s">
        <v>4616</v>
      </c>
      <c r="I646" s="1" t="s">
        <v>1456</v>
      </c>
      <c r="J646" t="s">
        <v>4610</v>
      </c>
      <c r="K646" s="25">
        <f>Tabelle5[[#This Row],[value_present]]*Tabelle5[[#This Row],[binding_level]]</f>
        <v>2</v>
      </c>
    </row>
    <row r="647" spans="1:11" x14ac:dyDescent="0.25">
      <c r="A647" s="24">
        <v>15</v>
      </c>
      <c r="B647" s="2">
        <v>94</v>
      </c>
      <c r="C647" s="2" t="s">
        <v>161</v>
      </c>
      <c r="D647" s="3">
        <v>1</v>
      </c>
      <c r="E647" s="1">
        <v>3</v>
      </c>
      <c r="F647" t="s">
        <v>4662</v>
      </c>
      <c r="G647" t="s">
        <v>4661</v>
      </c>
      <c r="H647" t="s">
        <v>4630</v>
      </c>
      <c r="I647" s="1" t="s">
        <v>1456</v>
      </c>
      <c r="J647" t="s">
        <v>4611</v>
      </c>
      <c r="K647" s="25">
        <f>Tabelle5[[#This Row],[value_present]]*Tabelle5[[#This Row],[binding_level]]</f>
        <v>3</v>
      </c>
    </row>
    <row r="648" spans="1:11" x14ac:dyDescent="0.25">
      <c r="A648" s="24">
        <v>15</v>
      </c>
      <c r="B648" s="2">
        <v>94</v>
      </c>
      <c r="C648" s="2" t="s">
        <v>166</v>
      </c>
      <c r="D648" s="3">
        <v>1</v>
      </c>
      <c r="E648" s="1">
        <v>2</v>
      </c>
      <c r="F648" t="s">
        <v>4631</v>
      </c>
      <c r="G648" t="s">
        <v>4632</v>
      </c>
      <c r="H648" t="s">
        <v>4617</v>
      </c>
      <c r="I648" s="1" t="s">
        <v>1457</v>
      </c>
      <c r="J648" t="s">
        <v>4612</v>
      </c>
      <c r="K648" s="25">
        <f>Tabelle5[[#This Row],[value_present]]*Tabelle5[[#This Row],[binding_level]]</f>
        <v>2</v>
      </c>
    </row>
    <row r="649" spans="1:11" ht="15.75" thickBot="1" x14ac:dyDescent="0.3">
      <c r="A649" s="26">
        <v>15</v>
      </c>
      <c r="B649" s="27">
        <v>94</v>
      </c>
      <c r="C649" s="27" t="s">
        <v>174</v>
      </c>
      <c r="D649" s="28">
        <v>0</v>
      </c>
      <c r="E649" s="29"/>
      <c r="F649" s="30"/>
      <c r="G649" s="30"/>
      <c r="H649" s="30"/>
      <c r="I649" s="29" t="s">
        <v>1457</v>
      </c>
      <c r="J649" s="30" t="s">
        <v>4613</v>
      </c>
      <c r="K649" s="31">
        <f>Tabelle5[[#This Row],[value_present]]*Tabelle5[[#This Row],[binding_level]]</f>
        <v>0</v>
      </c>
    </row>
    <row r="650" spans="1:11" x14ac:dyDescent="0.25">
      <c r="A650" s="18">
        <v>15</v>
      </c>
      <c r="B650" s="19">
        <v>96</v>
      </c>
      <c r="C650" s="19" t="s">
        <v>53</v>
      </c>
      <c r="D650" s="20">
        <v>0</v>
      </c>
      <c r="E650" s="21"/>
      <c r="F650" s="22"/>
      <c r="G650" s="22"/>
      <c r="H650" s="22"/>
      <c r="I650" s="21" t="s">
        <v>1457</v>
      </c>
      <c r="J650" s="22" t="s">
        <v>4727</v>
      </c>
      <c r="K650" s="23">
        <f>Tabelle5[[#This Row],[value_present]]*Tabelle5[[#This Row],[binding_level]]</f>
        <v>0</v>
      </c>
    </row>
    <row r="651" spans="1:11" x14ac:dyDescent="0.25">
      <c r="A651" s="24">
        <v>15</v>
      </c>
      <c r="B651" s="2">
        <v>96</v>
      </c>
      <c r="C651" s="2" t="s">
        <v>61</v>
      </c>
      <c r="D651" s="3">
        <v>1</v>
      </c>
      <c r="E651" s="1">
        <v>1</v>
      </c>
      <c r="F651" t="s">
        <v>4744</v>
      </c>
      <c r="G651" t="s">
        <v>4745</v>
      </c>
      <c r="H651" t="s">
        <v>4728</v>
      </c>
      <c r="I651" s="1" t="s">
        <v>1457</v>
      </c>
      <c r="J651" t="s">
        <v>4729</v>
      </c>
      <c r="K651" s="25">
        <f>Tabelle5[[#This Row],[value_present]]*Tabelle5[[#This Row],[binding_level]]</f>
        <v>1</v>
      </c>
    </row>
    <row r="652" spans="1:11" x14ac:dyDescent="0.25">
      <c r="A652" s="24">
        <v>15</v>
      </c>
      <c r="B652" s="2">
        <v>96</v>
      </c>
      <c r="C652" s="2" t="s">
        <v>69</v>
      </c>
      <c r="D652" s="3">
        <v>0</v>
      </c>
      <c r="E652" s="1"/>
      <c r="I652" s="1" t="s">
        <v>1457</v>
      </c>
      <c r="J652" t="s">
        <v>4730</v>
      </c>
      <c r="K652" s="25">
        <f>Tabelle5[[#This Row],[value_present]]*Tabelle5[[#This Row],[binding_level]]</f>
        <v>0</v>
      </c>
    </row>
    <row r="653" spans="1:11" x14ac:dyDescent="0.25">
      <c r="A653" s="24">
        <v>15</v>
      </c>
      <c r="B653" s="2">
        <v>96</v>
      </c>
      <c r="C653" s="2" t="s">
        <v>76</v>
      </c>
      <c r="D653" s="3">
        <v>0</v>
      </c>
      <c r="E653" s="1"/>
      <c r="I653" s="1" t="s">
        <v>1456</v>
      </c>
      <c r="J653" t="s">
        <v>4710</v>
      </c>
      <c r="K653" s="25">
        <f>Tabelle5[[#This Row],[value_present]]*Tabelle5[[#This Row],[binding_level]]</f>
        <v>0</v>
      </c>
    </row>
    <row r="654" spans="1:11" x14ac:dyDescent="0.25">
      <c r="A654" s="24">
        <v>15</v>
      </c>
      <c r="B654" s="2">
        <v>96</v>
      </c>
      <c r="C654" s="2" t="s">
        <v>83</v>
      </c>
      <c r="D654" s="3">
        <v>0</v>
      </c>
      <c r="E654" s="1"/>
      <c r="I654" s="1" t="s">
        <v>1456</v>
      </c>
      <c r="J654" t="s">
        <v>4711</v>
      </c>
      <c r="K654" s="25">
        <f>Tabelle5[[#This Row],[value_present]]*Tabelle5[[#This Row],[binding_level]]</f>
        <v>0</v>
      </c>
    </row>
    <row r="655" spans="1:11" x14ac:dyDescent="0.25">
      <c r="A655" s="24">
        <v>15</v>
      </c>
      <c r="B655" s="2">
        <v>96</v>
      </c>
      <c r="C655" s="2" t="s">
        <v>90</v>
      </c>
      <c r="D655" s="3">
        <v>0</v>
      </c>
      <c r="E655" s="1"/>
      <c r="I655" s="1" t="s">
        <v>1457</v>
      </c>
      <c r="J655" t="s">
        <v>4731</v>
      </c>
      <c r="K655" s="25">
        <f>Tabelle5[[#This Row],[value_present]]*Tabelle5[[#This Row],[binding_level]]</f>
        <v>0</v>
      </c>
    </row>
    <row r="656" spans="1:11" x14ac:dyDescent="0.25">
      <c r="A656" s="24">
        <v>15</v>
      </c>
      <c r="B656" s="2">
        <v>96</v>
      </c>
      <c r="C656" s="2" t="s">
        <v>98</v>
      </c>
      <c r="D656" s="3">
        <v>0</v>
      </c>
      <c r="E656" s="1"/>
      <c r="I656" s="1" t="s">
        <v>1456</v>
      </c>
      <c r="J656" t="s">
        <v>4732</v>
      </c>
      <c r="K656" s="25">
        <f>Tabelle5[[#This Row],[value_present]]*Tabelle5[[#This Row],[binding_level]]</f>
        <v>0</v>
      </c>
    </row>
    <row r="657" spans="1:11" x14ac:dyDescent="0.25">
      <c r="A657" s="24">
        <v>15</v>
      </c>
      <c r="B657" s="2">
        <v>96</v>
      </c>
      <c r="C657" s="2" t="s">
        <v>106</v>
      </c>
      <c r="D657" s="3">
        <v>0</v>
      </c>
      <c r="E657" s="1"/>
      <c r="I657" s="1" t="s">
        <v>1457</v>
      </c>
      <c r="J657" t="s">
        <v>4733</v>
      </c>
      <c r="K657" s="25">
        <f>Tabelle5[[#This Row],[value_present]]*Tabelle5[[#This Row],[binding_level]]</f>
        <v>0</v>
      </c>
    </row>
    <row r="658" spans="1:11" x14ac:dyDescent="0.25">
      <c r="A658" s="24">
        <v>15</v>
      </c>
      <c r="B658" s="2">
        <v>96</v>
      </c>
      <c r="C658" s="2" t="s">
        <v>112</v>
      </c>
      <c r="D658" s="3">
        <v>0</v>
      </c>
      <c r="E658" s="1"/>
      <c r="I658" s="1" t="s">
        <v>1456</v>
      </c>
      <c r="J658" t="s">
        <v>4710</v>
      </c>
      <c r="K658" s="25">
        <f>Tabelle5[[#This Row],[value_present]]*Tabelle5[[#This Row],[binding_level]]</f>
        <v>0</v>
      </c>
    </row>
    <row r="659" spans="1:11" x14ac:dyDescent="0.25">
      <c r="A659" s="24">
        <v>15</v>
      </c>
      <c r="B659" s="2">
        <v>96</v>
      </c>
      <c r="C659" s="2" t="s">
        <v>118</v>
      </c>
      <c r="D659" s="3">
        <v>0</v>
      </c>
      <c r="E659" s="1"/>
      <c r="I659" s="1" t="s">
        <v>1456</v>
      </c>
      <c r="J659" t="s">
        <v>4710</v>
      </c>
      <c r="K659" s="25">
        <f>Tabelle5[[#This Row],[value_present]]*Tabelle5[[#This Row],[binding_level]]</f>
        <v>0</v>
      </c>
    </row>
    <row r="660" spans="1:11" x14ac:dyDescent="0.25">
      <c r="A660" s="24">
        <v>15</v>
      </c>
      <c r="B660" s="2">
        <v>96</v>
      </c>
      <c r="C660" s="2" t="s">
        <v>125</v>
      </c>
      <c r="D660" s="3">
        <v>0</v>
      </c>
      <c r="E660" s="1"/>
      <c r="I660" s="1" t="s">
        <v>1456</v>
      </c>
      <c r="J660" t="s">
        <v>4711</v>
      </c>
      <c r="K660" s="25">
        <f>Tabelle5[[#This Row],[value_present]]*Tabelle5[[#This Row],[binding_level]]</f>
        <v>0</v>
      </c>
    </row>
    <row r="661" spans="1:11" x14ac:dyDescent="0.25">
      <c r="A661" s="24">
        <v>15</v>
      </c>
      <c r="B661" s="2">
        <v>96</v>
      </c>
      <c r="C661" s="2" t="s">
        <v>132</v>
      </c>
      <c r="D661" s="3">
        <v>1</v>
      </c>
      <c r="E661" s="1">
        <v>2</v>
      </c>
      <c r="F661" t="s">
        <v>4749</v>
      </c>
      <c r="G661" t="s">
        <v>4748</v>
      </c>
      <c r="H661" t="s">
        <v>4734</v>
      </c>
      <c r="I661" s="1" t="s">
        <v>1456</v>
      </c>
      <c r="J661" t="s">
        <v>4735</v>
      </c>
      <c r="K661" s="25">
        <f>Tabelle5[[#This Row],[value_present]]*Tabelle5[[#This Row],[binding_level]]</f>
        <v>2</v>
      </c>
    </row>
    <row r="662" spans="1:11" x14ac:dyDescent="0.25">
      <c r="A662" s="24">
        <v>15</v>
      </c>
      <c r="B662" s="2">
        <v>96</v>
      </c>
      <c r="C662" s="2" t="s">
        <v>140</v>
      </c>
      <c r="D662" s="3">
        <v>1</v>
      </c>
      <c r="E662" s="1">
        <v>1</v>
      </c>
      <c r="F662" t="s">
        <v>4746</v>
      </c>
      <c r="G662" t="s">
        <v>4747</v>
      </c>
      <c r="H662" t="s">
        <v>4736</v>
      </c>
      <c r="I662" s="1" t="s">
        <v>1457</v>
      </c>
      <c r="J662" t="s">
        <v>4737</v>
      </c>
      <c r="K662" s="25">
        <f>Tabelle5[[#This Row],[value_present]]*Tabelle5[[#This Row],[binding_level]]</f>
        <v>1</v>
      </c>
    </row>
    <row r="663" spans="1:11" x14ac:dyDescent="0.25">
      <c r="A663" s="24">
        <v>15</v>
      </c>
      <c r="B663" s="2">
        <v>96</v>
      </c>
      <c r="C663" s="2" t="s">
        <v>147</v>
      </c>
      <c r="D663" s="3">
        <v>1</v>
      </c>
      <c r="E663" s="1">
        <v>2</v>
      </c>
      <c r="F663" t="s">
        <v>4751</v>
      </c>
      <c r="G663" t="s">
        <v>4750</v>
      </c>
      <c r="H663" t="s">
        <v>4738</v>
      </c>
      <c r="I663" s="1" t="s">
        <v>1456</v>
      </c>
      <c r="J663" t="s">
        <v>4739</v>
      </c>
      <c r="K663" s="25">
        <f>Tabelle5[[#This Row],[value_present]]*Tabelle5[[#This Row],[binding_level]]</f>
        <v>2</v>
      </c>
    </row>
    <row r="664" spans="1:11" x14ac:dyDescent="0.25">
      <c r="A664" s="24">
        <v>15</v>
      </c>
      <c r="B664" s="2">
        <v>96</v>
      </c>
      <c r="C664" s="2" t="s">
        <v>154</v>
      </c>
      <c r="D664" s="3">
        <v>1</v>
      </c>
      <c r="E664" s="1">
        <v>3</v>
      </c>
      <c r="F664" t="s">
        <v>4753</v>
      </c>
      <c r="G664" t="s">
        <v>4752</v>
      </c>
      <c r="H664" t="s">
        <v>4740</v>
      </c>
      <c r="I664" s="1" t="s">
        <v>1457</v>
      </c>
      <c r="J664" t="s">
        <v>4741</v>
      </c>
      <c r="K664" s="25">
        <f>Tabelle5[[#This Row],[value_present]]*Tabelle5[[#This Row],[binding_level]]</f>
        <v>3</v>
      </c>
    </row>
    <row r="665" spans="1:11" x14ac:dyDescent="0.25">
      <c r="A665" s="24">
        <v>15</v>
      </c>
      <c r="B665" s="2">
        <v>96</v>
      </c>
      <c r="C665" s="2" t="s">
        <v>161</v>
      </c>
      <c r="D665" s="3">
        <v>0</v>
      </c>
      <c r="E665" s="1"/>
      <c r="I665" s="1" t="s">
        <v>1456</v>
      </c>
      <c r="J665" t="s">
        <v>4710</v>
      </c>
      <c r="K665" s="25">
        <f>Tabelle5[[#This Row],[value_present]]*Tabelle5[[#This Row],[binding_level]]</f>
        <v>0</v>
      </c>
    </row>
    <row r="666" spans="1:11" x14ac:dyDescent="0.25">
      <c r="A666" s="24">
        <v>15</v>
      </c>
      <c r="B666" s="2">
        <v>96</v>
      </c>
      <c r="C666" s="2" t="s">
        <v>166</v>
      </c>
      <c r="D666" s="3">
        <v>0</v>
      </c>
      <c r="E666" s="1"/>
      <c r="I666" s="1" t="s">
        <v>1456</v>
      </c>
      <c r="J666" t="s">
        <v>4710</v>
      </c>
      <c r="K666" s="25">
        <f>Tabelle5[[#This Row],[value_present]]*Tabelle5[[#This Row],[binding_level]]</f>
        <v>0</v>
      </c>
    </row>
    <row r="667" spans="1:11" ht="15.75" thickBot="1" x14ac:dyDescent="0.3">
      <c r="A667" s="24">
        <v>15</v>
      </c>
      <c r="B667" s="2">
        <v>96</v>
      </c>
      <c r="C667" s="2" t="s">
        <v>174</v>
      </c>
      <c r="D667" s="3">
        <v>1</v>
      </c>
      <c r="E667" s="1">
        <v>1</v>
      </c>
      <c r="F667" t="s">
        <v>4755</v>
      </c>
      <c r="G667" t="s">
        <v>4754</v>
      </c>
      <c r="H667" t="s">
        <v>4742</v>
      </c>
      <c r="I667" s="1" t="s">
        <v>1456</v>
      </c>
      <c r="J667" t="s">
        <v>4743</v>
      </c>
      <c r="K667" s="25">
        <f>Tabelle5[[#This Row],[value_present]]*Tabelle5[[#This Row],[binding_level]]</f>
        <v>1</v>
      </c>
    </row>
    <row r="668" spans="1:11" x14ac:dyDescent="0.25">
      <c r="A668" s="18">
        <v>15</v>
      </c>
      <c r="B668" s="19">
        <v>97</v>
      </c>
      <c r="C668" s="19" t="s">
        <v>53</v>
      </c>
      <c r="D668" s="20">
        <v>0</v>
      </c>
      <c r="E668" s="21"/>
      <c r="F668" s="22"/>
      <c r="G668" s="22"/>
      <c r="H668" s="22"/>
      <c r="I668" s="21" t="s">
        <v>1457</v>
      </c>
      <c r="J668" s="22" t="s">
        <v>4784</v>
      </c>
      <c r="K668" s="23">
        <f>Tabelle5[[#This Row],[value_present]]*Tabelle5[[#This Row],[binding_level]]</f>
        <v>0</v>
      </c>
    </row>
    <row r="669" spans="1:11" x14ac:dyDescent="0.25">
      <c r="A669" s="24">
        <v>15</v>
      </c>
      <c r="B669" s="2">
        <v>97</v>
      </c>
      <c r="C669" s="2" t="s">
        <v>61</v>
      </c>
      <c r="D669" s="3">
        <v>1</v>
      </c>
      <c r="E669" s="1">
        <v>1</v>
      </c>
      <c r="F669" t="s">
        <v>4799</v>
      </c>
      <c r="G669" t="s">
        <v>4798</v>
      </c>
      <c r="H669" t="s">
        <v>4785</v>
      </c>
      <c r="I669" s="1" t="s">
        <v>1457</v>
      </c>
      <c r="J669" t="s">
        <v>4786</v>
      </c>
      <c r="K669" s="25">
        <f>Tabelle5[[#This Row],[value_present]]*Tabelle5[[#This Row],[binding_level]]</f>
        <v>1</v>
      </c>
    </row>
    <row r="670" spans="1:11" x14ac:dyDescent="0.25">
      <c r="A670" s="24">
        <v>15</v>
      </c>
      <c r="B670" s="2">
        <v>97</v>
      </c>
      <c r="C670" s="2" t="s">
        <v>69</v>
      </c>
      <c r="D670" s="3">
        <v>0</v>
      </c>
      <c r="E670" s="1"/>
      <c r="I670" s="1" t="s">
        <v>1457</v>
      </c>
      <c r="J670" t="s">
        <v>4787</v>
      </c>
      <c r="K670" s="25">
        <f>Tabelle5[[#This Row],[value_present]]*Tabelle5[[#This Row],[binding_level]]</f>
        <v>0</v>
      </c>
    </row>
    <row r="671" spans="1:11" x14ac:dyDescent="0.25">
      <c r="A671" s="24">
        <v>15</v>
      </c>
      <c r="B671" s="2">
        <v>97</v>
      </c>
      <c r="C671" s="2" t="s">
        <v>76</v>
      </c>
      <c r="D671" s="3">
        <v>0</v>
      </c>
      <c r="E671" s="1"/>
      <c r="I671" s="1" t="s">
        <v>1456</v>
      </c>
      <c r="J671" t="s">
        <v>4710</v>
      </c>
      <c r="K671" s="25">
        <f>Tabelle5[[#This Row],[value_present]]*Tabelle5[[#This Row],[binding_level]]</f>
        <v>0</v>
      </c>
    </row>
    <row r="672" spans="1:11" x14ac:dyDescent="0.25">
      <c r="A672" s="24">
        <v>15</v>
      </c>
      <c r="B672" s="2">
        <v>97</v>
      </c>
      <c r="C672" s="2" t="s">
        <v>83</v>
      </c>
      <c r="D672" s="3">
        <v>0</v>
      </c>
      <c r="E672" s="1"/>
      <c r="I672" s="1" t="s">
        <v>1456</v>
      </c>
      <c r="J672" t="s">
        <v>4710</v>
      </c>
      <c r="K672" s="25">
        <f>Tabelle5[[#This Row],[value_present]]*Tabelle5[[#This Row],[binding_level]]</f>
        <v>0</v>
      </c>
    </row>
    <row r="673" spans="1:11" x14ac:dyDescent="0.25">
      <c r="A673" s="24">
        <v>15</v>
      </c>
      <c r="B673" s="2">
        <v>97</v>
      </c>
      <c r="C673" s="2" t="s">
        <v>90</v>
      </c>
      <c r="D673" s="3">
        <v>1</v>
      </c>
      <c r="E673" s="1">
        <v>3</v>
      </c>
      <c r="F673" t="s">
        <v>4801</v>
      </c>
      <c r="G673" t="s">
        <v>4800</v>
      </c>
      <c r="H673" t="s">
        <v>4788</v>
      </c>
      <c r="I673" s="1" t="s">
        <v>1456</v>
      </c>
      <c r="J673" t="s">
        <v>4789</v>
      </c>
      <c r="K673" s="25">
        <f>Tabelle5[[#This Row],[value_present]]*Tabelle5[[#This Row],[binding_level]]</f>
        <v>3</v>
      </c>
    </row>
    <row r="674" spans="1:11" x14ac:dyDescent="0.25">
      <c r="A674" s="24">
        <v>15</v>
      </c>
      <c r="B674" s="2">
        <v>97</v>
      </c>
      <c r="C674" s="2" t="s">
        <v>98</v>
      </c>
      <c r="D674" s="3">
        <v>0</v>
      </c>
      <c r="E674" s="1"/>
      <c r="I674" s="1" t="s">
        <v>1456</v>
      </c>
      <c r="J674" t="s">
        <v>4790</v>
      </c>
      <c r="K674" s="25">
        <f>Tabelle5[[#This Row],[value_present]]*Tabelle5[[#This Row],[binding_level]]</f>
        <v>0</v>
      </c>
    </row>
    <row r="675" spans="1:11" x14ac:dyDescent="0.25">
      <c r="A675" s="24">
        <v>15</v>
      </c>
      <c r="B675" s="2">
        <v>97</v>
      </c>
      <c r="C675" s="2" t="s">
        <v>106</v>
      </c>
      <c r="D675" s="3">
        <v>0</v>
      </c>
      <c r="E675" s="1"/>
      <c r="I675" s="1" t="s">
        <v>1457</v>
      </c>
      <c r="J675" t="s">
        <v>4791</v>
      </c>
      <c r="K675" s="25">
        <f>Tabelle5[[#This Row],[value_present]]*Tabelle5[[#This Row],[binding_level]]</f>
        <v>0</v>
      </c>
    </row>
    <row r="676" spans="1:11" x14ac:dyDescent="0.25">
      <c r="A676" s="24">
        <v>15</v>
      </c>
      <c r="B676" s="2">
        <v>97</v>
      </c>
      <c r="C676" s="2" t="s">
        <v>112</v>
      </c>
      <c r="D676" s="3">
        <v>0</v>
      </c>
      <c r="E676" s="1"/>
      <c r="I676" s="1" t="s">
        <v>1456</v>
      </c>
      <c r="J676" t="s">
        <v>4710</v>
      </c>
      <c r="K676" s="25">
        <f>Tabelle5[[#This Row],[value_present]]*Tabelle5[[#This Row],[binding_level]]</f>
        <v>0</v>
      </c>
    </row>
    <row r="677" spans="1:11" x14ac:dyDescent="0.25">
      <c r="A677" s="24">
        <v>15</v>
      </c>
      <c r="B677" s="2">
        <v>97</v>
      </c>
      <c r="C677" s="2" t="s">
        <v>118</v>
      </c>
      <c r="D677" s="3">
        <v>0</v>
      </c>
      <c r="E677" s="1"/>
      <c r="I677" s="1" t="s">
        <v>1456</v>
      </c>
      <c r="J677" t="s">
        <v>4710</v>
      </c>
      <c r="K677" s="25">
        <f>Tabelle5[[#This Row],[value_present]]*Tabelle5[[#This Row],[binding_level]]</f>
        <v>0</v>
      </c>
    </row>
    <row r="678" spans="1:11" x14ac:dyDescent="0.25">
      <c r="A678" s="24">
        <v>15</v>
      </c>
      <c r="B678" s="2">
        <v>97</v>
      </c>
      <c r="C678" s="2" t="s">
        <v>125</v>
      </c>
      <c r="D678" s="3">
        <v>0</v>
      </c>
      <c r="E678" s="1"/>
      <c r="I678" s="1" t="s">
        <v>1456</v>
      </c>
      <c r="J678" t="s">
        <v>4710</v>
      </c>
      <c r="K678" s="25">
        <f>Tabelle5[[#This Row],[value_present]]*Tabelle5[[#This Row],[binding_level]]</f>
        <v>0</v>
      </c>
    </row>
    <row r="679" spans="1:11" x14ac:dyDescent="0.25">
      <c r="A679" s="24">
        <v>15</v>
      </c>
      <c r="B679" s="2">
        <v>97</v>
      </c>
      <c r="C679" s="2" t="s">
        <v>132</v>
      </c>
      <c r="D679" s="3">
        <v>0</v>
      </c>
      <c r="E679" s="1"/>
      <c r="I679" s="1" t="s">
        <v>1456</v>
      </c>
      <c r="J679" t="s">
        <v>4710</v>
      </c>
      <c r="K679" s="25">
        <f>Tabelle5[[#This Row],[value_present]]*Tabelle5[[#This Row],[binding_level]]</f>
        <v>0</v>
      </c>
    </row>
    <row r="680" spans="1:11" x14ac:dyDescent="0.25">
      <c r="A680" s="24">
        <v>15</v>
      </c>
      <c r="B680" s="2">
        <v>97</v>
      </c>
      <c r="C680" s="2" t="s">
        <v>140</v>
      </c>
      <c r="D680" s="3">
        <v>1</v>
      </c>
      <c r="E680" s="1">
        <v>1</v>
      </c>
      <c r="F680" t="s">
        <v>4782</v>
      </c>
      <c r="G680" t="s">
        <v>4783</v>
      </c>
      <c r="H680" t="s">
        <v>4792</v>
      </c>
      <c r="I680" s="1" t="s">
        <v>1457</v>
      </c>
      <c r="J680" t="s">
        <v>4793</v>
      </c>
      <c r="K680" s="25">
        <f>Tabelle5[[#This Row],[value_present]]*Tabelle5[[#This Row],[binding_level]]</f>
        <v>1</v>
      </c>
    </row>
    <row r="681" spans="1:11" x14ac:dyDescent="0.25">
      <c r="A681" s="24">
        <v>15</v>
      </c>
      <c r="B681" s="2">
        <v>97</v>
      </c>
      <c r="C681" s="2" t="s">
        <v>147</v>
      </c>
      <c r="D681" s="3">
        <v>1</v>
      </c>
      <c r="E681" s="1">
        <v>3</v>
      </c>
      <c r="F681" t="s">
        <v>4803</v>
      </c>
      <c r="G681" t="s">
        <v>4802</v>
      </c>
      <c r="H681" t="s">
        <v>4794</v>
      </c>
      <c r="I681" s="1" t="s">
        <v>1456</v>
      </c>
      <c r="J681" t="s">
        <v>4795</v>
      </c>
      <c r="K681" s="25">
        <f>Tabelle5[[#This Row],[value_present]]*Tabelle5[[#This Row],[binding_level]]</f>
        <v>3</v>
      </c>
    </row>
    <row r="682" spans="1:11" x14ac:dyDescent="0.25">
      <c r="A682" s="24">
        <v>15</v>
      </c>
      <c r="B682" s="2">
        <v>97</v>
      </c>
      <c r="C682" s="2" t="s">
        <v>154</v>
      </c>
      <c r="D682" s="3">
        <v>0</v>
      </c>
      <c r="E682" s="1"/>
      <c r="I682" s="1" t="s">
        <v>1457</v>
      </c>
      <c r="J682" t="s">
        <v>4796</v>
      </c>
      <c r="K682" s="25">
        <f>Tabelle5[[#This Row],[value_present]]*Tabelle5[[#This Row],[binding_level]]</f>
        <v>0</v>
      </c>
    </row>
    <row r="683" spans="1:11" x14ac:dyDescent="0.25">
      <c r="A683" s="24">
        <v>15</v>
      </c>
      <c r="B683" s="2">
        <v>97</v>
      </c>
      <c r="C683" s="2" t="s">
        <v>161</v>
      </c>
      <c r="D683" s="3">
        <v>0</v>
      </c>
      <c r="E683" s="1"/>
      <c r="I683" s="1" t="s">
        <v>1457</v>
      </c>
      <c r="J683" t="s">
        <v>4797</v>
      </c>
      <c r="K683" s="25">
        <f>Tabelle5[[#This Row],[value_present]]*Tabelle5[[#This Row],[binding_level]]</f>
        <v>0</v>
      </c>
    </row>
    <row r="684" spans="1:11" x14ac:dyDescent="0.25">
      <c r="A684" s="24">
        <v>15</v>
      </c>
      <c r="B684" s="2">
        <v>97</v>
      </c>
      <c r="C684" s="2" t="s">
        <v>166</v>
      </c>
      <c r="D684" s="3">
        <v>0</v>
      </c>
      <c r="E684" s="1"/>
      <c r="I684" s="1" t="s">
        <v>1456</v>
      </c>
      <c r="J684" t="s">
        <v>4710</v>
      </c>
      <c r="K684" s="25">
        <f>Tabelle5[[#This Row],[value_present]]*Tabelle5[[#This Row],[binding_level]]</f>
        <v>0</v>
      </c>
    </row>
    <row r="685" spans="1:11" ht="15.75" thickBot="1" x14ac:dyDescent="0.3">
      <c r="A685" s="26">
        <v>15</v>
      </c>
      <c r="B685" s="27">
        <v>97</v>
      </c>
      <c r="C685" s="27" t="s">
        <v>174</v>
      </c>
      <c r="D685" s="28">
        <v>0</v>
      </c>
      <c r="E685" s="29"/>
      <c r="F685" s="30"/>
      <c r="G685" s="30"/>
      <c r="H685" s="30"/>
      <c r="I685" s="29" t="s">
        <v>1456</v>
      </c>
      <c r="J685" s="30" t="s">
        <v>4710</v>
      </c>
      <c r="K685" s="31">
        <f>Tabelle5[[#This Row],[value_present]]*Tabelle5[[#This Row],[binding_level]]</f>
        <v>0</v>
      </c>
    </row>
    <row r="686" spans="1:11" x14ac:dyDescent="0.25">
      <c r="A686" s="18">
        <v>17</v>
      </c>
      <c r="B686" s="19">
        <v>102</v>
      </c>
      <c r="C686" s="19" t="s">
        <v>53</v>
      </c>
      <c r="D686" s="20">
        <v>1</v>
      </c>
      <c r="E686" s="21">
        <v>3</v>
      </c>
      <c r="F686" t="s">
        <v>4887</v>
      </c>
      <c r="G686" t="s">
        <v>4886</v>
      </c>
      <c r="H686" s="22" t="s">
        <v>4840</v>
      </c>
      <c r="I686" s="21" t="s">
        <v>1456</v>
      </c>
      <c r="J686" s="22" t="s">
        <v>4841</v>
      </c>
      <c r="K686" s="23">
        <f>Tabelle5[[#This Row],[value_present]]*Tabelle5[[#This Row],[binding_level]]</f>
        <v>3</v>
      </c>
    </row>
    <row r="687" spans="1:11" x14ac:dyDescent="0.25">
      <c r="A687" s="24">
        <v>17</v>
      </c>
      <c r="B687" s="2">
        <v>102</v>
      </c>
      <c r="C687" s="2" t="s">
        <v>61</v>
      </c>
      <c r="D687" s="3">
        <v>1</v>
      </c>
      <c r="E687" s="1">
        <v>2</v>
      </c>
      <c r="F687" t="s">
        <v>4888</v>
      </c>
      <c r="G687" t="s">
        <v>4889</v>
      </c>
      <c r="H687" t="s">
        <v>4842</v>
      </c>
      <c r="I687" s="1" t="s">
        <v>1456</v>
      </c>
      <c r="J687" t="s">
        <v>4843</v>
      </c>
      <c r="K687" s="25">
        <f>Tabelle5[[#This Row],[value_present]]*Tabelle5[[#This Row],[binding_level]]</f>
        <v>2</v>
      </c>
    </row>
    <row r="688" spans="1:11" x14ac:dyDescent="0.25">
      <c r="A688" s="24">
        <v>17</v>
      </c>
      <c r="B688" s="2">
        <v>102</v>
      </c>
      <c r="C688" s="2" t="s">
        <v>69</v>
      </c>
      <c r="D688" s="3">
        <v>1</v>
      </c>
      <c r="E688" s="1">
        <v>3</v>
      </c>
      <c r="F688" t="s">
        <v>4890</v>
      </c>
      <c r="G688" t="s">
        <v>4891</v>
      </c>
      <c r="H688" t="s">
        <v>4844</v>
      </c>
      <c r="I688" s="1" t="s">
        <v>1456</v>
      </c>
      <c r="J688" t="s">
        <v>4845</v>
      </c>
      <c r="K688" s="25">
        <f>Tabelle5[[#This Row],[value_present]]*Tabelle5[[#This Row],[binding_level]]</f>
        <v>3</v>
      </c>
    </row>
    <row r="689" spans="1:11" x14ac:dyDescent="0.25">
      <c r="A689" s="24">
        <v>17</v>
      </c>
      <c r="B689" s="2">
        <v>102</v>
      </c>
      <c r="C689" s="2" t="s">
        <v>76</v>
      </c>
      <c r="D689" s="3">
        <v>1</v>
      </c>
      <c r="E689" s="1">
        <v>3</v>
      </c>
      <c r="F689" t="s">
        <v>4870</v>
      </c>
      <c r="G689" t="s">
        <v>4871</v>
      </c>
      <c r="H689" t="s">
        <v>4825</v>
      </c>
      <c r="I689" s="1" t="s">
        <v>1456</v>
      </c>
      <c r="J689" t="s">
        <v>4846</v>
      </c>
      <c r="K689" s="25">
        <f>Tabelle5[[#This Row],[value_present]]*Tabelle5[[#This Row],[binding_level]]</f>
        <v>3</v>
      </c>
    </row>
    <row r="690" spans="1:11" x14ac:dyDescent="0.25">
      <c r="A690" s="24">
        <v>17</v>
      </c>
      <c r="B690" s="2">
        <v>102</v>
      </c>
      <c r="C690" s="2" t="s">
        <v>83</v>
      </c>
      <c r="D690" s="3">
        <v>1</v>
      </c>
      <c r="E690" s="1">
        <v>3</v>
      </c>
      <c r="F690" t="s">
        <v>4893</v>
      </c>
      <c r="G690" t="s">
        <v>4892</v>
      </c>
      <c r="H690" t="s">
        <v>4847</v>
      </c>
      <c r="I690" s="1" t="s">
        <v>1456</v>
      </c>
      <c r="J690" t="s">
        <v>4848</v>
      </c>
      <c r="K690" s="25">
        <f>Tabelle5[[#This Row],[value_present]]*Tabelle5[[#This Row],[binding_level]]</f>
        <v>3</v>
      </c>
    </row>
    <row r="691" spans="1:11" x14ac:dyDescent="0.25">
      <c r="A691" s="24">
        <v>17</v>
      </c>
      <c r="B691" s="2">
        <v>102</v>
      </c>
      <c r="C691" s="2" t="s">
        <v>90</v>
      </c>
      <c r="D691" s="3">
        <v>1</v>
      </c>
      <c r="E691" s="1">
        <v>3</v>
      </c>
      <c r="F691" t="s">
        <v>4895</v>
      </c>
      <c r="G691" t="s">
        <v>4894</v>
      </c>
      <c r="H691" t="s">
        <v>4849</v>
      </c>
      <c r="I691" s="1" t="s">
        <v>1456</v>
      </c>
      <c r="J691" t="s">
        <v>4850</v>
      </c>
      <c r="K691" s="25">
        <f>Tabelle5[[#This Row],[value_present]]*Tabelle5[[#This Row],[binding_level]]</f>
        <v>3</v>
      </c>
    </row>
    <row r="692" spans="1:11" x14ac:dyDescent="0.25">
      <c r="A692" s="24">
        <v>17</v>
      </c>
      <c r="B692" s="2">
        <v>102</v>
      </c>
      <c r="C692" s="2" t="s">
        <v>98</v>
      </c>
      <c r="D692" s="3">
        <v>1</v>
      </c>
      <c r="E692" s="1">
        <v>3</v>
      </c>
      <c r="F692" t="s">
        <v>4897</v>
      </c>
      <c r="G692" t="s">
        <v>4896</v>
      </c>
      <c r="H692" t="s">
        <v>4851</v>
      </c>
      <c r="I692" s="1" t="s">
        <v>1456</v>
      </c>
      <c r="J692" t="s">
        <v>4852</v>
      </c>
      <c r="K692" s="25">
        <f>Tabelle5[[#This Row],[value_present]]*Tabelle5[[#This Row],[binding_level]]</f>
        <v>3</v>
      </c>
    </row>
    <row r="693" spans="1:11" x14ac:dyDescent="0.25">
      <c r="A693" s="24">
        <v>17</v>
      </c>
      <c r="B693" s="2">
        <v>102</v>
      </c>
      <c r="C693" s="2" t="s">
        <v>106</v>
      </c>
      <c r="D693" s="3">
        <v>1</v>
      </c>
      <c r="E693" s="1">
        <v>3</v>
      </c>
      <c r="F693" t="s">
        <v>4899</v>
      </c>
      <c r="G693" t="s">
        <v>4898</v>
      </c>
      <c r="H693" t="s">
        <v>4853</v>
      </c>
      <c r="I693" s="1" t="s">
        <v>1456</v>
      </c>
      <c r="J693" t="s">
        <v>4854</v>
      </c>
      <c r="K693" s="25">
        <f>Tabelle5[[#This Row],[value_present]]*Tabelle5[[#This Row],[binding_level]]</f>
        <v>3</v>
      </c>
    </row>
    <row r="694" spans="1:11" x14ac:dyDescent="0.25">
      <c r="A694" s="24">
        <v>17</v>
      </c>
      <c r="B694" s="2">
        <v>102</v>
      </c>
      <c r="C694" s="2" t="s">
        <v>112</v>
      </c>
      <c r="D694" s="3">
        <v>1</v>
      </c>
      <c r="E694" s="1">
        <v>3</v>
      </c>
      <c r="F694" t="s">
        <v>4874</v>
      </c>
      <c r="G694" t="s">
        <v>4875</v>
      </c>
      <c r="H694" t="s">
        <v>4855</v>
      </c>
      <c r="I694" s="1" t="s">
        <v>1456</v>
      </c>
      <c r="J694" t="s">
        <v>4856</v>
      </c>
      <c r="K694" s="25">
        <f>Tabelle5[[#This Row],[value_present]]*Tabelle5[[#This Row],[binding_level]]</f>
        <v>3</v>
      </c>
    </row>
    <row r="695" spans="1:11" x14ac:dyDescent="0.25">
      <c r="A695" s="24">
        <v>17</v>
      </c>
      <c r="B695" s="2">
        <v>102</v>
      </c>
      <c r="C695" s="2" t="s">
        <v>118</v>
      </c>
      <c r="D695" s="3">
        <v>1</v>
      </c>
      <c r="E695" s="1">
        <v>2</v>
      </c>
      <c r="F695" t="s">
        <v>4876</v>
      </c>
      <c r="G695" t="s">
        <v>4877</v>
      </c>
      <c r="H695" t="s">
        <v>4831</v>
      </c>
      <c r="I695" s="1" t="s">
        <v>1457</v>
      </c>
      <c r="J695" t="s">
        <v>4857</v>
      </c>
      <c r="K695" s="25">
        <f>Tabelle5[[#This Row],[value_present]]*Tabelle5[[#This Row],[binding_level]]</f>
        <v>2</v>
      </c>
    </row>
    <row r="696" spans="1:11" x14ac:dyDescent="0.25">
      <c r="A696" s="24">
        <v>17</v>
      </c>
      <c r="B696" s="2">
        <v>102</v>
      </c>
      <c r="C696" s="2" t="s">
        <v>125</v>
      </c>
      <c r="D696" s="3">
        <v>1</v>
      </c>
      <c r="E696" s="1">
        <v>3</v>
      </c>
      <c r="F696" t="s">
        <v>4878</v>
      </c>
      <c r="G696" t="s">
        <v>4879</v>
      </c>
      <c r="H696" t="s">
        <v>4825</v>
      </c>
      <c r="I696" s="1" t="s">
        <v>1457</v>
      </c>
      <c r="J696" t="s">
        <v>4858</v>
      </c>
      <c r="K696" s="25">
        <f>Tabelle5[[#This Row],[value_present]]*Tabelle5[[#This Row],[binding_level]]</f>
        <v>3</v>
      </c>
    </row>
    <row r="697" spans="1:11" x14ac:dyDescent="0.25">
      <c r="A697" s="24">
        <v>17</v>
      </c>
      <c r="B697" s="2">
        <v>102</v>
      </c>
      <c r="C697" s="2" t="s">
        <v>132</v>
      </c>
      <c r="D697" s="3">
        <v>0</v>
      </c>
      <c r="E697" s="1"/>
      <c r="I697" s="1" t="s">
        <v>1456</v>
      </c>
      <c r="J697" t="s">
        <v>4859</v>
      </c>
      <c r="K697" s="25">
        <f>Tabelle5[[#This Row],[value_present]]*Tabelle5[[#This Row],[binding_level]]</f>
        <v>0</v>
      </c>
    </row>
    <row r="698" spans="1:11" x14ac:dyDescent="0.25">
      <c r="A698" s="24">
        <v>17</v>
      </c>
      <c r="B698" s="2">
        <v>102</v>
      </c>
      <c r="C698" s="2" t="s">
        <v>140</v>
      </c>
      <c r="D698" s="3">
        <v>1</v>
      </c>
      <c r="E698" s="1">
        <v>1</v>
      </c>
      <c r="F698" t="s">
        <v>4880</v>
      </c>
      <c r="G698" t="s">
        <v>4881</v>
      </c>
      <c r="H698" t="s">
        <v>4860</v>
      </c>
      <c r="I698" s="1" t="s">
        <v>1457</v>
      </c>
      <c r="J698" t="s">
        <v>4861</v>
      </c>
      <c r="K698" s="25">
        <f>Tabelle5[[#This Row],[value_present]]*Tabelle5[[#This Row],[binding_level]]</f>
        <v>1</v>
      </c>
    </row>
    <row r="699" spans="1:11" x14ac:dyDescent="0.25">
      <c r="A699" s="24">
        <v>17</v>
      </c>
      <c r="B699" s="2">
        <v>102</v>
      </c>
      <c r="C699" s="2" t="s">
        <v>147</v>
      </c>
      <c r="D699" s="3">
        <v>1</v>
      </c>
      <c r="E699" s="1">
        <v>3</v>
      </c>
      <c r="F699" t="s">
        <v>4901</v>
      </c>
      <c r="G699" t="s">
        <v>4900</v>
      </c>
      <c r="H699" t="s">
        <v>4862</v>
      </c>
      <c r="I699" s="1" t="s">
        <v>1456</v>
      </c>
      <c r="J699" t="s">
        <v>4863</v>
      </c>
      <c r="K699" s="25">
        <f>Tabelle5[[#This Row],[value_present]]*Tabelle5[[#This Row],[binding_level]]</f>
        <v>3</v>
      </c>
    </row>
    <row r="700" spans="1:11" x14ac:dyDescent="0.25">
      <c r="A700" s="24">
        <v>17</v>
      </c>
      <c r="B700" s="2">
        <v>102</v>
      </c>
      <c r="C700" s="2" t="s">
        <v>154</v>
      </c>
      <c r="D700" s="3">
        <v>1</v>
      </c>
      <c r="E700" s="1">
        <v>2</v>
      </c>
      <c r="F700" t="s">
        <v>4882</v>
      </c>
      <c r="G700" t="s">
        <v>4883</v>
      </c>
      <c r="H700" t="s">
        <v>4821</v>
      </c>
      <c r="I700" s="1" t="s">
        <v>1456</v>
      </c>
      <c r="J700" t="s">
        <v>4864</v>
      </c>
      <c r="K700" s="25">
        <f>Tabelle5[[#This Row],[value_present]]*Tabelle5[[#This Row],[binding_level]]</f>
        <v>2</v>
      </c>
    </row>
    <row r="701" spans="1:11" x14ac:dyDescent="0.25">
      <c r="A701" s="24">
        <v>17</v>
      </c>
      <c r="B701" s="2">
        <v>102</v>
      </c>
      <c r="C701" s="2" t="s">
        <v>161</v>
      </c>
      <c r="D701" s="3">
        <v>1</v>
      </c>
      <c r="E701" s="1">
        <v>3</v>
      </c>
      <c r="F701" t="s">
        <v>4903</v>
      </c>
      <c r="G701" t="s">
        <v>4902</v>
      </c>
      <c r="H701" t="s">
        <v>4865</v>
      </c>
      <c r="I701" s="1" t="s">
        <v>1456</v>
      </c>
      <c r="J701" t="s">
        <v>4866</v>
      </c>
      <c r="K701" s="25">
        <f>Tabelle5[[#This Row],[value_present]]*Tabelle5[[#This Row],[binding_level]]</f>
        <v>3</v>
      </c>
    </row>
    <row r="702" spans="1:11" x14ac:dyDescent="0.25">
      <c r="A702" s="24">
        <v>17</v>
      </c>
      <c r="B702" s="2">
        <v>102</v>
      </c>
      <c r="C702" s="2" t="s">
        <v>166</v>
      </c>
      <c r="D702" s="3">
        <v>1</v>
      </c>
      <c r="E702" s="1">
        <v>3</v>
      </c>
      <c r="F702" t="s">
        <v>4872</v>
      </c>
      <c r="G702" t="s">
        <v>4873</v>
      </c>
      <c r="H702" t="s">
        <v>4867</v>
      </c>
      <c r="I702" s="1" t="s">
        <v>1456</v>
      </c>
      <c r="J702" t="s">
        <v>4868</v>
      </c>
      <c r="K702" s="25">
        <f>Tabelle5[[#This Row],[value_present]]*Tabelle5[[#This Row],[binding_level]]</f>
        <v>3</v>
      </c>
    </row>
    <row r="703" spans="1:11" ht="15.75" thickBot="1" x14ac:dyDescent="0.3">
      <c r="A703" s="24">
        <v>17</v>
      </c>
      <c r="B703" s="2">
        <v>102</v>
      </c>
      <c r="C703" s="2" t="s">
        <v>174</v>
      </c>
      <c r="D703" s="3">
        <v>1</v>
      </c>
      <c r="E703" s="1">
        <v>3</v>
      </c>
      <c r="F703" s="30" t="s">
        <v>4884</v>
      </c>
      <c r="G703" s="30" t="s">
        <v>4885</v>
      </c>
      <c r="H703" t="s">
        <v>4835</v>
      </c>
      <c r="I703" s="1" t="s">
        <v>1457</v>
      </c>
      <c r="J703" t="s">
        <v>4869</v>
      </c>
      <c r="K703" s="25">
        <f>Tabelle5[[#This Row],[value_present]]*Tabelle5[[#This Row],[binding_level]]</f>
        <v>3</v>
      </c>
    </row>
    <row r="704" spans="1:11" x14ac:dyDescent="0.25">
      <c r="A704" s="18">
        <v>19</v>
      </c>
      <c r="B704" s="19">
        <v>113</v>
      </c>
      <c r="C704" s="19" t="s">
        <v>53</v>
      </c>
      <c r="D704" s="20">
        <v>1</v>
      </c>
      <c r="E704" s="21">
        <v>3</v>
      </c>
      <c r="F704" t="s">
        <v>4963</v>
      </c>
      <c r="G704" t="s">
        <v>4962</v>
      </c>
      <c r="H704" s="22" t="s">
        <v>4939</v>
      </c>
      <c r="I704" s="21" t="s">
        <v>1456</v>
      </c>
      <c r="J704" s="22" t="s">
        <v>4923</v>
      </c>
      <c r="K704" s="23">
        <f>Tabelle5[[#This Row],[value_present]]*Tabelle5[[#This Row],[binding_level]]</f>
        <v>3</v>
      </c>
    </row>
    <row r="705" spans="1:11" x14ac:dyDescent="0.25">
      <c r="A705" s="24">
        <v>19</v>
      </c>
      <c r="B705" s="2">
        <v>113</v>
      </c>
      <c r="C705" s="2" t="s">
        <v>61</v>
      </c>
      <c r="D705" s="3">
        <v>1</v>
      </c>
      <c r="E705" s="1">
        <v>3</v>
      </c>
      <c r="F705" t="s">
        <v>4948</v>
      </c>
      <c r="G705" t="s">
        <v>4949</v>
      </c>
      <c r="H705" t="s">
        <v>4940</v>
      </c>
      <c r="I705" s="1" t="s">
        <v>1456</v>
      </c>
      <c r="J705" t="s">
        <v>4924</v>
      </c>
      <c r="K705" s="25">
        <f>Tabelle5[[#This Row],[value_present]]*Tabelle5[[#This Row],[binding_level]]</f>
        <v>3</v>
      </c>
    </row>
    <row r="706" spans="1:11" x14ac:dyDescent="0.25">
      <c r="A706" s="24">
        <v>19</v>
      </c>
      <c r="B706" s="2">
        <v>113</v>
      </c>
      <c r="C706" s="2" t="s">
        <v>69</v>
      </c>
      <c r="D706" s="3">
        <v>1</v>
      </c>
      <c r="E706" s="1">
        <v>2</v>
      </c>
      <c r="F706" t="s">
        <v>4950</v>
      </c>
      <c r="G706" t="s">
        <v>4951</v>
      </c>
      <c r="H706" t="s">
        <v>4941</v>
      </c>
      <c r="I706" s="1" t="s">
        <v>1456</v>
      </c>
      <c r="J706" t="s">
        <v>4925</v>
      </c>
      <c r="K706" s="25">
        <f>Tabelle5[[#This Row],[value_present]]*Tabelle5[[#This Row],[binding_level]]</f>
        <v>2</v>
      </c>
    </row>
    <row r="707" spans="1:11" x14ac:dyDescent="0.25">
      <c r="A707" s="24">
        <v>19</v>
      </c>
      <c r="B707" s="2">
        <v>113</v>
      </c>
      <c r="C707" s="2" t="s">
        <v>76</v>
      </c>
      <c r="D707" s="3">
        <v>0</v>
      </c>
      <c r="E707" s="1"/>
      <c r="I707" s="1" t="s">
        <v>1456</v>
      </c>
      <c r="J707" t="s">
        <v>4710</v>
      </c>
      <c r="K707" s="25">
        <f>Tabelle5[[#This Row],[value_present]]*Tabelle5[[#This Row],[binding_level]]</f>
        <v>0</v>
      </c>
    </row>
    <row r="708" spans="1:11" x14ac:dyDescent="0.25">
      <c r="A708" s="24">
        <v>19</v>
      </c>
      <c r="B708" s="2">
        <v>113</v>
      </c>
      <c r="C708" s="2" t="s">
        <v>83</v>
      </c>
      <c r="D708" s="3">
        <v>1</v>
      </c>
      <c r="E708" s="1">
        <v>2</v>
      </c>
      <c r="F708" t="s">
        <v>4952</v>
      </c>
      <c r="G708" t="s">
        <v>4953</v>
      </c>
      <c r="H708" t="s">
        <v>4941</v>
      </c>
      <c r="I708" s="1" t="s">
        <v>1456</v>
      </c>
      <c r="J708" t="s">
        <v>4926</v>
      </c>
      <c r="K708" s="25">
        <f>Tabelle5[[#This Row],[value_present]]*Tabelle5[[#This Row],[binding_level]]</f>
        <v>2</v>
      </c>
    </row>
    <row r="709" spans="1:11" x14ac:dyDescent="0.25">
      <c r="A709" s="24">
        <v>19</v>
      </c>
      <c r="B709" s="2">
        <v>113</v>
      </c>
      <c r="C709" s="2" t="s">
        <v>90</v>
      </c>
      <c r="D709" s="3">
        <v>1</v>
      </c>
      <c r="E709" s="1">
        <v>3</v>
      </c>
      <c r="F709" t="s">
        <v>4965</v>
      </c>
      <c r="G709" t="s">
        <v>4964</v>
      </c>
      <c r="H709" t="s">
        <v>4942</v>
      </c>
      <c r="I709" s="1" t="s">
        <v>1456</v>
      </c>
      <c r="J709" t="s">
        <v>4927</v>
      </c>
      <c r="K709" s="25">
        <f>Tabelle5[[#This Row],[value_present]]*Tabelle5[[#This Row],[binding_level]]</f>
        <v>3</v>
      </c>
    </row>
    <row r="710" spans="1:11" x14ac:dyDescent="0.25">
      <c r="A710" s="24">
        <v>19</v>
      </c>
      <c r="B710" s="2">
        <v>113</v>
      </c>
      <c r="C710" s="2" t="s">
        <v>98</v>
      </c>
      <c r="D710" s="3">
        <v>1</v>
      </c>
      <c r="E710" s="1">
        <v>3</v>
      </c>
      <c r="F710" t="s">
        <v>4967</v>
      </c>
      <c r="G710" t="s">
        <v>4966</v>
      </c>
      <c r="H710" t="s">
        <v>4942</v>
      </c>
      <c r="I710" s="1" t="s">
        <v>1456</v>
      </c>
      <c r="J710" t="s">
        <v>4928</v>
      </c>
      <c r="K710" s="25">
        <f>Tabelle5[[#This Row],[value_present]]*Tabelle5[[#This Row],[binding_level]]</f>
        <v>3</v>
      </c>
    </row>
    <row r="711" spans="1:11" x14ac:dyDescent="0.25">
      <c r="A711" s="24">
        <v>19</v>
      </c>
      <c r="B711" s="2">
        <v>113</v>
      </c>
      <c r="C711" s="2" t="s">
        <v>106</v>
      </c>
      <c r="D711" s="3">
        <v>1</v>
      </c>
      <c r="E711" s="1">
        <v>2</v>
      </c>
      <c r="F711" t="s">
        <v>4956</v>
      </c>
      <c r="G711" t="s">
        <v>4957</v>
      </c>
      <c r="H711" t="s">
        <v>4943</v>
      </c>
      <c r="I711" s="1" t="s">
        <v>1457</v>
      </c>
      <c r="J711" t="s">
        <v>4929</v>
      </c>
      <c r="K711" s="25">
        <f>Tabelle5[[#This Row],[value_present]]*Tabelle5[[#This Row],[binding_level]]</f>
        <v>2</v>
      </c>
    </row>
    <row r="712" spans="1:11" x14ac:dyDescent="0.25">
      <c r="A712" s="24">
        <v>19</v>
      </c>
      <c r="B712" s="2">
        <v>113</v>
      </c>
      <c r="C712" s="2" t="s">
        <v>112</v>
      </c>
      <c r="D712" s="3">
        <v>0</v>
      </c>
      <c r="E712" s="1"/>
      <c r="I712" s="1" t="s">
        <v>1457</v>
      </c>
      <c r="J712" t="s">
        <v>4930</v>
      </c>
      <c r="K712" s="25">
        <f>Tabelle5[[#This Row],[value_present]]*Tabelle5[[#This Row],[binding_level]]</f>
        <v>0</v>
      </c>
    </row>
    <row r="713" spans="1:11" x14ac:dyDescent="0.25">
      <c r="A713" s="24">
        <v>19</v>
      </c>
      <c r="B713" s="2">
        <v>113</v>
      </c>
      <c r="C713" s="2" t="s">
        <v>118</v>
      </c>
      <c r="D713" s="3">
        <v>0</v>
      </c>
      <c r="E713" s="1"/>
      <c r="I713" s="1" t="s">
        <v>1456</v>
      </c>
      <c r="J713" t="s">
        <v>4710</v>
      </c>
      <c r="K713" s="25">
        <f>Tabelle5[[#This Row],[value_present]]*Tabelle5[[#This Row],[binding_level]]</f>
        <v>0</v>
      </c>
    </row>
    <row r="714" spans="1:11" x14ac:dyDescent="0.25">
      <c r="A714" s="24">
        <v>19</v>
      </c>
      <c r="B714" s="2">
        <v>113</v>
      </c>
      <c r="C714" s="2" t="s">
        <v>125</v>
      </c>
      <c r="D714" s="3">
        <v>1</v>
      </c>
      <c r="E714" s="1">
        <v>1</v>
      </c>
      <c r="F714" t="s">
        <v>4958</v>
      </c>
      <c r="G714" t="s">
        <v>4959</v>
      </c>
      <c r="H714" t="s">
        <v>4943</v>
      </c>
      <c r="I714" s="1" t="s">
        <v>1457</v>
      </c>
      <c r="J714" t="s">
        <v>4931</v>
      </c>
      <c r="K714" s="25">
        <f>Tabelle5[[#This Row],[value_present]]*Tabelle5[[#This Row],[binding_level]]</f>
        <v>1</v>
      </c>
    </row>
    <row r="715" spans="1:11" x14ac:dyDescent="0.25">
      <c r="A715" s="24">
        <v>19</v>
      </c>
      <c r="B715" s="2">
        <v>113</v>
      </c>
      <c r="C715" s="2" t="s">
        <v>132</v>
      </c>
      <c r="D715" s="3">
        <v>1</v>
      </c>
      <c r="E715" s="1">
        <v>3</v>
      </c>
      <c r="F715" t="s">
        <v>4969</v>
      </c>
      <c r="G715" t="s">
        <v>4968</v>
      </c>
      <c r="H715" t="s">
        <v>4944</v>
      </c>
      <c r="I715" s="1" t="s">
        <v>1456</v>
      </c>
      <c r="J715" t="s">
        <v>4932</v>
      </c>
      <c r="K715" s="25">
        <f>Tabelle5[[#This Row],[value_present]]*Tabelle5[[#This Row],[binding_level]]</f>
        <v>3</v>
      </c>
    </row>
    <row r="716" spans="1:11" x14ac:dyDescent="0.25">
      <c r="A716" s="24">
        <v>19</v>
      </c>
      <c r="B716" s="2">
        <v>113</v>
      </c>
      <c r="C716" s="2" t="s">
        <v>140</v>
      </c>
      <c r="D716" s="3">
        <v>1</v>
      </c>
      <c r="E716" s="1">
        <v>1</v>
      </c>
      <c r="F716" t="s">
        <v>4960</v>
      </c>
      <c r="G716" t="s">
        <v>4961</v>
      </c>
      <c r="H716" t="s">
        <v>4945</v>
      </c>
      <c r="I716" s="1" t="s">
        <v>1457</v>
      </c>
      <c r="J716" t="s">
        <v>4933</v>
      </c>
      <c r="K716" s="25">
        <f>Tabelle5[[#This Row],[value_present]]*Tabelle5[[#This Row],[binding_level]]</f>
        <v>1</v>
      </c>
    </row>
    <row r="717" spans="1:11" x14ac:dyDescent="0.25">
      <c r="A717" s="24">
        <v>19</v>
      </c>
      <c r="B717" s="2">
        <v>113</v>
      </c>
      <c r="C717" s="2" t="s">
        <v>147</v>
      </c>
      <c r="D717" s="3">
        <v>1</v>
      </c>
      <c r="E717" s="1">
        <v>3</v>
      </c>
      <c r="F717" t="s">
        <v>4973</v>
      </c>
      <c r="G717" t="s">
        <v>4970</v>
      </c>
      <c r="H717" t="s">
        <v>4946</v>
      </c>
      <c r="I717" s="1" t="s">
        <v>1456</v>
      </c>
      <c r="J717" t="s">
        <v>4934</v>
      </c>
      <c r="K717" s="25">
        <f>Tabelle5[[#This Row],[value_present]]*Tabelle5[[#This Row],[binding_level]]</f>
        <v>3</v>
      </c>
    </row>
    <row r="718" spans="1:11" x14ac:dyDescent="0.25">
      <c r="A718" s="24">
        <v>19</v>
      </c>
      <c r="B718" s="2">
        <v>113</v>
      </c>
      <c r="C718" s="2" t="s">
        <v>154</v>
      </c>
      <c r="D718" s="3">
        <v>1</v>
      </c>
      <c r="E718" s="1">
        <v>2</v>
      </c>
      <c r="F718" t="s">
        <v>4972</v>
      </c>
      <c r="G718" t="s">
        <v>4971</v>
      </c>
      <c r="H718" t="s">
        <v>4947</v>
      </c>
      <c r="I718" s="1" t="s">
        <v>1456</v>
      </c>
      <c r="J718" t="s">
        <v>4935</v>
      </c>
      <c r="K718" s="25">
        <f>Tabelle5[[#This Row],[value_present]]*Tabelle5[[#This Row],[binding_level]]</f>
        <v>2</v>
      </c>
    </row>
    <row r="719" spans="1:11" x14ac:dyDescent="0.25">
      <c r="A719" s="24">
        <v>19</v>
      </c>
      <c r="B719" s="2">
        <v>113</v>
      </c>
      <c r="C719" s="2" t="s">
        <v>161</v>
      </c>
      <c r="D719" s="3">
        <v>0</v>
      </c>
      <c r="E719" s="1"/>
      <c r="I719" s="1" t="s">
        <v>1457</v>
      </c>
      <c r="J719" t="s">
        <v>4936</v>
      </c>
      <c r="K719" s="25">
        <f>Tabelle5[[#This Row],[value_present]]*Tabelle5[[#This Row],[binding_level]]</f>
        <v>0</v>
      </c>
    </row>
    <row r="720" spans="1:11" x14ac:dyDescent="0.25">
      <c r="A720" s="24">
        <v>19</v>
      </c>
      <c r="B720" s="2">
        <v>113</v>
      </c>
      <c r="C720" s="2" t="s">
        <v>166</v>
      </c>
      <c r="D720" s="3">
        <v>1</v>
      </c>
      <c r="E720" s="1">
        <v>2</v>
      </c>
      <c r="F720" t="s">
        <v>4954</v>
      </c>
      <c r="G720" t="s">
        <v>4955</v>
      </c>
      <c r="H720" t="s">
        <v>4942</v>
      </c>
      <c r="I720" s="1" t="s">
        <v>1457</v>
      </c>
      <c r="J720" t="s">
        <v>4937</v>
      </c>
      <c r="K720" s="25">
        <f>Tabelle5[[#This Row],[value_present]]*Tabelle5[[#This Row],[binding_level]]</f>
        <v>2</v>
      </c>
    </row>
    <row r="721" spans="1:11" ht="15.75" thickBot="1" x14ac:dyDescent="0.3">
      <c r="A721" s="26">
        <v>19</v>
      </c>
      <c r="B721" s="27">
        <v>113</v>
      </c>
      <c r="C721" s="27" t="s">
        <v>174</v>
      </c>
      <c r="D721" s="28">
        <v>0</v>
      </c>
      <c r="E721" s="29"/>
      <c r="F721" s="30"/>
      <c r="G721" s="30"/>
      <c r="H721" s="30"/>
      <c r="I721" s="29" t="s">
        <v>1457</v>
      </c>
      <c r="J721" s="30" t="s">
        <v>4938</v>
      </c>
      <c r="K721" s="31">
        <f>Tabelle5[[#This Row],[value_present]]*Tabelle5[[#This Row],[binding_level]]</f>
        <v>0</v>
      </c>
    </row>
    <row r="722" spans="1:11" x14ac:dyDescent="0.25">
      <c r="A722" s="18">
        <v>20</v>
      </c>
      <c r="B722" s="19">
        <v>122</v>
      </c>
      <c r="C722" s="19" t="s">
        <v>53</v>
      </c>
      <c r="D722" s="20">
        <v>0</v>
      </c>
      <c r="E722" s="21"/>
      <c r="F722" s="22"/>
      <c r="G722" s="22"/>
      <c r="H722" s="22"/>
      <c r="I722" s="21" t="s">
        <v>1457</v>
      </c>
      <c r="J722" s="22" t="s">
        <v>5001</v>
      </c>
      <c r="K722" s="23">
        <f>Tabelle5[[#This Row],[value_present]]*Tabelle5[[#This Row],[binding_level]]</f>
        <v>0</v>
      </c>
    </row>
    <row r="723" spans="1:11" x14ac:dyDescent="0.25">
      <c r="A723" s="24">
        <v>20</v>
      </c>
      <c r="B723" s="2">
        <v>122</v>
      </c>
      <c r="C723" s="2" t="s">
        <v>61</v>
      </c>
      <c r="D723" s="3">
        <v>0</v>
      </c>
      <c r="E723" s="1"/>
      <c r="I723" s="1" t="s">
        <v>1457</v>
      </c>
      <c r="J723" t="s">
        <v>5002</v>
      </c>
      <c r="K723" s="25">
        <f>Tabelle5[[#This Row],[value_present]]*Tabelle5[[#This Row],[binding_level]]</f>
        <v>0</v>
      </c>
    </row>
    <row r="724" spans="1:11" x14ac:dyDescent="0.25">
      <c r="A724" s="24">
        <v>20</v>
      </c>
      <c r="B724" s="2">
        <v>122</v>
      </c>
      <c r="C724" s="2" t="s">
        <v>69</v>
      </c>
      <c r="D724" s="3">
        <v>1</v>
      </c>
      <c r="E724" s="1">
        <v>1</v>
      </c>
      <c r="F724" t="s">
        <v>5011</v>
      </c>
      <c r="G724" t="s">
        <v>5012</v>
      </c>
      <c r="H724" t="s">
        <v>5003</v>
      </c>
      <c r="I724" s="1" t="s">
        <v>1457</v>
      </c>
      <c r="J724" t="s">
        <v>5004</v>
      </c>
      <c r="K724" s="25">
        <f>Tabelle5[[#This Row],[value_present]]*Tabelle5[[#This Row],[binding_level]]</f>
        <v>1</v>
      </c>
    </row>
    <row r="725" spans="1:11" x14ac:dyDescent="0.25">
      <c r="A725" s="24">
        <v>20</v>
      </c>
      <c r="B725" s="2">
        <v>122</v>
      </c>
      <c r="C725" s="2" t="s">
        <v>76</v>
      </c>
      <c r="D725" s="3">
        <v>0</v>
      </c>
      <c r="E725" s="1"/>
      <c r="I725" s="1" t="s">
        <v>1456</v>
      </c>
      <c r="J725" t="s">
        <v>4710</v>
      </c>
      <c r="K725" s="25">
        <f>Tabelle5[[#This Row],[value_present]]*Tabelle5[[#This Row],[binding_level]]</f>
        <v>0</v>
      </c>
    </row>
    <row r="726" spans="1:11" x14ac:dyDescent="0.25">
      <c r="A726" s="24">
        <v>20</v>
      </c>
      <c r="B726" s="2">
        <v>122</v>
      </c>
      <c r="C726" s="2" t="s">
        <v>83</v>
      </c>
      <c r="D726" s="3">
        <v>0</v>
      </c>
      <c r="E726" s="1"/>
      <c r="I726" s="1" t="s">
        <v>1456</v>
      </c>
      <c r="J726" t="s">
        <v>4710</v>
      </c>
      <c r="K726" s="25">
        <f>Tabelle5[[#This Row],[value_present]]*Tabelle5[[#This Row],[binding_level]]</f>
        <v>0</v>
      </c>
    </row>
    <row r="727" spans="1:11" x14ac:dyDescent="0.25">
      <c r="A727" s="24">
        <v>20</v>
      </c>
      <c r="B727" s="2">
        <v>122</v>
      </c>
      <c r="C727" s="2" t="s">
        <v>90</v>
      </c>
      <c r="D727" s="3">
        <v>1</v>
      </c>
      <c r="E727" s="1">
        <v>1</v>
      </c>
      <c r="F727" t="s">
        <v>5018</v>
      </c>
      <c r="G727" t="s">
        <v>5017</v>
      </c>
      <c r="H727" t="s">
        <v>5003</v>
      </c>
      <c r="I727" s="1" t="s">
        <v>1456</v>
      </c>
      <c r="J727" t="s">
        <v>5005</v>
      </c>
      <c r="K727" s="25">
        <f>Tabelle5[[#This Row],[value_present]]*Tabelle5[[#This Row],[binding_level]]</f>
        <v>1</v>
      </c>
    </row>
    <row r="728" spans="1:11" x14ac:dyDescent="0.25">
      <c r="A728" s="24">
        <v>20</v>
      </c>
      <c r="B728" s="2">
        <v>122</v>
      </c>
      <c r="C728" s="2" t="s">
        <v>98</v>
      </c>
      <c r="D728" s="3">
        <v>1</v>
      </c>
      <c r="E728" s="1">
        <v>1</v>
      </c>
      <c r="F728" t="s">
        <v>5011</v>
      </c>
      <c r="G728" t="s">
        <v>5012</v>
      </c>
      <c r="H728" t="s">
        <v>5003</v>
      </c>
      <c r="I728" s="1" t="s">
        <v>1457</v>
      </c>
      <c r="J728" t="s">
        <v>5006</v>
      </c>
      <c r="K728" s="25">
        <f>Tabelle5[[#This Row],[value_present]]*Tabelle5[[#This Row],[binding_level]]</f>
        <v>1</v>
      </c>
    </row>
    <row r="729" spans="1:11" x14ac:dyDescent="0.25">
      <c r="A729" s="24">
        <v>20</v>
      </c>
      <c r="B729" s="2">
        <v>122</v>
      </c>
      <c r="C729" s="2" t="s">
        <v>106</v>
      </c>
      <c r="D729" s="3">
        <v>0</v>
      </c>
      <c r="E729" s="1"/>
      <c r="I729" s="1" t="s">
        <v>1456</v>
      </c>
      <c r="J729" t="s">
        <v>4710</v>
      </c>
      <c r="K729" s="25">
        <f>Tabelle5[[#This Row],[value_present]]*Tabelle5[[#This Row],[binding_level]]</f>
        <v>0</v>
      </c>
    </row>
    <row r="730" spans="1:11" x14ac:dyDescent="0.25">
      <c r="A730" s="24">
        <v>20</v>
      </c>
      <c r="B730" s="2">
        <v>122</v>
      </c>
      <c r="C730" s="2" t="s">
        <v>112</v>
      </c>
      <c r="D730" s="3">
        <v>0</v>
      </c>
      <c r="E730" s="1"/>
      <c r="I730" s="1" t="s">
        <v>1456</v>
      </c>
      <c r="J730" t="s">
        <v>4710</v>
      </c>
      <c r="K730" s="25">
        <f>Tabelle5[[#This Row],[value_present]]*Tabelle5[[#This Row],[binding_level]]</f>
        <v>0</v>
      </c>
    </row>
    <row r="731" spans="1:11" x14ac:dyDescent="0.25">
      <c r="A731" s="24">
        <v>20</v>
      </c>
      <c r="B731" s="2">
        <v>122</v>
      </c>
      <c r="C731" s="2" t="s">
        <v>118</v>
      </c>
      <c r="D731" s="3">
        <v>0</v>
      </c>
      <c r="E731" s="1"/>
      <c r="I731" s="1" t="s">
        <v>1457</v>
      </c>
      <c r="J731" t="s">
        <v>5007</v>
      </c>
      <c r="K731" s="25">
        <f>Tabelle5[[#This Row],[value_present]]*Tabelle5[[#This Row],[binding_level]]</f>
        <v>0</v>
      </c>
    </row>
    <row r="732" spans="1:11" x14ac:dyDescent="0.25">
      <c r="A732" s="24">
        <v>20</v>
      </c>
      <c r="B732" s="2">
        <v>122</v>
      </c>
      <c r="C732" s="2" t="s">
        <v>125</v>
      </c>
      <c r="D732" s="3">
        <v>0</v>
      </c>
      <c r="E732" s="1"/>
      <c r="I732" s="1" t="s">
        <v>1456</v>
      </c>
      <c r="J732" t="s">
        <v>4710</v>
      </c>
      <c r="K732" s="25">
        <f>Tabelle5[[#This Row],[value_present]]*Tabelle5[[#This Row],[binding_level]]</f>
        <v>0</v>
      </c>
    </row>
    <row r="733" spans="1:11" x14ac:dyDescent="0.25">
      <c r="A733" s="24">
        <v>20</v>
      </c>
      <c r="B733" s="2">
        <v>122</v>
      </c>
      <c r="C733" s="2" t="s">
        <v>132</v>
      </c>
      <c r="D733" s="3">
        <v>0</v>
      </c>
      <c r="E733" s="1"/>
      <c r="I733" s="1" t="s">
        <v>1456</v>
      </c>
      <c r="J733" t="s">
        <v>4710</v>
      </c>
      <c r="K733" s="25">
        <f>Tabelle5[[#This Row],[value_present]]*Tabelle5[[#This Row],[binding_level]]</f>
        <v>0</v>
      </c>
    </row>
    <row r="734" spans="1:11" x14ac:dyDescent="0.25">
      <c r="A734" s="24">
        <v>20</v>
      </c>
      <c r="B734" s="2">
        <v>122</v>
      </c>
      <c r="C734" s="2" t="s">
        <v>140</v>
      </c>
      <c r="D734" s="3">
        <v>0</v>
      </c>
      <c r="E734" s="1"/>
      <c r="I734" s="1" t="s">
        <v>1457</v>
      </c>
      <c r="J734" t="s">
        <v>5008</v>
      </c>
      <c r="K734" s="25">
        <f>Tabelle5[[#This Row],[value_present]]*Tabelle5[[#This Row],[binding_level]]</f>
        <v>0</v>
      </c>
    </row>
    <row r="735" spans="1:11" x14ac:dyDescent="0.25">
      <c r="A735" s="24">
        <v>20</v>
      </c>
      <c r="B735" s="2">
        <v>122</v>
      </c>
      <c r="C735" s="2" t="s">
        <v>147</v>
      </c>
      <c r="D735" s="3">
        <v>1</v>
      </c>
      <c r="E735" s="1">
        <v>1</v>
      </c>
      <c r="F735" t="s">
        <v>5013</v>
      </c>
      <c r="G735" t="s">
        <v>5014</v>
      </c>
      <c r="H735" t="s">
        <v>5003</v>
      </c>
      <c r="I735" s="1" t="s">
        <v>1456</v>
      </c>
      <c r="J735" t="s">
        <v>5009</v>
      </c>
      <c r="K735" s="25">
        <f>Tabelle5[[#This Row],[value_present]]*Tabelle5[[#This Row],[binding_level]]</f>
        <v>1</v>
      </c>
    </row>
    <row r="736" spans="1:11" x14ac:dyDescent="0.25">
      <c r="A736" s="24">
        <v>20</v>
      </c>
      <c r="B736" s="2">
        <v>122</v>
      </c>
      <c r="C736" s="2" t="s">
        <v>154</v>
      </c>
      <c r="D736" s="3">
        <v>1</v>
      </c>
      <c r="E736" s="1">
        <v>1</v>
      </c>
      <c r="F736" t="s">
        <v>5015</v>
      </c>
      <c r="G736" t="s">
        <v>5016</v>
      </c>
      <c r="H736" t="s">
        <v>5003</v>
      </c>
      <c r="I736" s="1" t="s">
        <v>1456</v>
      </c>
      <c r="J736" t="s">
        <v>5010</v>
      </c>
      <c r="K736" s="25">
        <f>Tabelle5[[#This Row],[value_present]]*Tabelle5[[#This Row],[binding_level]]</f>
        <v>1</v>
      </c>
    </row>
    <row r="737" spans="1:11" x14ac:dyDescent="0.25">
      <c r="A737" s="24">
        <v>20</v>
      </c>
      <c r="B737" s="2">
        <v>122</v>
      </c>
      <c r="C737" s="2" t="s">
        <v>161</v>
      </c>
      <c r="D737" s="3">
        <v>0</v>
      </c>
      <c r="E737" s="1"/>
      <c r="I737" s="1" t="s">
        <v>1456</v>
      </c>
      <c r="J737" t="s">
        <v>4710</v>
      </c>
      <c r="K737" s="25">
        <f>Tabelle5[[#This Row],[value_present]]*Tabelle5[[#This Row],[binding_level]]</f>
        <v>0</v>
      </c>
    </row>
    <row r="738" spans="1:11" x14ac:dyDescent="0.25">
      <c r="A738" s="24">
        <v>20</v>
      </c>
      <c r="B738" s="2">
        <v>122</v>
      </c>
      <c r="C738" s="2" t="s">
        <v>166</v>
      </c>
      <c r="D738" s="3">
        <v>0</v>
      </c>
      <c r="E738" s="1"/>
      <c r="I738" s="1" t="s">
        <v>1456</v>
      </c>
      <c r="J738" t="s">
        <v>4710</v>
      </c>
      <c r="K738" s="25">
        <f>Tabelle5[[#This Row],[value_present]]*Tabelle5[[#This Row],[binding_level]]</f>
        <v>0</v>
      </c>
    </row>
    <row r="739" spans="1:11" ht="15.75" thickBot="1" x14ac:dyDescent="0.3">
      <c r="A739" s="26">
        <v>20</v>
      </c>
      <c r="B739" s="27">
        <v>122</v>
      </c>
      <c r="C739" s="27" t="s">
        <v>174</v>
      </c>
      <c r="D739" s="28">
        <v>0</v>
      </c>
      <c r="E739" s="29"/>
      <c r="F739" s="30"/>
      <c r="G739" s="30"/>
      <c r="H739" s="30"/>
      <c r="I739" s="29" t="s">
        <v>1456</v>
      </c>
      <c r="J739" s="30" t="s">
        <v>4710</v>
      </c>
      <c r="K739" s="31">
        <f>Tabelle5[[#This Row],[value_present]]*Tabelle5[[#This Row],[binding_level]]</f>
        <v>0</v>
      </c>
    </row>
    <row r="740" spans="1:11" x14ac:dyDescent="0.25">
      <c r="A740" s="18">
        <v>22</v>
      </c>
      <c r="B740" s="19">
        <v>132</v>
      </c>
      <c r="C740" s="19" t="s">
        <v>53</v>
      </c>
      <c r="D740" s="20">
        <v>1</v>
      </c>
      <c r="E740" s="21">
        <v>2</v>
      </c>
      <c r="F740" t="s">
        <v>5072</v>
      </c>
      <c r="G740" t="s">
        <v>5073</v>
      </c>
      <c r="H740" s="22" t="s">
        <v>5071</v>
      </c>
      <c r="I740" s="21" t="s">
        <v>1456</v>
      </c>
      <c r="J740" s="22" t="s">
        <v>5056</v>
      </c>
      <c r="K740" s="23">
        <f>Tabelle5[[#This Row],[value_present]]*Tabelle5[[#This Row],[binding_level]]</f>
        <v>2</v>
      </c>
    </row>
    <row r="741" spans="1:11" x14ac:dyDescent="0.25">
      <c r="A741" s="24">
        <v>22</v>
      </c>
      <c r="B741" s="2">
        <v>132</v>
      </c>
      <c r="C741" s="2" t="s">
        <v>61</v>
      </c>
      <c r="D741" s="3">
        <v>1</v>
      </c>
      <c r="E741" s="1">
        <v>2</v>
      </c>
      <c r="F741" t="s">
        <v>5074</v>
      </c>
      <c r="G741" t="s">
        <v>2854</v>
      </c>
      <c r="H741" t="s">
        <v>5071</v>
      </c>
      <c r="I741" s="1" t="s">
        <v>1456</v>
      </c>
      <c r="J741" t="s">
        <v>5057</v>
      </c>
      <c r="K741" s="25">
        <f>Tabelle5[[#This Row],[value_present]]*Tabelle5[[#This Row],[binding_level]]</f>
        <v>2</v>
      </c>
    </row>
    <row r="742" spans="1:11" x14ac:dyDescent="0.25">
      <c r="A742" s="24">
        <v>22</v>
      </c>
      <c r="B742" s="2">
        <v>132</v>
      </c>
      <c r="C742" s="2" t="s">
        <v>69</v>
      </c>
      <c r="D742" s="3">
        <v>1</v>
      </c>
      <c r="E742" s="1">
        <v>2</v>
      </c>
      <c r="F742" t="s">
        <v>5075</v>
      </c>
      <c r="G742" t="s">
        <v>5076</v>
      </c>
      <c r="H742" t="s">
        <v>5071</v>
      </c>
      <c r="I742" s="1" t="s">
        <v>1456</v>
      </c>
      <c r="J742" t="s">
        <v>5058</v>
      </c>
      <c r="K742" s="25">
        <f>Tabelle5[[#This Row],[value_present]]*Tabelle5[[#This Row],[binding_level]]</f>
        <v>2</v>
      </c>
    </row>
    <row r="743" spans="1:11" x14ac:dyDescent="0.25">
      <c r="A743" s="24">
        <v>22</v>
      </c>
      <c r="B743" s="2">
        <v>132</v>
      </c>
      <c r="C743" s="2" t="s">
        <v>76</v>
      </c>
      <c r="D743" s="3">
        <v>0</v>
      </c>
      <c r="E743" s="1"/>
      <c r="I743" s="1" t="s">
        <v>1456</v>
      </c>
      <c r="J743" t="s">
        <v>5059</v>
      </c>
      <c r="K743" s="25">
        <f>Tabelle5[[#This Row],[value_present]]*Tabelle5[[#This Row],[binding_level]]</f>
        <v>0</v>
      </c>
    </row>
    <row r="744" spans="1:11" x14ac:dyDescent="0.25">
      <c r="A744" s="24">
        <v>22</v>
      </c>
      <c r="B744" s="2">
        <v>132</v>
      </c>
      <c r="C744" s="2" t="s">
        <v>83</v>
      </c>
      <c r="D744" s="3">
        <v>0</v>
      </c>
      <c r="E744" s="1"/>
      <c r="I744" s="1" t="s">
        <v>1456</v>
      </c>
      <c r="J744" t="s">
        <v>5060</v>
      </c>
      <c r="K744" s="25">
        <f>Tabelle5[[#This Row],[value_present]]*Tabelle5[[#This Row],[binding_level]]</f>
        <v>0</v>
      </c>
    </row>
    <row r="745" spans="1:11" x14ac:dyDescent="0.25">
      <c r="A745" s="24">
        <v>22</v>
      </c>
      <c r="B745" s="2">
        <v>132</v>
      </c>
      <c r="C745" s="2" t="s">
        <v>90</v>
      </c>
      <c r="D745" s="3">
        <v>0</v>
      </c>
      <c r="E745" s="1"/>
      <c r="I745" s="1" t="s">
        <v>1457</v>
      </c>
      <c r="J745" t="s">
        <v>5061</v>
      </c>
      <c r="K745" s="25">
        <f>Tabelle5[[#This Row],[value_present]]*Tabelle5[[#This Row],[binding_level]]</f>
        <v>0</v>
      </c>
    </row>
    <row r="746" spans="1:11" x14ac:dyDescent="0.25">
      <c r="A746" s="24">
        <v>22</v>
      </c>
      <c r="B746" s="2">
        <v>132</v>
      </c>
      <c r="C746" s="2" t="s">
        <v>98</v>
      </c>
      <c r="D746" s="3">
        <v>0</v>
      </c>
      <c r="E746" s="1"/>
      <c r="I746" s="1" t="s">
        <v>1457</v>
      </c>
      <c r="J746" t="s">
        <v>5062</v>
      </c>
      <c r="K746" s="25">
        <f>Tabelle5[[#This Row],[value_present]]*Tabelle5[[#This Row],[binding_level]]</f>
        <v>0</v>
      </c>
    </row>
    <row r="747" spans="1:11" x14ac:dyDescent="0.25">
      <c r="A747" s="24">
        <v>22</v>
      </c>
      <c r="B747" s="2">
        <v>132</v>
      </c>
      <c r="C747" s="2" t="s">
        <v>106</v>
      </c>
      <c r="D747" s="3">
        <v>1</v>
      </c>
      <c r="E747" s="1">
        <v>2</v>
      </c>
      <c r="F747" t="s">
        <v>5077</v>
      </c>
      <c r="G747" t="s">
        <v>5078</v>
      </c>
      <c r="H747" t="s">
        <v>5071</v>
      </c>
      <c r="I747" s="1" t="s">
        <v>1457</v>
      </c>
      <c r="J747" t="s">
        <v>5063</v>
      </c>
      <c r="K747" s="25">
        <f>Tabelle5[[#This Row],[value_present]]*Tabelle5[[#This Row],[binding_level]]</f>
        <v>2</v>
      </c>
    </row>
    <row r="748" spans="1:11" x14ac:dyDescent="0.25">
      <c r="A748" s="24">
        <v>22</v>
      </c>
      <c r="B748" s="2">
        <v>132</v>
      </c>
      <c r="C748" s="2" t="s">
        <v>112</v>
      </c>
      <c r="D748" s="3">
        <v>1</v>
      </c>
      <c r="E748" s="1">
        <v>2</v>
      </c>
      <c r="F748" t="s">
        <v>5079</v>
      </c>
      <c r="G748" t="s">
        <v>5080</v>
      </c>
      <c r="H748" t="s">
        <v>5071</v>
      </c>
      <c r="I748" s="1" t="s">
        <v>1457</v>
      </c>
      <c r="J748" t="s">
        <v>5064</v>
      </c>
      <c r="K748" s="25">
        <f>Tabelle5[[#This Row],[value_present]]*Tabelle5[[#This Row],[binding_level]]</f>
        <v>2</v>
      </c>
    </row>
    <row r="749" spans="1:11" x14ac:dyDescent="0.25">
      <c r="A749" s="24">
        <v>22</v>
      </c>
      <c r="B749" s="2">
        <v>132</v>
      </c>
      <c r="C749" s="2" t="s">
        <v>118</v>
      </c>
      <c r="D749" s="3">
        <v>0</v>
      </c>
      <c r="E749" s="1"/>
      <c r="I749" s="1" t="s">
        <v>1457</v>
      </c>
      <c r="J749" t="s">
        <v>5065</v>
      </c>
      <c r="K749" s="25">
        <f>Tabelle5[[#This Row],[value_present]]*Tabelle5[[#This Row],[binding_level]]</f>
        <v>0</v>
      </c>
    </row>
    <row r="750" spans="1:11" x14ac:dyDescent="0.25">
      <c r="A750" s="24">
        <v>22</v>
      </c>
      <c r="B750" s="2">
        <v>132</v>
      </c>
      <c r="C750" s="2" t="s">
        <v>125</v>
      </c>
      <c r="D750" s="3">
        <v>0</v>
      </c>
      <c r="E750" s="1"/>
      <c r="I750" s="1" t="s">
        <v>1456</v>
      </c>
      <c r="J750" t="s">
        <v>4710</v>
      </c>
      <c r="K750" s="25">
        <f>Tabelle5[[#This Row],[value_present]]*Tabelle5[[#This Row],[binding_level]]</f>
        <v>0</v>
      </c>
    </row>
    <row r="751" spans="1:11" x14ac:dyDescent="0.25">
      <c r="A751" s="24">
        <v>22</v>
      </c>
      <c r="B751" s="2">
        <v>132</v>
      </c>
      <c r="C751" s="2" t="s">
        <v>132</v>
      </c>
      <c r="D751" s="3">
        <v>0</v>
      </c>
      <c r="E751" s="1"/>
      <c r="I751" s="1" t="s">
        <v>1456</v>
      </c>
      <c r="J751" t="s">
        <v>4710</v>
      </c>
      <c r="K751" s="25">
        <f>Tabelle5[[#This Row],[value_present]]*Tabelle5[[#This Row],[binding_level]]</f>
        <v>0</v>
      </c>
    </row>
    <row r="752" spans="1:11" x14ac:dyDescent="0.25">
      <c r="A752" s="24">
        <v>22</v>
      </c>
      <c r="B752" s="2">
        <v>132</v>
      </c>
      <c r="C752" s="2" t="s">
        <v>140</v>
      </c>
      <c r="D752" s="3">
        <v>0</v>
      </c>
      <c r="E752" s="1"/>
      <c r="I752" s="1" t="s">
        <v>1456</v>
      </c>
      <c r="J752" t="s">
        <v>4710</v>
      </c>
      <c r="K752" s="25">
        <f>Tabelle5[[#This Row],[value_present]]*Tabelle5[[#This Row],[binding_level]]</f>
        <v>0</v>
      </c>
    </row>
    <row r="753" spans="1:11" x14ac:dyDescent="0.25">
      <c r="A753" s="24">
        <v>22</v>
      </c>
      <c r="B753" s="2">
        <v>132</v>
      </c>
      <c r="C753" s="2" t="s">
        <v>147</v>
      </c>
      <c r="D753" s="3">
        <v>0</v>
      </c>
      <c r="E753" s="1"/>
      <c r="I753" s="1" t="s">
        <v>1457</v>
      </c>
      <c r="J753" t="s">
        <v>5066</v>
      </c>
      <c r="K753" s="25">
        <f>Tabelle5[[#This Row],[value_present]]*Tabelle5[[#This Row],[binding_level]]</f>
        <v>0</v>
      </c>
    </row>
    <row r="754" spans="1:11" x14ac:dyDescent="0.25">
      <c r="A754" s="24">
        <v>22</v>
      </c>
      <c r="B754" s="2">
        <v>132</v>
      </c>
      <c r="C754" s="2" t="s">
        <v>154</v>
      </c>
      <c r="D754" s="3">
        <v>1</v>
      </c>
      <c r="E754" s="1">
        <v>1</v>
      </c>
      <c r="F754" t="s">
        <v>5081</v>
      </c>
      <c r="G754" t="s">
        <v>5082</v>
      </c>
      <c r="H754" t="s">
        <v>5071</v>
      </c>
      <c r="I754" s="1" t="s">
        <v>1457</v>
      </c>
      <c r="J754" t="s">
        <v>5067</v>
      </c>
      <c r="K754" s="25">
        <f>Tabelle5[[#This Row],[value_present]]*Tabelle5[[#This Row],[binding_level]]</f>
        <v>1</v>
      </c>
    </row>
    <row r="755" spans="1:11" x14ac:dyDescent="0.25">
      <c r="A755" s="24">
        <v>22</v>
      </c>
      <c r="B755" s="2">
        <v>132</v>
      </c>
      <c r="C755" s="2" t="s">
        <v>161</v>
      </c>
      <c r="D755" s="3">
        <v>0</v>
      </c>
      <c r="E755" s="1"/>
      <c r="I755" s="1" t="s">
        <v>1457</v>
      </c>
      <c r="J755" t="s">
        <v>5068</v>
      </c>
      <c r="K755" s="25">
        <f>Tabelle5[[#This Row],[value_present]]*Tabelle5[[#This Row],[binding_level]]</f>
        <v>0</v>
      </c>
    </row>
    <row r="756" spans="1:11" x14ac:dyDescent="0.25">
      <c r="A756" s="24">
        <v>22</v>
      </c>
      <c r="B756" s="2">
        <v>132</v>
      </c>
      <c r="C756" s="2" t="s">
        <v>166</v>
      </c>
      <c r="D756" s="3">
        <v>0</v>
      </c>
      <c r="E756" s="1"/>
      <c r="I756" s="1" t="s">
        <v>1457</v>
      </c>
      <c r="J756" t="s">
        <v>5069</v>
      </c>
      <c r="K756" s="25">
        <f>Tabelle5[[#This Row],[value_present]]*Tabelle5[[#This Row],[binding_level]]</f>
        <v>0</v>
      </c>
    </row>
    <row r="757" spans="1:11" ht="15.75" thickBot="1" x14ac:dyDescent="0.3">
      <c r="A757" s="26">
        <v>22</v>
      </c>
      <c r="B757" s="27">
        <v>132</v>
      </c>
      <c r="C757" s="27" t="s">
        <v>174</v>
      </c>
      <c r="D757" s="28">
        <v>0</v>
      </c>
      <c r="E757" s="29"/>
      <c r="F757" s="30"/>
      <c r="G757" s="30"/>
      <c r="H757" s="30"/>
      <c r="I757" s="29" t="s">
        <v>1541</v>
      </c>
      <c r="J757" s="30" t="s">
        <v>5070</v>
      </c>
      <c r="K757" s="31">
        <f>Tabelle5[[#This Row],[value_present]]*Tabelle5[[#This Row],[binding_level]]</f>
        <v>0</v>
      </c>
    </row>
    <row r="758" spans="1:11" x14ac:dyDescent="0.25">
      <c r="A758" s="18">
        <v>23</v>
      </c>
      <c r="B758" s="19">
        <v>142</v>
      </c>
      <c r="C758" s="19" t="s">
        <v>53</v>
      </c>
      <c r="D758" s="20">
        <v>1</v>
      </c>
      <c r="E758" s="21">
        <v>3</v>
      </c>
      <c r="F758" s="22" t="s">
        <v>5202</v>
      </c>
      <c r="G758" s="22" t="s">
        <v>5201</v>
      </c>
      <c r="H758" s="22" t="s">
        <v>5160</v>
      </c>
      <c r="I758" s="21" t="s">
        <v>1456</v>
      </c>
      <c r="J758" s="22" t="s">
        <v>5161</v>
      </c>
      <c r="K758" s="23">
        <f>Tabelle5[[#This Row],[value_present]]*Tabelle5[[#This Row],[binding_level]]</f>
        <v>3</v>
      </c>
    </row>
    <row r="759" spans="1:11" x14ac:dyDescent="0.25">
      <c r="A759" s="24">
        <v>23</v>
      </c>
      <c r="B759" s="2">
        <v>142</v>
      </c>
      <c r="C759" s="2" t="s">
        <v>61</v>
      </c>
      <c r="D759" s="3">
        <v>1</v>
      </c>
      <c r="E759" s="1">
        <v>3</v>
      </c>
      <c r="F759" t="s">
        <v>5204</v>
      </c>
      <c r="G759" t="s">
        <v>5203</v>
      </c>
      <c r="H759" t="s">
        <v>5162</v>
      </c>
      <c r="I759" s="1" t="s">
        <v>1457</v>
      </c>
      <c r="J759" t="s">
        <v>5163</v>
      </c>
      <c r="K759" s="25">
        <f>Tabelle5[[#This Row],[value_present]]*Tabelle5[[#This Row],[binding_level]]</f>
        <v>3</v>
      </c>
    </row>
    <row r="760" spans="1:11" x14ac:dyDescent="0.25">
      <c r="A760" s="24">
        <v>23</v>
      </c>
      <c r="B760" s="2">
        <v>142</v>
      </c>
      <c r="C760" s="2" t="s">
        <v>69</v>
      </c>
      <c r="D760" s="3">
        <v>1</v>
      </c>
      <c r="E760" s="1">
        <v>1</v>
      </c>
      <c r="F760" t="s">
        <v>5189</v>
      </c>
      <c r="G760" t="s">
        <v>5190</v>
      </c>
      <c r="H760" t="s">
        <v>5164</v>
      </c>
      <c r="I760" s="1" t="s">
        <v>1456</v>
      </c>
      <c r="J760" t="s">
        <v>5165</v>
      </c>
      <c r="K760" s="25">
        <f>Tabelle5[[#This Row],[value_present]]*Tabelle5[[#This Row],[binding_level]]</f>
        <v>1</v>
      </c>
    </row>
    <row r="761" spans="1:11" x14ac:dyDescent="0.25">
      <c r="A761" s="24">
        <v>23</v>
      </c>
      <c r="B761" s="2">
        <v>142</v>
      </c>
      <c r="C761" s="2" t="s">
        <v>76</v>
      </c>
      <c r="D761" s="3">
        <v>1</v>
      </c>
      <c r="E761" s="1">
        <v>3</v>
      </c>
      <c r="F761" t="s">
        <v>5206</v>
      </c>
      <c r="G761" t="s">
        <v>5205</v>
      </c>
      <c r="H761" t="s">
        <v>5166</v>
      </c>
      <c r="I761" s="1" t="s">
        <v>1456</v>
      </c>
      <c r="J761" t="s">
        <v>5167</v>
      </c>
      <c r="K761" s="25">
        <f>Tabelle5[[#This Row],[value_present]]*Tabelle5[[#This Row],[binding_level]]</f>
        <v>3</v>
      </c>
    </row>
    <row r="762" spans="1:11" x14ac:dyDescent="0.25">
      <c r="A762" s="24">
        <v>23</v>
      </c>
      <c r="B762" s="2">
        <v>142</v>
      </c>
      <c r="C762" s="2" t="s">
        <v>83</v>
      </c>
      <c r="D762" s="3">
        <v>1</v>
      </c>
      <c r="E762" s="1">
        <v>2</v>
      </c>
      <c r="F762" t="s">
        <v>5208</v>
      </c>
      <c r="G762" t="s">
        <v>5207</v>
      </c>
      <c r="H762" t="s">
        <v>5168</v>
      </c>
      <c r="I762" s="1" t="s">
        <v>1456</v>
      </c>
      <c r="J762" t="s">
        <v>5169</v>
      </c>
      <c r="K762" s="25">
        <f>Tabelle5[[#This Row],[value_present]]*Tabelle5[[#This Row],[binding_level]]</f>
        <v>2</v>
      </c>
    </row>
    <row r="763" spans="1:11" x14ac:dyDescent="0.25">
      <c r="A763" s="24">
        <v>23</v>
      </c>
      <c r="B763" s="2">
        <v>142</v>
      </c>
      <c r="C763" s="2" t="s">
        <v>90</v>
      </c>
      <c r="D763" s="3">
        <v>1</v>
      </c>
      <c r="E763" s="1">
        <v>1</v>
      </c>
      <c r="F763" t="s">
        <v>5191</v>
      </c>
      <c r="G763" t="s">
        <v>5192</v>
      </c>
      <c r="H763" t="s">
        <v>5170</v>
      </c>
      <c r="I763" s="1" t="s">
        <v>1456</v>
      </c>
      <c r="J763" t="s">
        <v>5171</v>
      </c>
      <c r="K763" s="25">
        <f>Tabelle5[[#This Row],[value_present]]*Tabelle5[[#This Row],[binding_level]]</f>
        <v>1</v>
      </c>
    </row>
    <row r="764" spans="1:11" x14ac:dyDescent="0.25">
      <c r="A764" s="24">
        <v>23</v>
      </c>
      <c r="B764" s="2">
        <v>142</v>
      </c>
      <c r="C764" s="2" t="s">
        <v>98</v>
      </c>
      <c r="D764" s="3">
        <v>1</v>
      </c>
      <c r="E764" s="1">
        <v>1</v>
      </c>
      <c r="F764" t="s">
        <v>5193</v>
      </c>
      <c r="G764" t="s">
        <v>5194</v>
      </c>
      <c r="H764" t="s">
        <v>5172</v>
      </c>
      <c r="I764" s="1" t="s">
        <v>1456</v>
      </c>
      <c r="J764" t="s">
        <v>5173</v>
      </c>
      <c r="K764" s="25">
        <f>Tabelle5[[#This Row],[value_present]]*Tabelle5[[#This Row],[binding_level]]</f>
        <v>1</v>
      </c>
    </row>
    <row r="765" spans="1:11" x14ac:dyDescent="0.25">
      <c r="A765" s="24">
        <v>23</v>
      </c>
      <c r="B765" s="2">
        <v>142</v>
      </c>
      <c r="C765" s="2" t="s">
        <v>106</v>
      </c>
      <c r="D765" s="3">
        <v>1</v>
      </c>
      <c r="E765" s="1">
        <v>1</v>
      </c>
      <c r="F765" t="s">
        <v>5195</v>
      </c>
      <c r="G765" t="s">
        <v>5196</v>
      </c>
      <c r="H765" t="s">
        <v>5172</v>
      </c>
      <c r="I765" s="1" t="s">
        <v>1456</v>
      </c>
      <c r="J765" t="s">
        <v>5174</v>
      </c>
      <c r="K765" s="25">
        <f>Tabelle5[[#This Row],[value_present]]*Tabelle5[[#This Row],[binding_level]]</f>
        <v>1</v>
      </c>
    </row>
    <row r="766" spans="1:11" x14ac:dyDescent="0.25">
      <c r="A766" s="24">
        <v>23</v>
      </c>
      <c r="B766" s="2">
        <v>142</v>
      </c>
      <c r="C766" s="2" t="s">
        <v>112</v>
      </c>
      <c r="D766" s="3">
        <v>0</v>
      </c>
      <c r="E766" s="1"/>
      <c r="I766" s="1" t="s">
        <v>1457</v>
      </c>
      <c r="J766" t="s">
        <v>5175</v>
      </c>
      <c r="K766" s="25">
        <f>Tabelle5[[#This Row],[value_present]]*Tabelle5[[#This Row],[binding_level]]</f>
        <v>0</v>
      </c>
    </row>
    <row r="767" spans="1:11" x14ac:dyDescent="0.25">
      <c r="A767" s="24">
        <v>23</v>
      </c>
      <c r="B767" s="2">
        <v>142</v>
      </c>
      <c r="C767" s="2" t="s">
        <v>118</v>
      </c>
      <c r="D767" s="3">
        <v>0</v>
      </c>
      <c r="E767" s="1"/>
      <c r="I767" s="1" t="s">
        <v>1456</v>
      </c>
      <c r="J767" t="s">
        <v>5176</v>
      </c>
      <c r="K767" s="25">
        <f>Tabelle5[[#This Row],[value_present]]*Tabelle5[[#This Row],[binding_level]]</f>
        <v>0</v>
      </c>
    </row>
    <row r="768" spans="1:11" x14ac:dyDescent="0.25">
      <c r="A768" s="24">
        <v>23</v>
      </c>
      <c r="B768" s="2">
        <v>142</v>
      </c>
      <c r="C768" s="2" t="s">
        <v>125</v>
      </c>
      <c r="D768" s="3">
        <v>0</v>
      </c>
      <c r="E768" s="1"/>
      <c r="I768" s="1" t="s">
        <v>1457</v>
      </c>
      <c r="J768" t="s">
        <v>5177</v>
      </c>
      <c r="K768" s="25">
        <f>Tabelle5[[#This Row],[value_present]]*Tabelle5[[#This Row],[binding_level]]</f>
        <v>0</v>
      </c>
    </row>
    <row r="769" spans="1:11" x14ac:dyDescent="0.25">
      <c r="A769" s="24">
        <v>23</v>
      </c>
      <c r="B769" s="2">
        <v>142</v>
      </c>
      <c r="C769" s="2" t="s">
        <v>132</v>
      </c>
      <c r="D769" s="3">
        <v>1</v>
      </c>
      <c r="E769" s="1">
        <v>2</v>
      </c>
      <c r="F769" t="s">
        <v>5197</v>
      </c>
      <c r="G769" t="s">
        <v>5198</v>
      </c>
      <c r="H769" t="s">
        <v>5178</v>
      </c>
      <c r="I769" s="1" t="s">
        <v>1456</v>
      </c>
      <c r="J769" t="s">
        <v>5179</v>
      </c>
      <c r="K769" s="25">
        <f>Tabelle5[[#This Row],[value_present]]*Tabelle5[[#This Row],[binding_level]]</f>
        <v>2</v>
      </c>
    </row>
    <row r="770" spans="1:11" x14ac:dyDescent="0.25">
      <c r="A770" s="24">
        <v>23</v>
      </c>
      <c r="B770" s="2">
        <v>142</v>
      </c>
      <c r="C770" s="2" t="s">
        <v>140</v>
      </c>
      <c r="D770" s="3">
        <v>1</v>
      </c>
      <c r="E770" s="1">
        <v>1</v>
      </c>
      <c r="F770" t="s">
        <v>5210</v>
      </c>
      <c r="G770" t="s">
        <v>5209</v>
      </c>
      <c r="H770" t="s">
        <v>5180</v>
      </c>
      <c r="I770" s="1" t="s">
        <v>1456</v>
      </c>
      <c r="J770" t="s">
        <v>5181</v>
      </c>
      <c r="K770" s="25">
        <f>Tabelle5[[#This Row],[value_present]]*Tabelle5[[#This Row],[binding_level]]</f>
        <v>1</v>
      </c>
    </row>
    <row r="771" spans="1:11" x14ac:dyDescent="0.25">
      <c r="A771" s="24">
        <v>23</v>
      </c>
      <c r="B771" s="2">
        <v>142</v>
      </c>
      <c r="C771" s="2" t="s">
        <v>147</v>
      </c>
      <c r="D771" s="3">
        <v>1</v>
      </c>
      <c r="E771" s="1">
        <v>1</v>
      </c>
      <c r="F771" t="s">
        <v>5199</v>
      </c>
      <c r="G771" t="s">
        <v>5200</v>
      </c>
      <c r="H771" t="s">
        <v>5182</v>
      </c>
      <c r="I771" s="1" t="s">
        <v>1456</v>
      </c>
      <c r="J771" t="s">
        <v>5183</v>
      </c>
      <c r="K771" s="25">
        <f>Tabelle5[[#This Row],[value_present]]*Tabelle5[[#This Row],[binding_level]]</f>
        <v>1</v>
      </c>
    </row>
    <row r="772" spans="1:11" x14ac:dyDescent="0.25">
      <c r="A772" s="24">
        <v>23</v>
      </c>
      <c r="B772" s="2">
        <v>142</v>
      </c>
      <c r="C772" s="2" t="s">
        <v>154</v>
      </c>
      <c r="D772" s="3">
        <v>1</v>
      </c>
      <c r="E772" s="1">
        <v>3</v>
      </c>
      <c r="F772" t="s">
        <v>5212</v>
      </c>
      <c r="G772" t="s">
        <v>5211</v>
      </c>
      <c r="H772" t="s">
        <v>5184</v>
      </c>
      <c r="I772" s="1" t="s">
        <v>1456</v>
      </c>
      <c r="J772" t="s">
        <v>5185</v>
      </c>
      <c r="K772" s="25">
        <f>Tabelle5[[#This Row],[value_present]]*Tabelle5[[#This Row],[binding_level]]</f>
        <v>3</v>
      </c>
    </row>
    <row r="773" spans="1:11" x14ac:dyDescent="0.25">
      <c r="A773" s="24">
        <v>23</v>
      </c>
      <c r="B773" s="2">
        <v>142</v>
      </c>
      <c r="C773" s="2" t="s">
        <v>161</v>
      </c>
      <c r="D773" s="3">
        <v>0</v>
      </c>
      <c r="E773" s="1"/>
      <c r="I773" s="1" t="s">
        <v>1457</v>
      </c>
      <c r="J773" t="s">
        <v>5186</v>
      </c>
      <c r="K773" s="25">
        <f>Tabelle5[[#This Row],[value_present]]*Tabelle5[[#This Row],[binding_level]]</f>
        <v>0</v>
      </c>
    </row>
    <row r="774" spans="1:11" x14ac:dyDescent="0.25">
      <c r="A774" s="24">
        <v>23</v>
      </c>
      <c r="B774" s="2">
        <v>142</v>
      </c>
      <c r="C774" s="2" t="s">
        <v>166</v>
      </c>
      <c r="D774" s="3">
        <v>0</v>
      </c>
      <c r="E774" s="1"/>
      <c r="I774" s="1" t="s">
        <v>1456</v>
      </c>
      <c r="J774" t="s">
        <v>5187</v>
      </c>
      <c r="K774" s="25">
        <f>Tabelle5[[#This Row],[value_present]]*Tabelle5[[#This Row],[binding_level]]</f>
        <v>0</v>
      </c>
    </row>
    <row r="775" spans="1:11" ht="15.75" thickBot="1" x14ac:dyDescent="0.3">
      <c r="A775" s="26">
        <v>23</v>
      </c>
      <c r="B775" s="27">
        <v>142</v>
      </c>
      <c r="C775" s="27" t="s">
        <v>174</v>
      </c>
      <c r="D775" s="28">
        <v>1</v>
      </c>
      <c r="E775" s="29">
        <v>1</v>
      </c>
      <c r="F775" s="30" t="s">
        <v>5199</v>
      </c>
      <c r="G775" s="30" t="s">
        <v>5200</v>
      </c>
      <c r="H775" s="30" t="s">
        <v>5182</v>
      </c>
      <c r="I775" s="29" t="s">
        <v>1456</v>
      </c>
      <c r="J775" s="30" t="s">
        <v>5188</v>
      </c>
      <c r="K775" s="31">
        <f>Tabelle5[[#This Row],[value_present]]*Tabelle5[[#This Row],[binding_level]]</f>
        <v>1</v>
      </c>
    </row>
    <row r="776" spans="1:11" x14ac:dyDescent="0.25">
      <c r="A776" s="18">
        <v>24</v>
      </c>
      <c r="B776" s="19">
        <v>148</v>
      </c>
      <c r="C776" s="19" t="s">
        <v>53</v>
      </c>
      <c r="D776" s="20">
        <v>1</v>
      </c>
      <c r="E776" s="21">
        <v>1</v>
      </c>
      <c r="F776" t="s">
        <v>5270</v>
      </c>
      <c r="G776" t="s">
        <v>5271</v>
      </c>
      <c r="H776" s="22" t="s">
        <v>5246</v>
      </c>
      <c r="I776" s="21" t="s">
        <v>1456</v>
      </c>
      <c r="J776" s="22" t="s">
        <v>5247</v>
      </c>
      <c r="K776" s="23">
        <f>Tabelle5[[#This Row],[value_present]]*Tabelle5[[#This Row],[binding_level]]</f>
        <v>1</v>
      </c>
    </row>
    <row r="777" spans="1:11" x14ac:dyDescent="0.25">
      <c r="A777" s="24">
        <v>24</v>
      </c>
      <c r="B777" s="2">
        <v>148</v>
      </c>
      <c r="C777" s="2" t="s">
        <v>61</v>
      </c>
      <c r="D777" s="3">
        <v>0</v>
      </c>
      <c r="E777" s="1"/>
      <c r="I777" s="1" t="s">
        <v>1457</v>
      </c>
      <c r="J777" t="s">
        <v>5248</v>
      </c>
      <c r="K777" s="25">
        <f>Tabelle5[[#This Row],[value_present]]*Tabelle5[[#This Row],[binding_level]]</f>
        <v>0</v>
      </c>
    </row>
    <row r="778" spans="1:11" x14ac:dyDescent="0.25">
      <c r="A778" s="24">
        <v>24</v>
      </c>
      <c r="B778" s="2">
        <v>148</v>
      </c>
      <c r="C778" s="2" t="s">
        <v>69</v>
      </c>
      <c r="D778" s="3">
        <v>1</v>
      </c>
      <c r="E778" s="1">
        <v>1</v>
      </c>
      <c r="F778" t="s">
        <v>5279</v>
      </c>
      <c r="G778" t="s">
        <v>5278</v>
      </c>
      <c r="H778" t="s">
        <v>5249</v>
      </c>
      <c r="I778" s="1" t="s">
        <v>1456</v>
      </c>
      <c r="J778" t="s">
        <v>5250</v>
      </c>
      <c r="K778" s="25">
        <f>Tabelle5[[#This Row],[value_present]]*Tabelle5[[#This Row],[binding_level]]</f>
        <v>1</v>
      </c>
    </row>
    <row r="779" spans="1:11" x14ac:dyDescent="0.25">
      <c r="A779" s="24">
        <v>24</v>
      </c>
      <c r="B779" s="2">
        <v>148</v>
      </c>
      <c r="C779" s="2" t="s">
        <v>76</v>
      </c>
      <c r="D779" s="3">
        <v>1</v>
      </c>
      <c r="E779" s="1">
        <v>1</v>
      </c>
      <c r="F779" t="s">
        <v>5272</v>
      </c>
      <c r="G779" t="s">
        <v>5273</v>
      </c>
      <c r="H779" t="s">
        <v>5251</v>
      </c>
      <c r="I779" s="1" t="s">
        <v>1456</v>
      </c>
      <c r="J779" t="s">
        <v>5252</v>
      </c>
      <c r="K779" s="25">
        <f>Tabelle5[[#This Row],[value_present]]*Tabelle5[[#This Row],[binding_level]]</f>
        <v>1</v>
      </c>
    </row>
    <row r="780" spans="1:11" x14ac:dyDescent="0.25">
      <c r="A780" s="24">
        <v>24</v>
      </c>
      <c r="B780" s="2">
        <v>148</v>
      </c>
      <c r="C780" s="2" t="s">
        <v>83</v>
      </c>
      <c r="D780" s="3">
        <v>1</v>
      </c>
      <c r="E780" s="1">
        <v>1</v>
      </c>
      <c r="F780" t="s">
        <v>5281</v>
      </c>
      <c r="G780" t="s">
        <v>5280</v>
      </c>
      <c r="H780" t="s">
        <v>5249</v>
      </c>
      <c r="I780" s="1" t="s">
        <v>1456</v>
      </c>
      <c r="J780" t="s">
        <v>5253</v>
      </c>
      <c r="K780" s="25">
        <f>Tabelle5[[#This Row],[value_present]]*Tabelle5[[#This Row],[binding_level]]</f>
        <v>1</v>
      </c>
    </row>
    <row r="781" spans="1:11" x14ac:dyDescent="0.25">
      <c r="A781" s="24">
        <v>24</v>
      </c>
      <c r="B781" s="2">
        <v>148</v>
      </c>
      <c r="C781" s="2" t="s">
        <v>90</v>
      </c>
      <c r="D781" s="3">
        <v>1</v>
      </c>
      <c r="E781" s="1">
        <v>3</v>
      </c>
      <c r="F781" t="s">
        <v>5283</v>
      </c>
      <c r="G781" t="s">
        <v>5282</v>
      </c>
      <c r="H781" t="s">
        <v>5254</v>
      </c>
      <c r="I781" s="1" t="s">
        <v>1457</v>
      </c>
      <c r="J781" t="s">
        <v>5255</v>
      </c>
      <c r="K781" s="25">
        <f>Tabelle5[[#This Row],[value_present]]*Tabelle5[[#This Row],[binding_level]]</f>
        <v>3</v>
      </c>
    </row>
    <row r="782" spans="1:11" x14ac:dyDescent="0.25">
      <c r="A782" s="24">
        <v>24</v>
      </c>
      <c r="B782" s="2">
        <v>148</v>
      </c>
      <c r="C782" s="2" t="s">
        <v>98</v>
      </c>
      <c r="D782" s="3">
        <v>0</v>
      </c>
      <c r="E782" s="1"/>
      <c r="I782" s="1" t="s">
        <v>1457</v>
      </c>
      <c r="J782" t="s">
        <v>5256</v>
      </c>
      <c r="K782" s="25">
        <f>Tabelle5[[#This Row],[value_present]]*Tabelle5[[#This Row],[binding_level]]</f>
        <v>0</v>
      </c>
    </row>
    <row r="783" spans="1:11" x14ac:dyDescent="0.25">
      <c r="A783" s="24">
        <v>24</v>
      </c>
      <c r="B783" s="2">
        <v>148</v>
      </c>
      <c r="C783" s="2" t="s">
        <v>106</v>
      </c>
      <c r="D783" s="3">
        <v>1</v>
      </c>
      <c r="E783" s="1">
        <v>3</v>
      </c>
      <c r="F783" t="s">
        <v>5274</v>
      </c>
      <c r="G783" t="s">
        <v>5275</v>
      </c>
      <c r="H783" t="s">
        <v>5257</v>
      </c>
      <c r="I783" s="1" t="s">
        <v>1456</v>
      </c>
      <c r="J783" t="s">
        <v>5258</v>
      </c>
      <c r="K783" s="25">
        <f>Tabelle5[[#This Row],[value_present]]*Tabelle5[[#This Row],[binding_level]]</f>
        <v>3</v>
      </c>
    </row>
    <row r="784" spans="1:11" x14ac:dyDescent="0.25">
      <c r="A784" s="24">
        <v>24</v>
      </c>
      <c r="B784" s="2">
        <v>148</v>
      </c>
      <c r="C784" s="2" t="s">
        <v>112</v>
      </c>
      <c r="D784" s="3">
        <v>1</v>
      </c>
      <c r="E784" s="1">
        <v>3</v>
      </c>
      <c r="F784" t="s">
        <v>5285</v>
      </c>
      <c r="G784" t="s">
        <v>5284</v>
      </c>
      <c r="H784" t="s">
        <v>5257</v>
      </c>
      <c r="I784" s="1" t="s">
        <v>1456</v>
      </c>
      <c r="J784" t="s">
        <v>5259</v>
      </c>
      <c r="K784" s="25">
        <f>Tabelle5[[#This Row],[value_present]]*Tabelle5[[#This Row],[binding_level]]</f>
        <v>3</v>
      </c>
    </row>
    <row r="785" spans="1:11" x14ac:dyDescent="0.25">
      <c r="A785" s="24">
        <v>24</v>
      </c>
      <c r="B785" s="2">
        <v>148</v>
      </c>
      <c r="C785" s="2" t="s">
        <v>118</v>
      </c>
      <c r="D785" s="3">
        <v>0</v>
      </c>
      <c r="E785" s="1"/>
      <c r="I785" s="1" t="s">
        <v>1456</v>
      </c>
      <c r="J785" t="s">
        <v>5260</v>
      </c>
      <c r="K785" s="25">
        <f>Tabelle5[[#This Row],[value_present]]*Tabelle5[[#This Row],[binding_level]]</f>
        <v>0</v>
      </c>
    </row>
    <row r="786" spans="1:11" x14ac:dyDescent="0.25">
      <c r="A786" s="24">
        <v>24</v>
      </c>
      <c r="B786" s="2">
        <v>148</v>
      </c>
      <c r="C786" s="2" t="s">
        <v>125</v>
      </c>
      <c r="D786" s="3">
        <v>0</v>
      </c>
      <c r="E786" s="1"/>
      <c r="I786" s="1" t="s">
        <v>1457</v>
      </c>
      <c r="J786" t="s">
        <v>5261</v>
      </c>
      <c r="K786" s="25">
        <f>Tabelle5[[#This Row],[value_present]]*Tabelle5[[#This Row],[binding_level]]</f>
        <v>0</v>
      </c>
    </row>
    <row r="787" spans="1:11" x14ac:dyDescent="0.25">
      <c r="A787" s="24">
        <v>24</v>
      </c>
      <c r="B787" s="2">
        <v>148</v>
      </c>
      <c r="C787" s="2" t="s">
        <v>132</v>
      </c>
      <c r="D787" s="3">
        <v>0</v>
      </c>
      <c r="E787" s="1"/>
      <c r="I787" s="1" t="s">
        <v>1456</v>
      </c>
      <c r="J787" t="s">
        <v>5262</v>
      </c>
      <c r="K787" s="25">
        <f>Tabelle5[[#This Row],[value_present]]*Tabelle5[[#This Row],[binding_level]]</f>
        <v>0</v>
      </c>
    </row>
    <row r="788" spans="1:11" x14ac:dyDescent="0.25">
      <c r="A788" s="24">
        <v>24</v>
      </c>
      <c r="B788" s="2">
        <v>148</v>
      </c>
      <c r="C788" s="2" t="s">
        <v>140</v>
      </c>
      <c r="D788" s="3">
        <v>1</v>
      </c>
      <c r="E788" s="1">
        <v>1</v>
      </c>
      <c r="F788" t="s">
        <v>5276</v>
      </c>
      <c r="G788" t="s">
        <v>5277</v>
      </c>
      <c r="H788" t="s">
        <v>5246</v>
      </c>
      <c r="I788" s="1" t="s">
        <v>1456</v>
      </c>
      <c r="J788" t="s">
        <v>5263</v>
      </c>
      <c r="K788" s="25">
        <f>Tabelle5[[#This Row],[value_present]]*Tabelle5[[#This Row],[binding_level]]</f>
        <v>1</v>
      </c>
    </row>
    <row r="789" spans="1:11" x14ac:dyDescent="0.25">
      <c r="A789" s="24">
        <v>24</v>
      </c>
      <c r="B789" s="2">
        <v>148</v>
      </c>
      <c r="C789" s="2" t="s">
        <v>147</v>
      </c>
      <c r="D789" s="3">
        <v>1</v>
      </c>
      <c r="E789" s="1">
        <v>2</v>
      </c>
      <c r="F789" t="s">
        <v>5287</v>
      </c>
      <c r="G789" t="s">
        <v>5286</v>
      </c>
      <c r="H789" t="s">
        <v>5264</v>
      </c>
      <c r="I789" s="1" t="s">
        <v>1456</v>
      </c>
      <c r="J789" t="s">
        <v>5265</v>
      </c>
      <c r="K789" s="25">
        <f>Tabelle5[[#This Row],[value_present]]*Tabelle5[[#This Row],[binding_level]]</f>
        <v>2</v>
      </c>
    </row>
    <row r="790" spans="1:11" x14ac:dyDescent="0.25">
      <c r="A790" s="24">
        <v>24</v>
      </c>
      <c r="B790" s="2">
        <v>148</v>
      </c>
      <c r="C790" s="2" t="s">
        <v>154</v>
      </c>
      <c r="D790" s="3">
        <v>0</v>
      </c>
      <c r="E790" s="1"/>
      <c r="I790" s="1" t="s">
        <v>1457</v>
      </c>
      <c r="J790" t="s">
        <v>5266</v>
      </c>
      <c r="K790" s="25">
        <f>Tabelle5[[#This Row],[value_present]]*Tabelle5[[#This Row],[binding_level]]</f>
        <v>0</v>
      </c>
    </row>
    <row r="791" spans="1:11" x14ac:dyDescent="0.25">
      <c r="A791" s="24">
        <v>24</v>
      </c>
      <c r="B791" s="2">
        <v>148</v>
      </c>
      <c r="C791" s="2" t="s">
        <v>161</v>
      </c>
      <c r="D791" s="3">
        <v>1</v>
      </c>
      <c r="E791" s="1">
        <v>3</v>
      </c>
      <c r="F791" t="s">
        <v>5289</v>
      </c>
      <c r="G791" t="s">
        <v>5288</v>
      </c>
      <c r="H791" t="s">
        <v>5246</v>
      </c>
      <c r="I791" s="1" t="s">
        <v>1456</v>
      </c>
      <c r="J791" t="s">
        <v>5267</v>
      </c>
      <c r="K791" s="25">
        <f>Tabelle5[[#This Row],[value_present]]*Tabelle5[[#This Row],[binding_level]]</f>
        <v>3</v>
      </c>
    </row>
    <row r="792" spans="1:11" x14ac:dyDescent="0.25">
      <c r="A792" s="24">
        <v>24</v>
      </c>
      <c r="B792" s="2">
        <v>148</v>
      </c>
      <c r="C792" s="2" t="s">
        <v>166</v>
      </c>
      <c r="D792" s="3">
        <v>0</v>
      </c>
      <c r="E792" s="1"/>
      <c r="I792" s="1" t="s">
        <v>1456</v>
      </c>
      <c r="J792" t="s">
        <v>5268</v>
      </c>
      <c r="K792" s="25">
        <f>Tabelle5[[#This Row],[value_present]]*Tabelle5[[#This Row],[binding_level]]</f>
        <v>0</v>
      </c>
    </row>
    <row r="793" spans="1:11" ht="15.75" thickBot="1" x14ac:dyDescent="0.3">
      <c r="A793" s="26">
        <v>24</v>
      </c>
      <c r="B793" s="27">
        <v>148</v>
      </c>
      <c r="C793" s="27" t="s">
        <v>174</v>
      </c>
      <c r="D793" s="28">
        <v>0</v>
      </c>
      <c r="E793" s="29"/>
      <c r="F793" s="30"/>
      <c r="G793" s="30"/>
      <c r="H793" s="30"/>
      <c r="I793" s="29" t="s">
        <v>1456</v>
      </c>
      <c r="J793" s="30" t="s">
        <v>5269</v>
      </c>
      <c r="K793" s="31">
        <f>Tabelle5[[#This Row],[value_present]]*Tabelle5[[#This Row],[binding_level]]</f>
        <v>0</v>
      </c>
    </row>
    <row r="794" spans="1:11" x14ac:dyDescent="0.25">
      <c r="A794" s="18">
        <v>24</v>
      </c>
      <c r="B794" s="19">
        <v>149</v>
      </c>
      <c r="C794" s="19" t="s">
        <v>53</v>
      </c>
      <c r="D794" s="20">
        <v>0</v>
      </c>
      <c r="E794" s="21"/>
      <c r="F794" s="22"/>
      <c r="G794" s="22"/>
      <c r="H794" s="22"/>
      <c r="I794" s="21" t="s">
        <v>1456</v>
      </c>
      <c r="J794" s="22" t="s">
        <v>5314</v>
      </c>
      <c r="K794" s="23">
        <f>Tabelle5[[#This Row],[value_present]]*Tabelle5[[#This Row],[binding_level]]</f>
        <v>0</v>
      </c>
    </row>
    <row r="795" spans="1:11" x14ac:dyDescent="0.25">
      <c r="A795" s="24">
        <v>24</v>
      </c>
      <c r="B795" s="2">
        <v>149</v>
      </c>
      <c r="C795" s="2" t="s">
        <v>61</v>
      </c>
      <c r="D795" s="3">
        <v>0</v>
      </c>
      <c r="E795" s="1"/>
      <c r="I795" s="1" t="s">
        <v>1456</v>
      </c>
      <c r="J795" t="s">
        <v>5315</v>
      </c>
      <c r="K795" s="25">
        <f>Tabelle5[[#This Row],[value_present]]*Tabelle5[[#This Row],[binding_level]]</f>
        <v>0</v>
      </c>
    </row>
    <row r="796" spans="1:11" x14ac:dyDescent="0.25">
      <c r="A796" s="24">
        <v>24</v>
      </c>
      <c r="B796" s="2">
        <v>149</v>
      </c>
      <c r="C796" s="2" t="s">
        <v>69</v>
      </c>
      <c r="D796" s="3">
        <v>0</v>
      </c>
      <c r="E796" s="1"/>
      <c r="I796" s="1" t="s">
        <v>1457</v>
      </c>
      <c r="J796" t="s">
        <v>5316</v>
      </c>
      <c r="K796" s="25">
        <f>Tabelle5[[#This Row],[value_present]]*Tabelle5[[#This Row],[binding_level]]</f>
        <v>0</v>
      </c>
    </row>
    <row r="797" spans="1:11" x14ac:dyDescent="0.25">
      <c r="A797" s="24">
        <v>24</v>
      </c>
      <c r="B797" s="2">
        <v>149</v>
      </c>
      <c r="C797" s="2" t="s">
        <v>76</v>
      </c>
      <c r="D797" s="3">
        <v>1</v>
      </c>
      <c r="E797" s="1">
        <v>1</v>
      </c>
      <c r="F797" t="s">
        <v>5332</v>
      </c>
      <c r="G797" t="s">
        <v>5333</v>
      </c>
      <c r="H797" t="s">
        <v>5317</v>
      </c>
      <c r="I797" s="1" t="s">
        <v>1456</v>
      </c>
      <c r="J797" t="s">
        <v>5318</v>
      </c>
      <c r="K797" s="25">
        <f>Tabelle5[[#This Row],[value_present]]*Tabelle5[[#This Row],[binding_level]]</f>
        <v>1</v>
      </c>
    </row>
    <row r="798" spans="1:11" x14ac:dyDescent="0.25">
      <c r="A798" s="24">
        <v>24</v>
      </c>
      <c r="B798" s="2">
        <v>149</v>
      </c>
      <c r="C798" s="2" t="s">
        <v>83</v>
      </c>
      <c r="D798" s="3">
        <v>0</v>
      </c>
      <c r="E798" s="1"/>
      <c r="I798" s="1" t="s">
        <v>1456</v>
      </c>
      <c r="J798" t="s">
        <v>5319</v>
      </c>
      <c r="K798" s="25">
        <f>Tabelle5[[#This Row],[value_present]]*Tabelle5[[#This Row],[binding_level]]</f>
        <v>0</v>
      </c>
    </row>
    <row r="799" spans="1:11" x14ac:dyDescent="0.25">
      <c r="A799" s="24">
        <v>24</v>
      </c>
      <c r="B799" s="2">
        <v>149</v>
      </c>
      <c r="C799" s="2" t="s">
        <v>90</v>
      </c>
      <c r="D799" s="3">
        <v>1</v>
      </c>
      <c r="E799" s="1">
        <v>1</v>
      </c>
      <c r="F799" t="s">
        <v>5334</v>
      </c>
      <c r="G799" t="s">
        <v>5335</v>
      </c>
      <c r="H799" t="s">
        <v>5317</v>
      </c>
      <c r="I799" s="1" t="s">
        <v>1456</v>
      </c>
      <c r="J799" t="s">
        <v>5320</v>
      </c>
      <c r="K799" s="25">
        <f>Tabelle5[[#This Row],[value_present]]*Tabelle5[[#This Row],[binding_level]]</f>
        <v>1</v>
      </c>
    </row>
    <row r="800" spans="1:11" x14ac:dyDescent="0.25">
      <c r="A800" s="24">
        <v>24</v>
      </c>
      <c r="B800" s="2">
        <v>149</v>
      </c>
      <c r="C800" s="2" t="s">
        <v>98</v>
      </c>
      <c r="D800" s="3">
        <v>1</v>
      </c>
      <c r="E800" s="1">
        <v>1</v>
      </c>
      <c r="F800" t="s">
        <v>5336</v>
      </c>
      <c r="G800" t="s">
        <v>5337</v>
      </c>
      <c r="H800" t="s">
        <v>5317</v>
      </c>
      <c r="I800" s="1" t="s">
        <v>1457</v>
      </c>
      <c r="J800" t="s">
        <v>5321</v>
      </c>
      <c r="K800" s="25">
        <f>Tabelle5[[#This Row],[value_present]]*Tabelle5[[#This Row],[binding_level]]</f>
        <v>1</v>
      </c>
    </row>
    <row r="801" spans="1:11" x14ac:dyDescent="0.25">
      <c r="A801" s="24">
        <v>24</v>
      </c>
      <c r="B801" s="2">
        <v>149</v>
      </c>
      <c r="C801" s="2" t="s">
        <v>106</v>
      </c>
      <c r="D801" s="3">
        <v>0</v>
      </c>
      <c r="E801" s="1"/>
      <c r="I801" s="1" t="s">
        <v>1457</v>
      </c>
      <c r="J801" t="s">
        <v>5322</v>
      </c>
      <c r="K801" s="25">
        <f>Tabelle5[[#This Row],[value_present]]*Tabelle5[[#This Row],[binding_level]]</f>
        <v>0</v>
      </c>
    </row>
    <row r="802" spans="1:11" x14ac:dyDescent="0.25">
      <c r="A802" s="24">
        <v>24</v>
      </c>
      <c r="B802" s="2">
        <v>149</v>
      </c>
      <c r="C802" s="2" t="s">
        <v>112</v>
      </c>
      <c r="D802" s="3">
        <v>1</v>
      </c>
      <c r="E802" s="1">
        <v>1</v>
      </c>
      <c r="F802" t="s">
        <v>5338</v>
      </c>
      <c r="G802" t="s">
        <v>5339</v>
      </c>
      <c r="H802" t="s">
        <v>5317</v>
      </c>
      <c r="I802" s="1" t="s">
        <v>1457</v>
      </c>
      <c r="J802" t="s">
        <v>5323</v>
      </c>
      <c r="K802" s="25">
        <f>Tabelle5[[#This Row],[value_present]]*Tabelle5[[#This Row],[binding_level]]</f>
        <v>1</v>
      </c>
    </row>
    <row r="803" spans="1:11" x14ac:dyDescent="0.25">
      <c r="A803" s="24">
        <v>24</v>
      </c>
      <c r="B803" s="2">
        <v>149</v>
      </c>
      <c r="C803" s="2" t="s">
        <v>118</v>
      </c>
      <c r="D803" s="3">
        <v>0</v>
      </c>
      <c r="E803" s="1"/>
      <c r="I803" s="1" t="s">
        <v>1456</v>
      </c>
      <c r="J803" t="s">
        <v>5324</v>
      </c>
      <c r="K803" s="25">
        <f>Tabelle5[[#This Row],[value_present]]*Tabelle5[[#This Row],[binding_level]]</f>
        <v>0</v>
      </c>
    </row>
    <row r="804" spans="1:11" x14ac:dyDescent="0.25">
      <c r="A804" s="24">
        <v>24</v>
      </c>
      <c r="B804" s="2">
        <v>149</v>
      </c>
      <c r="C804" s="2" t="s">
        <v>125</v>
      </c>
      <c r="D804" s="3">
        <v>0</v>
      </c>
      <c r="E804" s="1"/>
      <c r="I804" s="1" t="s">
        <v>1456</v>
      </c>
      <c r="J804" t="s">
        <v>5325</v>
      </c>
      <c r="K804" s="25">
        <f>Tabelle5[[#This Row],[value_present]]*Tabelle5[[#This Row],[binding_level]]</f>
        <v>0</v>
      </c>
    </row>
    <row r="805" spans="1:11" x14ac:dyDescent="0.25">
      <c r="A805" s="24">
        <v>24</v>
      </c>
      <c r="B805" s="2">
        <v>149</v>
      </c>
      <c r="C805" s="2" t="s">
        <v>132</v>
      </c>
      <c r="D805" s="3">
        <v>0</v>
      </c>
      <c r="E805" s="1"/>
      <c r="I805" s="1" t="s">
        <v>1457</v>
      </c>
      <c r="J805" t="s">
        <v>5326</v>
      </c>
      <c r="K805" s="25">
        <f>Tabelle5[[#This Row],[value_present]]*Tabelle5[[#This Row],[binding_level]]</f>
        <v>0</v>
      </c>
    </row>
    <row r="806" spans="1:11" x14ac:dyDescent="0.25">
      <c r="A806" s="24">
        <v>24</v>
      </c>
      <c r="B806" s="2">
        <v>149</v>
      </c>
      <c r="C806" s="2" t="s">
        <v>140</v>
      </c>
      <c r="D806" s="3">
        <v>0</v>
      </c>
      <c r="E806" s="1"/>
      <c r="I806" s="1" t="s">
        <v>1457</v>
      </c>
      <c r="J806" t="s">
        <v>5327</v>
      </c>
      <c r="K806" s="25">
        <f>Tabelle5[[#This Row],[value_present]]*Tabelle5[[#This Row],[binding_level]]</f>
        <v>0</v>
      </c>
    </row>
    <row r="807" spans="1:11" x14ac:dyDescent="0.25">
      <c r="A807" s="24">
        <v>24</v>
      </c>
      <c r="B807" s="2">
        <v>149</v>
      </c>
      <c r="C807" s="2" t="s">
        <v>147</v>
      </c>
      <c r="D807" s="3">
        <v>1</v>
      </c>
      <c r="E807" s="1">
        <v>1</v>
      </c>
      <c r="F807" t="s">
        <v>5340</v>
      </c>
      <c r="G807" t="s">
        <v>5341</v>
      </c>
      <c r="H807" t="s">
        <v>5317</v>
      </c>
      <c r="I807" s="1" t="s">
        <v>1456</v>
      </c>
      <c r="J807" t="s">
        <v>5328</v>
      </c>
      <c r="K807" s="25">
        <f>Tabelle5[[#This Row],[value_present]]*Tabelle5[[#This Row],[binding_level]]</f>
        <v>1</v>
      </c>
    </row>
    <row r="808" spans="1:11" x14ac:dyDescent="0.25">
      <c r="A808" s="24">
        <v>24</v>
      </c>
      <c r="B808" s="2">
        <v>149</v>
      </c>
      <c r="C808" s="2" t="s">
        <v>154</v>
      </c>
      <c r="D808" s="3">
        <v>1</v>
      </c>
      <c r="E808" s="1">
        <v>1</v>
      </c>
      <c r="F808" t="s">
        <v>5343</v>
      </c>
      <c r="G808" t="s">
        <v>5342</v>
      </c>
      <c r="H808" t="s">
        <v>5317</v>
      </c>
      <c r="I808" s="1" t="s">
        <v>1456</v>
      </c>
      <c r="J808" t="s">
        <v>5329</v>
      </c>
      <c r="K808" s="25">
        <f>Tabelle5[[#This Row],[value_present]]*Tabelle5[[#This Row],[binding_level]]</f>
        <v>1</v>
      </c>
    </row>
    <row r="809" spans="1:11" x14ac:dyDescent="0.25">
      <c r="A809" s="24">
        <v>24</v>
      </c>
      <c r="B809" s="2">
        <v>149</v>
      </c>
      <c r="C809" s="2" t="s">
        <v>161</v>
      </c>
      <c r="D809" s="3">
        <v>0</v>
      </c>
      <c r="E809" s="1"/>
      <c r="I809" s="1" t="s">
        <v>1457</v>
      </c>
      <c r="J809" t="s">
        <v>5330</v>
      </c>
      <c r="K809" s="25">
        <f>Tabelle5[[#This Row],[value_present]]*Tabelle5[[#This Row],[binding_level]]</f>
        <v>0</v>
      </c>
    </row>
    <row r="810" spans="1:11" x14ac:dyDescent="0.25">
      <c r="A810" s="24">
        <v>24</v>
      </c>
      <c r="B810" s="2">
        <v>149</v>
      </c>
      <c r="C810" s="2" t="s">
        <v>166</v>
      </c>
      <c r="D810" s="3">
        <v>0</v>
      </c>
      <c r="E810" s="1"/>
      <c r="I810" s="1" t="s">
        <v>1456</v>
      </c>
      <c r="J810" t="s">
        <v>2126</v>
      </c>
      <c r="K810" s="25">
        <f>Tabelle5[[#This Row],[value_present]]*Tabelle5[[#This Row],[binding_level]]</f>
        <v>0</v>
      </c>
    </row>
    <row r="811" spans="1:11" ht="15.75" thickBot="1" x14ac:dyDescent="0.3">
      <c r="A811" s="24">
        <v>24</v>
      </c>
      <c r="B811" s="2">
        <v>149</v>
      </c>
      <c r="C811" s="2" t="s">
        <v>174</v>
      </c>
      <c r="D811" s="3">
        <v>0</v>
      </c>
      <c r="E811" s="1"/>
      <c r="F811" s="30"/>
      <c r="G811" s="30"/>
      <c r="I811" s="1" t="s">
        <v>1456</v>
      </c>
      <c r="J811" t="s">
        <v>5331</v>
      </c>
      <c r="K811" s="25">
        <f>Tabelle5[[#This Row],[value_present]]*Tabelle5[[#This Row],[binding_level]]</f>
        <v>0</v>
      </c>
    </row>
    <row r="812" spans="1:11" x14ac:dyDescent="0.25">
      <c r="A812" s="18">
        <v>25</v>
      </c>
      <c r="B812" s="19">
        <v>153</v>
      </c>
      <c r="C812" s="19" t="s">
        <v>53</v>
      </c>
      <c r="D812" s="20">
        <v>1</v>
      </c>
      <c r="E812" s="21">
        <v>1</v>
      </c>
      <c r="F812" t="s">
        <v>5394</v>
      </c>
      <c r="G812" t="s">
        <v>5393</v>
      </c>
      <c r="H812" s="22" t="s">
        <v>5362</v>
      </c>
      <c r="I812" s="21" t="s">
        <v>1457</v>
      </c>
      <c r="J812" s="22" t="s">
        <v>5363</v>
      </c>
      <c r="K812" s="23">
        <f>Tabelle5[[#This Row],[value_present]]*Tabelle5[[#This Row],[binding_level]]</f>
        <v>1</v>
      </c>
    </row>
    <row r="813" spans="1:11" x14ac:dyDescent="0.25">
      <c r="A813" s="24">
        <v>25</v>
      </c>
      <c r="B813" s="2">
        <v>153</v>
      </c>
      <c r="C813" s="2" t="s">
        <v>61</v>
      </c>
      <c r="D813" s="3">
        <v>0</v>
      </c>
      <c r="E813" s="1"/>
      <c r="I813" s="1" t="s">
        <v>1457</v>
      </c>
      <c r="J813" t="s">
        <v>5364</v>
      </c>
      <c r="K813" s="25">
        <f>Tabelle5[[#This Row],[value_present]]*Tabelle5[[#This Row],[binding_level]]</f>
        <v>0</v>
      </c>
    </row>
    <row r="814" spans="1:11" x14ac:dyDescent="0.25">
      <c r="A814" s="24">
        <v>25</v>
      </c>
      <c r="B814" s="2">
        <v>153</v>
      </c>
      <c r="C814" s="2" t="s">
        <v>69</v>
      </c>
      <c r="D814" s="3">
        <v>1</v>
      </c>
      <c r="E814" s="1">
        <v>1</v>
      </c>
      <c r="F814" t="s">
        <v>5396</v>
      </c>
      <c r="G814" t="s">
        <v>5395</v>
      </c>
      <c r="H814" t="s">
        <v>5365</v>
      </c>
      <c r="I814" s="1" t="s">
        <v>1456</v>
      </c>
      <c r="J814" t="s">
        <v>5366</v>
      </c>
      <c r="K814" s="25">
        <f>Tabelle5[[#This Row],[value_present]]*Tabelle5[[#This Row],[binding_level]]</f>
        <v>1</v>
      </c>
    </row>
    <row r="815" spans="1:11" x14ac:dyDescent="0.25">
      <c r="A815" s="24">
        <v>25</v>
      </c>
      <c r="B815" s="2">
        <v>153</v>
      </c>
      <c r="C815" s="2" t="s">
        <v>76</v>
      </c>
      <c r="D815" s="3">
        <v>0</v>
      </c>
      <c r="E815" s="1"/>
      <c r="I815" s="1" t="s">
        <v>1457</v>
      </c>
      <c r="J815" t="s">
        <v>5367</v>
      </c>
      <c r="K815" s="25">
        <f>Tabelle5[[#This Row],[value_present]]*Tabelle5[[#This Row],[binding_level]]</f>
        <v>0</v>
      </c>
    </row>
    <row r="816" spans="1:11" x14ac:dyDescent="0.25">
      <c r="A816" s="24">
        <v>25</v>
      </c>
      <c r="B816" s="2">
        <v>153</v>
      </c>
      <c r="C816" s="2" t="s">
        <v>83</v>
      </c>
      <c r="D816" s="3">
        <v>1</v>
      </c>
      <c r="E816" s="1">
        <v>1</v>
      </c>
      <c r="F816" t="s">
        <v>5387</v>
      </c>
      <c r="G816" t="s">
        <v>5386</v>
      </c>
      <c r="H816" t="s">
        <v>5368</v>
      </c>
      <c r="I816" s="1" t="s">
        <v>1541</v>
      </c>
      <c r="J816" t="s">
        <v>5369</v>
      </c>
      <c r="K816" s="25">
        <f>Tabelle5[[#This Row],[value_present]]*Tabelle5[[#This Row],[binding_level]]</f>
        <v>1</v>
      </c>
    </row>
    <row r="817" spans="1:11" x14ac:dyDescent="0.25">
      <c r="A817" s="24">
        <v>25</v>
      </c>
      <c r="B817" s="2">
        <v>153</v>
      </c>
      <c r="C817" s="2" t="s">
        <v>90</v>
      </c>
      <c r="D817" s="3">
        <v>1</v>
      </c>
      <c r="E817" s="1">
        <v>1</v>
      </c>
      <c r="F817" t="s">
        <v>5388</v>
      </c>
      <c r="G817" t="s">
        <v>5389</v>
      </c>
      <c r="H817" t="s">
        <v>5370</v>
      </c>
      <c r="I817" s="1" t="s">
        <v>1457</v>
      </c>
      <c r="J817" t="s">
        <v>5371</v>
      </c>
      <c r="K817" s="25">
        <f>Tabelle5[[#This Row],[value_present]]*Tabelle5[[#This Row],[binding_level]]</f>
        <v>1</v>
      </c>
    </row>
    <row r="818" spans="1:11" x14ac:dyDescent="0.25">
      <c r="A818" s="24">
        <v>25</v>
      </c>
      <c r="B818" s="2">
        <v>153</v>
      </c>
      <c r="C818" s="2" t="s">
        <v>98</v>
      </c>
      <c r="D818" s="3">
        <v>0</v>
      </c>
      <c r="E818" s="1"/>
      <c r="I818" s="1" t="s">
        <v>1457</v>
      </c>
      <c r="J818" t="s">
        <v>5372</v>
      </c>
      <c r="K818" s="25">
        <f>Tabelle5[[#This Row],[value_present]]*Tabelle5[[#This Row],[binding_level]]</f>
        <v>0</v>
      </c>
    </row>
    <row r="819" spans="1:11" x14ac:dyDescent="0.25">
      <c r="A819" s="24">
        <v>25</v>
      </c>
      <c r="B819" s="2">
        <v>153</v>
      </c>
      <c r="C819" s="2" t="s">
        <v>106</v>
      </c>
      <c r="D819" s="3">
        <v>1</v>
      </c>
      <c r="E819" s="1">
        <v>1</v>
      </c>
      <c r="F819" t="s">
        <v>5390</v>
      </c>
      <c r="G819" t="s">
        <v>5386</v>
      </c>
      <c r="H819" t="s">
        <v>5368</v>
      </c>
      <c r="I819" s="1" t="s">
        <v>1457</v>
      </c>
      <c r="J819" t="s">
        <v>5373</v>
      </c>
      <c r="K819" s="25">
        <f>Tabelle5[[#This Row],[value_present]]*Tabelle5[[#This Row],[binding_level]]</f>
        <v>1</v>
      </c>
    </row>
    <row r="820" spans="1:11" x14ac:dyDescent="0.25">
      <c r="A820" s="24">
        <v>25</v>
      </c>
      <c r="B820" s="2">
        <v>153</v>
      </c>
      <c r="C820" s="2" t="s">
        <v>112</v>
      </c>
      <c r="D820" s="3">
        <v>0</v>
      </c>
      <c r="E820" s="1"/>
      <c r="I820" s="1" t="s">
        <v>1457</v>
      </c>
      <c r="J820" t="s">
        <v>5374</v>
      </c>
      <c r="K820" s="25">
        <f>Tabelle5[[#This Row],[value_present]]*Tabelle5[[#This Row],[binding_level]]</f>
        <v>0</v>
      </c>
    </row>
    <row r="821" spans="1:11" x14ac:dyDescent="0.25">
      <c r="A821" s="24">
        <v>25</v>
      </c>
      <c r="B821" s="2">
        <v>153</v>
      </c>
      <c r="C821" s="2" t="s">
        <v>118</v>
      </c>
      <c r="D821" s="3">
        <v>0</v>
      </c>
      <c r="E821" s="1"/>
      <c r="I821" s="1" t="s">
        <v>1456</v>
      </c>
      <c r="J821" t="s">
        <v>5375</v>
      </c>
      <c r="K821" s="25">
        <f>Tabelle5[[#This Row],[value_present]]*Tabelle5[[#This Row],[binding_level]]</f>
        <v>0</v>
      </c>
    </row>
    <row r="822" spans="1:11" x14ac:dyDescent="0.25">
      <c r="A822" s="24">
        <v>25</v>
      </c>
      <c r="B822" s="2">
        <v>153</v>
      </c>
      <c r="C822" s="2" t="s">
        <v>125</v>
      </c>
      <c r="D822" s="3">
        <v>0</v>
      </c>
      <c r="E822" s="1"/>
      <c r="I822" s="1" t="s">
        <v>1457</v>
      </c>
      <c r="J822" t="s">
        <v>5376</v>
      </c>
      <c r="K822" s="25">
        <f>Tabelle5[[#This Row],[value_present]]*Tabelle5[[#This Row],[binding_level]]</f>
        <v>0</v>
      </c>
    </row>
    <row r="823" spans="1:11" x14ac:dyDescent="0.25">
      <c r="A823" s="24">
        <v>25</v>
      </c>
      <c r="B823" s="2">
        <v>153</v>
      </c>
      <c r="C823" s="2" t="s">
        <v>132</v>
      </c>
      <c r="D823" s="3">
        <v>0</v>
      </c>
      <c r="E823" s="1"/>
      <c r="I823" s="1" t="s">
        <v>1456</v>
      </c>
      <c r="J823" t="s">
        <v>5377</v>
      </c>
      <c r="K823" s="25">
        <f>Tabelle5[[#This Row],[value_present]]*Tabelle5[[#This Row],[binding_level]]</f>
        <v>0</v>
      </c>
    </row>
    <row r="824" spans="1:11" x14ac:dyDescent="0.25">
      <c r="A824" s="24">
        <v>25</v>
      </c>
      <c r="B824" s="2">
        <v>153</v>
      </c>
      <c r="C824" s="2" t="s">
        <v>140</v>
      </c>
      <c r="D824" s="3">
        <v>1</v>
      </c>
      <c r="E824" s="1">
        <v>1</v>
      </c>
      <c r="F824" t="s">
        <v>5398</v>
      </c>
      <c r="G824" t="s">
        <v>5397</v>
      </c>
      <c r="H824" t="s">
        <v>5362</v>
      </c>
      <c r="I824" s="1" t="s">
        <v>1456</v>
      </c>
      <c r="J824" t="s">
        <v>5378</v>
      </c>
      <c r="K824" s="25">
        <f>Tabelle5[[#This Row],[value_present]]*Tabelle5[[#This Row],[binding_level]]</f>
        <v>1</v>
      </c>
    </row>
    <row r="825" spans="1:11" x14ac:dyDescent="0.25">
      <c r="A825" s="24">
        <v>25</v>
      </c>
      <c r="B825" s="2">
        <v>153</v>
      </c>
      <c r="C825" s="2" t="s">
        <v>147</v>
      </c>
      <c r="D825" s="3">
        <v>1</v>
      </c>
      <c r="E825" s="1">
        <v>1</v>
      </c>
      <c r="F825" t="s">
        <v>5391</v>
      </c>
      <c r="G825" t="s">
        <v>5392</v>
      </c>
      <c r="H825" t="s">
        <v>5379</v>
      </c>
      <c r="I825" s="1" t="s">
        <v>1457</v>
      </c>
      <c r="J825" t="s">
        <v>5380</v>
      </c>
      <c r="K825" s="25">
        <f>Tabelle5[[#This Row],[value_present]]*Tabelle5[[#This Row],[binding_level]]</f>
        <v>1</v>
      </c>
    </row>
    <row r="826" spans="1:11" x14ac:dyDescent="0.25">
      <c r="A826" s="24">
        <v>25</v>
      </c>
      <c r="B826" s="2">
        <v>153</v>
      </c>
      <c r="C826" s="2" t="s">
        <v>154</v>
      </c>
      <c r="D826" s="3">
        <v>1</v>
      </c>
      <c r="E826" s="1">
        <v>1</v>
      </c>
      <c r="F826" t="s">
        <v>5400</v>
      </c>
      <c r="G826" t="s">
        <v>5399</v>
      </c>
      <c r="H826" t="s">
        <v>5381</v>
      </c>
      <c r="I826" s="1" t="s">
        <v>1456</v>
      </c>
      <c r="J826" t="s">
        <v>5382</v>
      </c>
      <c r="K826" s="25">
        <f>Tabelle5[[#This Row],[value_present]]*Tabelle5[[#This Row],[binding_level]]</f>
        <v>1</v>
      </c>
    </row>
    <row r="827" spans="1:11" x14ac:dyDescent="0.25">
      <c r="A827" s="24">
        <v>25</v>
      </c>
      <c r="B827" s="2">
        <v>153</v>
      </c>
      <c r="C827" s="2" t="s">
        <v>161</v>
      </c>
      <c r="D827" s="3">
        <v>0</v>
      </c>
      <c r="E827" s="1"/>
      <c r="I827" s="1" t="s">
        <v>1457</v>
      </c>
      <c r="J827" t="s">
        <v>5383</v>
      </c>
      <c r="K827" s="25">
        <f>Tabelle5[[#This Row],[value_present]]*Tabelle5[[#This Row],[binding_level]]</f>
        <v>0</v>
      </c>
    </row>
    <row r="828" spans="1:11" x14ac:dyDescent="0.25">
      <c r="A828" s="24">
        <v>25</v>
      </c>
      <c r="B828" s="2">
        <v>153</v>
      </c>
      <c r="C828" s="2" t="s">
        <v>166</v>
      </c>
      <c r="D828" s="3">
        <v>0</v>
      </c>
      <c r="E828" s="1"/>
      <c r="I828" s="1" t="s">
        <v>1456</v>
      </c>
      <c r="J828" t="s">
        <v>5384</v>
      </c>
      <c r="K828" s="25">
        <f>Tabelle5[[#This Row],[value_present]]*Tabelle5[[#This Row],[binding_level]]</f>
        <v>0</v>
      </c>
    </row>
    <row r="829" spans="1:11" ht="15.75" thickBot="1" x14ac:dyDescent="0.3">
      <c r="A829" s="26">
        <v>25</v>
      </c>
      <c r="B829" s="27">
        <v>153</v>
      </c>
      <c r="C829" s="27" t="s">
        <v>174</v>
      </c>
      <c r="D829" s="28">
        <v>0</v>
      </c>
      <c r="E829" s="29"/>
      <c r="F829" s="30"/>
      <c r="G829" s="30"/>
      <c r="H829" s="30"/>
      <c r="I829" s="29" t="s">
        <v>1456</v>
      </c>
      <c r="J829" s="30" t="s">
        <v>5385</v>
      </c>
      <c r="K829" s="31">
        <f>Tabelle5[[#This Row],[value_present]]*Tabelle5[[#This Row],[binding_level]]</f>
        <v>0</v>
      </c>
    </row>
    <row r="830" spans="1:11" x14ac:dyDescent="0.25">
      <c r="A830" s="18">
        <v>25</v>
      </c>
      <c r="B830" s="19">
        <v>154</v>
      </c>
      <c r="C830" s="19" t="s">
        <v>53</v>
      </c>
      <c r="D830" s="20">
        <v>1</v>
      </c>
      <c r="E830" s="21">
        <v>3</v>
      </c>
      <c r="F830" t="s">
        <v>5485</v>
      </c>
      <c r="G830" t="s">
        <v>5484</v>
      </c>
      <c r="H830" s="22" t="s">
        <v>5435</v>
      </c>
      <c r="I830" s="21" t="s">
        <v>1456</v>
      </c>
      <c r="J830" s="22" t="s">
        <v>5436</v>
      </c>
      <c r="K830" s="23">
        <f>Tabelle5[[#This Row],[value_present]]*Tabelle5[[#This Row],[binding_level]]</f>
        <v>3</v>
      </c>
    </row>
    <row r="831" spans="1:11" x14ac:dyDescent="0.25">
      <c r="A831" s="24">
        <v>25</v>
      </c>
      <c r="B831" s="2">
        <v>154</v>
      </c>
      <c r="C831" s="2" t="s">
        <v>61</v>
      </c>
      <c r="D831" s="3">
        <v>1</v>
      </c>
      <c r="E831" s="1">
        <v>3</v>
      </c>
      <c r="F831" t="s">
        <v>5487</v>
      </c>
      <c r="G831" t="s">
        <v>5486</v>
      </c>
      <c r="H831" t="s">
        <v>5437</v>
      </c>
      <c r="I831" s="1" t="s">
        <v>1456</v>
      </c>
      <c r="J831" t="s">
        <v>5438</v>
      </c>
      <c r="K831" s="25">
        <f>Tabelle5[[#This Row],[value_present]]*Tabelle5[[#This Row],[binding_level]]</f>
        <v>3</v>
      </c>
    </row>
    <row r="832" spans="1:11" x14ac:dyDescent="0.25">
      <c r="A832" s="24">
        <v>25</v>
      </c>
      <c r="B832" s="2">
        <v>154</v>
      </c>
      <c r="C832" s="2" t="s">
        <v>69</v>
      </c>
      <c r="D832" s="3">
        <v>1</v>
      </c>
      <c r="E832" s="1">
        <v>3</v>
      </c>
      <c r="F832" t="s">
        <v>5489</v>
      </c>
      <c r="G832" t="s">
        <v>5488</v>
      </c>
      <c r="H832" t="s">
        <v>5439</v>
      </c>
      <c r="I832" s="1" t="s">
        <v>1456</v>
      </c>
      <c r="J832" t="s">
        <v>5440</v>
      </c>
      <c r="K832" s="25">
        <f>Tabelle5[[#This Row],[value_present]]*Tabelle5[[#This Row],[binding_level]]</f>
        <v>3</v>
      </c>
    </row>
    <row r="833" spans="1:11" x14ac:dyDescent="0.25">
      <c r="A833" s="24">
        <v>25</v>
      </c>
      <c r="B833" s="2">
        <v>154</v>
      </c>
      <c r="C833" s="2" t="s">
        <v>76</v>
      </c>
      <c r="D833" s="3">
        <v>1</v>
      </c>
      <c r="E833" s="1">
        <v>3</v>
      </c>
      <c r="F833" t="s">
        <v>5491</v>
      </c>
      <c r="G833" t="s">
        <v>5490</v>
      </c>
      <c r="H833" t="s">
        <v>5441</v>
      </c>
      <c r="I833" s="1" t="s">
        <v>1456</v>
      </c>
      <c r="J833" t="s">
        <v>5442</v>
      </c>
      <c r="K833" s="25">
        <f>Tabelle5[[#This Row],[value_present]]*Tabelle5[[#This Row],[binding_level]]</f>
        <v>3</v>
      </c>
    </row>
    <row r="834" spans="1:11" x14ac:dyDescent="0.25">
      <c r="A834" s="24">
        <v>25</v>
      </c>
      <c r="B834" s="2">
        <v>154</v>
      </c>
      <c r="C834" s="2" t="s">
        <v>83</v>
      </c>
      <c r="D834" s="3">
        <v>1</v>
      </c>
      <c r="E834" s="1">
        <v>2</v>
      </c>
      <c r="F834" t="s">
        <v>5468</v>
      </c>
      <c r="G834" t="s">
        <v>5469</v>
      </c>
      <c r="H834" t="s">
        <v>5443</v>
      </c>
      <c r="I834" s="1" t="s">
        <v>1456</v>
      </c>
      <c r="J834" t="s">
        <v>5444</v>
      </c>
      <c r="K834" s="25">
        <f>Tabelle5[[#This Row],[value_present]]*Tabelle5[[#This Row],[binding_level]]</f>
        <v>2</v>
      </c>
    </row>
    <row r="835" spans="1:11" x14ac:dyDescent="0.25">
      <c r="A835" s="24">
        <v>25</v>
      </c>
      <c r="B835" s="2">
        <v>154</v>
      </c>
      <c r="C835" s="2" t="s">
        <v>90</v>
      </c>
      <c r="D835" s="3">
        <v>1</v>
      </c>
      <c r="E835" s="1">
        <v>2</v>
      </c>
      <c r="F835" t="s">
        <v>5470</v>
      </c>
      <c r="G835" t="s">
        <v>5471</v>
      </c>
      <c r="H835" t="s">
        <v>5445</v>
      </c>
      <c r="I835" s="1" t="s">
        <v>1456</v>
      </c>
      <c r="J835" t="s">
        <v>5446</v>
      </c>
      <c r="K835" s="25">
        <f>Tabelle5[[#This Row],[value_present]]*Tabelle5[[#This Row],[binding_level]]</f>
        <v>2</v>
      </c>
    </row>
    <row r="836" spans="1:11" x14ac:dyDescent="0.25">
      <c r="A836" s="24">
        <v>25</v>
      </c>
      <c r="B836" s="2">
        <v>154</v>
      </c>
      <c r="C836" s="2" t="s">
        <v>98</v>
      </c>
      <c r="D836" s="3">
        <v>1</v>
      </c>
      <c r="E836" s="1">
        <v>3</v>
      </c>
      <c r="F836" t="s">
        <v>5472</v>
      </c>
      <c r="G836" t="s">
        <v>5473</v>
      </c>
      <c r="H836" t="s">
        <v>5447</v>
      </c>
      <c r="I836" s="1" t="s">
        <v>1456</v>
      </c>
      <c r="J836" t="s">
        <v>5448</v>
      </c>
      <c r="K836" s="25">
        <f>Tabelle5[[#This Row],[value_present]]*Tabelle5[[#This Row],[binding_level]]</f>
        <v>3</v>
      </c>
    </row>
    <row r="837" spans="1:11" x14ac:dyDescent="0.25">
      <c r="A837" s="24">
        <v>25</v>
      </c>
      <c r="B837" s="2">
        <v>154</v>
      </c>
      <c r="C837" s="2" t="s">
        <v>106</v>
      </c>
      <c r="D837" s="3">
        <v>1</v>
      </c>
      <c r="E837" s="1">
        <v>2</v>
      </c>
      <c r="F837" t="s">
        <v>5474</v>
      </c>
      <c r="G837" t="s">
        <v>5475</v>
      </c>
      <c r="H837" t="s">
        <v>5449</v>
      </c>
      <c r="I837" s="1" t="s">
        <v>1456</v>
      </c>
      <c r="J837" t="s">
        <v>5450</v>
      </c>
      <c r="K837" s="25">
        <f>Tabelle5[[#This Row],[value_present]]*Tabelle5[[#This Row],[binding_level]]</f>
        <v>2</v>
      </c>
    </row>
    <row r="838" spans="1:11" x14ac:dyDescent="0.25">
      <c r="A838" s="24">
        <v>25</v>
      </c>
      <c r="B838" s="2">
        <v>154</v>
      </c>
      <c r="C838" s="2" t="s">
        <v>112</v>
      </c>
      <c r="D838" s="3">
        <v>1</v>
      </c>
      <c r="E838" s="1">
        <v>3</v>
      </c>
      <c r="F838" t="s">
        <v>5476</v>
      </c>
      <c r="G838" t="s">
        <v>5477</v>
      </c>
      <c r="H838" t="s">
        <v>5451</v>
      </c>
      <c r="I838" s="1" t="s">
        <v>1457</v>
      </c>
      <c r="J838" t="s">
        <v>5452</v>
      </c>
      <c r="K838" s="25">
        <f>Tabelle5[[#This Row],[value_present]]*Tabelle5[[#This Row],[binding_level]]</f>
        <v>3</v>
      </c>
    </row>
    <row r="839" spans="1:11" x14ac:dyDescent="0.25">
      <c r="A839" s="24">
        <v>25</v>
      </c>
      <c r="B839" s="2">
        <v>154</v>
      </c>
      <c r="C839" s="2" t="s">
        <v>118</v>
      </c>
      <c r="D839" s="3">
        <v>0</v>
      </c>
      <c r="E839" s="1"/>
      <c r="I839" s="1" t="s">
        <v>1457</v>
      </c>
      <c r="J839" t="s">
        <v>5453</v>
      </c>
      <c r="K839" s="25">
        <f>Tabelle5[[#This Row],[value_present]]*Tabelle5[[#This Row],[binding_level]]</f>
        <v>0</v>
      </c>
    </row>
    <row r="840" spans="1:11" x14ac:dyDescent="0.25">
      <c r="A840" s="24">
        <v>25</v>
      </c>
      <c r="B840" s="2">
        <v>154</v>
      </c>
      <c r="C840" s="2" t="s">
        <v>125</v>
      </c>
      <c r="D840" s="3">
        <v>1</v>
      </c>
      <c r="E840" s="1">
        <v>2</v>
      </c>
      <c r="F840" t="s">
        <v>5478</v>
      </c>
      <c r="G840" t="s">
        <v>5479</v>
      </c>
      <c r="H840" t="s">
        <v>5454</v>
      </c>
      <c r="I840" s="1" t="s">
        <v>1457</v>
      </c>
      <c r="J840" t="s">
        <v>5455</v>
      </c>
      <c r="K840" s="25">
        <f>Tabelle5[[#This Row],[value_present]]*Tabelle5[[#This Row],[binding_level]]</f>
        <v>2</v>
      </c>
    </row>
    <row r="841" spans="1:11" x14ac:dyDescent="0.25">
      <c r="A841" s="24">
        <v>25</v>
      </c>
      <c r="B841" s="2">
        <v>154</v>
      </c>
      <c r="C841" s="2" t="s">
        <v>132</v>
      </c>
      <c r="D841" s="3">
        <v>1</v>
      </c>
      <c r="E841" s="1">
        <v>2</v>
      </c>
      <c r="F841" t="s">
        <v>5493</v>
      </c>
      <c r="G841" t="s">
        <v>5492</v>
      </c>
      <c r="H841" t="s">
        <v>5456</v>
      </c>
      <c r="I841" s="1" t="s">
        <v>1457</v>
      </c>
      <c r="J841" t="s">
        <v>5457</v>
      </c>
      <c r="K841" s="25">
        <f>Tabelle5[[#This Row],[value_present]]*Tabelle5[[#This Row],[binding_level]]</f>
        <v>2</v>
      </c>
    </row>
    <row r="842" spans="1:11" x14ac:dyDescent="0.25">
      <c r="A842" s="24">
        <v>25</v>
      </c>
      <c r="B842" s="2">
        <v>154</v>
      </c>
      <c r="C842" s="2" t="s">
        <v>140</v>
      </c>
      <c r="D842" s="3">
        <v>1</v>
      </c>
      <c r="E842" s="1">
        <v>2</v>
      </c>
      <c r="F842" t="s">
        <v>5480</v>
      </c>
      <c r="G842" t="s">
        <v>5481</v>
      </c>
      <c r="H842" t="s">
        <v>5458</v>
      </c>
      <c r="I842" s="1" t="s">
        <v>1456</v>
      </c>
      <c r="J842" t="s">
        <v>5459</v>
      </c>
      <c r="K842" s="25">
        <f>Tabelle5[[#This Row],[value_present]]*Tabelle5[[#This Row],[binding_level]]</f>
        <v>2</v>
      </c>
    </row>
    <row r="843" spans="1:11" x14ac:dyDescent="0.25">
      <c r="A843" s="24">
        <v>25</v>
      </c>
      <c r="B843" s="2">
        <v>154</v>
      </c>
      <c r="C843" s="2" t="s">
        <v>147</v>
      </c>
      <c r="D843" s="3">
        <v>1</v>
      </c>
      <c r="E843" s="1">
        <v>2</v>
      </c>
      <c r="F843" t="s">
        <v>5496</v>
      </c>
      <c r="G843" t="s">
        <v>5494</v>
      </c>
      <c r="H843" t="s">
        <v>5460</v>
      </c>
      <c r="I843" s="1" t="s">
        <v>1456</v>
      </c>
      <c r="J843" t="s">
        <v>5461</v>
      </c>
      <c r="K843" s="25">
        <f>Tabelle5[[#This Row],[value_present]]*Tabelle5[[#This Row],[binding_level]]</f>
        <v>2</v>
      </c>
    </row>
    <row r="844" spans="1:11" x14ac:dyDescent="0.25">
      <c r="A844" s="24">
        <v>25</v>
      </c>
      <c r="B844" s="2">
        <v>154</v>
      </c>
      <c r="C844" s="2" t="s">
        <v>154</v>
      </c>
      <c r="D844" s="3">
        <v>1</v>
      </c>
      <c r="E844" s="1">
        <v>2</v>
      </c>
      <c r="F844" t="s">
        <v>5497</v>
      </c>
      <c r="G844" t="s">
        <v>5495</v>
      </c>
      <c r="H844" t="s">
        <v>5462</v>
      </c>
      <c r="I844" s="1" t="s">
        <v>1456</v>
      </c>
      <c r="J844" t="s">
        <v>5463</v>
      </c>
      <c r="K844" s="25">
        <f>Tabelle5[[#This Row],[value_present]]*Tabelle5[[#This Row],[binding_level]]</f>
        <v>2</v>
      </c>
    </row>
    <row r="845" spans="1:11" x14ac:dyDescent="0.25">
      <c r="A845" s="24">
        <v>25</v>
      </c>
      <c r="B845" s="2">
        <v>154</v>
      </c>
      <c r="C845" s="2" t="s">
        <v>161</v>
      </c>
      <c r="D845" s="3">
        <v>1</v>
      </c>
      <c r="E845" s="1">
        <v>3</v>
      </c>
      <c r="F845" t="s">
        <v>5499</v>
      </c>
      <c r="G845" t="s">
        <v>5498</v>
      </c>
      <c r="H845" t="s">
        <v>5464</v>
      </c>
      <c r="I845" s="1" t="s">
        <v>1456</v>
      </c>
      <c r="J845" t="s">
        <v>5465</v>
      </c>
      <c r="K845" s="25">
        <f>Tabelle5[[#This Row],[value_present]]*Tabelle5[[#This Row],[binding_level]]</f>
        <v>3</v>
      </c>
    </row>
    <row r="846" spans="1:11" x14ac:dyDescent="0.25">
      <c r="A846" s="24">
        <v>25</v>
      </c>
      <c r="B846" s="2">
        <v>154</v>
      </c>
      <c r="C846" s="2" t="s">
        <v>166</v>
      </c>
      <c r="D846" s="3">
        <v>0</v>
      </c>
      <c r="E846" s="1"/>
      <c r="I846" s="1" t="s">
        <v>1456</v>
      </c>
      <c r="J846" t="s">
        <v>5466</v>
      </c>
      <c r="K846" s="25">
        <f>Tabelle5[[#This Row],[value_present]]*Tabelle5[[#This Row],[binding_level]]</f>
        <v>0</v>
      </c>
    </row>
    <row r="847" spans="1:11" ht="15.75" thickBot="1" x14ac:dyDescent="0.3">
      <c r="A847" s="24">
        <v>25</v>
      </c>
      <c r="B847" s="2">
        <v>154</v>
      </c>
      <c r="C847" s="2" t="s">
        <v>174</v>
      </c>
      <c r="D847" s="3">
        <v>1</v>
      </c>
      <c r="E847" s="1">
        <v>2</v>
      </c>
      <c r="F847" t="s">
        <v>5482</v>
      </c>
      <c r="G847" t="s">
        <v>5483</v>
      </c>
      <c r="H847" t="s">
        <v>5460</v>
      </c>
      <c r="I847" s="1" t="s">
        <v>1456</v>
      </c>
      <c r="J847" t="s">
        <v>5467</v>
      </c>
      <c r="K847" s="25">
        <f>Tabelle5[[#This Row],[value_present]]*Tabelle5[[#This Row],[binding_level]]</f>
        <v>2</v>
      </c>
    </row>
    <row r="848" spans="1:11" x14ac:dyDescent="0.25">
      <c r="A848" s="18">
        <v>27</v>
      </c>
      <c r="B848" s="19">
        <v>162</v>
      </c>
      <c r="C848" s="19" t="s">
        <v>53</v>
      </c>
      <c r="D848" s="20">
        <v>0</v>
      </c>
      <c r="E848" s="21"/>
      <c r="F848" s="22"/>
      <c r="G848" s="22"/>
      <c r="H848" s="22"/>
      <c r="I848" s="21" t="s">
        <v>1456</v>
      </c>
      <c r="J848" s="22" t="s">
        <v>5551</v>
      </c>
      <c r="K848" s="23">
        <f>Tabelle5[[#This Row],[value_present]]*Tabelle5[[#This Row],[binding_level]]</f>
        <v>0</v>
      </c>
    </row>
    <row r="849" spans="1:11" x14ac:dyDescent="0.25">
      <c r="A849" s="24">
        <v>27</v>
      </c>
      <c r="B849" s="2">
        <v>162</v>
      </c>
      <c r="C849" s="2" t="s">
        <v>61</v>
      </c>
      <c r="D849" s="3">
        <v>0</v>
      </c>
      <c r="E849" s="1"/>
      <c r="I849" s="1" t="s">
        <v>1457</v>
      </c>
      <c r="J849" t="s">
        <v>5552</v>
      </c>
      <c r="K849" s="25">
        <f>Tabelle5[[#This Row],[value_present]]*Tabelle5[[#This Row],[binding_level]]</f>
        <v>0</v>
      </c>
    </row>
    <row r="850" spans="1:11" x14ac:dyDescent="0.25">
      <c r="A850" s="24">
        <v>27</v>
      </c>
      <c r="B850" s="2">
        <v>162</v>
      </c>
      <c r="C850" s="2" t="s">
        <v>69</v>
      </c>
      <c r="D850" s="3">
        <v>0</v>
      </c>
      <c r="E850" s="1"/>
      <c r="I850" s="1" t="s">
        <v>1456</v>
      </c>
      <c r="J850" t="s">
        <v>5553</v>
      </c>
      <c r="K850" s="25">
        <f>Tabelle5[[#This Row],[value_present]]*Tabelle5[[#This Row],[binding_level]]</f>
        <v>0</v>
      </c>
    </row>
    <row r="851" spans="1:11" x14ac:dyDescent="0.25">
      <c r="A851" s="24">
        <v>27</v>
      </c>
      <c r="B851" s="2">
        <v>162</v>
      </c>
      <c r="C851" s="2" t="s">
        <v>76</v>
      </c>
      <c r="D851" s="3">
        <v>1</v>
      </c>
      <c r="E851" s="1"/>
      <c r="I851" s="1" t="s">
        <v>1456</v>
      </c>
      <c r="J851" t="s">
        <v>5554</v>
      </c>
      <c r="K851" s="25">
        <f>Tabelle5[[#This Row],[value_present]]*Tabelle5[[#This Row],[binding_level]]</f>
        <v>0</v>
      </c>
    </row>
    <row r="852" spans="1:11" x14ac:dyDescent="0.25">
      <c r="A852" s="24">
        <v>27</v>
      </c>
      <c r="B852" s="2">
        <v>162</v>
      </c>
      <c r="C852" s="2" t="s">
        <v>83</v>
      </c>
      <c r="D852" s="3">
        <v>1</v>
      </c>
      <c r="E852" s="1">
        <v>2</v>
      </c>
      <c r="F852" t="s">
        <v>5572</v>
      </c>
      <c r="G852" t="s">
        <v>5571</v>
      </c>
      <c r="H852" t="s">
        <v>5555</v>
      </c>
      <c r="I852" s="1" t="s">
        <v>1456</v>
      </c>
      <c r="J852" t="s">
        <v>5556</v>
      </c>
      <c r="K852" s="25">
        <f>Tabelle5[[#This Row],[value_present]]*Tabelle5[[#This Row],[binding_level]]</f>
        <v>2</v>
      </c>
    </row>
    <row r="853" spans="1:11" x14ac:dyDescent="0.25">
      <c r="A853" s="24">
        <v>27</v>
      </c>
      <c r="B853" s="2">
        <v>162</v>
      </c>
      <c r="C853" s="2" t="s">
        <v>90</v>
      </c>
      <c r="D853" s="3">
        <v>0</v>
      </c>
      <c r="E853" s="1">
        <v>2</v>
      </c>
      <c r="F853" t="s">
        <v>5569</v>
      </c>
      <c r="G853" t="s">
        <v>5570</v>
      </c>
      <c r="H853" t="s">
        <v>5555</v>
      </c>
      <c r="I853" s="1" t="s">
        <v>1457</v>
      </c>
      <c r="J853" t="s">
        <v>5557</v>
      </c>
      <c r="K853" s="25">
        <f>Tabelle5[[#This Row],[value_present]]*Tabelle5[[#This Row],[binding_level]]</f>
        <v>0</v>
      </c>
    </row>
    <row r="854" spans="1:11" x14ac:dyDescent="0.25">
      <c r="A854" s="24">
        <v>27</v>
      </c>
      <c r="B854" s="2">
        <v>162</v>
      </c>
      <c r="C854" s="2" t="s">
        <v>98</v>
      </c>
      <c r="D854" s="3">
        <v>0</v>
      </c>
      <c r="E854" s="1"/>
      <c r="I854" s="1" t="s">
        <v>1456</v>
      </c>
      <c r="J854" t="s">
        <v>5558</v>
      </c>
      <c r="K854" s="25">
        <f>Tabelle5[[#This Row],[value_present]]*Tabelle5[[#This Row],[binding_level]]</f>
        <v>0</v>
      </c>
    </row>
    <row r="855" spans="1:11" x14ac:dyDescent="0.25">
      <c r="A855" s="24">
        <v>27</v>
      </c>
      <c r="B855" s="2">
        <v>162</v>
      </c>
      <c r="C855" s="2" t="s">
        <v>106</v>
      </c>
      <c r="D855" s="3">
        <v>0</v>
      </c>
      <c r="E855" s="1"/>
      <c r="I855" s="1" t="s">
        <v>1457</v>
      </c>
      <c r="J855" t="s">
        <v>5559</v>
      </c>
      <c r="K855" s="25">
        <f>Tabelle5[[#This Row],[value_present]]*Tabelle5[[#This Row],[binding_level]]</f>
        <v>0</v>
      </c>
    </row>
    <row r="856" spans="1:11" x14ac:dyDescent="0.25">
      <c r="A856" s="24">
        <v>27</v>
      </c>
      <c r="B856" s="2">
        <v>162</v>
      </c>
      <c r="C856" s="2" t="s">
        <v>112</v>
      </c>
      <c r="D856" s="3">
        <v>0</v>
      </c>
      <c r="E856" s="1"/>
      <c r="I856" s="1" t="s">
        <v>1457</v>
      </c>
      <c r="J856" t="s">
        <v>5560</v>
      </c>
      <c r="K856" s="25">
        <f>Tabelle5[[#This Row],[value_present]]*Tabelle5[[#This Row],[binding_level]]</f>
        <v>0</v>
      </c>
    </row>
    <row r="857" spans="1:11" x14ac:dyDescent="0.25">
      <c r="A857" s="24">
        <v>27</v>
      </c>
      <c r="B857" s="2">
        <v>162</v>
      </c>
      <c r="C857" s="2" t="s">
        <v>118</v>
      </c>
      <c r="D857" s="3">
        <v>0</v>
      </c>
      <c r="E857" s="1"/>
      <c r="I857" s="1" t="s">
        <v>1456</v>
      </c>
      <c r="J857" t="s">
        <v>5260</v>
      </c>
      <c r="K857" s="25">
        <f>Tabelle5[[#This Row],[value_present]]*Tabelle5[[#This Row],[binding_level]]</f>
        <v>0</v>
      </c>
    </row>
    <row r="858" spans="1:11" x14ac:dyDescent="0.25">
      <c r="A858" s="24">
        <v>27</v>
      </c>
      <c r="B858" s="2">
        <v>162</v>
      </c>
      <c r="C858" s="2" t="s">
        <v>125</v>
      </c>
      <c r="D858" s="3">
        <v>0</v>
      </c>
      <c r="E858" s="1"/>
      <c r="I858" s="1" t="s">
        <v>1456</v>
      </c>
      <c r="J858" t="s">
        <v>5561</v>
      </c>
      <c r="K858" s="25">
        <f>Tabelle5[[#This Row],[value_present]]*Tabelle5[[#This Row],[binding_level]]</f>
        <v>0</v>
      </c>
    </row>
    <row r="859" spans="1:11" x14ac:dyDescent="0.25">
      <c r="A859" s="24">
        <v>27</v>
      </c>
      <c r="B859" s="2">
        <v>162</v>
      </c>
      <c r="C859" s="2" t="s">
        <v>132</v>
      </c>
      <c r="D859" s="3">
        <v>1</v>
      </c>
      <c r="E859" s="1"/>
      <c r="I859" s="1" t="s">
        <v>1456</v>
      </c>
      <c r="J859" t="s">
        <v>5562</v>
      </c>
      <c r="K859" s="25">
        <f>Tabelle5[[#This Row],[value_present]]*Tabelle5[[#This Row],[binding_level]]</f>
        <v>0</v>
      </c>
    </row>
    <row r="860" spans="1:11" x14ac:dyDescent="0.25">
      <c r="A860" s="24">
        <v>27</v>
      </c>
      <c r="B860" s="2">
        <v>162</v>
      </c>
      <c r="C860" s="2" t="s">
        <v>140</v>
      </c>
      <c r="D860" s="3">
        <v>1</v>
      </c>
      <c r="E860" s="1">
        <v>1</v>
      </c>
      <c r="F860" t="s">
        <v>5574</v>
      </c>
      <c r="G860" t="s">
        <v>5573</v>
      </c>
      <c r="H860" t="s">
        <v>5555</v>
      </c>
      <c r="I860" s="1" t="s">
        <v>1456</v>
      </c>
      <c r="J860" t="s">
        <v>5563</v>
      </c>
      <c r="K860" s="25">
        <f>Tabelle5[[#This Row],[value_present]]*Tabelle5[[#This Row],[binding_level]]</f>
        <v>1</v>
      </c>
    </row>
    <row r="861" spans="1:11" x14ac:dyDescent="0.25">
      <c r="A861" s="24">
        <v>27</v>
      </c>
      <c r="B861" s="2">
        <v>162</v>
      </c>
      <c r="C861" s="2" t="s">
        <v>147</v>
      </c>
      <c r="D861" s="3">
        <v>1</v>
      </c>
      <c r="E861" s="1">
        <v>2</v>
      </c>
      <c r="F861" t="s">
        <v>5576</v>
      </c>
      <c r="G861" t="s">
        <v>5575</v>
      </c>
      <c r="H861" t="s">
        <v>5555</v>
      </c>
      <c r="I861" s="1" t="s">
        <v>1456</v>
      </c>
      <c r="J861" t="s">
        <v>5564</v>
      </c>
      <c r="K861" s="25">
        <f>Tabelle5[[#This Row],[value_present]]*Tabelle5[[#This Row],[binding_level]]</f>
        <v>2</v>
      </c>
    </row>
    <row r="862" spans="1:11" x14ac:dyDescent="0.25">
      <c r="A862" s="24">
        <v>27</v>
      </c>
      <c r="B862" s="2">
        <v>162</v>
      </c>
      <c r="C862" s="2" t="s">
        <v>154</v>
      </c>
      <c r="D862" s="3">
        <v>0</v>
      </c>
      <c r="E862" s="1">
        <v>1</v>
      </c>
      <c r="F862" t="s">
        <v>5578</v>
      </c>
      <c r="G862" t="s">
        <v>5577</v>
      </c>
      <c r="H862" t="s">
        <v>5555</v>
      </c>
      <c r="I862" s="1" t="s">
        <v>1456</v>
      </c>
      <c r="J862" t="s">
        <v>5565</v>
      </c>
      <c r="K862" s="25">
        <f>Tabelle5[[#This Row],[value_present]]*Tabelle5[[#This Row],[binding_level]]</f>
        <v>0</v>
      </c>
    </row>
    <row r="863" spans="1:11" x14ac:dyDescent="0.25">
      <c r="A863" s="24">
        <v>27</v>
      </c>
      <c r="B863" s="2">
        <v>162</v>
      </c>
      <c r="C863" s="2" t="s">
        <v>161</v>
      </c>
      <c r="D863" s="3">
        <v>0</v>
      </c>
      <c r="E863" s="1"/>
      <c r="I863" s="1" t="s">
        <v>1456</v>
      </c>
      <c r="J863" t="s">
        <v>5566</v>
      </c>
      <c r="K863" s="25">
        <f>Tabelle5[[#This Row],[value_present]]*Tabelle5[[#This Row],[binding_level]]</f>
        <v>0</v>
      </c>
    </row>
    <row r="864" spans="1:11" x14ac:dyDescent="0.25">
      <c r="A864" s="24">
        <v>27</v>
      </c>
      <c r="B864" s="2">
        <v>162</v>
      </c>
      <c r="C864" s="2" t="s">
        <v>166</v>
      </c>
      <c r="D864" s="3">
        <v>0</v>
      </c>
      <c r="E864" s="1"/>
      <c r="I864" s="1" t="s">
        <v>1456</v>
      </c>
      <c r="J864" t="s">
        <v>5567</v>
      </c>
      <c r="K864" s="25">
        <f>Tabelle5[[#This Row],[value_present]]*Tabelle5[[#This Row],[binding_level]]</f>
        <v>0</v>
      </c>
    </row>
    <row r="865" spans="1:11" ht="15.75" thickBot="1" x14ac:dyDescent="0.3">
      <c r="A865" s="26">
        <v>27</v>
      </c>
      <c r="B865" s="27">
        <v>162</v>
      </c>
      <c r="C865" s="27" t="s">
        <v>174</v>
      </c>
      <c r="D865" s="28">
        <v>0</v>
      </c>
      <c r="E865" s="29"/>
      <c r="F865" s="30"/>
      <c r="G865" s="30"/>
      <c r="H865" s="30"/>
      <c r="I865" s="29" t="s">
        <v>1457</v>
      </c>
      <c r="J865" s="30" t="s">
        <v>5568</v>
      </c>
      <c r="K865" s="31">
        <f>Tabelle5[[#This Row],[value_present]]*Tabelle5[[#This Row],[binding_level]]</f>
        <v>0</v>
      </c>
    </row>
    <row r="866" spans="1:11" x14ac:dyDescent="0.25">
      <c r="A866" s="18">
        <v>27</v>
      </c>
      <c r="B866" s="19">
        <v>163</v>
      </c>
      <c r="C866" s="19" t="s">
        <v>53</v>
      </c>
      <c r="D866" s="20">
        <v>0</v>
      </c>
      <c r="E866" s="21"/>
      <c r="F866" s="22"/>
      <c r="G866" s="22"/>
      <c r="H866" s="22"/>
      <c r="I866" s="21" t="s">
        <v>1456</v>
      </c>
      <c r="J866" s="22" t="s">
        <v>5603</v>
      </c>
      <c r="K866" s="23">
        <f>Tabelle5[[#This Row],[value_present]]*Tabelle5[[#This Row],[binding_level]]</f>
        <v>0</v>
      </c>
    </row>
    <row r="867" spans="1:11" x14ac:dyDescent="0.25">
      <c r="A867" s="24">
        <v>27</v>
      </c>
      <c r="B867" s="2">
        <v>163</v>
      </c>
      <c r="C867" s="2" t="s">
        <v>61</v>
      </c>
      <c r="D867" s="3">
        <v>0</v>
      </c>
      <c r="E867" s="1"/>
      <c r="I867" s="1" t="s">
        <v>1457</v>
      </c>
      <c r="J867" t="s">
        <v>5604</v>
      </c>
      <c r="K867" s="25">
        <f>Tabelle5[[#This Row],[value_present]]*Tabelle5[[#This Row],[binding_level]]</f>
        <v>0</v>
      </c>
    </row>
    <row r="868" spans="1:11" x14ac:dyDescent="0.25">
      <c r="A868" s="24">
        <v>27</v>
      </c>
      <c r="B868" s="2">
        <v>163</v>
      </c>
      <c r="C868" s="2" t="s">
        <v>69</v>
      </c>
      <c r="D868" s="3">
        <v>1</v>
      </c>
      <c r="E868" s="1">
        <v>1</v>
      </c>
      <c r="F868" t="s">
        <v>5623</v>
      </c>
      <c r="G868" t="s">
        <v>5624</v>
      </c>
      <c r="H868" t="s">
        <v>5605</v>
      </c>
      <c r="I868" s="1" t="s">
        <v>1456</v>
      </c>
      <c r="J868" t="s">
        <v>5606</v>
      </c>
      <c r="K868" s="25">
        <f>Tabelle5[[#This Row],[value_present]]*Tabelle5[[#This Row],[binding_level]]</f>
        <v>1</v>
      </c>
    </row>
    <row r="869" spans="1:11" x14ac:dyDescent="0.25">
      <c r="A869" s="24">
        <v>27</v>
      </c>
      <c r="B869" s="2">
        <v>163</v>
      </c>
      <c r="C869" s="2" t="s">
        <v>76</v>
      </c>
      <c r="D869" s="3">
        <v>1</v>
      </c>
      <c r="E869" s="1">
        <v>2</v>
      </c>
      <c r="F869" t="s">
        <v>5625</v>
      </c>
      <c r="G869" t="s">
        <v>5626</v>
      </c>
      <c r="H869" t="s">
        <v>5605</v>
      </c>
      <c r="I869" s="1" t="s">
        <v>1457</v>
      </c>
      <c r="J869" t="s">
        <v>5607</v>
      </c>
      <c r="K869" s="25">
        <f>Tabelle5[[#This Row],[value_present]]*Tabelle5[[#This Row],[binding_level]]</f>
        <v>2</v>
      </c>
    </row>
    <row r="870" spans="1:11" x14ac:dyDescent="0.25">
      <c r="A870" s="24">
        <v>27</v>
      </c>
      <c r="B870" s="2">
        <v>163</v>
      </c>
      <c r="C870" s="2" t="s">
        <v>83</v>
      </c>
      <c r="D870" s="3">
        <v>1</v>
      </c>
      <c r="E870" s="1">
        <v>3</v>
      </c>
      <c r="F870" t="s">
        <v>5632</v>
      </c>
      <c r="G870" t="s">
        <v>5631</v>
      </c>
      <c r="H870" t="s">
        <v>5605</v>
      </c>
      <c r="I870" s="1" t="s">
        <v>1456</v>
      </c>
      <c r="J870" t="s">
        <v>5608</v>
      </c>
      <c r="K870" s="25">
        <f>Tabelle5[[#This Row],[value_present]]*Tabelle5[[#This Row],[binding_level]]</f>
        <v>3</v>
      </c>
    </row>
    <row r="871" spans="1:11" x14ac:dyDescent="0.25">
      <c r="A871" s="24">
        <v>27</v>
      </c>
      <c r="B871" s="2">
        <v>163</v>
      </c>
      <c r="C871" s="2" t="s">
        <v>90</v>
      </c>
      <c r="D871" s="3">
        <v>0</v>
      </c>
      <c r="E871" s="1"/>
      <c r="I871" s="1" t="s">
        <v>1457</v>
      </c>
      <c r="J871" t="s">
        <v>5609</v>
      </c>
      <c r="K871" s="25">
        <f>Tabelle5[[#This Row],[value_present]]*Tabelle5[[#This Row],[binding_level]]</f>
        <v>0</v>
      </c>
    </row>
    <row r="872" spans="1:11" x14ac:dyDescent="0.25">
      <c r="A872" s="24">
        <v>27</v>
      </c>
      <c r="B872" s="2">
        <v>163</v>
      </c>
      <c r="C872" s="2" t="s">
        <v>98</v>
      </c>
      <c r="D872" s="3">
        <v>0</v>
      </c>
      <c r="E872" s="1"/>
      <c r="I872" s="1" t="s">
        <v>1456</v>
      </c>
      <c r="J872" t="s">
        <v>5610</v>
      </c>
      <c r="K872" s="25">
        <f>Tabelle5[[#This Row],[value_present]]*Tabelle5[[#This Row],[binding_level]]</f>
        <v>0</v>
      </c>
    </row>
    <row r="873" spans="1:11" x14ac:dyDescent="0.25">
      <c r="A873" s="24">
        <v>27</v>
      </c>
      <c r="B873" s="2">
        <v>163</v>
      </c>
      <c r="C873" s="2" t="s">
        <v>106</v>
      </c>
      <c r="D873" s="3">
        <v>0</v>
      </c>
      <c r="E873" s="1"/>
      <c r="I873" s="1" t="s">
        <v>1457</v>
      </c>
      <c r="J873" t="s">
        <v>5611</v>
      </c>
      <c r="K873" s="25">
        <f>Tabelle5[[#This Row],[value_present]]*Tabelle5[[#This Row],[binding_level]]</f>
        <v>0</v>
      </c>
    </row>
    <row r="874" spans="1:11" x14ac:dyDescent="0.25">
      <c r="A874" s="24">
        <v>27</v>
      </c>
      <c r="B874" s="2">
        <v>163</v>
      </c>
      <c r="C874" s="2" t="s">
        <v>112</v>
      </c>
      <c r="D874" s="3">
        <v>0</v>
      </c>
      <c r="E874" s="1"/>
      <c r="I874" s="1" t="s">
        <v>1457</v>
      </c>
      <c r="J874" t="s">
        <v>5612</v>
      </c>
      <c r="K874" s="25">
        <f>Tabelle5[[#This Row],[value_present]]*Tabelle5[[#This Row],[binding_level]]</f>
        <v>0</v>
      </c>
    </row>
    <row r="875" spans="1:11" x14ac:dyDescent="0.25">
      <c r="A875" s="24">
        <v>27</v>
      </c>
      <c r="B875" s="2">
        <v>163</v>
      </c>
      <c r="C875" s="2" t="s">
        <v>118</v>
      </c>
      <c r="D875" s="3">
        <v>0</v>
      </c>
      <c r="E875" s="1"/>
      <c r="I875" s="1" t="s">
        <v>1456</v>
      </c>
      <c r="J875" t="s">
        <v>5613</v>
      </c>
      <c r="K875" s="25">
        <f>Tabelle5[[#This Row],[value_present]]*Tabelle5[[#This Row],[binding_level]]</f>
        <v>0</v>
      </c>
    </row>
    <row r="876" spans="1:11" x14ac:dyDescent="0.25">
      <c r="A876" s="24">
        <v>27</v>
      </c>
      <c r="B876" s="2">
        <v>163</v>
      </c>
      <c r="C876" s="2" t="s">
        <v>125</v>
      </c>
      <c r="D876" s="3">
        <v>0</v>
      </c>
      <c r="E876" s="1"/>
      <c r="I876" s="1" t="s">
        <v>1456</v>
      </c>
      <c r="J876" t="s">
        <v>5614</v>
      </c>
      <c r="K876" s="25">
        <f>Tabelle5[[#This Row],[value_present]]*Tabelle5[[#This Row],[binding_level]]</f>
        <v>0</v>
      </c>
    </row>
    <row r="877" spans="1:11" x14ac:dyDescent="0.25">
      <c r="A877" s="24">
        <v>27</v>
      </c>
      <c r="B877" s="2">
        <v>163</v>
      </c>
      <c r="C877" s="2" t="s">
        <v>132</v>
      </c>
      <c r="D877" s="3">
        <v>0</v>
      </c>
      <c r="E877" s="1"/>
      <c r="I877" s="1" t="s">
        <v>1456</v>
      </c>
      <c r="J877" t="s">
        <v>5615</v>
      </c>
      <c r="K877" s="25">
        <f>Tabelle5[[#This Row],[value_present]]*Tabelle5[[#This Row],[binding_level]]</f>
        <v>0</v>
      </c>
    </row>
    <row r="878" spans="1:11" x14ac:dyDescent="0.25">
      <c r="A878" s="24">
        <v>27</v>
      </c>
      <c r="B878" s="2">
        <v>163</v>
      </c>
      <c r="C878" s="2" t="s">
        <v>140</v>
      </c>
      <c r="D878" s="3">
        <v>1</v>
      </c>
      <c r="E878" s="1">
        <v>1</v>
      </c>
      <c r="F878" t="s">
        <v>5634</v>
      </c>
      <c r="G878" t="s">
        <v>5633</v>
      </c>
      <c r="H878" t="s">
        <v>5616</v>
      </c>
      <c r="I878" s="1" t="s">
        <v>1456</v>
      </c>
      <c r="J878" t="s">
        <v>5617</v>
      </c>
      <c r="K878" s="25">
        <f>Tabelle5[[#This Row],[value_present]]*Tabelle5[[#This Row],[binding_level]]</f>
        <v>1</v>
      </c>
    </row>
    <row r="879" spans="1:11" x14ac:dyDescent="0.25">
      <c r="A879" s="24">
        <v>27</v>
      </c>
      <c r="B879" s="2">
        <v>163</v>
      </c>
      <c r="C879" s="2" t="s">
        <v>147</v>
      </c>
      <c r="D879" s="3">
        <v>1</v>
      </c>
      <c r="E879" s="1">
        <v>2</v>
      </c>
      <c r="F879" t="s">
        <v>5636</v>
      </c>
      <c r="G879" t="s">
        <v>5635</v>
      </c>
      <c r="H879" t="s">
        <v>5616</v>
      </c>
      <c r="I879" s="1" t="s">
        <v>1456</v>
      </c>
      <c r="J879" t="s">
        <v>5618</v>
      </c>
      <c r="K879" s="25">
        <f>Tabelle5[[#This Row],[value_present]]*Tabelle5[[#This Row],[binding_level]]</f>
        <v>2</v>
      </c>
    </row>
    <row r="880" spans="1:11" x14ac:dyDescent="0.25">
      <c r="A880" s="24">
        <v>27</v>
      </c>
      <c r="B880" s="2">
        <v>163</v>
      </c>
      <c r="C880" s="2" t="s">
        <v>154</v>
      </c>
      <c r="D880" s="3">
        <v>1</v>
      </c>
      <c r="E880" s="1">
        <v>1</v>
      </c>
      <c r="F880" t="s">
        <v>5627</v>
      </c>
      <c r="G880" t="s">
        <v>5628</v>
      </c>
      <c r="H880" t="s">
        <v>5616</v>
      </c>
      <c r="I880" s="1" t="s">
        <v>1456</v>
      </c>
      <c r="J880" t="s">
        <v>5619</v>
      </c>
      <c r="K880" s="25">
        <f>Tabelle5[[#This Row],[value_present]]*Tabelle5[[#This Row],[binding_level]]</f>
        <v>1</v>
      </c>
    </row>
    <row r="881" spans="1:11" x14ac:dyDescent="0.25">
      <c r="A881" s="24">
        <v>27</v>
      </c>
      <c r="B881" s="2">
        <v>163</v>
      </c>
      <c r="C881" s="2" t="s">
        <v>161</v>
      </c>
      <c r="D881" s="3">
        <v>1</v>
      </c>
      <c r="E881" s="1">
        <v>3</v>
      </c>
      <c r="F881" t="s">
        <v>5629</v>
      </c>
      <c r="G881" t="s">
        <v>5630</v>
      </c>
      <c r="H881" t="s">
        <v>5605</v>
      </c>
      <c r="I881" s="1" t="s">
        <v>1456</v>
      </c>
      <c r="J881" t="s">
        <v>5620</v>
      </c>
      <c r="K881" s="25">
        <f>Tabelle5[[#This Row],[value_present]]*Tabelle5[[#This Row],[binding_level]]</f>
        <v>3</v>
      </c>
    </row>
    <row r="882" spans="1:11" x14ac:dyDescent="0.25">
      <c r="A882" s="24">
        <v>27</v>
      </c>
      <c r="B882" s="2">
        <v>163</v>
      </c>
      <c r="C882" s="2" t="s">
        <v>166</v>
      </c>
      <c r="D882" s="3">
        <v>0</v>
      </c>
      <c r="E882" s="1"/>
      <c r="I882" s="1" t="s">
        <v>1456</v>
      </c>
      <c r="J882" t="s">
        <v>2126</v>
      </c>
      <c r="K882" s="25">
        <f>Tabelle5[[#This Row],[value_present]]*Tabelle5[[#This Row],[binding_level]]</f>
        <v>0</v>
      </c>
    </row>
    <row r="883" spans="1:11" ht="15.75" thickBot="1" x14ac:dyDescent="0.3">
      <c r="A883" s="26">
        <v>27</v>
      </c>
      <c r="B883" s="27">
        <v>163</v>
      </c>
      <c r="C883" s="27" t="s">
        <v>174</v>
      </c>
      <c r="D883" s="28">
        <v>1</v>
      </c>
      <c r="E883" s="29">
        <v>2</v>
      </c>
      <c r="F883" s="30" t="s">
        <v>5638</v>
      </c>
      <c r="G883" s="30" t="s">
        <v>5637</v>
      </c>
      <c r="H883" s="30" t="s">
        <v>5621</v>
      </c>
      <c r="I883" s="29" t="s">
        <v>1456</v>
      </c>
      <c r="J883" s="30" t="s">
        <v>5622</v>
      </c>
      <c r="K883" s="31">
        <f>Tabelle5[[#This Row],[value_present]]*Tabelle5[[#This Row],[binding_level]]</f>
        <v>2</v>
      </c>
    </row>
    <row r="884" spans="1:11" x14ac:dyDescent="0.25">
      <c r="A884" s="18">
        <v>31</v>
      </c>
      <c r="B884" s="19">
        <v>184</v>
      </c>
      <c r="C884" s="19" t="s">
        <v>53</v>
      </c>
      <c r="D884" s="20">
        <v>1</v>
      </c>
      <c r="E884" s="21">
        <v>2</v>
      </c>
      <c r="F884" t="s">
        <v>5710</v>
      </c>
      <c r="G884" t="s">
        <v>5709</v>
      </c>
      <c r="H884" s="22" t="s">
        <v>5666</v>
      </c>
      <c r="I884" s="21" t="s">
        <v>272</v>
      </c>
      <c r="J884" t="s">
        <v>5667</v>
      </c>
      <c r="K884" s="23">
        <f>Tabelle5[[#This Row],[value_present]]*Tabelle5[[#This Row],[binding_level]]</f>
        <v>2</v>
      </c>
    </row>
    <row r="885" spans="1:11" x14ac:dyDescent="0.25">
      <c r="A885" s="24">
        <v>31</v>
      </c>
      <c r="B885" s="2">
        <v>184</v>
      </c>
      <c r="C885" s="2" t="s">
        <v>61</v>
      </c>
      <c r="D885" s="3">
        <v>0</v>
      </c>
      <c r="E885" s="1"/>
      <c r="I885" s="1" t="s">
        <v>1457</v>
      </c>
      <c r="J885" t="s">
        <v>5668</v>
      </c>
      <c r="K885" s="25">
        <f>Tabelle5[[#This Row],[value_present]]*Tabelle5[[#This Row],[binding_level]]</f>
        <v>0</v>
      </c>
    </row>
    <row r="886" spans="1:11" x14ac:dyDescent="0.25">
      <c r="A886" s="24">
        <v>31</v>
      </c>
      <c r="B886" s="2">
        <v>184</v>
      </c>
      <c r="C886" s="2" t="s">
        <v>69</v>
      </c>
      <c r="D886" s="3">
        <v>1</v>
      </c>
      <c r="E886" s="1">
        <v>2</v>
      </c>
      <c r="F886" t="s">
        <v>5693</v>
      </c>
      <c r="G886" t="s">
        <v>5694</v>
      </c>
      <c r="H886" t="s">
        <v>5669</v>
      </c>
      <c r="I886" s="1" t="s">
        <v>272</v>
      </c>
      <c r="J886" t="s">
        <v>5670</v>
      </c>
      <c r="K886" s="25">
        <f>Tabelle5[[#This Row],[value_present]]*Tabelle5[[#This Row],[binding_level]]</f>
        <v>2</v>
      </c>
    </row>
    <row r="887" spans="1:11" x14ac:dyDescent="0.25">
      <c r="A887" s="24">
        <v>31</v>
      </c>
      <c r="B887" s="2">
        <v>184</v>
      </c>
      <c r="C887" s="2" t="s">
        <v>76</v>
      </c>
      <c r="D887" s="3">
        <v>1</v>
      </c>
      <c r="E887" s="1">
        <v>2</v>
      </c>
      <c r="F887" t="s">
        <v>5695</v>
      </c>
      <c r="G887" t="s">
        <v>5696</v>
      </c>
      <c r="H887" t="s">
        <v>5669</v>
      </c>
      <c r="I887" s="1" t="s">
        <v>272</v>
      </c>
      <c r="J887" t="s">
        <v>5671</v>
      </c>
      <c r="K887" s="25">
        <f>Tabelle5[[#This Row],[value_present]]*Tabelle5[[#This Row],[binding_level]]</f>
        <v>2</v>
      </c>
    </row>
    <row r="888" spans="1:11" x14ac:dyDescent="0.25">
      <c r="A888" s="24">
        <v>31</v>
      </c>
      <c r="B888" s="2">
        <v>184</v>
      </c>
      <c r="C888" s="2" t="s">
        <v>83</v>
      </c>
      <c r="D888" s="3">
        <v>1</v>
      </c>
      <c r="E888" s="1">
        <v>2</v>
      </c>
      <c r="F888" t="s">
        <v>5697</v>
      </c>
      <c r="G888" t="s">
        <v>5698</v>
      </c>
      <c r="H888" t="s">
        <v>5672</v>
      </c>
      <c r="I888" s="1" t="s">
        <v>273</v>
      </c>
      <c r="J888" t="s">
        <v>5673</v>
      </c>
      <c r="K888" s="25">
        <f>Tabelle5[[#This Row],[value_present]]*Tabelle5[[#This Row],[binding_level]]</f>
        <v>2</v>
      </c>
    </row>
    <row r="889" spans="1:11" x14ac:dyDescent="0.25">
      <c r="A889" s="24">
        <v>31</v>
      </c>
      <c r="B889" s="2">
        <v>184</v>
      </c>
      <c r="C889" s="2" t="s">
        <v>90</v>
      </c>
      <c r="D889" s="3">
        <v>1</v>
      </c>
      <c r="E889" s="1">
        <v>3</v>
      </c>
      <c r="F889" t="s">
        <v>5699</v>
      </c>
      <c r="G889" t="s">
        <v>5700</v>
      </c>
      <c r="H889" t="s">
        <v>5674</v>
      </c>
      <c r="I889" s="1" t="s">
        <v>272</v>
      </c>
      <c r="J889" t="s">
        <v>5675</v>
      </c>
      <c r="K889" s="25">
        <f>Tabelle5[[#This Row],[value_present]]*Tabelle5[[#This Row],[binding_level]]</f>
        <v>3</v>
      </c>
    </row>
    <row r="890" spans="1:11" x14ac:dyDescent="0.25">
      <c r="A890" s="24">
        <v>31</v>
      </c>
      <c r="B890" s="2">
        <v>184</v>
      </c>
      <c r="C890" s="2" t="s">
        <v>98</v>
      </c>
      <c r="D890" s="3">
        <v>1</v>
      </c>
      <c r="E890" s="1">
        <v>3</v>
      </c>
      <c r="F890" t="s">
        <v>5712</v>
      </c>
      <c r="G890" t="s">
        <v>5711</v>
      </c>
      <c r="H890" t="s">
        <v>5676</v>
      </c>
      <c r="I890" s="1" t="s">
        <v>272</v>
      </c>
      <c r="J890" t="s">
        <v>5677</v>
      </c>
      <c r="K890" s="25">
        <f>Tabelle5[[#This Row],[value_present]]*Tabelle5[[#This Row],[binding_level]]</f>
        <v>3</v>
      </c>
    </row>
    <row r="891" spans="1:11" x14ac:dyDescent="0.25">
      <c r="A891" s="24">
        <v>31</v>
      </c>
      <c r="B891" s="2">
        <v>184</v>
      </c>
      <c r="C891" s="2" t="s">
        <v>106</v>
      </c>
      <c r="D891" s="3">
        <v>1</v>
      </c>
      <c r="E891" s="1">
        <v>3</v>
      </c>
      <c r="F891" t="s">
        <v>5701</v>
      </c>
      <c r="G891" t="s">
        <v>5702</v>
      </c>
      <c r="H891" t="s">
        <v>5678</v>
      </c>
      <c r="I891" s="1" t="s">
        <v>272</v>
      </c>
      <c r="J891" t="s">
        <v>5679</v>
      </c>
      <c r="K891" s="25">
        <f>Tabelle5[[#This Row],[value_present]]*Tabelle5[[#This Row],[binding_level]]</f>
        <v>3</v>
      </c>
    </row>
    <row r="892" spans="1:11" x14ac:dyDescent="0.25">
      <c r="A892" s="24">
        <v>31</v>
      </c>
      <c r="B892" s="2">
        <v>184</v>
      </c>
      <c r="C892" s="2" t="s">
        <v>112</v>
      </c>
      <c r="D892" s="3">
        <v>1</v>
      </c>
      <c r="E892" s="1">
        <v>3</v>
      </c>
      <c r="F892" t="s">
        <v>5701</v>
      </c>
      <c r="G892" t="s">
        <v>5702</v>
      </c>
      <c r="H892" t="s">
        <v>5678</v>
      </c>
      <c r="I892" s="1" t="s">
        <v>272</v>
      </c>
      <c r="J892" t="s">
        <v>5680</v>
      </c>
      <c r="K892" s="25">
        <f>Tabelle5[[#This Row],[value_present]]*Tabelle5[[#This Row],[binding_level]]</f>
        <v>3</v>
      </c>
    </row>
    <row r="893" spans="1:11" x14ac:dyDescent="0.25">
      <c r="A893" s="24">
        <v>31</v>
      </c>
      <c r="B893" s="2">
        <v>184</v>
      </c>
      <c r="C893" s="2" t="s">
        <v>118</v>
      </c>
      <c r="D893" s="3">
        <v>0</v>
      </c>
      <c r="E893" s="1"/>
      <c r="I893" s="1" t="s">
        <v>1456</v>
      </c>
      <c r="J893" t="s">
        <v>5681</v>
      </c>
      <c r="K893" s="25">
        <f>Tabelle5[[#This Row],[value_present]]*Tabelle5[[#This Row],[binding_level]]</f>
        <v>0</v>
      </c>
    </row>
    <row r="894" spans="1:11" x14ac:dyDescent="0.25">
      <c r="A894" s="24">
        <v>31</v>
      </c>
      <c r="B894" s="2">
        <v>184</v>
      </c>
      <c r="C894" s="2" t="s">
        <v>125</v>
      </c>
      <c r="D894" s="3">
        <v>0</v>
      </c>
      <c r="E894" s="1"/>
      <c r="I894" s="1" t="s">
        <v>1457</v>
      </c>
      <c r="J894" t="s">
        <v>5682</v>
      </c>
      <c r="K894" s="25">
        <f>Tabelle5[[#This Row],[value_present]]*Tabelle5[[#This Row],[binding_level]]</f>
        <v>0</v>
      </c>
    </row>
    <row r="895" spans="1:11" x14ac:dyDescent="0.25">
      <c r="A895" s="24">
        <v>31</v>
      </c>
      <c r="B895" s="2">
        <v>184</v>
      </c>
      <c r="C895" s="2" t="s">
        <v>132</v>
      </c>
      <c r="D895" s="3">
        <v>1</v>
      </c>
      <c r="E895" s="1">
        <v>1</v>
      </c>
      <c r="F895" t="s">
        <v>5714</v>
      </c>
      <c r="G895" t="s">
        <v>5713</v>
      </c>
      <c r="H895" t="s">
        <v>5683</v>
      </c>
      <c r="I895" s="1" t="s">
        <v>272</v>
      </c>
      <c r="J895" t="s">
        <v>5684</v>
      </c>
      <c r="K895" s="25">
        <f>Tabelle5[[#This Row],[value_present]]*Tabelle5[[#This Row],[binding_level]]</f>
        <v>1</v>
      </c>
    </row>
    <row r="896" spans="1:11" x14ac:dyDescent="0.25">
      <c r="A896" s="24">
        <v>31</v>
      </c>
      <c r="B896" s="2">
        <v>184</v>
      </c>
      <c r="C896" s="2" t="s">
        <v>140</v>
      </c>
      <c r="D896" s="3">
        <v>1</v>
      </c>
      <c r="E896" s="1">
        <v>1</v>
      </c>
      <c r="F896" t="s">
        <v>5716</v>
      </c>
      <c r="G896" t="s">
        <v>5715</v>
      </c>
      <c r="H896" t="s">
        <v>5685</v>
      </c>
      <c r="I896" s="1" t="s">
        <v>272</v>
      </c>
      <c r="J896" t="s">
        <v>5686</v>
      </c>
      <c r="K896" s="25">
        <f>Tabelle5[[#This Row],[value_present]]*Tabelle5[[#This Row],[binding_level]]</f>
        <v>1</v>
      </c>
    </row>
    <row r="897" spans="1:11" x14ac:dyDescent="0.25">
      <c r="A897" s="24">
        <v>31</v>
      </c>
      <c r="B897" s="2">
        <v>184</v>
      </c>
      <c r="C897" s="2" t="s">
        <v>147</v>
      </c>
      <c r="D897" s="3">
        <v>1</v>
      </c>
      <c r="E897" s="1">
        <v>2</v>
      </c>
      <c r="F897" t="s">
        <v>5703</v>
      </c>
      <c r="G897" t="s">
        <v>5704</v>
      </c>
      <c r="H897" t="s">
        <v>5674</v>
      </c>
      <c r="I897" s="1" t="s">
        <v>272</v>
      </c>
      <c r="J897" t="s">
        <v>5687</v>
      </c>
      <c r="K897" s="25">
        <f>Tabelle5[[#This Row],[value_present]]*Tabelle5[[#This Row],[binding_level]]</f>
        <v>2</v>
      </c>
    </row>
    <row r="898" spans="1:11" x14ac:dyDescent="0.25">
      <c r="A898" s="24">
        <v>31</v>
      </c>
      <c r="B898" s="2">
        <v>184</v>
      </c>
      <c r="C898" s="2" t="s">
        <v>154</v>
      </c>
      <c r="D898" s="3">
        <v>1</v>
      </c>
      <c r="E898" s="1">
        <v>1</v>
      </c>
      <c r="F898" t="s">
        <v>5705</v>
      </c>
      <c r="G898" t="s">
        <v>5706</v>
      </c>
      <c r="H898" t="s">
        <v>5688</v>
      </c>
      <c r="I898" s="1" t="s">
        <v>273</v>
      </c>
      <c r="J898" t="s">
        <v>5689</v>
      </c>
      <c r="K898" s="25">
        <f>Tabelle5[[#This Row],[value_present]]*Tabelle5[[#This Row],[binding_level]]</f>
        <v>1</v>
      </c>
    </row>
    <row r="899" spans="1:11" x14ac:dyDescent="0.25">
      <c r="A899" s="24">
        <v>31</v>
      </c>
      <c r="B899" s="2">
        <v>184</v>
      </c>
      <c r="C899" s="2" t="s">
        <v>161</v>
      </c>
      <c r="D899" s="3">
        <v>1</v>
      </c>
      <c r="E899" s="1">
        <v>3</v>
      </c>
      <c r="F899" t="s">
        <v>5718</v>
      </c>
      <c r="G899" t="s">
        <v>5717</v>
      </c>
      <c r="H899" t="s">
        <v>5678</v>
      </c>
      <c r="I899" s="1" t="s">
        <v>272</v>
      </c>
      <c r="J899" t="s">
        <v>5690</v>
      </c>
      <c r="K899" s="25">
        <f>Tabelle5[[#This Row],[value_present]]*Tabelle5[[#This Row],[binding_level]]</f>
        <v>3</v>
      </c>
    </row>
    <row r="900" spans="1:11" x14ac:dyDescent="0.25">
      <c r="A900" s="24">
        <v>31</v>
      </c>
      <c r="B900" s="2">
        <v>184</v>
      </c>
      <c r="C900" s="2" t="s">
        <v>166</v>
      </c>
      <c r="D900" s="3">
        <v>0</v>
      </c>
      <c r="E900" s="1"/>
      <c r="I900" s="1" t="s">
        <v>1456</v>
      </c>
      <c r="J900" t="s">
        <v>5268</v>
      </c>
      <c r="K900" s="25">
        <f>Tabelle5[[#This Row],[value_present]]*Tabelle5[[#This Row],[binding_level]]</f>
        <v>0</v>
      </c>
    </row>
    <row r="901" spans="1:11" ht="15.75" thickBot="1" x14ac:dyDescent="0.3">
      <c r="A901" s="24">
        <v>31</v>
      </c>
      <c r="B901" s="2">
        <v>184</v>
      </c>
      <c r="C901" s="2" t="s">
        <v>174</v>
      </c>
      <c r="D901" s="3">
        <v>1</v>
      </c>
      <c r="E901" s="1">
        <v>1</v>
      </c>
      <c r="F901" s="30" t="s">
        <v>5707</v>
      </c>
      <c r="G901" s="30" t="s">
        <v>5708</v>
      </c>
      <c r="H901" t="s">
        <v>5691</v>
      </c>
      <c r="I901" s="1" t="s">
        <v>272</v>
      </c>
      <c r="J901" t="s">
        <v>5692</v>
      </c>
      <c r="K901" s="25">
        <f>Tabelle5[[#This Row],[value_present]]*Tabelle5[[#This Row],[binding_level]]</f>
        <v>1</v>
      </c>
    </row>
    <row r="902" spans="1:11" x14ac:dyDescent="0.25">
      <c r="A902" s="18">
        <v>32</v>
      </c>
      <c r="B902" s="19">
        <v>188</v>
      </c>
      <c r="C902" s="19" t="s">
        <v>53</v>
      </c>
      <c r="D902" s="20">
        <v>1</v>
      </c>
      <c r="E902" s="21">
        <v>3</v>
      </c>
      <c r="F902" t="s">
        <v>5753</v>
      </c>
      <c r="G902" t="s">
        <v>5754</v>
      </c>
      <c r="H902" s="22" t="s">
        <v>5757</v>
      </c>
      <c r="I902" s="21" t="s">
        <v>1456</v>
      </c>
      <c r="J902" s="22" t="s">
        <v>5758</v>
      </c>
      <c r="K902" s="23">
        <f>Tabelle5[[#This Row],[value_present]]*Tabelle5[[#This Row],[binding_level]]</f>
        <v>3</v>
      </c>
    </row>
    <row r="903" spans="1:11" x14ac:dyDescent="0.25">
      <c r="A903" s="24">
        <v>32</v>
      </c>
      <c r="B903" s="2">
        <v>188</v>
      </c>
      <c r="C903" s="2" t="s">
        <v>61</v>
      </c>
      <c r="D903" s="3">
        <v>1</v>
      </c>
      <c r="E903" s="1">
        <v>3</v>
      </c>
      <c r="F903" t="s">
        <v>5791</v>
      </c>
      <c r="G903" t="s">
        <v>5790</v>
      </c>
      <c r="H903" t="s">
        <v>5759</v>
      </c>
      <c r="I903" s="1" t="s">
        <v>1456</v>
      </c>
      <c r="J903" t="s">
        <v>5760</v>
      </c>
      <c r="K903" s="25">
        <f>Tabelle5[[#This Row],[value_present]]*Tabelle5[[#This Row],[binding_level]]</f>
        <v>3</v>
      </c>
    </row>
    <row r="904" spans="1:11" x14ac:dyDescent="0.25">
      <c r="A904" s="24">
        <v>32</v>
      </c>
      <c r="B904" s="2">
        <v>188</v>
      </c>
      <c r="C904" s="2" t="s">
        <v>69</v>
      </c>
      <c r="D904" s="3">
        <v>1</v>
      </c>
      <c r="E904" s="1">
        <v>3</v>
      </c>
      <c r="F904" t="s">
        <v>5793</v>
      </c>
      <c r="G904" t="s">
        <v>5792</v>
      </c>
      <c r="H904" t="s">
        <v>5788</v>
      </c>
      <c r="I904" s="1" t="s">
        <v>1456</v>
      </c>
      <c r="J904" t="s">
        <v>5761</v>
      </c>
      <c r="K904" s="25">
        <f>Tabelle5[[#This Row],[value_present]]*Tabelle5[[#This Row],[binding_level]]</f>
        <v>3</v>
      </c>
    </row>
    <row r="905" spans="1:11" x14ac:dyDescent="0.25">
      <c r="A905" s="24">
        <v>32</v>
      </c>
      <c r="B905" s="2">
        <v>188</v>
      </c>
      <c r="C905" s="2" t="s">
        <v>76</v>
      </c>
      <c r="D905" s="3">
        <v>1</v>
      </c>
      <c r="E905" s="1">
        <v>3</v>
      </c>
      <c r="F905" t="s">
        <v>5755</v>
      </c>
      <c r="G905" t="s">
        <v>5756</v>
      </c>
      <c r="H905" t="s">
        <v>5762</v>
      </c>
      <c r="I905" s="1" t="s">
        <v>1456</v>
      </c>
      <c r="J905" t="s">
        <v>5763</v>
      </c>
      <c r="K905" s="25">
        <f>Tabelle5[[#This Row],[value_present]]*Tabelle5[[#This Row],[binding_level]]</f>
        <v>3</v>
      </c>
    </row>
    <row r="906" spans="1:11" x14ac:dyDescent="0.25">
      <c r="A906" s="24">
        <v>32</v>
      </c>
      <c r="B906" s="2">
        <v>188</v>
      </c>
      <c r="C906" s="2" t="s">
        <v>83</v>
      </c>
      <c r="D906" s="3">
        <v>1</v>
      </c>
      <c r="E906" s="1">
        <v>3</v>
      </c>
      <c r="F906" t="s">
        <v>5795</v>
      </c>
      <c r="G906" t="s">
        <v>5794</v>
      </c>
      <c r="H906" t="s">
        <v>5764</v>
      </c>
      <c r="I906" s="1" t="s">
        <v>1456</v>
      </c>
      <c r="J906" t="s">
        <v>5765</v>
      </c>
      <c r="K906" s="25">
        <f>Tabelle5[[#This Row],[value_present]]*Tabelle5[[#This Row],[binding_level]]</f>
        <v>3</v>
      </c>
    </row>
    <row r="907" spans="1:11" x14ac:dyDescent="0.25">
      <c r="A907" s="24">
        <v>32</v>
      </c>
      <c r="B907" s="2">
        <v>188</v>
      </c>
      <c r="C907" s="2" t="s">
        <v>90</v>
      </c>
      <c r="D907" s="3">
        <v>1</v>
      </c>
      <c r="E907" s="1">
        <v>2</v>
      </c>
      <c r="F907" t="s">
        <v>5751</v>
      </c>
      <c r="G907" t="s">
        <v>5752</v>
      </c>
      <c r="H907" t="s">
        <v>5766</v>
      </c>
      <c r="I907" s="1" t="s">
        <v>1456</v>
      </c>
      <c r="J907" t="s">
        <v>5767</v>
      </c>
      <c r="K907" s="25">
        <f>Tabelle5[[#This Row],[value_present]]*Tabelle5[[#This Row],[binding_level]]</f>
        <v>2</v>
      </c>
    </row>
    <row r="908" spans="1:11" x14ac:dyDescent="0.25">
      <c r="A908" s="24">
        <v>32</v>
      </c>
      <c r="B908" s="2">
        <v>188</v>
      </c>
      <c r="C908" s="2" t="s">
        <v>98</v>
      </c>
      <c r="D908" s="3">
        <v>1</v>
      </c>
      <c r="E908" s="1">
        <v>3</v>
      </c>
      <c r="F908" t="s">
        <v>5797</v>
      </c>
      <c r="G908" t="s">
        <v>5796</v>
      </c>
      <c r="H908" t="s">
        <v>5768</v>
      </c>
      <c r="I908" s="1" t="s">
        <v>1456</v>
      </c>
      <c r="J908" t="s">
        <v>5769</v>
      </c>
      <c r="K908" s="25">
        <f>Tabelle5[[#This Row],[value_present]]*Tabelle5[[#This Row],[binding_level]]</f>
        <v>3</v>
      </c>
    </row>
    <row r="909" spans="1:11" x14ac:dyDescent="0.25">
      <c r="A909" s="24">
        <v>32</v>
      </c>
      <c r="B909" s="2">
        <v>188</v>
      </c>
      <c r="C909" s="2" t="s">
        <v>106</v>
      </c>
      <c r="D909" s="3">
        <v>1</v>
      </c>
      <c r="E909" s="1">
        <v>3</v>
      </c>
      <c r="F909" t="s">
        <v>5799</v>
      </c>
      <c r="G909" t="s">
        <v>5798</v>
      </c>
      <c r="H909" t="s">
        <v>5789</v>
      </c>
      <c r="I909" s="1" t="s">
        <v>1456</v>
      </c>
      <c r="J909" t="s">
        <v>5770</v>
      </c>
      <c r="K909" s="25">
        <f>Tabelle5[[#This Row],[value_present]]*Tabelle5[[#This Row],[binding_level]]</f>
        <v>3</v>
      </c>
    </row>
    <row r="910" spans="1:11" x14ac:dyDescent="0.25">
      <c r="A910" s="24">
        <v>32</v>
      </c>
      <c r="B910" s="2">
        <v>188</v>
      </c>
      <c r="C910" s="2" t="s">
        <v>112</v>
      </c>
      <c r="D910" s="3">
        <v>1</v>
      </c>
      <c r="E910" s="1">
        <v>3</v>
      </c>
      <c r="F910" t="s">
        <v>5801</v>
      </c>
      <c r="G910" t="s">
        <v>5800</v>
      </c>
      <c r="H910" t="s">
        <v>5768</v>
      </c>
      <c r="I910" s="1" t="s">
        <v>1456</v>
      </c>
      <c r="J910" t="s">
        <v>5771</v>
      </c>
      <c r="K910" s="25">
        <f>Tabelle5[[#This Row],[value_present]]*Tabelle5[[#This Row],[binding_level]]</f>
        <v>3</v>
      </c>
    </row>
    <row r="911" spans="1:11" x14ac:dyDescent="0.25">
      <c r="A911" s="24">
        <v>32</v>
      </c>
      <c r="B911" s="2">
        <v>188</v>
      </c>
      <c r="C911" s="2" t="s">
        <v>118</v>
      </c>
      <c r="D911" s="3">
        <v>1</v>
      </c>
      <c r="E911" s="1">
        <v>3</v>
      </c>
      <c r="F911" t="s">
        <v>5803</v>
      </c>
      <c r="G911" t="s">
        <v>5802</v>
      </c>
      <c r="H911" t="s">
        <v>5772</v>
      </c>
      <c r="I911" s="1" t="s">
        <v>1456</v>
      </c>
      <c r="J911" t="s">
        <v>5773</v>
      </c>
      <c r="K911" s="25">
        <f>Tabelle5[[#This Row],[value_present]]*Tabelle5[[#This Row],[binding_level]]</f>
        <v>3</v>
      </c>
    </row>
    <row r="912" spans="1:11" x14ac:dyDescent="0.25">
      <c r="A912" s="24">
        <v>32</v>
      </c>
      <c r="B912" s="2">
        <v>188</v>
      </c>
      <c r="C912" s="2" t="s">
        <v>125</v>
      </c>
      <c r="D912" s="3">
        <v>1</v>
      </c>
      <c r="E912" s="1">
        <v>2</v>
      </c>
      <c r="F912" t="s">
        <v>5747</v>
      </c>
      <c r="G912" t="s">
        <v>5748</v>
      </c>
      <c r="H912" t="s">
        <v>5774</v>
      </c>
      <c r="I912" s="1" t="s">
        <v>1456</v>
      </c>
      <c r="J912" t="s">
        <v>5775</v>
      </c>
      <c r="K912" s="25">
        <f>Tabelle5[[#This Row],[value_present]]*Tabelle5[[#This Row],[binding_level]]</f>
        <v>2</v>
      </c>
    </row>
    <row r="913" spans="1:11" x14ac:dyDescent="0.25">
      <c r="A913" s="24">
        <v>32</v>
      </c>
      <c r="B913" s="2">
        <v>188</v>
      </c>
      <c r="C913" s="2" t="s">
        <v>132</v>
      </c>
      <c r="D913" s="3">
        <v>1</v>
      </c>
      <c r="E913" s="1">
        <v>2</v>
      </c>
      <c r="F913" t="s">
        <v>5749</v>
      </c>
      <c r="G913" t="s">
        <v>5750</v>
      </c>
      <c r="H913" t="s">
        <v>5776</v>
      </c>
      <c r="I913" s="1" t="s">
        <v>1456</v>
      </c>
      <c r="J913" t="s">
        <v>5777</v>
      </c>
      <c r="K913" s="25">
        <f>Tabelle5[[#This Row],[value_present]]*Tabelle5[[#This Row],[binding_level]]</f>
        <v>2</v>
      </c>
    </row>
    <row r="914" spans="1:11" x14ac:dyDescent="0.25">
      <c r="A914" s="24">
        <v>32</v>
      </c>
      <c r="B914" s="2">
        <v>188</v>
      </c>
      <c r="C914" s="2" t="s">
        <v>140</v>
      </c>
      <c r="D914" s="3">
        <v>0</v>
      </c>
      <c r="E914" s="1"/>
      <c r="I914" s="1" t="s">
        <v>1457</v>
      </c>
      <c r="J914" t="s">
        <v>5778</v>
      </c>
      <c r="K914" s="25">
        <f>Tabelle5[[#This Row],[value_present]]*Tabelle5[[#This Row],[binding_level]]</f>
        <v>0</v>
      </c>
    </row>
    <row r="915" spans="1:11" x14ac:dyDescent="0.25">
      <c r="A915" s="24">
        <v>32</v>
      </c>
      <c r="B915" s="2">
        <v>188</v>
      </c>
      <c r="C915" s="2" t="s">
        <v>147</v>
      </c>
      <c r="D915" s="3">
        <v>1</v>
      </c>
      <c r="E915" s="1">
        <v>2</v>
      </c>
      <c r="F915" t="s">
        <v>5805</v>
      </c>
      <c r="G915" t="s">
        <v>5804</v>
      </c>
      <c r="H915" t="s">
        <v>5779</v>
      </c>
      <c r="I915" s="1" t="s">
        <v>1456</v>
      </c>
      <c r="J915" t="s">
        <v>5780</v>
      </c>
      <c r="K915" s="25">
        <f>Tabelle5[[#This Row],[value_present]]*Tabelle5[[#This Row],[binding_level]]</f>
        <v>2</v>
      </c>
    </row>
    <row r="916" spans="1:11" x14ac:dyDescent="0.25">
      <c r="A916" s="24">
        <v>32</v>
      </c>
      <c r="B916" s="2">
        <v>188</v>
      </c>
      <c r="C916" s="2" t="s">
        <v>154</v>
      </c>
      <c r="D916" s="3">
        <v>1</v>
      </c>
      <c r="E916" s="1">
        <v>2</v>
      </c>
      <c r="F916" t="s">
        <v>5745</v>
      </c>
      <c r="G916" t="s">
        <v>5746</v>
      </c>
      <c r="H916" t="s">
        <v>5781</v>
      </c>
      <c r="I916" s="1" t="s">
        <v>1456</v>
      </c>
      <c r="J916" t="s">
        <v>5782</v>
      </c>
      <c r="K916" s="25">
        <f>Tabelle5[[#This Row],[value_present]]*Tabelle5[[#This Row],[binding_level]]</f>
        <v>2</v>
      </c>
    </row>
    <row r="917" spans="1:11" x14ac:dyDescent="0.25">
      <c r="A917" s="24">
        <v>32</v>
      </c>
      <c r="B917" s="2">
        <v>188</v>
      </c>
      <c r="C917" s="2" t="s">
        <v>161</v>
      </c>
      <c r="D917" s="3">
        <v>1</v>
      </c>
      <c r="E917" s="1">
        <v>3</v>
      </c>
      <c r="F917" t="s">
        <v>5807</v>
      </c>
      <c r="G917" t="s">
        <v>5806</v>
      </c>
      <c r="H917" t="s">
        <v>5783</v>
      </c>
      <c r="I917" s="1" t="s">
        <v>1456</v>
      </c>
      <c r="J917" t="s">
        <v>5784</v>
      </c>
      <c r="K917" s="25">
        <f>Tabelle5[[#This Row],[value_present]]*Tabelle5[[#This Row],[binding_level]]</f>
        <v>3</v>
      </c>
    </row>
    <row r="918" spans="1:11" x14ac:dyDescent="0.25">
      <c r="A918" s="24">
        <v>32</v>
      </c>
      <c r="B918" s="2">
        <v>188</v>
      </c>
      <c r="C918" s="2" t="s">
        <v>166</v>
      </c>
      <c r="D918" s="3">
        <v>0</v>
      </c>
      <c r="E918" s="1"/>
      <c r="I918" s="1" t="s">
        <v>1456</v>
      </c>
      <c r="J918" t="s">
        <v>5785</v>
      </c>
      <c r="K918" s="25">
        <f>Tabelle5[[#This Row],[value_present]]*Tabelle5[[#This Row],[binding_level]]</f>
        <v>0</v>
      </c>
    </row>
    <row r="919" spans="1:11" ht="15.75" thickBot="1" x14ac:dyDescent="0.3">
      <c r="A919" s="26">
        <v>32</v>
      </c>
      <c r="B919" s="27">
        <v>188</v>
      </c>
      <c r="C919" s="27" t="s">
        <v>174</v>
      </c>
      <c r="D919" s="28">
        <v>1</v>
      </c>
      <c r="E919" s="29">
        <v>3</v>
      </c>
      <c r="F919" s="30" t="s">
        <v>5809</v>
      </c>
      <c r="G919" s="30" t="s">
        <v>5808</v>
      </c>
      <c r="H919" s="30" t="s">
        <v>5786</v>
      </c>
      <c r="I919" s="29" t="s">
        <v>1456</v>
      </c>
      <c r="J919" s="30" t="s">
        <v>5787</v>
      </c>
      <c r="K919" s="31">
        <f>Tabelle5[[#This Row],[value_present]]*Tabelle5[[#This Row],[binding_level]]</f>
        <v>3</v>
      </c>
    </row>
    <row r="920" spans="1:11" x14ac:dyDescent="0.25">
      <c r="A920" s="18">
        <v>32</v>
      </c>
      <c r="B920" s="19">
        <v>189</v>
      </c>
      <c r="C920" s="19" t="s">
        <v>53</v>
      </c>
      <c r="D920" s="20">
        <v>1</v>
      </c>
      <c r="E920" s="21">
        <v>3</v>
      </c>
      <c r="F920" t="s">
        <v>5882</v>
      </c>
      <c r="G920" t="s">
        <v>5881</v>
      </c>
      <c r="H920" s="22" t="s">
        <v>5839</v>
      </c>
      <c r="I920" s="21" t="s">
        <v>1456</v>
      </c>
      <c r="J920" s="22" t="s">
        <v>5840</v>
      </c>
      <c r="K920" s="23">
        <f>Tabelle5[[#This Row],[value_present]]*Tabelle5[[#This Row],[binding_level]]</f>
        <v>3</v>
      </c>
    </row>
    <row r="921" spans="1:11" x14ac:dyDescent="0.25">
      <c r="A921" s="24">
        <v>32</v>
      </c>
      <c r="B921" s="2">
        <v>189</v>
      </c>
      <c r="C921" s="2" t="s">
        <v>61</v>
      </c>
      <c r="D921" s="3">
        <v>1</v>
      </c>
      <c r="E921" s="1">
        <v>2</v>
      </c>
      <c r="F921" t="s">
        <v>5884</v>
      </c>
      <c r="G921" t="s">
        <v>5883</v>
      </c>
      <c r="H921" t="s">
        <v>5841</v>
      </c>
      <c r="I921" s="1" t="s">
        <v>1457</v>
      </c>
      <c r="J921" t="s">
        <v>5842</v>
      </c>
      <c r="K921" s="25">
        <f>Tabelle5[[#This Row],[value_present]]*Tabelle5[[#This Row],[binding_level]]</f>
        <v>2</v>
      </c>
    </row>
    <row r="922" spans="1:11" x14ac:dyDescent="0.25">
      <c r="A922" s="24">
        <v>32</v>
      </c>
      <c r="B922" s="2">
        <v>189</v>
      </c>
      <c r="C922" s="2" t="s">
        <v>69</v>
      </c>
      <c r="D922" s="3">
        <v>1</v>
      </c>
      <c r="E922" s="1">
        <v>3</v>
      </c>
      <c r="F922" t="s">
        <v>5886</v>
      </c>
      <c r="G922" t="s">
        <v>5885</v>
      </c>
      <c r="H922" t="s">
        <v>5843</v>
      </c>
      <c r="I922" s="1" t="s">
        <v>1456</v>
      </c>
      <c r="J922" t="s">
        <v>5844</v>
      </c>
      <c r="K922" s="25">
        <f>Tabelle5[[#This Row],[value_present]]*Tabelle5[[#This Row],[binding_level]]</f>
        <v>3</v>
      </c>
    </row>
    <row r="923" spans="1:11" x14ac:dyDescent="0.25">
      <c r="A923" s="24">
        <v>32</v>
      </c>
      <c r="B923" s="2">
        <v>189</v>
      </c>
      <c r="C923" s="2" t="s">
        <v>76</v>
      </c>
      <c r="D923" s="3">
        <v>1</v>
      </c>
      <c r="E923" s="1">
        <v>3</v>
      </c>
      <c r="F923" t="s">
        <v>5890</v>
      </c>
      <c r="G923" t="s">
        <v>5889</v>
      </c>
      <c r="H923" t="s">
        <v>5845</v>
      </c>
      <c r="I923" s="1" t="s">
        <v>1456</v>
      </c>
      <c r="J923" t="s">
        <v>5846</v>
      </c>
      <c r="K923" s="25">
        <f>Tabelle5[[#This Row],[value_present]]*Tabelle5[[#This Row],[binding_level]]</f>
        <v>3</v>
      </c>
    </row>
    <row r="924" spans="1:11" x14ac:dyDescent="0.25">
      <c r="A924" s="24">
        <v>32</v>
      </c>
      <c r="B924" s="2">
        <v>189</v>
      </c>
      <c r="C924" s="2" t="s">
        <v>83</v>
      </c>
      <c r="D924" s="3">
        <v>1</v>
      </c>
      <c r="E924" s="1">
        <v>3</v>
      </c>
      <c r="F924" t="s">
        <v>5888</v>
      </c>
      <c r="G924" t="s">
        <v>5887</v>
      </c>
      <c r="H924" t="s">
        <v>5847</v>
      </c>
      <c r="I924" s="1" t="s">
        <v>1456</v>
      </c>
      <c r="J924" t="s">
        <v>5848</v>
      </c>
      <c r="K924" s="25">
        <f>Tabelle5[[#This Row],[value_present]]*Tabelle5[[#This Row],[binding_level]]</f>
        <v>3</v>
      </c>
    </row>
    <row r="925" spans="1:11" x14ac:dyDescent="0.25">
      <c r="A925" s="24">
        <v>32</v>
      </c>
      <c r="B925" s="2">
        <v>189</v>
      </c>
      <c r="C925" s="2" t="s">
        <v>90</v>
      </c>
      <c r="D925" s="3">
        <v>1</v>
      </c>
      <c r="E925" s="1">
        <v>3</v>
      </c>
      <c r="F925" t="s">
        <v>5892</v>
      </c>
      <c r="G925" t="s">
        <v>5891</v>
      </c>
      <c r="H925" t="s">
        <v>5849</v>
      </c>
      <c r="I925" s="1" t="s">
        <v>1456</v>
      </c>
      <c r="J925" t="s">
        <v>5850</v>
      </c>
      <c r="K925" s="25">
        <f>Tabelle5[[#This Row],[value_present]]*Tabelle5[[#This Row],[binding_level]]</f>
        <v>3</v>
      </c>
    </row>
    <row r="926" spans="1:11" x14ac:dyDescent="0.25">
      <c r="A926" s="24">
        <v>32</v>
      </c>
      <c r="B926" s="2">
        <v>189</v>
      </c>
      <c r="C926" s="2" t="s">
        <v>98</v>
      </c>
      <c r="D926" s="3">
        <v>0</v>
      </c>
      <c r="E926" s="1"/>
      <c r="I926" s="1" t="s">
        <v>1457</v>
      </c>
      <c r="J926" t="s">
        <v>5851</v>
      </c>
      <c r="K926" s="25">
        <f>Tabelle5[[#This Row],[value_present]]*Tabelle5[[#This Row],[binding_level]]</f>
        <v>0</v>
      </c>
    </row>
    <row r="927" spans="1:11" x14ac:dyDescent="0.25">
      <c r="A927" s="24">
        <v>32</v>
      </c>
      <c r="B927" s="2">
        <v>189</v>
      </c>
      <c r="C927" s="2" t="s">
        <v>106</v>
      </c>
      <c r="D927" s="3">
        <v>1</v>
      </c>
      <c r="E927" s="1">
        <v>2</v>
      </c>
      <c r="F927" t="s">
        <v>5867</v>
      </c>
      <c r="G927" t="s">
        <v>5868</v>
      </c>
      <c r="H927" t="s">
        <v>4072</v>
      </c>
      <c r="I927" s="1" t="s">
        <v>1457</v>
      </c>
      <c r="J927" t="s">
        <v>5852</v>
      </c>
      <c r="K927" s="25">
        <f>Tabelle5[[#This Row],[value_present]]*Tabelle5[[#This Row],[binding_level]]</f>
        <v>2</v>
      </c>
    </row>
    <row r="928" spans="1:11" x14ac:dyDescent="0.25">
      <c r="A928" s="24">
        <v>32</v>
      </c>
      <c r="B928" s="2">
        <v>189</v>
      </c>
      <c r="C928" s="2" t="s">
        <v>112</v>
      </c>
      <c r="D928" s="3">
        <v>1</v>
      </c>
      <c r="E928" s="1">
        <v>3</v>
      </c>
      <c r="F928" t="s">
        <v>5894</v>
      </c>
      <c r="G928" t="s">
        <v>5893</v>
      </c>
      <c r="H928" t="s">
        <v>5853</v>
      </c>
      <c r="I928" s="1" t="s">
        <v>1456</v>
      </c>
      <c r="J928" t="s">
        <v>5854</v>
      </c>
      <c r="K928" s="25">
        <f>Tabelle5[[#This Row],[value_present]]*Tabelle5[[#This Row],[binding_level]]</f>
        <v>3</v>
      </c>
    </row>
    <row r="929" spans="1:11" x14ac:dyDescent="0.25">
      <c r="A929" s="24">
        <v>32</v>
      </c>
      <c r="B929" s="2">
        <v>189</v>
      </c>
      <c r="C929" s="2" t="s">
        <v>118</v>
      </c>
      <c r="D929" s="3">
        <v>1</v>
      </c>
      <c r="E929" s="1">
        <v>3</v>
      </c>
      <c r="F929" t="s">
        <v>5869</v>
      </c>
      <c r="G929" t="s">
        <v>5870</v>
      </c>
      <c r="H929" t="s">
        <v>4029</v>
      </c>
      <c r="I929" s="1" t="s">
        <v>1457</v>
      </c>
      <c r="J929" t="s">
        <v>5855</v>
      </c>
      <c r="K929" s="25">
        <f>Tabelle5[[#This Row],[value_present]]*Tabelle5[[#This Row],[binding_level]]</f>
        <v>3</v>
      </c>
    </row>
    <row r="930" spans="1:11" x14ac:dyDescent="0.25">
      <c r="A930" s="24">
        <v>32</v>
      </c>
      <c r="B930" s="2">
        <v>189</v>
      </c>
      <c r="C930" s="2" t="s">
        <v>125</v>
      </c>
      <c r="D930" s="3">
        <v>1</v>
      </c>
      <c r="E930" s="1">
        <v>3</v>
      </c>
      <c r="F930" t="s">
        <v>5871</v>
      </c>
      <c r="G930" t="s">
        <v>5872</v>
      </c>
      <c r="H930" t="s">
        <v>5856</v>
      </c>
      <c r="I930" s="1" t="s">
        <v>1457</v>
      </c>
      <c r="J930" t="s">
        <v>5857</v>
      </c>
      <c r="K930" s="25">
        <f>Tabelle5[[#This Row],[value_present]]*Tabelle5[[#This Row],[binding_level]]</f>
        <v>3</v>
      </c>
    </row>
    <row r="931" spans="1:11" x14ac:dyDescent="0.25">
      <c r="A931" s="24">
        <v>32</v>
      </c>
      <c r="B931" s="2">
        <v>189</v>
      </c>
      <c r="C931" s="2" t="s">
        <v>132</v>
      </c>
      <c r="D931" s="3">
        <v>1</v>
      </c>
      <c r="E931" s="1">
        <v>2</v>
      </c>
      <c r="F931" t="s">
        <v>5873</v>
      </c>
      <c r="G931" t="s">
        <v>5874</v>
      </c>
      <c r="H931" t="s">
        <v>3442</v>
      </c>
      <c r="I931" s="1" t="s">
        <v>1457</v>
      </c>
      <c r="J931" t="s">
        <v>5858</v>
      </c>
      <c r="K931" s="25">
        <f>Tabelle5[[#This Row],[value_present]]*Tabelle5[[#This Row],[binding_level]]</f>
        <v>2</v>
      </c>
    </row>
    <row r="932" spans="1:11" x14ac:dyDescent="0.25">
      <c r="A932" s="24">
        <v>32</v>
      </c>
      <c r="B932" s="2">
        <v>189</v>
      </c>
      <c r="C932" s="2" t="s">
        <v>140</v>
      </c>
      <c r="D932" s="3">
        <v>1</v>
      </c>
      <c r="E932" s="1">
        <v>1</v>
      </c>
      <c r="F932" t="s">
        <v>5875</v>
      </c>
      <c r="G932" t="s">
        <v>5876</v>
      </c>
      <c r="H932" t="s">
        <v>5859</v>
      </c>
      <c r="I932" s="1" t="s">
        <v>1457</v>
      </c>
      <c r="J932" t="s">
        <v>5860</v>
      </c>
      <c r="K932" s="25">
        <f>Tabelle5[[#This Row],[value_present]]*Tabelle5[[#This Row],[binding_level]]</f>
        <v>1</v>
      </c>
    </row>
    <row r="933" spans="1:11" x14ac:dyDescent="0.25">
      <c r="A933" s="24">
        <v>32</v>
      </c>
      <c r="B933" s="2">
        <v>189</v>
      </c>
      <c r="C933" s="2" t="s">
        <v>147</v>
      </c>
      <c r="D933" s="3">
        <v>1</v>
      </c>
      <c r="E933" s="1">
        <v>3</v>
      </c>
      <c r="F933" t="s">
        <v>5896</v>
      </c>
      <c r="G933" t="s">
        <v>5895</v>
      </c>
      <c r="H933" t="s">
        <v>5849</v>
      </c>
      <c r="I933" s="1" t="s">
        <v>1456</v>
      </c>
      <c r="J933" t="s">
        <v>5861</v>
      </c>
      <c r="K933" s="25">
        <f>Tabelle5[[#This Row],[value_present]]*Tabelle5[[#This Row],[binding_level]]</f>
        <v>3</v>
      </c>
    </row>
    <row r="934" spans="1:11" x14ac:dyDescent="0.25">
      <c r="A934" s="24">
        <v>32</v>
      </c>
      <c r="B934" s="2">
        <v>189</v>
      </c>
      <c r="C934" s="2" t="s">
        <v>154</v>
      </c>
      <c r="D934" s="3">
        <v>1</v>
      </c>
      <c r="E934" s="1">
        <v>2</v>
      </c>
      <c r="F934" t="s">
        <v>5877</v>
      </c>
      <c r="G934" t="s">
        <v>5878</v>
      </c>
      <c r="H934" t="s">
        <v>3442</v>
      </c>
      <c r="I934" s="1" t="s">
        <v>1456</v>
      </c>
      <c r="J934" t="s">
        <v>5862</v>
      </c>
      <c r="K934" s="25">
        <f>Tabelle5[[#This Row],[value_present]]*Tabelle5[[#This Row],[binding_level]]</f>
        <v>2</v>
      </c>
    </row>
    <row r="935" spans="1:11" x14ac:dyDescent="0.25">
      <c r="A935" s="24">
        <v>32</v>
      </c>
      <c r="B935" s="2">
        <v>189</v>
      </c>
      <c r="C935" s="2" t="s">
        <v>161</v>
      </c>
      <c r="D935" s="3">
        <v>1</v>
      </c>
      <c r="E935" s="1">
        <v>3</v>
      </c>
      <c r="F935" t="s">
        <v>5898</v>
      </c>
      <c r="G935" t="s">
        <v>5897</v>
      </c>
      <c r="H935" t="s">
        <v>5863</v>
      </c>
      <c r="I935" s="1" t="s">
        <v>1456</v>
      </c>
      <c r="J935" t="s">
        <v>5864</v>
      </c>
      <c r="K935" s="25">
        <f>Tabelle5[[#This Row],[value_present]]*Tabelle5[[#This Row],[binding_level]]</f>
        <v>3</v>
      </c>
    </row>
    <row r="936" spans="1:11" x14ac:dyDescent="0.25">
      <c r="A936" s="24">
        <v>32</v>
      </c>
      <c r="B936" s="2">
        <v>189</v>
      </c>
      <c r="C936" s="2" t="s">
        <v>166</v>
      </c>
      <c r="D936" s="3">
        <v>0</v>
      </c>
      <c r="E936" s="1"/>
      <c r="I936" s="1" t="s">
        <v>1457</v>
      </c>
      <c r="J936" t="s">
        <v>5865</v>
      </c>
      <c r="K936" s="25">
        <f>Tabelle5[[#This Row],[value_present]]*Tabelle5[[#This Row],[binding_level]]</f>
        <v>0</v>
      </c>
    </row>
    <row r="937" spans="1:11" ht="15.75" thickBot="1" x14ac:dyDescent="0.3">
      <c r="A937" s="24">
        <v>32</v>
      </c>
      <c r="B937" s="2">
        <v>189</v>
      </c>
      <c r="C937" s="2" t="s">
        <v>174</v>
      </c>
      <c r="D937" s="3">
        <v>1</v>
      </c>
      <c r="E937" s="1">
        <v>1</v>
      </c>
      <c r="F937" t="s">
        <v>5879</v>
      </c>
      <c r="G937" t="s">
        <v>5880</v>
      </c>
      <c r="H937" t="s">
        <v>3216</v>
      </c>
      <c r="I937" s="1" t="s">
        <v>1456</v>
      </c>
      <c r="J937" t="s">
        <v>5866</v>
      </c>
      <c r="K937" s="25">
        <f>Tabelle5[[#This Row],[value_present]]*Tabelle5[[#This Row],[binding_level]]</f>
        <v>1</v>
      </c>
    </row>
    <row r="938" spans="1:11" x14ac:dyDescent="0.25">
      <c r="A938" s="18">
        <v>32</v>
      </c>
      <c r="B938" s="19">
        <v>190</v>
      </c>
      <c r="C938" s="19" t="s">
        <v>53</v>
      </c>
      <c r="D938" s="20">
        <v>0</v>
      </c>
      <c r="E938" s="21"/>
      <c r="F938" s="22"/>
      <c r="G938" s="22"/>
      <c r="H938" s="22"/>
      <c r="I938" s="21" t="s">
        <v>1457</v>
      </c>
      <c r="J938" s="22" t="s">
        <v>5931</v>
      </c>
      <c r="K938" s="23">
        <f>Tabelle5[[#This Row],[value_present]]*Tabelle5[[#This Row],[binding_level]]</f>
        <v>0</v>
      </c>
    </row>
    <row r="939" spans="1:11" x14ac:dyDescent="0.25">
      <c r="A939" s="24">
        <v>32</v>
      </c>
      <c r="B939" s="2">
        <v>190</v>
      </c>
      <c r="C939" s="2" t="s">
        <v>61</v>
      </c>
      <c r="D939" s="3">
        <v>1</v>
      </c>
      <c r="E939" s="1">
        <v>1</v>
      </c>
      <c r="F939" t="s">
        <v>5950</v>
      </c>
      <c r="G939" t="s">
        <v>5951</v>
      </c>
      <c r="H939" t="s">
        <v>5932</v>
      </c>
      <c r="I939" s="1" t="s">
        <v>1457</v>
      </c>
      <c r="J939" t="s">
        <v>5933</v>
      </c>
      <c r="K939" s="25">
        <f>Tabelle5[[#This Row],[value_present]]*Tabelle5[[#This Row],[binding_level]]</f>
        <v>1</v>
      </c>
    </row>
    <row r="940" spans="1:11" x14ac:dyDescent="0.25">
      <c r="A940" s="24">
        <v>32</v>
      </c>
      <c r="B940" s="2">
        <v>190</v>
      </c>
      <c r="C940" s="2" t="s">
        <v>69</v>
      </c>
      <c r="D940" s="3">
        <v>0</v>
      </c>
      <c r="E940" s="1"/>
      <c r="I940" s="1" t="s">
        <v>1457</v>
      </c>
      <c r="J940" t="s">
        <v>5934</v>
      </c>
      <c r="K940" s="25">
        <f>Tabelle5[[#This Row],[value_present]]*Tabelle5[[#This Row],[binding_level]]</f>
        <v>0</v>
      </c>
    </row>
    <row r="941" spans="1:11" x14ac:dyDescent="0.25">
      <c r="A941" s="24">
        <v>32</v>
      </c>
      <c r="B941" s="2">
        <v>190</v>
      </c>
      <c r="C941" s="2" t="s">
        <v>76</v>
      </c>
      <c r="D941" s="3">
        <v>0</v>
      </c>
      <c r="E941" s="1"/>
      <c r="I941" s="1" t="s">
        <v>1457</v>
      </c>
      <c r="J941" t="s">
        <v>5935</v>
      </c>
      <c r="K941" s="25">
        <f>Tabelle5[[#This Row],[value_present]]*Tabelle5[[#This Row],[binding_level]]</f>
        <v>0</v>
      </c>
    </row>
    <row r="942" spans="1:11" x14ac:dyDescent="0.25">
      <c r="A942" s="24">
        <v>32</v>
      </c>
      <c r="B942" s="2">
        <v>190</v>
      </c>
      <c r="C942" s="2" t="s">
        <v>83</v>
      </c>
      <c r="D942" s="3">
        <v>0</v>
      </c>
      <c r="E942" s="1"/>
      <c r="I942" s="1" t="s">
        <v>1457</v>
      </c>
      <c r="J942" t="s">
        <v>5936</v>
      </c>
      <c r="K942" s="25">
        <f>Tabelle5[[#This Row],[value_present]]*Tabelle5[[#This Row],[binding_level]]</f>
        <v>0</v>
      </c>
    </row>
    <row r="943" spans="1:11" x14ac:dyDescent="0.25">
      <c r="A943" s="24">
        <v>32</v>
      </c>
      <c r="B943" s="2">
        <v>190</v>
      </c>
      <c r="C943" s="2" t="s">
        <v>90</v>
      </c>
      <c r="D943" s="3">
        <v>0</v>
      </c>
      <c r="E943" s="1"/>
      <c r="I943" s="1" t="s">
        <v>1457</v>
      </c>
      <c r="J943" t="s">
        <v>5937</v>
      </c>
      <c r="K943" s="25">
        <f>Tabelle5[[#This Row],[value_present]]*Tabelle5[[#This Row],[binding_level]]</f>
        <v>0</v>
      </c>
    </row>
    <row r="944" spans="1:11" x14ac:dyDescent="0.25">
      <c r="A944" s="24">
        <v>32</v>
      </c>
      <c r="B944" s="2">
        <v>190</v>
      </c>
      <c r="C944" s="2" t="s">
        <v>98</v>
      </c>
      <c r="D944" s="3">
        <v>0</v>
      </c>
      <c r="E944" s="1"/>
      <c r="I944" s="1" t="s">
        <v>1457</v>
      </c>
      <c r="J944" t="s">
        <v>5938</v>
      </c>
      <c r="K944" s="25">
        <f>Tabelle5[[#This Row],[value_present]]*Tabelle5[[#This Row],[binding_level]]</f>
        <v>0</v>
      </c>
    </row>
    <row r="945" spans="1:11" x14ac:dyDescent="0.25">
      <c r="A945" s="24">
        <v>32</v>
      </c>
      <c r="B945" s="2">
        <v>190</v>
      </c>
      <c r="C945" s="2" t="s">
        <v>106</v>
      </c>
      <c r="D945" s="3">
        <v>0</v>
      </c>
      <c r="E945" s="1"/>
      <c r="I945" s="1" t="s">
        <v>1541</v>
      </c>
      <c r="J945" t="s">
        <v>5939</v>
      </c>
      <c r="K945" s="25">
        <f>Tabelle5[[#This Row],[value_present]]*Tabelle5[[#This Row],[binding_level]]</f>
        <v>0</v>
      </c>
    </row>
    <row r="946" spans="1:11" x14ac:dyDescent="0.25">
      <c r="A946" s="24">
        <v>32</v>
      </c>
      <c r="B946" s="2">
        <v>190</v>
      </c>
      <c r="C946" s="2" t="s">
        <v>112</v>
      </c>
      <c r="D946" s="3">
        <v>0</v>
      </c>
      <c r="E946" s="1"/>
      <c r="I946" s="1" t="s">
        <v>1457</v>
      </c>
      <c r="J946" t="s">
        <v>5940</v>
      </c>
      <c r="K946" s="25">
        <f>Tabelle5[[#This Row],[value_present]]*Tabelle5[[#This Row],[binding_level]]</f>
        <v>0</v>
      </c>
    </row>
    <row r="947" spans="1:11" x14ac:dyDescent="0.25">
      <c r="A947" s="24">
        <v>32</v>
      </c>
      <c r="B947" s="2">
        <v>190</v>
      </c>
      <c r="C947" s="2" t="s">
        <v>118</v>
      </c>
      <c r="D947" s="3">
        <v>0</v>
      </c>
      <c r="E947" s="1"/>
      <c r="I947" s="1" t="s">
        <v>1457</v>
      </c>
      <c r="J947" t="s">
        <v>5941</v>
      </c>
      <c r="K947" s="25">
        <f>Tabelle5[[#This Row],[value_present]]*Tabelle5[[#This Row],[binding_level]]</f>
        <v>0</v>
      </c>
    </row>
    <row r="948" spans="1:11" x14ac:dyDescent="0.25">
      <c r="A948" s="24">
        <v>32</v>
      </c>
      <c r="B948" s="2">
        <v>190</v>
      </c>
      <c r="C948" s="2" t="s">
        <v>125</v>
      </c>
      <c r="D948" s="3">
        <v>0</v>
      </c>
      <c r="E948" s="1"/>
      <c r="I948" s="1" t="s">
        <v>1457</v>
      </c>
      <c r="J948" t="s">
        <v>5942</v>
      </c>
      <c r="K948" s="25">
        <f>Tabelle5[[#This Row],[value_present]]*Tabelle5[[#This Row],[binding_level]]</f>
        <v>0</v>
      </c>
    </row>
    <row r="949" spans="1:11" x14ac:dyDescent="0.25">
      <c r="A949" s="24">
        <v>32</v>
      </c>
      <c r="B949" s="2">
        <v>190</v>
      </c>
      <c r="C949" s="2" t="s">
        <v>132</v>
      </c>
      <c r="D949" s="3">
        <v>0</v>
      </c>
      <c r="E949" s="1"/>
      <c r="I949" s="1" t="s">
        <v>1457</v>
      </c>
      <c r="J949" t="s">
        <v>5943</v>
      </c>
      <c r="K949" s="25">
        <f>Tabelle5[[#This Row],[value_present]]*Tabelle5[[#This Row],[binding_level]]</f>
        <v>0</v>
      </c>
    </row>
    <row r="950" spans="1:11" x14ac:dyDescent="0.25">
      <c r="A950" s="24">
        <v>32</v>
      </c>
      <c r="B950" s="2">
        <v>190</v>
      </c>
      <c r="C950" s="2" t="s">
        <v>140</v>
      </c>
      <c r="D950" s="3">
        <v>1</v>
      </c>
      <c r="E950" s="1">
        <v>1</v>
      </c>
      <c r="F950" t="s">
        <v>5952</v>
      </c>
      <c r="G950" t="s">
        <v>5953</v>
      </c>
      <c r="H950" t="s">
        <v>5932</v>
      </c>
      <c r="I950" s="1" t="s">
        <v>1456</v>
      </c>
      <c r="J950" t="s">
        <v>5944</v>
      </c>
      <c r="K950" s="25">
        <f>Tabelle5[[#This Row],[value_present]]*Tabelle5[[#This Row],[binding_level]]</f>
        <v>1</v>
      </c>
    </row>
    <row r="951" spans="1:11" x14ac:dyDescent="0.25">
      <c r="A951" s="24">
        <v>32</v>
      </c>
      <c r="B951" s="2">
        <v>190</v>
      </c>
      <c r="C951" s="2" t="s">
        <v>147</v>
      </c>
      <c r="D951" s="3">
        <v>1</v>
      </c>
      <c r="E951" s="1">
        <v>1</v>
      </c>
      <c r="F951" t="s">
        <v>5954</v>
      </c>
      <c r="G951" t="s">
        <v>5955</v>
      </c>
      <c r="H951" t="s">
        <v>5932</v>
      </c>
      <c r="I951" s="1" t="s">
        <v>1456</v>
      </c>
      <c r="J951" t="s">
        <v>5945</v>
      </c>
      <c r="K951" s="25">
        <f>Tabelle5[[#This Row],[value_present]]*Tabelle5[[#This Row],[binding_level]]</f>
        <v>1</v>
      </c>
    </row>
    <row r="952" spans="1:11" x14ac:dyDescent="0.25">
      <c r="A952" s="24">
        <v>32</v>
      </c>
      <c r="B952" s="2">
        <v>190</v>
      </c>
      <c r="C952" s="2" t="s">
        <v>154</v>
      </c>
      <c r="D952" s="3">
        <v>1</v>
      </c>
      <c r="E952" s="1">
        <v>1</v>
      </c>
      <c r="F952" t="s">
        <v>5956</v>
      </c>
      <c r="G952" t="s">
        <v>5957</v>
      </c>
      <c r="H952" t="s">
        <v>5932</v>
      </c>
      <c r="I952" s="1" t="s">
        <v>1456</v>
      </c>
      <c r="J952" t="s">
        <v>5946</v>
      </c>
      <c r="K952" s="25">
        <f>Tabelle5[[#This Row],[value_present]]*Tabelle5[[#This Row],[binding_level]]</f>
        <v>1</v>
      </c>
    </row>
    <row r="953" spans="1:11" x14ac:dyDescent="0.25">
      <c r="A953" s="24">
        <v>32</v>
      </c>
      <c r="B953" s="2">
        <v>190</v>
      </c>
      <c r="C953" s="2" t="s">
        <v>161</v>
      </c>
      <c r="D953" s="3">
        <v>0</v>
      </c>
      <c r="E953" s="1"/>
      <c r="I953" s="1" t="s">
        <v>1457</v>
      </c>
      <c r="J953" t="s">
        <v>5947</v>
      </c>
      <c r="K953" s="25">
        <f>Tabelle5[[#This Row],[value_present]]*Tabelle5[[#This Row],[binding_level]]</f>
        <v>0</v>
      </c>
    </row>
    <row r="954" spans="1:11" x14ac:dyDescent="0.25">
      <c r="A954" s="24">
        <v>32</v>
      </c>
      <c r="B954" s="2">
        <v>190</v>
      </c>
      <c r="C954" s="2" t="s">
        <v>166</v>
      </c>
      <c r="D954" s="3">
        <v>0</v>
      </c>
      <c r="E954" s="1"/>
      <c r="I954" s="1" t="s">
        <v>1457</v>
      </c>
      <c r="J954" t="s">
        <v>5948</v>
      </c>
      <c r="K954" s="25">
        <f>Tabelle5[[#This Row],[value_present]]*Tabelle5[[#This Row],[binding_level]]</f>
        <v>0</v>
      </c>
    </row>
    <row r="955" spans="1:11" ht="15.75" thickBot="1" x14ac:dyDescent="0.3">
      <c r="A955" s="26">
        <v>32</v>
      </c>
      <c r="B955" s="27">
        <v>190</v>
      </c>
      <c r="C955" s="27" t="s">
        <v>174</v>
      </c>
      <c r="D955" s="28">
        <v>0</v>
      </c>
      <c r="E955" s="29"/>
      <c r="F955" s="30"/>
      <c r="G955" s="30"/>
      <c r="H955" s="30"/>
      <c r="I955" s="29" t="s">
        <v>1541</v>
      </c>
      <c r="J955" s="30" t="s">
        <v>5949</v>
      </c>
      <c r="K955" s="31">
        <f>Tabelle5[[#This Row],[value_present]]*Tabelle5[[#This Row],[binding_level]]</f>
        <v>0</v>
      </c>
    </row>
    <row r="956" spans="1:11" x14ac:dyDescent="0.25">
      <c r="A956" s="18">
        <v>32</v>
      </c>
      <c r="B956" s="19">
        <v>194</v>
      </c>
      <c r="C956" s="19" t="s">
        <v>53</v>
      </c>
      <c r="D956" s="20">
        <v>1</v>
      </c>
      <c r="E956" s="21">
        <v>3</v>
      </c>
      <c r="F956" t="s">
        <v>5999</v>
      </c>
      <c r="G956" t="s">
        <v>6000</v>
      </c>
      <c r="H956" s="22" t="s">
        <v>4027</v>
      </c>
      <c r="I956" s="21" t="s">
        <v>1456</v>
      </c>
      <c r="J956" s="22" t="s">
        <v>5977</v>
      </c>
      <c r="K956" s="23">
        <f>Tabelle5[[#This Row],[value_present]]*Tabelle5[[#This Row],[binding_level]]</f>
        <v>3</v>
      </c>
    </row>
    <row r="957" spans="1:11" x14ac:dyDescent="0.25">
      <c r="A957" s="24">
        <v>32</v>
      </c>
      <c r="B957" s="2">
        <v>194</v>
      </c>
      <c r="C957" s="2" t="s">
        <v>61</v>
      </c>
      <c r="D957" s="3">
        <v>1</v>
      </c>
      <c r="E957" s="1">
        <v>3</v>
      </c>
      <c r="F957" t="s">
        <v>6012</v>
      </c>
      <c r="G957" t="s">
        <v>6011</v>
      </c>
      <c r="H957" t="s">
        <v>5978</v>
      </c>
      <c r="I957" s="1" t="s">
        <v>1456</v>
      </c>
      <c r="J957" t="s">
        <v>5979</v>
      </c>
      <c r="K957" s="25">
        <f>Tabelle5[[#This Row],[value_present]]*Tabelle5[[#This Row],[binding_level]]</f>
        <v>3</v>
      </c>
    </row>
    <row r="958" spans="1:11" x14ac:dyDescent="0.25">
      <c r="A958" s="24">
        <v>32</v>
      </c>
      <c r="B958" s="2">
        <v>194</v>
      </c>
      <c r="C958" s="2" t="s">
        <v>69</v>
      </c>
      <c r="D958" s="3">
        <v>1</v>
      </c>
      <c r="E958" s="1">
        <v>2</v>
      </c>
      <c r="F958" t="s">
        <v>6014</v>
      </c>
      <c r="G958" t="s">
        <v>6013</v>
      </c>
      <c r="H958" t="s">
        <v>5859</v>
      </c>
      <c r="I958" s="1" t="s">
        <v>1456</v>
      </c>
      <c r="J958" t="s">
        <v>5980</v>
      </c>
      <c r="K958" s="25">
        <f>Tabelle5[[#This Row],[value_present]]*Tabelle5[[#This Row],[binding_level]]</f>
        <v>2</v>
      </c>
    </row>
    <row r="959" spans="1:11" x14ac:dyDescent="0.25">
      <c r="A959" s="24">
        <v>32</v>
      </c>
      <c r="B959" s="2">
        <v>194</v>
      </c>
      <c r="C959" s="2" t="s">
        <v>76</v>
      </c>
      <c r="D959" s="3">
        <v>1</v>
      </c>
      <c r="E959" s="1">
        <v>1</v>
      </c>
      <c r="F959" t="s">
        <v>6001</v>
      </c>
      <c r="G959" t="s">
        <v>6002</v>
      </c>
      <c r="H959" t="s">
        <v>5859</v>
      </c>
      <c r="I959" s="1" t="s">
        <v>1457</v>
      </c>
      <c r="J959" t="s">
        <v>5981</v>
      </c>
      <c r="K959" s="25">
        <f>Tabelle5[[#This Row],[value_present]]*Tabelle5[[#This Row],[binding_level]]</f>
        <v>1</v>
      </c>
    </row>
    <row r="960" spans="1:11" x14ac:dyDescent="0.25">
      <c r="A960" s="24">
        <v>32</v>
      </c>
      <c r="B960" s="2">
        <v>194</v>
      </c>
      <c r="C960" s="2" t="s">
        <v>83</v>
      </c>
      <c r="D960" s="3">
        <v>1</v>
      </c>
      <c r="E960" s="1">
        <v>3</v>
      </c>
      <c r="F960" t="s">
        <v>6003</v>
      </c>
      <c r="G960" t="s">
        <v>6004</v>
      </c>
      <c r="H960" t="s">
        <v>3442</v>
      </c>
      <c r="I960" s="1" t="s">
        <v>1456</v>
      </c>
      <c r="J960" t="s">
        <v>5982</v>
      </c>
      <c r="K960" s="25">
        <f>Tabelle5[[#This Row],[value_present]]*Tabelle5[[#This Row],[binding_level]]</f>
        <v>3</v>
      </c>
    </row>
    <row r="961" spans="1:11" x14ac:dyDescent="0.25">
      <c r="A961" s="24">
        <v>32</v>
      </c>
      <c r="B961" s="2">
        <v>194</v>
      </c>
      <c r="C961" s="2" t="s">
        <v>90</v>
      </c>
      <c r="D961" s="3">
        <v>1</v>
      </c>
      <c r="E961" s="1">
        <v>2</v>
      </c>
      <c r="F961" t="s">
        <v>6016</v>
      </c>
      <c r="G961" t="s">
        <v>6015</v>
      </c>
      <c r="H961" t="s">
        <v>3258</v>
      </c>
      <c r="I961" s="1" t="s">
        <v>1456</v>
      </c>
      <c r="J961" t="s">
        <v>5983</v>
      </c>
      <c r="K961" s="25">
        <f>Tabelle5[[#This Row],[value_present]]*Tabelle5[[#This Row],[binding_level]]</f>
        <v>2</v>
      </c>
    </row>
    <row r="962" spans="1:11" x14ac:dyDescent="0.25">
      <c r="A962" s="24">
        <v>32</v>
      </c>
      <c r="B962" s="2">
        <v>194</v>
      </c>
      <c r="C962" s="2" t="s">
        <v>98</v>
      </c>
      <c r="D962" s="3">
        <v>1</v>
      </c>
      <c r="E962" s="1">
        <v>3</v>
      </c>
      <c r="F962" t="s">
        <v>6018</v>
      </c>
      <c r="G962" t="s">
        <v>6017</v>
      </c>
      <c r="H962" t="s">
        <v>1404</v>
      </c>
      <c r="I962" s="1" t="s">
        <v>1456</v>
      </c>
      <c r="J962" t="s">
        <v>5984</v>
      </c>
      <c r="K962" s="25">
        <f>Tabelle5[[#This Row],[value_present]]*Tabelle5[[#This Row],[binding_level]]</f>
        <v>3</v>
      </c>
    </row>
    <row r="963" spans="1:11" x14ac:dyDescent="0.25">
      <c r="A963" s="24">
        <v>32</v>
      </c>
      <c r="B963" s="2">
        <v>194</v>
      </c>
      <c r="C963" s="2" t="s">
        <v>106</v>
      </c>
      <c r="D963" s="3">
        <v>1</v>
      </c>
      <c r="E963" s="1">
        <v>3</v>
      </c>
      <c r="F963" t="s">
        <v>6020</v>
      </c>
      <c r="G963" t="s">
        <v>6019</v>
      </c>
      <c r="H963" t="s">
        <v>5985</v>
      </c>
      <c r="I963" s="1" t="s">
        <v>1456</v>
      </c>
      <c r="J963" t="s">
        <v>5986</v>
      </c>
      <c r="K963" s="25">
        <f>Tabelle5[[#This Row],[value_present]]*Tabelle5[[#This Row],[binding_level]]</f>
        <v>3</v>
      </c>
    </row>
    <row r="964" spans="1:11" x14ac:dyDescent="0.25">
      <c r="A964" s="24">
        <v>32</v>
      </c>
      <c r="B964" s="2">
        <v>194</v>
      </c>
      <c r="C964" s="2" t="s">
        <v>112</v>
      </c>
      <c r="D964" s="3">
        <v>1</v>
      </c>
      <c r="E964" s="1">
        <v>3</v>
      </c>
      <c r="F964" t="s">
        <v>6022</v>
      </c>
      <c r="G964" t="s">
        <v>6021</v>
      </c>
      <c r="H964" t="s">
        <v>1404</v>
      </c>
      <c r="I964" s="1" t="s">
        <v>1456</v>
      </c>
      <c r="J964" t="s">
        <v>5987</v>
      </c>
      <c r="K964" s="25">
        <f>Tabelle5[[#This Row],[value_present]]*Tabelle5[[#This Row],[binding_level]]</f>
        <v>3</v>
      </c>
    </row>
    <row r="965" spans="1:11" x14ac:dyDescent="0.25">
      <c r="A965" s="24">
        <v>32</v>
      </c>
      <c r="B965" s="2">
        <v>194</v>
      </c>
      <c r="C965" s="2" t="s">
        <v>118</v>
      </c>
      <c r="D965" s="3">
        <v>0</v>
      </c>
      <c r="E965" s="1"/>
      <c r="I965" s="1" t="s">
        <v>1457</v>
      </c>
      <c r="J965" t="s">
        <v>5988</v>
      </c>
      <c r="K965" s="25">
        <f>Tabelle5[[#This Row],[value_present]]*Tabelle5[[#This Row],[binding_level]]</f>
        <v>0</v>
      </c>
    </row>
    <row r="966" spans="1:11" x14ac:dyDescent="0.25">
      <c r="A966" s="24">
        <v>32</v>
      </c>
      <c r="B966" s="2">
        <v>194</v>
      </c>
      <c r="C966" s="2" t="s">
        <v>125</v>
      </c>
      <c r="D966" s="3">
        <v>0</v>
      </c>
      <c r="E966" s="1"/>
      <c r="I966" s="1" t="s">
        <v>1457</v>
      </c>
      <c r="J966" t="s">
        <v>5989</v>
      </c>
      <c r="K966" s="25">
        <f>Tabelle5[[#This Row],[value_present]]*Tabelle5[[#This Row],[binding_level]]</f>
        <v>0</v>
      </c>
    </row>
    <row r="967" spans="1:11" x14ac:dyDescent="0.25">
      <c r="A967" s="24">
        <v>32</v>
      </c>
      <c r="B967" s="2">
        <v>194</v>
      </c>
      <c r="C967" s="2" t="s">
        <v>132</v>
      </c>
      <c r="D967" s="3">
        <v>1</v>
      </c>
      <c r="E967" s="1">
        <v>2</v>
      </c>
      <c r="F967" t="s">
        <v>6005</v>
      </c>
      <c r="G967" t="s">
        <v>6006</v>
      </c>
      <c r="H967" t="s">
        <v>2833</v>
      </c>
      <c r="I967" s="1" t="s">
        <v>1456</v>
      </c>
      <c r="J967" t="s">
        <v>5990</v>
      </c>
      <c r="K967" s="25">
        <f>Tabelle5[[#This Row],[value_present]]*Tabelle5[[#This Row],[binding_level]]</f>
        <v>2</v>
      </c>
    </row>
    <row r="968" spans="1:11" x14ac:dyDescent="0.25">
      <c r="A968" s="24">
        <v>32</v>
      </c>
      <c r="B968" s="2">
        <v>194</v>
      </c>
      <c r="C968" s="2" t="s">
        <v>140</v>
      </c>
      <c r="D968" s="3">
        <v>1</v>
      </c>
      <c r="E968" s="1">
        <v>1</v>
      </c>
      <c r="F968" t="s">
        <v>6007</v>
      </c>
      <c r="G968" t="s">
        <v>6008</v>
      </c>
      <c r="H968" t="s">
        <v>3193</v>
      </c>
      <c r="I968" s="1" t="s">
        <v>1456</v>
      </c>
      <c r="J968" t="s">
        <v>5991</v>
      </c>
      <c r="K968" s="25">
        <f>Tabelle5[[#This Row],[value_present]]*Tabelle5[[#This Row],[binding_level]]</f>
        <v>1</v>
      </c>
    </row>
    <row r="969" spans="1:11" x14ac:dyDescent="0.25">
      <c r="A969" s="24">
        <v>32</v>
      </c>
      <c r="B969" s="2">
        <v>194</v>
      </c>
      <c r="C969" s="2" t="s">
        <v>147</v>
      </c>
      <c r="D969" s="3">
        <v>1</v>
      </c>
      <c r="E969" s="1">
        <v>2</v>
      </c>
      <c r="F969" t="s">
        <v>6024</v>
      </c>
      <c r="G969" t="s">
        <v>6023</v>
      </c>
      <c r="H969" t="s">
        <v>5992</v>
      </c>
      <c r="I969" s="1" t="s">
        <v>1456</v>
      </c>
      <c r="J969" t="s">
        <v>5993</v>
      </c>
      <c r="K969" s="25">
        <f>Tabelle5[[#This Row],[value_present]]*Tabelle5[[#This Row],[binding_level]]</f>
        <v>2</v>
      </c>
    </row>
    <row r="970" spans="1:11" x14ac:dyDescent="0.25">
      <c r="A970" s="24">
        <v>32</v>
      </c>
      <c r="B970" s="2">
        <v>194</v>
      </c>
      <c r="C970" s="2" t="s">
        <v>154</v>
      </c>
      <c r="D970" s="3">
        <v>1</v>
      </c>
      <c r="E970" s="1">
        <v>2</v>
      </c>
      <c r="F970" t="s">
        <v>6026</v>
      </c>
      <c r="G970" t="s">
        <v>6025</v>
      </c>
      <c r="H970" t="s">
        <v>5994</v>
      </c>
      <c r="I970" s="1" t="s">
        <v>1457</v>
      </c>
      <c r="J970" t="s">
        <v>5995</v>
      </c>
      <c r="K970" s="25">
        <f>Tabelle5[[#This Row],[value_present]]*Tabelle5[[#This Row],[binding_level]]</f>
        <v>2</v>
      </c>
    </row>
    <row r="971" spans="1:11" x14ac:dyDescent="0.25">
      <c r="A971" s="24">
        <v>32</v>
      </c>
      <c r="B971" s="2">
        <v>194</v>
      </c>
      <c r="C971" s="2" t="s">
        <v>161</v>
      </c>
      <c r="D971" s="3">
        <v>0</v>
      </c>
      <c r="E971" s="1"/>
      <c r="I971" s="1" t="s">
        <v>1457</v>
      </c>
      <c r="J971" t="s">
        <v>5996</v>
      </c>
      <c r="K971" s="25">
        <f>Tabelle5[[#This Row],[value_present]]*Tabelle5[[#This Row],[binding_level]]</f>
        <v>0</v>
      </c>
    </row>
    <row r="972" spans="1:11" x14ac:dyDescent="0.25">
      <c r="A972" s="24">
        <v>32</v>
      </c>
      <c r="B972" s="2">
        <v>194</v>
      </c>
      <c r="C972" s="2" t="s">
        <v>166</v>
      </c>
      <c r="D972" s="3">
        <v>0</v>
      </c>
      <c r="E972" s="1"/>
      <c r="I972" s="1" t="s">
        <v>1457</v>
      </c>
      <c r="J972" t="s">
        <v>5997</v>
      </c>
      <c r="K972" s="25">
        <f>Tabelle5[[#This Row],[value_present]]*Tabelle5[[#This Row],[binding_level]]</f>
        <v>0</v>
      </c>
    </row>
    <row r="973" spans="1:11" ht="15.75" thickBot="1" x14ac:dyDescent="0.3">
      <c r="A973" s="24">
        <v>32</v>
      </c>
      <c r="B973" s="2">
        <v>194</v>
      </c>
      <c r="C973" s="2" t="s">
        <v>174</v>
      </c>
      <c r="D973" s="3">
        <v>1</v>
      </c>
      <c r="E973" s="1">
        <v>3</v>
      </c>
      <c r="F973" s="30" t="s">
        <v>6009</v>
      </c>
      <c r="G973" s="30" t="s">
        <v>6010</v>
      </c>
      <c r="H973" t="s">
        <v>1400</v>
      </c>
      <c r="I973" s="1" t="s">
        <v>1456</v>
      </c>
      <c r="J973" t="s">
        <v>5998</v>
      </c>
      <c r="K973" s="25">
        <f>Tabelle5[[#This Row],[value_present]]*Tabelle5[[#This Row],[binding_level]]</f>
        <v>3</v>
      </c>
    </row>
    <row r="974" spans="1:11" x14ac:dyDescent="0.25">
      <c r="A974" s="18">
        <v>34</v>
      </c>
      <c r="B974" s="19">
        <v>201</v>
      </c>
      <c r="C974" s="19" t="s">
        <v>53</v>
      </c>
      <c r="D974" s="20">
        <v>1</v>
      </c>
      <c r="E974" s="21">
        <v>2</v>
      </c>
      <c r="F974" t="s">
        <v>6097</v>
      </c>
      <c r="G974" t="s">
        <v>6096</v>
      </c>
      <c r="H974" s="22" t="s">
        <v>6059</v>
      </c>
      <c r="I974" s="21" t="s">
        <v>1456</v>
      </c>
      <c r="J974" s="22" t="s">
        <v>6060</v>
      </c>
      <c r="K974" s="23">
        <f>Tabelle5[[#This Row],[value_present]]*Tabelle5[[#This Row],[binding_level]]</f>
        <v>2</v>
      </c>
    </row>
    <row r="975" spans="1:11" x14ac:dyDescent="0.25">
      <c r="A975" s="24">
        <v>34</v>
      </c>
      <c r="B975" s="2">
        <v>201</v>
      </c>
      <c r="C975" s="2" t="s">
        <v>61</v>
      </c>
      <c r="D975" s="3">
        <v>1</v>
      </c>
      <c r="E975" s="1">
        <v>2</v>
      </c>
      <c r="F975" t="s">
        <v>6098</v>
      </c>
      <c r="G975" t="s">
        <v>6100</v>
      </c>
      <c r="H975" t="s">
        <v>6059</v>
      </c>
      <c r="I975" s="1" t="s">
        <v>1457</v>
      </c>
      <c r="J975" t="s">
        <v>6061</v>
      </c>
      <c r="K975" s="25">
        <f>Tabelle5[[#This Row],[value_present]]*Tabelle5[[#This Row],[binding_level]]</f>
        <v>2</v>
      </c>
    </row>
    <row r="976" spans="1:11" x14ac:dyDescent="0.25">
      <c r="A976" s="24">
        <v>34</v>
      </c>
      <c r="B976" s="2">
        <v>201</v>
      </c>
      <c r="C976" s="2" t="s">
        <v>69</v>
      </c>
      <c r="D976" s="3">
        <v>1</v>
      </c>
      <c r="E976" s="1">
        <v>2</v>
      </c>
      <c r="F976" t="s">
        <v>6099</v>
      </c>
      <c r="G976" t="s">
        <v>6101</v>
      </c>
      <c r="H976" t="s">
        <v>6059</v>
      </c>
      <c r="I976" s="1" t="s">
        <v>1457</v>
      </c>
      <c r="J976" t="s">
        <v>6062</v>
      </c>
      <c r="K976" s="25">
        <f>Tabelle5[[#This Row],[value_present]]*Tabelle5[[#This Row],[binding_level]]</f>
        <v>2</v>
      </c>
    </row>
    <row r="977" spans="1:11" x14ac:dyDescent="0.25">
      <c r="A977" s="24">
        <v>34</v>
      </c>
      <c r="B977" s="2">
        <v>201</v>
      </c>
      <c r="C977" s="2" t="s">
        <v>76</v>
      </c>
      <c r="D977" s="3">
        <v>1</v>
      </c>
      <c r="E977" s="1">
        <v>1</v>
      </c>
      <c r="F977" t="s">
        <v>6082</v>
      </c>
      <c r="G977" t="s">
        <v>6083</v>
      </c>
      <c r="H977" t="s">
        <v>6063</v>
      </c>
      <c r="I977" s="1" t="s">
        <v>1457</v>
      </c>
      <c r="J977" t="s">
        <v>6064</v>
      </c>
      <c r="K977" s="25">
        <f>Tabelle5[[#This Row],[value_present]]*Tabelle5[[#This Row],[binding_level]]</f>
        <v>1</v>
      </c>
    </row>
    <row r="978" spans="1:11" x14ac:dyDescent="0.25">
      <c r="A978" s="24">
        <v>34</v>
      </c>
      <c r="B978" s="2">
        <v>201</v>
      </c>
      <c r="C978" s="2" t="s">
        <v>83</v>
      </c>
      <c r="D978" s="3">
        <v>1</v>
      </c>
      <c r="E978" s="1">
        <v>1</v>
      </c>
      <c r="F978" t="s">
        <v>6084</v>
      </c>
      <c r="G978" t="s">
        <v>6085</v>
      </c>
      <c r="H978" t="s">
        <v>6063</v>
      </c>
      <c r="I978" s="1" t="s">
        <v>1457</v>
      </c>
      <c r="J978" t="s">
        <v>6065</v>
      </c>
      <c r="K978" s="25">
        <f>Tabelle5[[#This Row],[value_present]]*Tabelle5[[#This Row],[binding_level]]</f>
        <v>1</v>
      </c>
    </row>
    <row r="979" spans="1:11" x14ac:dyDescent="0.25">
      <c r="A979" s="24">
        <v>34</v>
      </c>
      <c r="B979" s="2">
        <v>201</v>
      </c>
      <c r="C979" s="2" t="s">
        <v>90</v>
      </c>
      <c r="D979" s="3">
        <v>1</v>
      </c>
      <c r="E979" s="1">
        <v>3</v>
      </c>
      <c r="F979" t="s">
        <v>6103</v>
      </c>
      <c r="G979" t="s">
        <v>6102</v>
      </c>
      <c r="H979" t="s">
        <v>6066</v>
      </c>
      <c r="I979" s="1" t="s">
        <v>1456</v>
      </c>
      <c r="J979" t="s">
        <v>6067</v>
      </c>
      <c r="K979" s="25">
        <f>Tabelle5[[#This Row],[value_present]]*Tabelle5[[#This Row],[binding_level]]</f>
        <v>3</v>
      </c>
    </row>
    <row r="980" spans="1:11" x14ac:dyDescent="0.25">
      <c r="A980" s="24">
        <v>34</v>
      </c>
      <c r="B980" s="2">
        <v>201</v>
      </c>
      <c r="C980" s="2" t="s">
        <v>98</v>
      </c>
      <c r="D980" s="3">
        <v>1</v>
      </c>
      <c r="E980" s="1">
        <v>2</v>
      </c>
      <c r="F980" t="s">
        <v>6105</v>
      </c>
      <c r="G980" t="s">
        <v>6104</v>
      </c>
      <c r="H980" t="s">
        <v>6063</v>
      </c>
      <c r="I980" s="1" t="s">
        <v>1457</v>
      </c>
      <c r="J980" t="s">
        <v>6068</v>
      </c>
      <c r="K980" s="25">
        <f>Tabelle5[[#This Row],[value_present]]*Tabelle5[[#This Row],[binding_level]]</f>
        <v>2</v>
      </c>
    </row>
    <row r="981" spans="1:11" x14ac:dyDescent="0.25">
      <c r="A981" s="24">
        <v>34</v>
      </c>
      <c r="B981" s="2">
        <v>201</v>
      </c>
      <c r="C981" s="2" t="s">
        <v>106</v>
      </c>
      <c r="D981" s="3">
        <v>1</v>
      </c>
      <c r="E981" s="1">
        <v>1</v>
      </c>
      <c r="F981" t="s">
        <v>6086</v>
      </c>
      <c r="G981" t="s">
        <v>6087</v>
      </c>
      <c r="H981" t="s">
        <v>4614</v>
      </c>
      <c r="I981" s="1" t="s">
        <v>1457</v>
      </c>
      <c r="J981" t="s">
        <v>6069</v>
      </c>
      <c r="K981" s="25">
        <f>Tabelle5[[#This Row],[value_present]]*Tabelle5[[#This Row],[binding_level]]</f>
        <v>1</v>
      </c>
    </row>
    <row r="982" spans="1:11" x14ac:dyDescent="0.25">
      <c r="A982" s="24">
        <v>34</v>
      </c>
      <c r="B982" s="2">
        <v>201</v>
      </c>
      <c r="C982" s="2" t="s">
        <v>112</v>
      </c>
      <c r="D982" s="3">
        <v>1</v>
      </c>
      <c r="E982" s="1">
        <v>2</v>
      </c>
      <c r="F982" t="s">
        <v>6107</v>
      </c>
      <c r="G982" t="s">
        <v>6106</v>
      </c>
      <c r="H982" t="s">
        <v>6059</v>
      </c>
      <c r="I982" s="1" t="s">
        <v>1456</v>
      </c>
      <c r="J982" t="s">
        <v>6070</v>
      </c>
      <c r="K982" s="25">
        <f>Tabelle5[[#This Row],[value_present]]*Tabelle5[[#This Row],[binding_level]]</f>
        <v>2</v>
      </c>
    </row>
    <row r="983" spans="1:11" x14ac:dyDescent="0.25">
      <c r="A983" s="24">
        <v>34</v>
      </c>
      <c r="B983" s="2">
        <v>201</v>
      </c>
      <c r="C983" s="2" t="s">
        <v>118</v>
      </c>
      <c r="D983" s="3">
        <v>0</v>
      </c>
      <c r="E983" s="1"/>
      <c r="I983" s="1" t="s">
        <v>1457</v>
      </c>
      <c r="J983" t="s">
        <v>6071</v>
      </c>
      <c r="K983" s="25">
        <f>Tabelle5[[#This Row],[value_present]]*Tabelle5[[#This Row],[binding_level]]</f>
        <v>0</v>
      </c>
    </row>
    <row r="984" spans="1:11" x14ac:dyDescent="0.25">
      <c r="A984" s="24">
        <v>34</v>
      </c>
      <c r="B984" s="2">
        <v>201</v>
      </c>
      <c r="C984" s="2" t="s">
        <v>125</v>
      </c>
      <c r="D984" s="3">
        <v>1</v>
      </c>
      <c r="E984" s="1">
        <v>1</v>
      </c>
      <c r="F984" t="s">
        <v>6088</v>
      </c>
      <c r="G984" t="s">
        <v>6089</v>
      </c>
      <c r="H984" t="s">
        <v>6063</v>
      </c>
      <c r="I984" s="1" t="s">
        <v>1457</v>
      </c>
      <c r="J984" t="s">
        <v>6072</v>
      </c>
      <c r="K984" s="25">
        <f>Tabelle5[[#This Row],[value_present]]*Tabelle5[[#This Row],[binding_level]]</f>
        <v>1</v>
      </c>
    </row>
    <row r="985" spans="1:11" x14ac:dyDescent="0.25">
      <c r="A985" s="24">
        <v>34</v>
      </c>
      <c r="B985" s="2">
        <v>201</v>
      </c>
      <c r="C985" s="2" t="s">
        <v>132</v>
      </c>
      <c r="D985" s="3">
        <v>1</v>
      </c>
      <c r="E985" s="1">
        <v>1</v>
      </c>
      <c r="F985" t="s">
        <v>6090</v>
      </c>
      <c r="G985" t="s">
        <v>6091</v>
      </c>
      <c r="H985" t="s">
        <v>6063</v>
      </c>
      <c r="I985" s="1" t="s">
        <v>1457</v>
      </c>
      <c r="J985" t="s">
        <v>6073</v>
      </c>
      <c r="K985" s="25">
        <f>Tabelle5[[#This Row],[value_present]]*Tabelle5[[#This Row],[binding_level]]</f>
        <v>1</v>
      </c>
    </row>
    <row r="986" spans="1:11" x14ac:dyDescent="0.25">
      <c r="A986" s="24">
        <v>34</v>
      </c>
      <c r="B986" s="2">
        <v>201</v>
      </c>
      <c r="C986" s="2" t="s">
        <v>140</v>
      </c>
      <c r="D986" s="3">
        <v>1</v>
      </c>
      <c r="E986" s="1">
        <v>1</v>
      </c>
      <c r="F986" t="s">
        <v>6109</v>
      </c>
      <c r="G986" t="s">
        <v>6108</v>
      </c>
      <c r="H986" t="s">
        <v>6074</v>
      </c>
      <c r="I986" s="1" t="s">
        <v>1456</v>
      </c>
      <c r="J986" t="s">
        <v>6075</v>
      </c>
      <c r="K986" s="25">
        <f>Tabelle5[[#This Row],[value_present]]*Tabelle5[[#This Row],[binding_level]]</f>
        <v>1</v>
      </c>
    </row>
    <row r="987" spans="1:11" x14ac:dyDescent="0.25">
      <c r="A987" s="24">
        <v>34</v>
      </c>
      <c r="B987" s="2">
        <v>201</v>
      </c>
      <c r="C987" s="2" t="s">
        <v>147</v>
      </c>
      <c r="D987" s="3">
        <v>1</v>
      </c>
      <c r="E987" s="1">
        <v>2</v>
      </c>
      <c r="F987" t="s">
        <v>6111</v>
      </c>
      <c r="G987" t="s">
        <v>6110</v>
      </c>
      <c r="H987" t="s">
        <v>6076</v>
      </c>
      <c r="I987" s="1" t="s">
        <v>1456</v>
      </c>
      <c r="J987" t="s">
        <v>6077</v>
      </c>
      <c r="K987" s="25">
        <f>Tabelle5[[#This Row],[value_present]]*Tabelle5[[#This Row],[binding_level]]</f>
        <v>2</v>
      </c>
    </row>
    <row r="988" spans="1:11" x14ac:dyDescent="0.25">
      <c r="A988" s="24">
        <v>34</v>
      </c>
      <c r="B988" s="2">
        <v>201</v>
      </c>
      <c r="C988" s="2" t="s">
        <v>154</v>
      </c>
      <c r="D988" s="3">
        <v>1</v>
      </c>
      <c r="E988" s="1">
        <v>1</v>
      </c>
      <c r="F988" t="s">
        <v>6092</v>
      </c>
      <c r="G988" t="s">
        <v>6093</v>
      </c>
      <c r="H988" t="s">
        <v>6063</v>
      </c>
      <c r="I988" s="1" t="s">
        <v>1456</v>
      </c>
      <c r="J988" t="s">
        <v>6078</v>
      </c>
      <c r="K988" s="25">
        <f>Tabelle5[[#This Row],[value_present]]*Tabelle5[[#This Row],[binding_level]]</f>
        <v>1</v>
      </c>
    </row>
    <row r="989" spans="1:11" x14ac:dyDescent="0.25">
      <c r="A989" s="24">
        <v>34</v>
      </c>
      <c r="B989" s="2">
        <v>201</v>
      </c>
      <c r="C989" s="2" t="s">
        <v>161</v>
      </c>
      <c r="D989" s="3">
        <v>1</v>
      </c>
      <c r="E989" s="1">
        <v>1</v>
      </c>
      <c r="F989" t="s">
        <v>6094</v>
      </c>
      <c r="G989" t="s">
        <v>6095</v>
      </c>
      <c r="H989" t="s">
        <v>6063</v>
      </c>
      <c r="I989" s="1" t="s">
        <v>1457</v>
      </c>
      <c r="J989" t="s">
        <v>6079</v>
      </c>
      <c r="K989" s="25">
        <f>Tabelle5[[#This Row],[value_present]]*Tabelle5[[#This Row],[binding_level]]</f>
        <v>1</v>
      </c>
    </row>
    <row r="990" spans="1:11" x14ac:dyDescent="0.25">
      <c r="A990" s="24">
        <v>34</v>
      </c>
      <c r="B990" s="2">
        <v>201</v>
      </c>
      <c r="C990" s="2" t="s">
        <v>166</v>
      </c>
      <c r="D990" s="3">
        <v>0</v>
      </c>
      <c r="E990" s="1"/>
      <c r="I990" s="1" t="s">
        <v>1457</v>
      </c>
      <c r="J990" t="s">
        <v>6080</v>
      </c>
      <c r="K990" s="25">
        <f>Tabelle5[[#This Row],[value_present]]*Tabelle5[[#This Row],[binding_level]]</f>
        <v>0</v>
      </c>
    </row>
    <row r="991" spans="1:11" ht="15.75" thickBot="1" x14ac:dyDescent="0.3">
      <c r="A991" s="26">
        <v>34</v>
      </c>
      <c r="B991" s="27">
        <v>201</v>
      </c>
      <c r="C991" s="27" t="s">
        <v>174</v>
      </c>
      <c r="D991" s="28">
        <v>0</v>
      </c>
      <c r="E991" s="29"/>
      <c r="F991" s="30"/>
      <c r="G991" s="30"/>
      <c r="H991" s="30"/>
      <c r="I991" s="29" t="s">
        <v>1457</v>
      </c>
      <c r="J991" s="30" t="s">
        <v>6081</v>
      </c>
      <c r="K991" s="31">
        <f>Tabelle5[[#This Row],[value_present]]*Tabelle5[[#This Row],[binding_level]]</f>
        <v>0</v>
      </c>
    </row>
    <row r="992" spans="1:11" x14ac:dyDescent="0.25">
      <c r="A992" s="18">
        <v>36</v>
      </c>
      <c r="B992" s="19">
        <v>221</v>
      </c>
      <c r="C992" s="19" t="s">
        <v>53</v>
      </c>
      <c r="D992" s="20">
        <v>1</v>
      </c>
      <c r="E992" s="21">
        <v>1</v>
      </c>
      <c r="F992" t="s">
        <v>6168</v>
      </c>
      <c r="G992" t="s">
        <v>6169</v>
      </c>
      <c r="H992" s="22" t="s">
        <v>2833</v>
      </c>
      <c r="I992" s="21" t="s">
        <v>1457</v>
      </c>
      <c r="J992" s="22" t="s">
        <v>6144</v>
      </c>
      <c r="K992" s="23">
        <f>Tabelle5[[#This Row],[value_present]]*Tabelle5[[#This Row],[binding_level]]</f>
        <v>1</v>
      </c>
    </row>
    <row r="993" spans="1:11" x14ac:dyDescent="0.25">
      <c r="A993" s="24">
        <v>36</v>
      </c>
      <c r="B993" s="2">
        <v>221</v>
      </c>
      <c r="C993" s="2" t="s">
        <v>61</v>
      </c>
      <c r="D993" s="3">
        <v>1</v>
      </c>
      <c r="E993" s="1">
        <v>2</v>
      </c>
      <c r="F993" t="s">
        <v>6175</v>
      </c>
      <c r="G993" t="s">
        <v>6174</v>
      </c>
      <c r="H993" t="s">
        <v>3258</v>
      </c>
      <c r="I993" s="1" t="s">
        <v>1457</v>
      </c>
      <c r="J993" t="s">
        <v>6145</v>
      </c>
      <c r="K993" s="25">
        <f>Tabelle5[[#This Row],[value_present]]*Tabelle5[[#This Row],[binding_level]]</f>
        <v>2</v>
      </c>
    </row>
    <row r="994" spans="1:11" x14ac:dyDescent="0.25">
      <c r="A994" s="24">
        <v>36</v>
      </c>
      <c r="B994" s="2">
        <v>221</v>
      </c>
      <c r="C994" s="2" t="s">
        <v>69</v>
      </c>
      <c r="D994" s="3">
        <v>1</v>
      </c>
      <c r="E994" s="1">
        <v>1</v>
      </c>
      <c r="F994" t="s">
        <v>6177</v>
      </c>
      <c r="G994" t="s">
        <v>6176</v>
      </c>
      <c r="H994" t="s">
        <v>2833</v>
      </c>
      <c r="I994" s="1" t="s">
        <v>1456</v>
      </c>
      <c r="J994" t="s">
        <v>6146</v>
      </c>
      <c r="K994" s="25">
        <f>Tabelle5[[#This Row],[value_present]]*Tabelle5[[#This Row],[binding_level]]</f>
        <v>1</v>
      </c>
    </row>
    <row r="995" spans="1:11" x14ac:dyDescent="0.25">
      <c r="A995" s="24">
        <v>36</v>
      </c>
      <c r="B995" s="2">
        <v>221</v>
      </c>
      <c r="C995" s="2" t="s">
        <v>76</v>
      </c>
      <c r="D995" s="3">
        <v>0</v>
      </c>
      <c r="E995" s="1"/>
      <c r="I995" s="1" t="s">
        <v>1457</v>
      </c>
      <c r="J995" t="s">
        <v>6147</v>
      </c>
      <c r="K995" s="25">
        <f>Tabelle5[[#This Row],[value_present]]*Tabelle5[[#This Row],[binding_level]]</f>
        <v>0</v>
      </c>
    </row>
    <row r="996" spans="1:11" x14ac:dyDescent="0.25">
      <c r="A996" s="24">
        <v>36</v>
      </c>
      <c r="B996" s="2">
        <v>221</v>
      </c>
      <c r="C996" s="2" t="s">
        <v>83</v>
      </c>
      <c r="D996" s="3">
        <v>0</v>
      </c>
      <c r="E996" s="1"/>
      <c r="I996" s="1" t="s">
        <v>1541</v>
      </c>
      <c r="J996" t="s">
        <v>6148</v>
      </c>
      <c r="K996" s="25">
        <f>Tabelle5[[#This Row],[value_present]]*Tabelle5[[#This Row],[binding_level]]</f>
        <v>0</v>
      </c>
    </row>
    <row r="997" spans="1:11" x14ac:dyDescent="0.25">
      <c r="A997" s="24">
        <v>36</v>
      </c>
      <c r="B997" s="2">
        <v>221</v>
      </c>
      <c r="C997" s="2" t="s">
        <v>90</v>
      </c>
      <c r="D997" s="3">
        <v>1</v>
      </c>
      <c r="E997" s="1">
        <v>3</v>
      </c>
      <c r="F997" t="s">
        <v>6179</v>
      </c>
      <c r="G997" t="s">
        <v>6178</v>
      </c>
      <c r="H997" t="s">
        <v>6164</v>
      </c>
      <c r="I997" s="1" t="s">
        <v>1456</v>
      </c>
      <c r="J997" t="s">
        <v>6149</v>
      </c>
      <c r="K997" s="25">
        <f>Tabelle5[[#This Row],[value_present]]*Tabelle5[[#This Row],[binding_level]]</f>
        <v>3</v>
      </c>
    </row>
    <row r="998" spans="1:11" x14ac:dyDescent="0.25">
      <c r="A998" s="24">
        <v>36</v>
      </c>
      <c r="B998" s="2">
        <v>221</v>
      </c>
      <c r="C998" s="2" t="s">
        <v>98</v>
      </c>
      <c r="D998" s="3">
        <v>1</v>
      </c>
      <c r="E998" s="1">
        <v>3</v>
      </c>
      <c r="F998" t="s">
        <v>6181</v>
      </c>
      <c r="G998" t="s">
        <v>6180</v>
      </c>
      <c r="H998" t="s">
        <v>6165</v>
      </c>
      <c r="I998" s="1" t="s">
        <v>1457</v>
      </c>
      <c r="J998" t="s">
        <v>6150</v>
      </c>
      <c r="K998" s="25">
        <f>Tabelle5[[#This Row],[value_present]]*Tabelle5[[#This Row],[binding_level]]</f>
        <v>3</v>
      </c>
    </row>
    <row r="999" spans="1:11" x14ac:dyDescent="0.25">
      <c r="A999" s="24">
        <v>36</v>
      </c>
      <c r="B999" s="2">
        <v>221</v>
      </c>
      <c r="C999" s="2" t="s">
        <v>106</v>
      </c>
      <c r="D999" s="3">
        <v>1</v>
      </c>
      <c r="E999" s="1">
        <v>3</v>
      </c>
      <c r="F999" t="s">
        <v>6170</v>
      </c>
      <c r="G999" t="s">
        <v>6171</v>
      </c>
      <c r="H999" t="s">
        <v>1404</v>
      </c>
      <c r="I999" s="1" t="s">
        <v>1456</v>
      </c>
      <c r="J999" t="s">
        <v>6151</v>
      </c>
      <c r="K999" s="25">
        <f>Tabelle5[[#This Row],[value_present]]*Tabelle5[[#This Row],[binding_level]]</f>
        <v>3</v>
      </c>
    </row>
    <row r="1000" spans="1:11" x14ac:dyDescent="0.25">
      <c r="A1000" s="24">
        <v>36</v>
      </c>
      <c r="B1000" s="2">
        <v>221</v>
      </c>
      <c r="C1000" s="2" t="s">
        <v>112</v>
      </c>
      <c r="D1000" s="3">
        <v>1</v>
      </c>
      <c r="E1000" s="1">
        <v>3</v>
      </c>
      <c r="F1000" t="s">
        <v>6183</v>
      </c>
      <c r="G1000" t="s">
        <v>6182</v>
      </c>
      <c r="H1000" t="s">
        <v>6152</v>
      </c>
      <c r="I1000" s="1" t="s">
        <v>1456</v>
      </c>
      <c r="J1000" t="s">
        <v>6153</v>
      </c>
      <c r="K1000" s="25">
        <f>Tabelle5[[#This Row],[value_present]]*Tabelle5[[#This Row],[binding_level]]</f>
        <v>3</v>
      </c>
    </row>
    <row r="1001" spans="1:11" x14ac:dyDescent="0.25">
      <c r="A1001" s="24">
        <v>36</v>
      </c>
      <c r="B1001" s="2">
        <v>221</v>
      </c>
      <c r="C1001" s="2" t="s">
        <v>118</v>
      </c>
      <c r="D1001" s="3">
        <v>0</v>
      </c>
      <c r="E1001" s="1"/>
      <c r="I1001" s="1" t="s">
        <v>1457</v>
      </c>
      <c r="J1001" t="s">
        <v>6154</v>
      </c>
      <c r="K1001" s="25">
        <f>Tabelle5[[#This Row],[value_present]]*Tabelle5[[#This Row],[binding_level]]</f>
        <v>0</v>
      </c>
    </row>
    <row r="1002" spans="1:11" x14ac:dyDescent="0.25">
      <c r="A1002" s="24">
        <v>36</v>
      </c>
      <c r="B1002" s="2">
        <v>221</v>
      </c>
      <c r="C1002" s="2" t="s">
        <v>125</v>
      </c>
      <c r="D1002" s="3">
        <v>1</v>
      </c>
      <c r="E1002" s="1">
        <v>1</v>
      </c>
      <c r="F1002" t="s">
        <v>6172</v>
      </c>
      <c r="G1002" t="s">
        <v>6173</v>
      </c>
      <c r="H1002" t="s">
        <v>2833</v>
      </c>
      <c r="I1002" s="1" t="s">
        <v>1541</v>
      </c>
      <c r="J1002" t="s">
        <v>6155</v>
      </c>
      <c r="K1002" s="25">
        <f>Tabelle5[[#This Row],[value_present]]*Tabelle5[[#This Row],[binding_level]]</f>
        <v>1</v>
      </c>
    </row>
    <row r="1003" spans="1:11" x14ac:dyDescent="0.25">
      <c r="A1003" s="24">
        <v>36</v>
      </c>
      <c r="B1003" s="2">
        <v>221</v>
      </c>
      <c r="C1003" s="2" t="s">
        <v>132</v>
      </c>
      <c r="D1003" s="3">
        <v>0</v>
      </c>
      <c r="E1003" s="1"/>
      <c r="I1003" s="1" t="s">
        <v>1541</v>
      </c>
      <c r="J1003" t="s">
        <v>6156</v>
      </c>
      <c r="K1003" s="25">
        <f>Tabelle5[[#This Row],[value_present]]*Tabelle5[[#This Row],[binding_level]]</f>
        <v>0</v>
      </c>
    </row>
    <row r="1004" spans="1:11" x14ac:dyDescent="0.25">
      <c r="A1004" s="24">
        <v>36</v>
      </c>
      <c r="B1004" s="2">
        <v>221</v>
      </c>
      <c r="C1004" s="2" t="s">
        <v>140</v>
      </c>
      <c r="D1004" s="3">
        <v>1</v>
      </c>
      <c r="E1004" s="1">
        <v>1</v>
      </c>
      <c r="F1004" t="s">
        <v>6185</v>
      </c>
      <c r="G1004" t="s">
        <v>6184</v>
      </c>
      <c r="H1004" t="s">
        <v>5899</v>
      </c>
      <c r="I1004" s="1" t="s">
        <v>1456</v>
      </c>
      <c r="J1004" t="s">
        <v>6157</v>
      </c>
      <c r="K1004" s="25">
        <f>Tabelle5[[#This Row],[value_present]]*Tabelle5[[#This Row],[binding_level]]</f>
        <v>1</v>
      </c>
    </row>
    <row r="1005" spans="1:11" x14ac:dyDescent="0.25">
      <c r="A1005" s="24">
        <v>36</v>
      </c>
      <c r="B1005" s="2">
        <v>221</v>
      </c>
      <c r="C1005" s="2" t="s">
        <v>147</v>
      </c>
      <c r="D1005" s="3">
        <v>1</v>
      </c>
      <c r="E1005" s="1">
        <v>3</v>
      </c>
      <c r="F1005" t="s">
        <v>6187</v>
      </c>
      <c r="G1005" t="s">
        <v>6186</v>
      </c>
      <c r="H1005" t="s">
        <v>6158</v>
      </c>
      <c r="I1005" s="1" t="s">
        <v>1456</v>
      </c>
      <c r="J1005" t="s">
        <v>6159</v>
      </c>
      <c r="K1005" s="25">
        <f>Tabelle5[[#This Row],[value_present]]*Tabelle5[[#This Row],[binding_level]]</f>
        <v>3</v>
      </c>
    </row>
    <row r="1006" spans="1:11" x14ac:dyDescent="0.25">
      <c r="A1006" s="24">
        <v>36</v>
      </c>
      <c r="B1006" s="2">
        <v>221</v>
      </c>
      <c r="C1006" s="2" t="s">
        <v>154</v>
      </c>
      <c r="D1006" s="3">
        <v>1</v>
      </c>
      <c r="E1006" s="1">
        <v>2</v>
      </c>
      <c r="F1006" t="s">
        <v>6189</v>
      </c>
      <c r="G1006" t="s">
        <v>6188</v>
      </c>
      <c r="H1006" t="s">
        <v>6166</v>
      </c>
      <c r="I1006" s="1" t="s">
        <v>1456</v>
      </c>
      <c r="J1006" t="s">
        <v>6160</v>
      </c>
      <c r="K1006" s="25">
        <f>Tabelle5[[#This Row],[value_present]]*Tabelle5[[#This Row],[binding_level]]</f>
        <v>2</v>
      </c>
    </row>
    <row r="1007" spans="1:11" x14ac:dyDescent="0.25">
      <c r="A1007" s="24">
        <v>36</v>
      </c>
      <c r="B1007" s="2">
        <v>221</v>
      </c>
      <c r="C1007" s="2" t="s">
        <v>161</v>
      </c>
      <c r="D1007" s="3">
        <v>1</v>
      </c>
      <c r="E1007" s="1">
        <v>3</v>
      </c>
      <c r="F1007" t="s">
        <v>6191</v>
      </c>
      <c r="G1007" t="s">
        <v>6190</v>
      </c>
      <c r="H1007" t="s">
        <v>6167</v>
      </c>
      <c r="I1007" s="1" t="s">
        <v>1456</v>
      </c>
      <c r="J1007" t="s">
        <v>6161</v>
      </c>
      <c r="K1007" s="25">
        <f>Tabelle5[[#This Row],[value_present]]*Tabelle5[[#This Row],[binding_level]]</f>
        <v>3</v>
      </c>
    </row>
    <row r="1008" spans="1:11" x14ac:dyDescent="0.25">
      <c r="A1008" s="24">
        <v>36</v>
      </c>
      <c r="B1008" s="2">
        <v>221</v>
      </c>
      <c r="C1008" s="2" t="s">
        <v>166</v>
      </c>
      <c r="D1008" s="3">
        <v>0</v>
      </c>
      <c r="E1008" s="1"/>
      <c r="I1008" s="1" t="s">
        <v>1457</v>
      </c>
      <c r="J1008" t="s">
        <v>6162</v>
      </c>
      <c r="K1008" s="25">
        <f>Tabelle5[[#This Row],[value_present]]*Tabelle5[[#This Row],[binding_level]]</f>
        <v>0</v>
      </c>
    </row>
    <row r="1009" spans="1:11" ht="15.75" thickBot="1" x14ac:dyDescent="0.3">
      <c r="A1009" s="26">
        <v>36</v>
      </c>
      <c r="B1009" s="27">
        <v>221</v>
      </c>
      <c r="C1009" s="27" t="s">
        <v>174</v>
      </c>
      <c r="D1009" s="28">
        <v>0</v>
      </c>
      <c r="E1009" s="29"/>
      <c r="F1009" s="30"/>
      <c r="G1009" s="30"/>
      <c r="H1009" s="30"/>
      <c r="I1009" s="29" t="s">
        <v>1541</v>
      </c>
      <c r="J1009" s="30" t="s">
        <v>6163</v>
      </c>
      <c r="K1009" s="31">
        <f>Tabelle5[[#This Row],[value_present]]*Tabelle5[[#This Row],[binding_level]]</f>
        <v>0</v>
      </c>
    </row>
    <row r="1010" spans="1:11" x14ac:dyDescent="0.25">
      <c r="A1010" s="18">
        <v>38</v>
      </c>
      <c r="B1010" s="19">
        <v>227</v>
      </c>
      <c r="C1010" s="19" t="s">
        <v>53</v>
      </c>
      <c r="D1010" s="20">
        <v>1</v>
      </c>
      <c r="E1010" s="21">
        <v>1</v>
      </c>
      <c r="F1010" t="s">
        <v>6240</v>
      </c>
      <c r="G1010" t="s">
        <v>6241</v>
      </c>
      <c r="H1010" s="22" t="s">
        <v>6221</v>
      </c>
      <c r="I1010" s="21" t="s">
        <v>1456</v>
      </c>
      <c r="J1010" s="22" t="s">
        <v>6222</v>
      </c>
      <c r="K1010" s="23">
        <f>Tabelle5[[#This Row],[value_present]]*Tabelle5[[#This Row],[binding_level]]</f>
        <v>1</v>
      </c>
    </row>
    <row r="1011" spans="1:11" x14ac:dyDescent="0.25">
      <c r="A1011" s="24">
        <v>38</v>
      </c>
      <c r="B1011" s="2">
        <v>227</v>
      </c>
      <c r="C1011" s="2" t="s">
        <v>61</v>
      </c>
      <c r="D1011" s="3">
        <v>1</v>
      </c>
      <c r="E1011" s="1">
        <v>1</v>
      </c>
      <c r="F1011" t="s">
        <v>6240</v>
      </c>
      <c r="G1011" t="s">
        <v>6241</v>
      </c>
      <c r="H1011" t="s">
        <v>6221</v>
      </c>
      <c r="I1011" s="1" t="s">
        <v>1457</v>
      </c>
      <c r="J1011" t="s">
        <v>6223</v>
      </c>
      <c r="K1011" s="25">
        <f>Tabelle5[[#This Row],[value_present]]*Tabelle5[[#This Row],[binding_level]]</f>
        <v>1</v>
      </c>
    </row>
    <row r="1012" spans="1:11" x14ac:dyDescent="0.25">
      <c r="A1012" s="24">
        <v>38</v>
      </c>
      <c r="B1012" s="2">
        <v>227</v>
      </c>
      <c r="C1012" s="2" t="s">
        <v>69</v>
      </c>
      <c r="D1012" s="3">
        <v>1</v>
      </c>
      <c r="E1012" s="1">
        <v>1</v>
      </c>
      <c r="F1012" t="s">
        <v>6242</v>
      </c>
      <c r="G1012" t="s">
        <v>6243</v>
      </c>
      <c r="H1012" t="s">
        <v>6221</v>
      </c>
      <c r="I1012" s="1" t="s">
        <v>1456</v>
      </c>
      <c r="J1012" t="s">
        <v>6224</v>
      </c>
      <c r="K1012" s="25">
        <f>Tabelle5[[#This Row],[value_present]]*Tabelle5[[#This Row],[binding_level]]</f>
        <v>1</v>
      </c>
    </row>
    <row r="1013" spans="1:11" x14ac:dyDescent="0.25">
      <c r="A1013" s="24">
        <v>38</v>
      </c>
      <c r="B1013" s="2">
        <v>227</v>
      </c>
      <c r="C1013" s="2" t="s">
        <v>76</v>
      </c>
      <c r="D1013" s="3">
        <v>0</v>
      </c>
      <c r="E1013" s="1"/>
      <c r="I1013" s="1" t="s">
        <v>1457</v>
      </c>
      <c r="J1013" t="s">
        <v>6225</v>
      </c>
      <c r="K1013" s="25">
        <f>Tabelle5[[#This Row],[value_present]]*Tabelle5[[#This Row],[binding_level]]</f>
        <v>0</v>
      </c>
    </row>
    <row r="1014" spans="1:11" x14ac:dyDescent="0.25">
      <c r="A1014" s="24">
        <v>38</v>
      </c>
      <c r="B1014" s="2">
        <v>227</v>
      </c>
      <c r="C1014" s="2" t="s">
        <v>83</v>
      </c>
      <c r="D1014" s="3">
        <v>1</v>
      </c>
      <c r="E1014" s="1">
        <v>1</v>
      </c>
      <c r="F1014" t="s">
        <v>6244</v>
      </c>
      <c r="G1014" t="s">
        <v>6245</v>
      </c>
      <c r="H1014" t="s">
        <v>6221</v>
      </c>
      <c r="I1014" s="1" t="s">
        <v>1456</v>
      </c>
      <c r="J1014" t="s">
        <v>6226</v>
      </c>
      <c r="K1014" s="25">
        <f>Tabelle5[[#This Row],[value_present]]*Tabelle5[[#This Row],[binding_level]]</f>
        <v>1</v>
      </c>
    </row>
    <row r="1015" spans="1:11" x14ac:dyDescent="0.25">
      <c r="A1015" s="24">
        <v>38</v>
      </c>
      <c r="B1015" s="2">
        <v>227</v>
      </c>
      <c r="C1015" s="2" t="s">
        <v>90</v>
      </c>
      <c r="D1015" s="3">
        <v>1</v>
      </c>
      <c r="E1015" s="1">
        <v>1</v>
      </c>
      <c r="F1015" t="s">
        <v>6246</v>
      </c>
      <c r="G1015" t="s">
        <v>6247</v>
      </c>
      <c r="H1015" t="s">
        <v>6221</v>
      </c>
      <c r="I1015" s="1" t="s">
        <v>1456</v>
      </c>
      <c r="J1015" t="s">
        <v>6227</v>
      </c>
      <c r="K1015" s="25">
        <f>Tabelle5[[#This Row],[value_present]]*Tabelle5[[#This Row],[binding_level]]</f>
        <v>1</v>
      </c>
    </row>
    <row r="1016" spans="1:11" x14ac:dyDescent="0.25">
      <c r="A1016" s="24">
        <v>38</v>
      </c>
      <c r="B1016" s="2">
        <v>227</v>
      </c>
      <c r="C1016" s="2" t="s">
        <v>98</v>
      </c>
      <c r="D1016" s="3">
        <v>0</v>
      </c>
      <c r="E1016" s="1"/>
      <c r="I1016" s="1" t="s">
        <v>1457</v>
      </c>
      <c r="J1016" t="s">
        <v>6228</v>
      </c>
      <c r="K1016" s="25">
        <f>Tabelle5[[#This Row],[value_present]]*Tabelle5[[#This Row],[binding_level]]</f>
        <v>0</v>
      </c>
    </row>
    <row r="1017" spans="1:11" x14ac:dyDescent="0.25">
      <c r="A1017" s="24">
        <v>38</v>
      </c>
      <c r="B1017" s="2">
        <v>227</v>
      </c>
      <c r="C1017" s="2" t="s">
        <v>106</v>
      </c>
      <c r="D1017" s="3">
        <v>1</v>
      </c>
      <c r="E1017" s="1">
        <v>1</v>
      </c>
      <c r="F1017" t="s">
        <v>6248</v>
      </c>
      <c r="G1017" t="s">
        <v>6249</v>
      </c>
      <c r="H1017" t="s">
        <v>6221</v>
      </c>
      <c r="I1017" s="1" t="s">
        <v>1456</v>
      </c>
      <c r="J1017" t="s">
        <v>6229</v>
      </c>
      <c r="K1017" s="25">
        <f>Tabelle5[[#This Row],[value_present]]*Tabelle5[[#This Row],[binding_level]]</f>
        <v>1</v>
      </c>
    </row>
    <row r="1018" spans="1:11" x14ac:dyDescent="0.25">
      <c r="A1018" s="24">
        <v>38</v>
      </c>
      <c r="B1018" s="2">
        <v>227</v>
      </c>
      <c r="C1018" s="2" t="s">
        <v>112</v>
      </c>
      <c r="D1018" s="3">
        <v>1</v>
      </c>
      <c r="E1018" s="1">
        <v>1</v>
      </c>
      <c r="F1018" t="s">
        <v>6248</v>
      </c>
      <c r="G1018" t="s">
        <v>6249</v>
      </c>
      <c r="H1018" t="s">
        <v>6221</v>
      </c>
      <c r="I1018" s="1" t="s">
        <v>1456</v>
      </c>
      <c r="J1018" t="s">
        <v>6230</v>
      </c>
      <c r="K1018" s="25">
        <f>Tabelle5[[#This Row],[value_present]]*Tabelle5[[#This Row],[binding_level]]</f>
        <v>1</v>
      </c>
    </row>
    <row r="1019" spans="1:11" x14ac:dyDescent="0.25">
      <c r="A1019" s="24">
        <v>38</v>
      </c>
      <c r="B1019" s="2">
        <v>227</v>
      </c>
      <c r="C1019" s="2" t="s">
        <v>118</v>
      </c>
      <c r="D1019" s="3">
        <v>0</v>
      </c>
      <c r="E1019" s="1"/>
      <c r="I1019" s="1" t="s">
        <v>1457</v>
      </c>
      <c r="J1019" t="s">
        <v>6231</v>
      </c>
      <c r="K1019" s="25">
        <f>Tabelle5[[#This Row],[value_present]]*Tabelle5[[#This Row],[binding_level]]</f>
        <v>0</v>
      </c>
    </row>
    <row r="1020" spans="1:11" x14ac:dyDescent="0.25">
      <c r="A1020" s="24">
        <v>38</v>
      </c>
      <c r="B1020" s="2">
        <v>227</v>
      </c>
      <c r="C1020" s="2" t="s">
        <v>125</v>
      </c>
      <c r="D1020" s="3">
        <v>0</v>
      </c>
      <c r="E1020" s="1"/>
      <c r="I1020" s="1" t="s">
        <v>1457</v>
      </c>
      <c r="J1020" t="s">
        <v>6232</v>
      </c>
      <c r="K1020" s="25">
        <f>Tabelle5[[#This Row],[value_present]]*Tabelle5[[#This Row],[binding_level]]</f>
        <v>0</v>
      </c>
    </row>
    <row r="1021" spans="1:11" x14ac:dyDescent="0.25">
      <c r="A1021" s="24">
        <v>38</v>
      </c>
      <c r="B1021" s="2">
        <v>227</v>
      </c>
      <c r="C1021" s="2" t="s">
        <v>132</v>
      </c>
      <c r="D1021" s="3">
        <v>1</v>
      </c>
      <c r="E1021" s="1">
        <v>1</v>
      </c>
      <c r="F1021" t="s">
        <v>6250</v>
      </c>
      <c r="G1021" t="s">
        <v>6251</v>
      </c>
      <c r="H1021" t="s">
        <v>6221</v>
      </c>
      <c r="I1021" s="1" t="s">
        <v>1456</v>
      </c>
      <c r="J1021" t="s">
        <v>6233</v>
      </c>
      <c r="K1021" s="25">
        <f>Tabelle5[[#This Row],[value_present]]*Tabelle5[[#This Row],[binding_level]]</f>
        <v>1</v>
      </c>
    </row>
    <row r="1022" spans="1:11" x14ac:dyDescent="0.25">
      <c r="A1022" s="24">
        <v>38</v>
      </c>
      <c r="B1022" s="2">
        <v>227</v>
      </c>
      <c r="C1022" s="2" t="s">
        <v>140</v>
      </c>
      <c r="D1022" s="3">
        <v>0</v>
      </c>
      <c r="E1022" s="1"/>
      <c r="I1022" s="1" t="s">
        <v>1541</v>
      </c>
      <c r="J1022" t="s">
        <v>6234</v>
      </c>
      <c r="K1022" s="25">
        <f>Tabelle5[[#This Row],[value_present]]*Tabelle5[[#This Row],[binding_level]]</f>
        <v>0</v>
      </c>
    </row>
    <row r="1023" spans="1:11" x14ac:dyDescent="0.25">
      <c r="A1023" s="24">
        <v>38</v>
      </c>
      <c r="B1023" s="2">
        <v>227</v>
      </c>
      <c r="C1023" s="2" t="s">
        <v>147</v>
      </c>
      <c r="D1023" s="3">
        <v>0</v>
      </c>
      <c r="E1023" s="1"/>
      <c r="I1023" s="1" t="s">
        <v>1541</v>
      </c>
      <c r="J1023" t="s">
        <v>6235</v>
      </c>
      <c r="K1023" s="25">
        <f>Tabelle5[[#This Row],[value_present]]*Tabelle5[[#This Row],[binding_level]]</f>
        <v>0</v>
      </c>
    </row>
    <row r="1024" spans="1:11" x14ac:dyDescent="0.25">
      <c r="A1024" s="24">
        <v>38</v>
      </c>
      <c r="B1024" s="2">
        <v>227</v>
      </c>
      <c r="C1024" s="2" t="s">
        <v>154</v>
      </c>
      <c r="D1024" s="3">
        <v>1</v>
      </c>
      <c r="E1024" s="1">
        <v>1</v>
      </c>
      <c r="F1024" t="s">
        <v>6252</v>
      </c>
      <c r="G1024" t="s">
        <v>6253</v>
      </c>
      <c r="H1024" t="s">
        <v>6221</v>
      </c>
      <c r="I1024" s="1" t="s">
        <v>1457</v>
      </c>
      <c r="J1024" t="s">
        <v>6236</v>
      </c>
      <c r="K1024" s="25">
        <f>Tabelle5[[#This Row],[value_present]]*Tabelle5[[#This Row],[binding_level]]</f>
        <v>1</v>
      </c>
    </row>
    <row r="1025" spans="1:11" x14ac:dyDescent="0.25">
      <c r="A1025" s="24">
        <v>38</v>
      </c>
      <c r="B1025" s="2">
        <v>227</v>
      </c>
      <c r="C1025" s="2" t="s">
        <v>161</v>
      </c>
      <c r="D1025" s="3">
        <v>0</v>
      </c>
      <c r="E1025" s="1"/>
      <c r="I1025" s="1" t="s">
        <v>1457</v>
      </c>
      <c r="J1025" t="s">
        <v>6237</v>
      </c>
      <c r="K1025" s="25">
        <f>Tabelle5[[#This Row],[value_present]]*Tabelle5[[#This Row],[binding_level]]</f>
        <v>0</v>
      </c>
    </row>
    <row r="1026" spans="1:11" x14ac:dyDescent="0.25">
      <c r="A1026" s="24">
        <v>38</v>
      </c>
      <c r="B1026" s="2">
        <v>227</v>
      </c>
      <c r="C1026" s="2" t="s">
        <v>166</v>
      </c>
      <c r="D1026" s="3">
        <v>0</v>
      </c>
      <c r="E1026" s="1"/>
      <c r="I1026" s="1" t="s">
        <v>1457</v>
      </c>
      <c r="J1026" t="s">
        <v>6238</v>
      </c>
      <c r="K1026" s="25">
        <f>Tabelle5[[#This Row],[value_present]]*Tabelle5[[#This Row],[binding_level]]</f>
        <v>0</v>
      </c>
    </row>
    <row r="1027" spans="1:11" ht="15.75" thickBot="1" x14ac:dyDescent="0.3">
      <c r="A1027" s="26">
        <v>38</v>
      </c>
      <c r="B1027" s="27">
        <v>227</v>
      </c>
      <c r="C1027" s="27" t="s">
        <v>174</v>
      </c>
      <c r="D1027" s="28">
        <v>1</v>
      </c>
      <c r="E1027" s="29">
        <v>1</v>
      </c>
      <c r="F1027" s="30" t="s">
        <v>6254</v>
      </c>
      <c r="G1027" s="30" t="s">
        <v>6255</v>
      </c>
      <c r="H1027" s="30" t="s">
        <v>6221</v>
      </c>
      <c r="I1027" s="29" t="s">
        <v>1456</v>
      </c>
      <c r="J1027" s="30" t="s">
        <v>6239</v>
      </c>
      <c r="K1027" s="31">
        <f>Tabelle5[[#This Row],[value_present]]*Tabelle5[[#This Row],[binding_level]]</f>
        <v>1</v>
      </c>
    </row>
    <row r="1028" spans="1:11" x14ac:dyDescent="0.25">
      <c r="A1028" s="18">
        <v>40</v>
      </c>
      <c r="B1028" s="19">
        <v>239</v>
      </c>
      <c r="C1028" s="19" t="s">
        <v>53</v>
      </c>
      <c r="D1028" s="20">
        <v>1</v>
      </c>
      <c r="E1028" s="21">
        <v>3</v>
      </c>
      <c r="F1028" t="s">
        <v>6308</v>
      </c>
      <c r="G1028" t="s">
        <v>6309</v>
      </c>
      <c r="H1028" s="22" t="s">
        <v>6029</v>
      </c>
      <c r="I1028" s="21" t="s">
        <v>1456</v>
      </c>
      <c r="J1028" s="22" t="s">
        <v>6280</v>
      </c>
      <c r="K1028" s="23">
        <f>Tabelle5[[#This Row],[value_present]]*Tabelle5[[#This Row],[binding_level]]</f>
        <v>3</v>
      </c>
    </row>
    <row r="1029" spans="1:11" x14ac:dyDescent="0.25">
      <c r="A1029" s="24">
        <v>40</v>
      </c>
      <c r="B1029" s="2">
        <v>239</v>
      </c>
      <c r="C1029" s="2" t="s">
        <v>61</v>
      </c>
      <c r="D1029" s="3">
        <v>1</v>
      </c>
      <c r="E1029" s="1">
        <v>3</v>
      </c>
      <c r="F1029" t="s">
        <v>6311</v>
      </c>
      <c r="G1029" t="s">
        <v>6310</v>
      </c>
      <c r="H1029" t="s">
        <v>6281</v>
      </c>
      <c r="I1029" s="1" t="s">
        <v>1456</v>
      </c>
      <c r="J1029" t="s">
        <v>6282</v>
      </c>
      <c r="K1029" s="25">
        <f>Tabelle5[[#This Row],[value_present]]*Tabelle5[[#This Row],[binding_level]]</f>
        <v>3</v>
      </c>
    </row>
    <row r="1030" spans="1:11" x14ac:dyDescent="0.25">
      <c r="A1030" s="24">
        <v>40</v>
      </c>
      <c r="B1030" s="2">
        <v>239</v>
      </c>
      <c r="C1030" s="2" t="s">
        <v>69</v>
      </c>
      <c r="D1030" s="3">
        <v>1</v>
      </c>
      <c r="E1030" s="1">
        <v>3</v>
      </c>
      <c r="F1030" t="s">
        <v>6313</v>
      </c>
      <c r="G1030" t="s">
        <v>6312</v>
      </c>
      <c r="H1030" t="s">
        <v>6283</v>
      </c>
      <c r="I1030" s="1" t="s">
        <v>1456</v>
      </c>
      <c r="J1030" t="s">
        <v>6284</v>
      </c>
      <c r="K1030" s="25">
        <f>Tabelle5[[#This Row],[value_present]]*Tabelle5[[#This Row],[binding_level]]</f>
        <v>3</v>
      </c>
    </row>
    <row r="1031" spans="1:11" x14ac:dyDescent="0.25">
      <c r="A1031" s="24">
        <v>40</v>
      </c>
      <c r="B1031" s="2">
        <v>239</v>
      </c>
      <c r="C1031" s="2" t="s">
        <v>76</v>
      </c>
      <c r="D1031" s="3">
        <v>1</v>
      </c>
      <c r="E1031" s="1">
        <v>3</v>
      </c>
      <c r="F1031" t="s">
        <v>6315</v>
      </c>
      <c r="G1031" t="s">
        <v>6314</v>
      </c>
      <c r="H1031" t="s">
        <v>6285</v>
      </c>
      <c r="I1031" s="1" t="s">
        <v>1456</v>
      </c>
      <c r="J1031" t="s">
        <v>6286</v>
      </c>
      <c r="K1031" s="25">
        <f>Tabelle5[[#This Row],[value_present]]*Tabelle5[[#This Row],[binding_level]]</f>
        <v>3</v>
      </c>
    </row>
    <row r="1032" spans="1:11" x14ac:dyDescent="0.25">
      <c r="A1032" s="24">
        <v>40</v>
      </c>
      <c r="B1032" s="2">
        <v>239</v>
      </c>
      <c r="C1032" s="2" t="s">
        <v>83</v>
      </c>
      <c r="D1032" s="3">
        <v>1</v>
      </c>
      <c r="E1032" s="1">
        <v>3</v>
      </c>
      <c r="F1032" t="s">
        <v>6317</v>
      </c>
      <c r="G1032" t="s">
        <v>6316</v>
      </c>
      <c r="H1032" t="s">
        <v>6287</v>
      </c>
      <c r="I1032" s="1" t="s">
        <v>1456</v>
      </c>
      <c r="J1032" t="s">
        <v>6288</v>
      </c>
      <c r="K1032" s="25">
        <f>Tabelle5[[#This Row],[value_present]]*Tabelle5[[#This Row],[binding_level]]</f>
        <v>3</v>
      </c>
    </row>
    <row r="1033" spans="1:11" x14ac:dyDescent="0.25">
      <c r="A1033" s="24">
        <v>40</v>
      </c>
      <c r="B1033" s="2">
        <v>239</v>
      </c>
      <c r="C1033" s="2" t="s">
        <v>90</v>
      </c>
      <c r="D1033" s="3">
        <v>1</v>
      </c>
      <c r="E1033" s="1">
        <v>3</v>
      </c>
      <c r="F1033" t="s">
        <v>6319</v>
      </c>
      <c r="G1033" t="s">
        <v>6318</v>
      </c>
      <c r="H1033" t="s">
        <v>6289</v>
      </c>
      <c r="I1033" s="1" t="s">
        <v>1456</v>
      </c>
      <c r="J1033" t="s">
        <v>6290</v>
      </c>
      <c r="K1033" s="25">
        <f>Tabelle5[[#This Row],[value_present]]*Tabelle5[[#This Row],[binding_level]]</f>
        <v>3</v>
      </c>
    </row>
    <row r="1034" spans="1:11" x14ac:dyDescent="0.25">
      <c r="A1034" s="24">
        <v>40</v>
      </c>
      <c r="B1034" s="2">
        <v>239</v>
      </c>
      <c r="C1034" s="2" t="s">
        <v>98</v>
      </c>
      <c r="D1034" s="3">
        <v>0</v>
      </c>
      <c r="E1034" s="1"/>
      <c r="I1034" s="1" t="s">
        <v>1457</v>
      </c>
      <c r="J1034" t="s">
        <v>6291</v>
      </c>
      <c r="K1034" s="25">
        <f>Tabelle5[[#This Row],[value_present]]*Tabelle5[[#This Row],[binding_level]]</f>
        <v>0</v>
      </c>
    </row>
    <row r="1035" spans="1:11" x14ac:dyDescent="0.25">
      <c r="A1035" s="24">
        <v>40</v>
      </c>
      <c r="B1035" s="2">
        <v>239</v>
      </c>
      <c r="C1035" s="2" t="s">
        <v>106</v>
      </c>
      <c r="D1035" s="3">
        <v>1</v>
      </c>
      <c r="E1035" s="1">
        <v>3</v>
      </c>
      <c r="F1035" t="s">
        <v>6321</v>
      </c>
      <c r="G1035" t="s">
        <v>6320</v>
      </c>
      <c r="H1035" t="s">
        <v>6292</v>
      </c>
      <c r="I1035" s="1" t="s">
        <v>1456</v>
      </c>
      <c r="J1035" t="s">
        <v>6293</v>
      </c>
      <c r="K1035" s="25">
        <f>Tabelle5[[#This Row],[value_present]]*Tabelle5[[#This Row],[binding_level]]</f>
        <v>3</v>
      </c>
    </row>
    <row r="1036" spans="1:11" x14ac:dyDescent="0.25">
      <c r="A1036" s="24">
        <v>40</v>
      </c>
      <c r="B1036" s="2">
        <v>239</v>
      </c>
      <c r="C1036" s="2" t="s">
        <v>112</v>
      </c>
      <c r="D1036" s="3">
        <v>1</v>
      </c>
      <c r="E1036" s="1">
        <v>3</v>
      </c>
      <c r="F1036" t="s">
        <v>6323</v>
      </c>
      <c r="G1036" t="s">
        <v>6322</v>
      </c>
      <c r="H1036" t="s">
        <v>6294</v>
      </c>
      <c r="I1036" s="1" t="s">
        <v>1456</v>
      </c>
      <c r="J1036" t="s">
        <v>6295</v>
      </c>
      <c r="K1036" s="25">
        <f>Tabelle5[[#This Row],[value_present]]*Tabelle5[[#This Row],[binding_level]]</f>
        <v>3</v>
      </c>
    </row>
    <row r="1037" spans="1:11" x14ac:dyDescent="0.25">
      <c r="A1037" s="24">
        <v>40</v>
      </c>
      <c r="B1037" s="2">
        <v>239</v>
      </c>
      <c r="C1037" s="2" t="s">
        <v>118</v>
      </c>
      <c r="D1037" s="3">
        <v>0</v>
      </c>
      <c r="E1037" s="1"/>
      <c r="I1037" s="1" t="s">
        <v>1457</v>
      </c>
      <c r="J1037" t="s">
        <v>6296</v>
      </c>
      <c r="K1037" s="25">
        <f>Tabelle5[[#This Row],[value_present]]*Tabelle5[[#This Row],[binding_level]]</f>
        <v>0</v>
      </c>
    </row>
    <row r="1038" spans="1:11" x14ac:dyDescent="0.25">
      <c r="A1038" s="24">
        <v>40</v>
      </c>
      <c r="B1038" s="2">
        <v>239</v>
      </c>
      <c r="C1038" s="2" t="s">
        <v>125</v>
      </c>
      <c r="D1038" s="3">
        <v>0</v>
      </c>
      <c r="E1038" s="1"/>
      <c r="I1038" s="1" t="s">
        <v>1457</v>
      </c>
      <c r="J1038" t="s">
        <v>6297</v>
      </c>
      <c r="K1038" s="25">
        <f>Tabelle5[[#This Row],[value_present]]*Tabelle5[[#This Row],[binding_level]]</f>
        <v>0</v>
      </c>
    </row>
    <row r="1039" spans="1:11" x14ac:dyDescent="0.25">
      <c r="A1039" s="24">
        <v>40</v>
      </c>
      <c r="B1039" s="2">
        <v>239</v>
      </c>
      <c r="C1039" s="2" t="s">
        <v>132</v>
      </c>
      <c r="D1039" s="3">
        <v>0</v>
      </c>
      <c r="E1039" s="1"/>
      <c r="I1039" s="1" t="s">
        <v>1457</v>
      </c>
      <c r="J1039" t="s">
        <v>6298</v>
      </c>
      <c r="K1039" s="25">
        <f>Tabelle5[[#This Row],[value_present]]*Tabelle5[[#This Row],[binding_level]]</f>
        <v>0</v>
      </c>
    </row>
    <row r="1040" spans="1:11" x14ac:dyDescent="0.25">
      <c r="A1040" s="24">
        <v>40</v>
      </c>
      <c r="B1040" s="2">
        <v>239</v>
      </c>
      <c r="C1040" s="2" t="s">
        <v>140</v>
      </c>
      <c r="D1040" s="3">
        <v>0</v>
      </c>
      <c r="E1040" s="1"/>
      <c r="I1040" s="1" t="s">
        <v>1541</v>
      </c>
      <c r="J1040" t="s">
        <v>6299</v>
      </c>
      <c r="K1040" s="25">
        <f>Tabelle5[[#This Row],[value_present]]*Tabelle5[[#This Row],[binding_level]]</f>
        <v>0</v>
      </c>
    </row>
    <row r="1041" spans="1:11" x14ac:dyDescent="0.25">
      <c r="A1041" s="24">
        <v>40</v>
      </c>
      <c r="B1041" s="2">
        <v>239</v>
      </c>
      <c r="C1041" s="2" t="s">
        <v>147</v>
      </c>
      <c r="D1041" s="3">
        <v>1</v>
      </c>
      <c r="E1041" s="1">
        <v>3</v>
      </c>
      <c r="F1041" t="s">
        <v>6325</v>
      </c>
      <c r="G1041" t="s">
        <v>6324</v>
      </c>
      <c r="H1041" t="s">
        <v>6300</v>
      </c>
      <c r="I1041" s="1" t="s">
        <v>1456</v>
      </c>
      <c r="J1041" t="s">
        <v>6301</v>
      </c>
      <c r="K1041" s="25">
        <f>Tabelle5[[#This Row],[value_present]]*Tabelle5[[#This Row],[binding_level]]</f>
        <v>3</v>
      </c>
    </row>
    <row r="1042" spans="1:11" x14ac:dyDescent="0.25">
      <c r="A1042" s="24">
        <v>40</v>
      </c>
      <c r="B1042" s="2">
        <v>239</v>
      </c>
      <c r="C1042" s="2" t="s">
        <v>154</v>
      </c>
      <c r="D1042" s="3">
        <v>1</v>
      </c>
      <c r="E1042" s="1">
        <v>2</v>
      </c>
      <c r="F1042" t="s">
        <v>6327</v>
      </c>
      <c r="G1042" t="s">
        <v>6326</v>
      </c>
      <c r="H1042" t="s">
        <v>6302</v>
      </c>
      <c r="I1042" s="1" t="s">
        <v>1456</v>
      </c>
      <c r="J1042" t="s">
        <v>6303</v>
      </c>
      <c r="K1042" s="25">
        <f>Tabelle5[[#This Row],[value_present]]*Tabelle5[[#This Row],[binding_level]]</f>
        <v>2</v>
      </c>
    </row>
    <row r="1043" spans="1:11" x14ac:dyDescent="0.25">
      <c r="A1043" s="24">
        <v>40</v>
      </c>
      <c r="B1043" s="2">
        <v>239</v>
      </c>
      <c r="C1043" s="2" t="s">
        <v>161</v>
      </c>
      <c r="D1043" s="3">
        <v>1</v>
      </c>
      <c r="E1043" s="1">
        <v>3</v>
      </c>
      <c r="F1043" t="s">
        <v>6329</v>
      </c>
      <c r="G1043" t="s">
        <v>6328</v>
      </c>
      <c r="H1043" t="s">
        <v>6304</v>
      </c>
      <c r="I1043" s="1" t="s">
        <v>1456</v>
      </c>
      <c r="J1043" t="s">
        <v>6305</v>
      </c>
      <c r="K1043" s="25">
        <f>Tabelle5[[#This Row],[value_present]]*Tabelle5[[#This Row],[binding_level]]</f>
        <v>3</v>
      </c>
    </row>
    <row r="1044" spans="1:11" x14ac:dyDescent="0.25">
      <c r="A1044" s="24">
        <v>40</v>
      </c>
      <c r="B1044" s="2">
        <v>239</v>
      </c>
      <c r="C1044" s="2" t="s">
        <v>166</v>
      </c>
      <c r="D1044" s="3">
        <v>0</v>
      </c>
      <c r="E1044" s="1"/>
      <c r="I1044" s="1" t="s">
        <v>1457</v>
      </c>
      <c r="J1044" t="s">
        <v>6306</v>
      </c>
      <c r="K1044" s="25">
        <f>Tabelle5[[#This Row],[value_present]]*Tabelle5[[#This Row],[binding_level]]</f>
        <v>0</v>
      </c>
    </row>
    <row r="1045" spans="1:11" ht="15.75" thickBot="1" x14ac:dyDescent="0.3">
      <c r="A1045" s="26">
        <v>40</v>
      </c>
      <c r="B1045" s="27">
        <v>239</v>
      </c>
      <c r="C1045" s="27" t="s">
        <v>174</v>
      </c>
      <c r="D1045" s="28">
        <v>0</v>
      </c>
      <c r="E1045" s="29"/>
      <c r="F1045" s="30"/>
      <c r="G1045" s="30"/>
      <c r="H1045" s="30"/>
      <c r="I1045" s="29" t="s">
        <v>1541</v>
      </c>
      <c r="J1045" s="30" t="s">
        <v>6307</v>
      </c>
      <c r="K1045" s="31">
        <f>Tabelle5[[#This Row],[value_present]]*Tabelle5[[#This Row],[binding_level]]</f>
        <v>0</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ErrorMessage="1" xr:uid="{ED16B4F3-240E-41C4-BE1E-368BB259B529}">
          <x14:formula1>
            <xm:f>'99_Lookups'!$O$2:$O$3</xm:f>
          </x14:formula1>
          <xm:sqref>D2:D1045</xm:sqref>
        </x14:dataValidation>
        <x14:dataValidation type="list" showInputMessage="1" showErrorMessage="1" xr:uid="{645BC1A3-4DC8-4D9B-837C-7691C1DCD3DF}">
          <x14:formula1>
            <xm:f>'99_Lookups'!$M$2:$M$4</xm:f>
          </x14:formula1>
          <xm:sqref>E2:E1045</xm:sqref>
        </x14:dataValidation>
        <x14:dataValidation type="list" showErrorMessage="1" xr:uid="{3A25E9A5-878D-4E9A-A433-6C3AA99501EF}">
          <x14:formula1>
            <xm:f>'99_Lookups'!$K$2:$K$4</xm:f>
          </x14:formula1>
          <xm:sqref>I2:I523 J524:J532 J536:J539 I533:I535 I540:I1139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C00D-5EFE-412B-BE23-B5A4BBA5C768}">
  <sheetPr>
    <tabColor theme="6"/>
  </sheetPr>
  <dimension ref="A1:I407"/>
  <sheetViews>
    <sheetView topLeftCell="A399" workbookViewId="0">
      <selection sqref="A1:I407"/>
    </sheetView>
  </sheetViews>
  <sheetFormatPr baseColWidth="10" defaultRowHeight="15" x14ac:dyDescent="0.25"/>
  <cols>
    <col min="1" max="1" width="14" bestFit="1" customWidth="1"/>
    <col min="2" max="2" width="12.85546875" bestFit="1" customWidth="1"/>
    <col min="3" max="3" width="11.140625" customWidth="1"/>
    <col min="4" max="4" width="11.7109375" customWidth="1"/>
    <col min="5" max="5" width="16.7109375" customWidth="1"/>
    <col min="6" max="6" width="19" customWidth="1"/>
    <col min="7" max="7" width="16.7109375" customWidth="1"/>
    <col min="8" max="8" width="18.7109375" customWidth="1"/>
    <col min="9" max="9" width="61.85546875" bestFit="1" customWidth="1"/>
    <col min="14" max="14" width="18.140625" customWidth="1"/>
  </cols>
  <sheetData>
    <row r="1" spans="1:9" ht="15.75" thickBot="1" x14ac:dyDescent="0.3">
      <c r="A1" t="s">
        <v>0</v>
      </c>
      <c r="B1" t="s">
        <v>8</v>
      </c>
      <c r="C1" t="s">
        <v>2196</v>
      </c>
      <c r="D1" t="s">
        <v>46</v>
      </c>
      <c r="E1" t="s">
        <v>32</v>
      </c>
      <c r="F1" t="s">
        <v>33</v>
      </c>
      <c r="G1" t="s">
        <v>47</v>
      </c>
      <c r="H1" t="s">
        <v>34</v>
      </c>
      <c r="I1" t="s">
        <v>35</v>
      </c>
    </row>
    <row r="2" spans="1:9" ht="15.75" thickBot="1" x14ac:dyDescent="0.3">
      <c r="A2" s="18">
        <v>2</v>
      </c>
      <c r="B2" s="19">
        <v>8</v>
      </c>
      <c r="C2" s="19" t="s">
        <v>186</v>
      </c>
      <c r="D2" s="20">
        <v>0</v>
      </c>
      <c r="E2" s="22"/>
      <c r="F2" s="19"/>
      <c r="G2" s="22"/>
      <c r="H2" s="21" t="s">
        <v>1456</v>
      </c>
      <c r="I2" s="32" t="s">
        <v>2190</v>
      </c>
    </row>
    <row r="3" spans="1:9" x14ac:dyDescent="0.25">
      <c r="A3" s="24">
        <v>2</v>
      </c>
      <c r="B3" s="2">
        <v>8</v>
      </c>
      <c r="C3" s="2" t="s">
        <v>192</v>
      </c>
      <c r="D3" s="3">
        <v>1</v>
      </c>
      <c r="E3" t="s">
        <v>2199</v>
      </c>
      <c r="F3" s="19" t="s">
        <v>2169</v>
      </c>
      <c r="G3" t="s">
        <v>2197</v>
      </c>
      <c r="H3" s="1" t="s">
        <v>1457</v>
      </c>
      <c r="I3" s="33" t="s">
        <v>2198</v>
      </c>
    </row>
    <row r="4" spans="1:9" x14ac:dyDescent="0.25">
      <c r="A4" s="24">
        <v>2</v>
      </c>
      <c r="B4" s="2">
        <v>8</v>
      </c>
      <c r="C4" s="2" t="s">
        <v>198</v>
      </c>
      <c r="D4" s="3">
        <v>0</v>
      </c>
      <c r="F4" s="2"/>
      <c r="H4" s="1" t="s">
        <v>1456</v>
      </c>
      <c r="I4" s="33" t="s">
        <v>2191</v>
      </c>
    </row>
    <row r="5" spans="1:9" x14ac:dyDescent="0.25">
      <c r="A5" s="24">
        <v>2</v>
      </c>
      <c r="B5" s="2">
        <v>8</v>
      </c>
      <c r="C5" s="2" t="s">
        <v>204</v>
      </c>
      <c r="D5" s="3">
        <v>0</v>
      </c>
      <c r="F5" s="2"/>
      <c r="H5" s="1" t="s">
        <v>1456</v>
      </c>
      <c r="I5" s="33" t="s">
        <v>2192</v>
      </c>
    </row>
    <row r="6" spans="1:9" x14ac:dyDescent="0.25">
      <c r="A6" s="24">
        <v>2</v>
      </c>
      <c r="B6" s="2">
        <v>8</v>
      </c>
      <c r="C6" s="2" t="s">
        <v>210</v>
      </c>
      <c r="D6" s="3">
        <v>0</v>
      </c>
      <c r="F6" s="2"/>
      <c r="H6" s="1" t="s">
        <v>1456</v>
      </c>
      <c r="I6" s="33" t="s">
        <v>2193</v>
      </c>
    </row>
    <row r="7" spans="1:9" x14ac:dyDescent="0.25">
      <c r="A7" s="24">
        <v>2</v>
      </c>
      <c r="B7" s="2">
        <v>8</v>
      </c>
      <c r="C7" s="2" t="s">
        <v>215</v>
      </c>
      <c r="D7" s="3">
        <v>0</v>
      </c>
      <c r="F7" s="2"/>
      <c r="H7" s="1" t="s">
        <v>1456</v>
      </c>
      <c r="I7" s="33" t="s">
        <v>2194</v>
      </c>
    </row>
    <row r="8" spans="1:9" ht="15.75" thickBot="1" x14ac:dyDescent="0.3">
      <c r="A8" s="26">
        <v>2</v>
      </c>
      <c r="B8" s="27">
        <v>8</v>
      </c>
      <c r="C8" s="27" t="s">
        <v>221</v>
      </c>
      <c r="D8" s="28">
        <v>0</v>
      </c>
      <c r="E8" s="30"/>
      <c r="F8" s="27"/>
      <c r="G8" s="30"/>
      <c r="H8" s="29" t="s">
        <v>1456</v>
      </c>
      <c r="I8" s="34" t="s">
        <v>2195</v>
      </c>
    </row>
    <row r="9" spans="1:9" x14ac:dyDescent="0.25">
      <c r="A9" s="18">
        <v>2</v>
      </c>
      <c r="B9" s="19">
        <v>9</v>
      </c>
      <c r="C9" s="19" t="s">
        <v>186</v>
      </c>
      <c r="D9" s="20">
        <v>0</v>
      </c>
      <c r="E9" s="22"/>
      <c r="F9" s="19"/>
      <c r="G9" s="22"/>
      <c r="H9" s="21" t="s">
        <v>1456</v>
      </c>
      <c r="I9" s="32" t="s">
        <v>2250</v>
      </c>
    </row>
    <row r="10" spans="1:9" x14ac:dyDescent="0.25">
      <c r="A10" s="24">
        <v>2</v>
      </c>
      <c r="B10" s="2">
        <v>9</v>
      </c>
      <c r="C10" s="2" t="s">
        <v>192</v>
      </c>
      <c r="D10" s="3">
        <v>2</v>
      </c>
      <c r="E10" t="s">
        <v>2259</v>
      </c>
      <c r="F10" s="2" t="s">
        <v>2217</v>
      </c>
      <c r="G10" t="s">
        <v>2257</v>
      </c>
      <c r="H10" s="1" t="s">
        <v>1457</v>
      </c>
      <c r="I10" s="33" t="s">
        <v>2255</v>
      </c>
    </row>
    <row r="11" spans="1:9" x14ac:dyDescent="0.25">
      <c r="A11" s="24">
        <v>2</v>
      </c>
      <c r="B11" s="2">
        <v>9</v>
      </c>
      <c r="C11" s="2" t="s">
        <v>198</v>
      </c>
      <c r="D11" s="3">
        <v>2</v>
      </c>
      <c r="E11" t="s">
        <v>2240</v>
      </c>
      <c r="F11" s="2" t="s">
        <v>2217</v>
      </c>
      <c r="G11" t="s">
        <v>2256</v>
      </c>
      <c r="H11" s="1" t="s">
        <v>1457</v>
      </c>
      <c r="I11" s="33" t="s">
        <v>2258</v>
      </c>
    </row>
    <row r="12" spans="1:9" x14ac:dyDescent="0.25">
      <c r="A12" s="24">
        <v>2</v>
      </c>
      <c r="B12" s="2">
        <v>9</v>
      </c>
      <c r="C12" s="2" t="s">
        <v>204</v>
      </c>
      <c r="D12" s="3">
        <v>0</v>
      </c>
      <c r="F12" s="2"/>
      <c r="H12" s="1" t="s">
        <v>1456</v>
      </c>
      <c r="I12" s="33" t="s">
        <v>2251</v>
      </c>
    </row>
    <row r="13" spans="1:9" x14ac:dyDescent="0.25">
      <c r="A13" s="24">
        <v>2</v>
      </c>
      <c r="B13" s="2">
        <v>9</v>
      </c>
      <c r="C13" s="2" t="s">
        <v>210</v>
      </c>
      <c r="D13" s="3">
        <v>0</v>
      </c>
      <c r="F13" s="2"/>
      <c r="H13" s="1" t="s">
        <v>1456</v>
      </c>
      <c r="I13" s="33" t="s">
        <v>2252</v>
      </c>
    </row>
    <row r="14" spans="1:9" x14ac:dyDescent="0.25">
      <c r="A14" s="24">
        <v>2</v>
      </c>
      <c r="B14" s="2">
        <v>9</v>
      </c>
      <c r="C14" s="2" t="s">
        <v>215</v>
      </c>
      <c r="D14" s="3">
        <v>0</v>
      </c>
      <c r="F14" s="2"/>
      <c r="H14" s="1" t="s">
        <v>1456</v>
      </c>
      <c r="I14" s="33" t="s">
        <v>2253</v>
      </c>
    </row>
    <row r="15" spans="1:9" ht="15.75" thickBot="1" x14ac:dyDescent="0.3">
      <c r="A15" s="26">
        <v>2</v>
      </c>
      <c r="B15" s="27">
        <v>9</v>
      </c>
      <c r="C15" s="27" t="s">
        <v>221</v>
      </c>
      <c r="D15" s="28">
        <v>0</v>
      </c>
      <c r="E15" s="30"/>
      <c r="F15" s="27"/>
      <c r="G15" s="30"/>
      <c r="H15" s="29" t="s">
        <v>1456</v>
      </c>
      <c r="I15" s="34" t="s">
        <v>2254</v>
      </c>
    </row>
    <row r="16" spans="1:9" x14ac:dyDescent="0.25">
      <c r="A16" s="18">
        <v>3</v>
      </c>
      <c r="B16" s="19">
        <v>16</v>
      </c>
      <c r="C16" s="19" t="s">
        <v>186</v>
      </c>
      <c r="D16" s="20">
        <v>2</v>
      </c>
      <c r="E16" s="22" t="s">
        <v>2574</v>
      </c>
      <c r="F16" s="19" t="s">
        <v>2461</v>
      </c>
      <c r="G16" s="22" t="s">
        <v>2467</v>
      </c>
      <c r="H16" s="21" t="s">
        <v>1456</v>
      </c>
      <c r="I16" s="32" t="s">
        <v>2474</v>
      </c>
    </row>
    <row r="17" spans="1:9" x14ac:dyDescent="0.25">
      <c r="A17" s="24">
        <v>3</v>
      </c>
      <c r="B17" s="2">
        <v>16</v>
      </c>
      <c r="C17" s="2" t="s">
        <v>192</v>
      </c>
      <c r="D17" s="3">
        <v>2</v>
      </c>
      <c r="E17" t="s">
        <v>2575</v>
      </c>
      <c r="F17" s="2" t="s">
        <v>2462</v>
      </c>
      <c r="G17" t="s">
        <v>2468</v>
      </c>
      <c r="H17" s="1" t="s">
        <v>1456</v>
      </c>
      <c r="I17" s="33" t="s">
        <v>2475</v>
      </c>
    </row>
    <row r="18" spans="1:9" x14ac:dyDescent="0.25">
      <c r="A18" s="24">
        <v>3</v>
      </c>
      <c r="B18" s="2">
        <v>16</v>
      </c>
      <c r="C18" s="2" t="s">
        <v>198</v>
      </c>
      <c r="D18" s="3">
        <v>2</v>
      </c>
      <c r="E18" t="s">
        <v>2576</v>
      </c>
      <c r="F18" s="2" t="s">
        <v>2463</v>
      </c>
      <c r="G18" t="s">
        <v>2469</v>
      </c>
      <c r="H18" s="1" t="s">
        <v>1456</v>
      </c>
      <c r="I18" s="33" t="s">
        <v>2476</v>
      </c>
    </row>
    <row r="19" spans="1:9" x14ac:dyDescent="0.25">
      <c r="A19" s="24">
        <v>3</v>
      </c>
      <c r="B19" s="2">
        <v>16</v>
      </c>
      <c r="C19" s="2" t="s">
        <v>204</v>
      </c>
      <c r="D19" s="3">
        <v>0</v>
      </c>
      <c r="F19" s="2"/>
      <c r="H19" s="1" t="s">
        <v>1456</v>
      </c>
      <c r="I19" s="33" t="s">
        <v>2464</v>
      </c>
    </row>
    <row r="20" spans="1:9" x14ac:dyDescent="0.25">
      <c r="A20" s="24">
        <v>3</v>
      </c>
      <c r="B20" s="2">
        <v>16</v>
      </c>
      <c r="C20" s="2" t="s">
        <v>210</v>
      </c>
      <c r="D20" s="3">
        <v>2</v>
      </c>
      <c r="E20" t="s">
        <v>2577</v>
      </c>
      <c r="F20" s="2" t="s">
        <v>2462</v>
      </c>
      <c r="G20" t="s">
        <v>2470</v>
      </c>
      <c r="H20" s="1" t="s">
        <v>1456</v>
      </c>
      <c r="I20" s="33" t="s">
        <v>2473</v>
      </c>
    </row>
    <row r="21" spans="1:9" x14ac:dyDescent="0.25">
      <c r="A21" s="24">
        <v>3</v>
      </c>
      <c r="B21" s="2">
        <v>16</v>
      </c>
      <c r="C21" s="2" t="s">
        <v>215</v>
      </c>
      <c r="D21" s="3">
        <v>2</v>
      </c>
      <c r="E21" t="s">
        <v>2578</v>
      </c>
      <c r="F21" s="2" t="s">
        <v>2465</v>
      </c>
      <c r="G21" t="s">
        <v>2471</v>
      </c>
      <c r="H21" s="1" t="s">
        <v>1456</v>
      </c>
      <c r="I21" s="33" t="s">
        <v>2472</v>
      </c>
    </row>
    <row r="22" spans="1:9" ht="15.75" thickBot="1" x14ac:dyDescent="0.3">
      <c r="A22" s="26">
        <v>3</v>
      </c>
      <c r="B22" s="27">
        <v>16</v>
      </c>
      <c r="C22" s="27" t="s">
        <v>221</v>
      </c>
      <c r="D22" s="28">
        <v>0</v>
      </c>
      <c r="E22" s="30"/>
      <c r="F22" s="27"/>
      <c r="G22" s="30"/>
      <c r="H22" s="29" t="s">
        <v>1456</v>
      </c>
      <c r="I22" s="34" t="s">
        <v>2466</v>
      </c>
    </row>
    <row r="23" spans="1:9" x14ac:dyDescent="0.25">
      <c r="A23" s="18">
        <v>3</v>
      </c>
      <c r="B23" s="19">
        <v>17</v>
      </c>
      <c r="C23" s="19" t="s">
        <v>186</v>
      </c>
      <c r="D23" s="20">
        <v>0</v>
      </c>
      <c r="E23" s="22"/>
      <c r="F23" s="19"/>
      <c r="G23" s="22"/>
      <c r="H23" s="21" t="s">
        <v>1456</v>
      </c>
      <c r="I23" s="32" t="s">
        <v>2250</v>
      </c>
    </row>
    <row r="24" spans="1:9" x14ac:dyDescent="0.25">
      <c r="A24" s="24">
        <v>3</v>
      </c>
      <c r="B24" s="2">
        <v>17</v>
      </c>
      <c r="C24" s="2" t="s">
        <v>192</v>
      </c>
      <c r="D24" s="3">
        <v>0</v>
      </c>
      <c r="F24" s="2"/>
      <c r="H24" s="1" t="s">
        <v>1456</v>
      </c>
      <c r="I24" s="33" t="s">
        <v>2516</v>
      </c>
    </row>
    <row r="25" spans="1:9" x14ac:dyDescent="0.25">
      <c r="A25" s="24">
        <v>3</v>
      </c>
      <c r="B25" s="2">
        <v>17</v>
      </c>
      <c r="C25" s="2" t="s">
        <v>198</v>
      </c>
      <c r="D25" s="3">
        <v>0</v>
      </c>
      <c r="F25" s="2"/>
      <c r="H25" s="1" t="s">
        <v>1457</v>
      </c>
      <c r="I25" s="33" t="s">
        <v>2517</v>
      </c>
    </row>
    <row r="26" spans="1:9" x14ac:dyDescent="0.25">
      <c r="A26" s="24">
        <v>3</v>
      </c>
      <c r="B26" s="2">
        <v>17</v>
      </c>
      <c r="C26" s="2" t="s">
        <v>204</v>
      </c>
      <c r="D26" s="3">
        <v>0</v>
      </c>
      <c r="F26" s="2"/>
      <c r="H26" s="1" t="s">
        <v>1456</v>
      </c>
      <c r="I26" s="33" t="s">
        <v>2518</v>
      </c>
    </row>
    <row r="27" spans="1:9" x14ac:dyDescent="0.25">
      <c r="A27" s="24">
        <v>3</v>
      </c>
      <c r="B27" s="2">
        <v>17</v>
      </c>
      <c r="C27" s="2" t="s">
        <v>210</v>
      </c>
      <c r="D27" s="3">
        <v>0</v>
      </c>
      <c r="F27" s="2"/>
      <c r="H27" s="1" t="s">
        <v>1456</v>
      </c>
      <c r="I27" s="33" t="s">
        <v>2252</v>
      </c>
    </row>
    <row r="28" spans="1:9" x14ac:dyDescent="0.25">
      <c r="A28" s="24">
        <v>3</v>
      </c>
      <c r="B28" s="2">
        <v>17</v>
      </c>
      <c r="C28" s="2" t="s">
        <v>215</v>
      </c>
      <c r="D28" s="3">
        <v>0</v>
      </c>
      <c r="F28" s="2"/>
      <c r="H28" s="1" t="s">
        <v>1456</v>
      </c>
      <c r="I28" s="33" t="s">
        <v>2519</v>
      </c>
    </row>
    <row r="29" spans="1:9" ht="15.75" thickBot="1" x14ac:dyDescent="0.3">
      <c r="A29" s="26">
        <v>3</v>
      </c>
      <c r="B29" s="27">
        <v>17</v>
      </c>
      <c r="C29" s="27" t="s">
        <v>221</v>
      </c>
      <c r="D29" s="28">
        <v>0</v>
      </c>
      <c r="E29" s="30"/>
      <c r="F29" s="27"/>
      <c r="G29" s="30"/>
      <c r="H29" s="29" t="s">
        <v>1456</v>
      </c>
      <c r="I29" s="34" t="s">
        <v>2254</v>
      </c>
    </row>
    <row r="30" spans="1:9" x14ac:dyDescent="0.25">
      <c r="A30" s="18">
        <v>3</v>
      </c>
      <c r="B30" s="19">
        <v>18</v>
      </c>
      <c r="C30" s="19" t="s">
        <v>186</v>
      </c>
      <c r="D30" s="20">
        <v>1</v>
      </c>
      <c r="E30" t="s">
        <v>2570</v>
      </c>
      <c r="F30" s="19" t="s">
        <v>2530</v>
      </c>
      <c r="G30" s="22" t="s">
        <v>2562</v>
      </c>
      <c r="H30" s="21" t="s">
        <v>1457</v>
      </c>
      <c r="I30" s="32" t="s">
        <v>2567</v>
      </c>
    </row>
    <row r="31" spans="1:9" x14ac:dyDescent="0.25">
      <c r="A31" s="24">
        <v>3</v>
      </c>
      <c r="B31" s="2">
        <v>18</v>
      </c>
      <c r="C31" s="2" t="s">
        <v>192</v>
      </c>
      <c r="D31" s="3">
        <v>2</v>
      </c>
      <c r="E31" t="s">
        <v>2571</v>
      </c>
      <c r="F31" s="2" t="s">
        <v>2530</v>
      </c>
      <c r="G31" t="s">
        <v>2564</v>
      </c>
      <c r="H31" s="1" t="s">
        <v>1456</v>
      </c>
      <c r="I31" s="33" t="s">
        <v>2568</v>
      </c>
    </row>
    <row r="32" spans="1:9" x14ac:dyDescent="0.25">
      <c r="A32" s="24">
        <v>3</v>
      </c>
      <c r="B32" s="2">
        <v>18</v>
      </c>
      <c r="C32" s="2" t="s">
        <v>198</v>
      </c>
      <c r="D32" s="3">
        <v>2</v>
      </c>
      <c r="E32" t="s">
        <v>2572</v>
      </c>
      <c r="F32" s="2" t="s">
        <v>2530</v>
      </c>
      <c r="G32" t="s">
        <v>2563</v>
      </c>
      <c r="H32" s="1" t="s">
        <v>1456</v>
      </c>
      <c r="I32" s="33" t="s">
        <v>2569</v>
      </c>
    </row>
    <row r="33" spans="1:9" x14ac:dyDescent="0.25">
      <c r="A33" s="24">
        <v>3</v>
      </c>
      <c r="B33" s="2">
        <v>18</v>
      </c>
      <c r="C33" s="2" t="s">
        <v>204</v>
      </c>
      <c r="D33" s="3">
        <v>0</v>
      </c>
      <c r="F33" s="2"/>
      <c r="H33" s="1" t="s">
        <v>1457</v>
      </c>
      <c r="I33" s="33" t="s">
        <v>2559</v>
      </c>
    </row>
    <row r="34" spans="1:9" x14ac:dyDescent="0.25">
      <c r="A34" s="24">
        <v>3</v>
      </c>
      <c r="B34" s="2">
        <v>18</v>
      </c>
      <c r="C34" s="2" t="s">
        <v>210</v>
      </c>
      <c r="D34" s="3">
        <v>2</v>
      </c>
      <c r="E34" t="s">
        <v>2573</v>
      </c>
      <c r="F34" s="2" t="s">
        <v>2530</v>
      </c>
      <c r="G34" t="s">
        <v>2565</v>
      </c>
      <c r="H34" s="1" t="s">
        <v>1456</v>
      </c>
      <c r="I34" s="33" t="s">
        <v>2566</v>
      </c>
    </row>
    <row r="35" spans="1:9" x14ac:dyDescent="0.25">
      <c r="A35" s="24">
        <v>3</v>
      </c>
      <c r="B35" s="2">
        <v>18</v>
      </c>
      <c r="C35" s="2" t="s">
        <v>215</v>
      </c>
      <c r="D35" s="3">
        <v>0</v>
      </c>
      <c r="F35" s="2"/>
      <c r="H35" s="1" t="s">
        <v>1456</v>
      </c>
      <c r="I35" s="33" t="s">
        <v>2560</v>
      </c>
    </row>
    <row r="36" spans="1:9" ht="15.75" thickBot="1" x14ac:dyDescent="0.3">
      <c r="A36" s="26">
        <v>3</v>
      </c>
      <c r="B36" s="27">
        <v>18</v>
      </c>
      <c r="C36" s="27" t="s">
        <v>221</v>
      </c>
      <c r="D36" s="28">
        <v>0</v>
      </c>
      <c r="E36" s="30"/>
      <c r="F36" s="27"/>
      <c r="G36" s="30"/>
      <c r="H36" s="29" t="s">
        <v>1456</v>
      </c>
      <c r="I36" s="34" t="s">
        <v>2561</v>
      </c>
    </row>
    <row r="37" spans="1:9" x14ac:dyDescent="0.25">
      <c r="A37" s="18">
        <v>3</v>
      </c>
      <c r="B37" s="19">
        <v>21</v>
      </c>
      <c r="C37" s="19" t="s">
        <v>186</v>
      </c>
      <c r="D37" s="20">
        <v>1</v>
      </c>
      <c r="E37" s="22" t="s">
        <v>2659</v>
      </c>
      <c r="F37" s="19" t="s">
        <v>2598</v>
      </c>
      <c r="G37" s="22" t="s">
        <v>2653</v>
      </c>
      <c r="H37" s="21" t="s">
        <v>1457</v>
      </c>
      <c r="I37" s="32" t="s">
        <v>2647</v>
      </c>
    </row>
    <row r="38" spans="1:9" x14ac:dyDescent="0.25">
      <c r="A38" s="24">
        <v>3</v>
      </c>
      <c r="B38" s="2">
        <v>21</v>
      </c>
      <c r="C38" s="2" t="s">
        <v>192</v>
      </c>
      <c r="D38" s="3">
        <v>2</v>
      </c>
      <c r="E38" t="s">
        <v>2660</v>
      </c>
      <c r="F38" s="2" t="s">
        <v>2644</v>
      </c>
      <c r="G38" t="s">
        <v>2654</v>
      </c>
      <c r="H38" s="1" t="s">
        <v>1457</v>
      </c>
      <c r="I38" s="33" t="s">
        <v>2648</v>
      </c>
    </row>
    <row r="39" spans="1:9" x14ac:dyDescent="0.25">
      <c r="A39" s="24">
        <v>3</v>
      </c>
      <c r="B39" s="2">
        <v>21</v>
      </c>
      <c r="C39" s="2" t="s">
        <v>198</v>
      </c>
      <c r="D39" s="3">
        <v>1</v>
      </c>
      <c r="E39" t="s">
        <v>2661</v>
      </c>
      <c r="F39" s="2" t="s">
        <v>2590</v>
      </c>
      <c r="G39" t="s">
        <v>2655</v>
      </c>
      <c r="H39" s="1" t="s">
        <v>1541</v>
      </c>
      <c r="I39" s="33" t="s">
        <v>2649</v>
      </c>
    </row>
    <row r="40" spans="1:9" x14ac:dyDescent="0.25">
      <c r="A40" s="24">
        <v>3</v>
      </c>
      <c r="B40" s="2">
        <v>21</v>
      </c>
      <c r="C40" s="2" t="s">
        <v>204</v>
      </c>
      <c r="D40" s="3">
        <v>0</v>
      </c>
      <c r="F40" s="2"/>
      <c r="H40" s="1" t="s">
        <v>1456</v>
      </c>
      <c r="I40" s="33" t="s">
        <v>2645</v>
      </c>
    </row>
    <row r="41" spans="1:9" x14ac:dyDescent="0.25">
      <c r="A41" s="24">
        <v>3</v>
      </c>
      <c r="B41" s="2">
        <v>21</v>
      </c>
      <c r="C41" s="2" t="s">
        <v>210</v>
      </c>
      <c r="D41" s="3">
        <v>1</v>
      </c>
      <c r="E41" t="s">
        <v>2662</v>
      </c>
      <c r="F41" s="2" t="s">
        <v>2590</v>
      </c>
      <c r="G41" t="s">
        <v>2656</v>
      </c>
      <c r="H41" s="1" t="s">
        <v>1541</v>
      </c>
      <c r="I41" s="33" t="s">
        <v>2650</v>
      </c>
    </row>
    <row r="42" spans="1:9" x14ac:dyDescent="0.25">
      <c r="A42" s="24">
        <v>3</v>
      </c>
      <c r="B42" s="2">
        <v>21</v>
      </c>
      <c r="C42" s="2" t="s">
        <v>215</v>
      </c>
      <c r="D42" s="3">
        <v>1</v>
      </c>
      <c r="E42" t="s">
        <v>2661</v>
      </c>
      <c r="F42" s="2" t="s">
        <v>2590</v>
      </c>
      <c r="G42" t="s">
        <v>2657</v>
      </c>
      <c r="H42" s="1" t="s">
        <v>1541</v>
      </c>
      <c r="I42" s="33" t="s">
        <v>2651</v>
      </c>
    </row>
    <row r="43" spans="1:9" ht="15.75" thickBot="1" x14ac:dyDescent="0.3">
      <c r="A43" s="26">
        <v>3</v>
      </c>
      <c r="B43" s="27">
        <v>21</v>
      </c>
      <c r="C43" s="27" t="s">
        <v>221</v>
      </c>
      <c r="D43" s="28">
        <v>1</v>
      </c>
      <c r="E43" s="30" t="s">
        <v>2663</v>
      </c>
      <c r="F43" s="27" t="s">
        <v>2646</v>
      </c>
      <c r="G43" s="30" t="s">
        <v>2658</v>
      </c>
      <c r="H43" s="29" t="s">
        <v>1457</v>
      </c>
      <c r="I43" s="34" t="s">
        <v>2652</v>
      </c>
    </row>
    <row r="44" spans="1:9" x14ac:dyDescent="0.25">
      <c r="A44" s="18">
        <v>4</v>
      </c>
      <c r="B44" s="19">
        <v>22</v>
      </c>
      <c r="C44" s="19" t="s">
        <v>186</v>
      </c>
      <c r="D44" s="20">
        <v>1</v>
      </c>
      <c r="E44" t="s">
        <v>2736</v>
      </c>
      <c r="F44" s="19" t="s">
        <v>2728</v>
      </c>
      <c r="G44" s="22" t="s">
        <v>2735</v>
      </c>
      <c r="H44" s="21" t="s">
        <v>1457</v>
      </c>
      <c r="I44" s="32" t="s">
        <v>2730</v>
      </c>
    </row>
    <row r="45" spans="1:9" x14ac:dyDescent="0.25">
      <c r="A45" s="24">
        <v>4</v>
      </c>
      <c r="B45" s="2">
        <v>22</v>
      </c>
      <c r="C45" s="2" t="s">
        <v>192</v>
      </c>
      <c r="D45" s="3">
        <v>2</v>
      </c>
      <c r="E45" t="s">
        <v>2738</v>
      </c>
      <c r="F45" s="2" t="s">
        <v>2696</v>
      </c>
      <c r="G45" t="s">
        <v>2734</v>
      </c>
      <c r="H45" s="1" t="s">
        <v>1456</v>
      </c>
      <c r="I45" s="33" t="s">
        <v>2731</v>
      </c>
    </row>
    <row r="46" spans="1:9" x14ac:dyDescent="0.25">
      <c r="A46" s="24">
        <v>4</v>
      </c>
      <c r="B46" s="2">
        <v>22</v>
      </c>
      <c r="C46" s="2" t="s">
        <v>198</v>
      </c>
      <c r="D46" s="3">
        <v>2</v>
      </c>
      <c r="E46" t="s">
        <v>2737</v>
      </c>
      <c r="F46" s="2" t="s">
        <v>2696</v>
      </c>
      <c r="G46" t="s">
        <v>2733</v>
      </c>
      <c r="H46" s="1" t="s">
        <v>1456</v>
      </c>
      <c r="I46" s="33" t="s">
        <v>2732</v>
      </c>
    </row>
    <row r="47" spans="1:9" x14ac:dyDescent="0.25">
      <c r="A47" s="24">
        <v>4</v>
      </c>
      <c r="B47" s="2">
        <v>22</v>
      </c>
      <c r="C47" s="2" t="s">
        <v>204</v>
      </c>
      <c r="D47" s="3">
        <v>0</v>
      </c>
      <c r="F47" s="2"/>
      <c r="H47" s="1" t="s">
        <v>1456</v>
      </c>
      <c r="I47" s="33" t="s">
        <v>2251</v>
      </c>
    </row>
    <row r="48" spans="1:9" x14ac:dyDescent="0.25">
      <c r="A48" s="24">
        <v>4</v>
      </c>
      <c r="B48" s="2">
        <v>22</v>
      </c>
      <c r="C48" s="2" t="s">
        <v>210</v>
      </c>
      <c r="D48" s="3">
        <v>0</v>
      </c>
      <c r="F48" s="2"/>
      <c r="H48" s="1" t="s">
        <v>1456</v>
      </c>
      <c r="I48" s="33" t="s">
        <v>2729</v>
      </c>
    </row>
    <row r="49" spans="1:9" x14ac:dyDescent="0.25">
      <c r="A49" s="24">
        <v>4</v>
      </c>
      <c r="B49" s="2">
        <v>22</v>
      </c>
      <c r="C49" s="2" t="s">
        <v>215</v>
      </c>
      <c r="D49" s="3">
        <v>0</v>
      </c>
      <c r="F49" s="2"/>
      <c r="H49" s="1" t="s">
        <v>1456</v>
      </c>
      <c r="I49" s="33" t="s">
        <v>2560</v>
      </c>
    </row>
    <row r="50" spans="1:9" ht="15.75" thickBot="1" x14ac:dyDescent="0.3">
      <c r="A50" s="26">
        <v>4</v>
      </c>
      <c r="B50" s="27">
        <v>22</v>
      </c>
      <c r="C50" s="27" t="s">
        <v>221</v>
      </c>
      <c r="D50" s="28">
        <v>0</v>
      </c>
      <c r="E50" s="30"/>
      <c r="F50" s="27"/>
      <c r="G50" s="30"/>
      <c r="H50" s="29" t="s">
        <v>1456</v>
      </c>
      <c r="I50" s="34" t="s">
        <v>2254</v>
      </c>
    </row>
    <row r="51" spans="1:9" x14ac:dyDescent="0.25">
      <c r="A51" s="18">
        <v>4</v>
      </c>
      <c r="B51" s="19">
        <v>23</v>
      </c>
      <c r="C51" s="19" t="s">
        <v>186</v>
      </c>
      <c r="D51" s="20">
        <v>0</v>
      </c>
      <c r="E51" s="22"/>
      <c r="F51" s="19"/>
      <c r="G51" s="22"/>
      <c r="H51" s="21" t="s">
        <v>1456</v>
      </c>
      <c r="I51" s="32" t="s">
        <v>2250</v>
      </c>
    </row>
    <row r="52" spans="1:9" x14ac:dyDescent="0.25">
      <c r="A52" s="24">
        <v>4</v>
      </c>
      <c r="B52" s="2">
        <v>23</v>
      </c>
      <c r="C52" s="2" t="s">
        <v>192</v>
      </c>
      <c r="D52" s="3">
        <v>2</v>
      </c>
      <c r="E52" t="s">
        <v>2781</v>
      </c>
      <c r="F52" s="2" t="s">
        <v>2753</v>
      </c>
      <c r="G52" t="s">
        <v>2779</v>
      </c>
      <c r="H52" s="1" t="s">
        <v>1457</v>
      </c>
      <c r="I52" s="33" t="s">
        <v>2778</v>
      </c>
    </row>
    <row r="53" spans="1:9" x14ac:dyDescent="0.25">
      <c r="A53" s="24">
        <v>4</v>
      </c>
      <c r="B53" s="2">
        <v>23</v>
      </c>
      <c r="C53" s="2" t="s">
        <v>198</v>
      </c>
      <c r="D53" s="3">
        <v>0</v>
      </c>
      <c r="F53" s="2"/>
      <c r="H53" s="1" t="s">
        <v>1456</v>
      </c>
      <c r="I53" s="33" t="s">
        <v>2775</v>
      </c>
    </row>
    <row r="54" spans="1:9" x14ac:dyDescent="0.25">
      <c r="A54" s="24">
        <v>4</v>
      </c>
      <c r="B54" s="2">
        <v>23</v>
      </c>
      <c r="C54" s="2" t="s">
        <v>204</v>
      </c>
      <c r="D54" s="3">
        <v>0</v>
      </c>
      <c r="F54" s="2"/>
      <c r="H54" s="1" t="s">
        <v>1456</v>
      </c>
      <c r="I54" s="33" t="s">
        <v>2518</v>
      </c>
    </row>
    <row r="55" spans="1:9" x14ac:dyDescent="0.25">
      <c r="A55" s="24">
        <v>4</v>
      </c>
      <c r="B55" s="2">
        <v>23</v>
      </c>
      <c r="C55" s="2" t="s">
        <v>210</v>
      </c>
      <c r="D55" s="3">
        <v>1</v>
      </c>
      <c r="E55" t="s">
        <v>2782</v>
      </c>
      <c r="F55" s="2" t="s">
        <v>2753</v>
      </c>
      <c r="G55" t="s">
        <v>2780</v>
      </c>
      <c r="H55" s="1" t="s">
        <v>1457</v>
      </c>
      <c r="I55" s="33" t="s">
        <v>2777</v>
      </c>
    </row>
    <row r="56" spans="1:9" x14ac:dyDescent="0.25">
      <c r="A56" s="24">
        <v>4</v>
      </c>
      <c r="B56" s="2">
        <v>23</v>
      </c>
      <c r="C56" s="2" t="s">
        <v>215</v>
      </c>
      <c r="D56" s="3">
        <v>0</v>
      </c>
      <c r="F56" s="2"/>
      <c r="H56" s="1" t="s">
        <v>1456</v>
      </c>
      <c r="I56" s="33" t="s">
        <v>2560</v>
      </c>
    </row>
    <row r="57" spans="1:9" ht="15.75" thickBot="1" x14ac:dyDescent="0.3">
      <c r="A57" s="26">
        <v>4</v>
      </c>
      <c r="B57" s="27">
        <v>23</v>
      </c>
      <c r="C57" s="27" t="s">
        <v>221</v>
      </c>
      <c r="D57" s="28">
        <v>0</v>
      </c>
      <c r="E57" s="30"/>
      <c r="F57" s="27"/>
      <c r="G57" s="30"/>
      <c r="H57" s="29" t="s">
        <v>1457</v>
      </c>
      <c r="I57" s="34" t="s">
        <v>2776</v>
      </c>
    </row>
    <row r="58" spans="1:9" x14ac:dyDescent="0.25">
      <c r="A58" s="18">
        <v>4</v>
      </c>
      <c r="B58" s="19">
        <v>24</v>
      </c>
      <c r="C58" s="19" t="s">
        <v>186</v>
      </c>
      <c r="D58" s="20">
        <v>0</v>
      </c>
      <c r="E58" s="22"/>
      <c r="F58" s="19"/>
      <c r="G58" s="22"/>
      <c r="H58" s="21" t="s">
        <v>1457</v>
      </c>
      <c r="I58" s="32" t="s">
        <v>2816</v>
      </c>
    </row>
    <row r="59" spans="1:9" x14ac:dyDescent="0.25">
      <c r="A59" s="24">
        <v>4</v>
      </c>
      <c r="B59" s="2">
        <v>24</v>
      </c>
      <c r="C59" s="2" t="s">
        <v>192</v>
      </c>
      <c r="D59" s="3">
        <v>1</v>
      </c>
      <c r="E59" t="s">
        <v>2822</v>
      </c>
      <c r="F59" s="2" t="s">
        <v>2797</v>
      </c>
      <c r="G59" t="s">
        <v>2819</v>
      </c>
      <c r="H59" s="1" t="s">
        <v>1457</v>
      </c>
      <c r="I59" s="33" t="s">
        <v>2817</v>
      </c>
    </row>
    <row r="60" spans="1:9" x14ac:dyDescent="0.25">
      <c r="A60" s="24">
        <v>4</v>
      </c>
      <c r="B60" s="2">
        <v>24</v>
      </c>
      <c r="C60" s="2" t="s">
        <v>198</v>
      </c>
      <c r="D60" s="3">
        <v>1</v>
      </c>
      <c r="E60" t="s">
        <v>2821</v>
      </c>
      <c r="F60" s="2" t="s">
        <v>2797</v>
      </c>
      <c r="G60" t="s">
        <v>2820</v>
      </c>
      <c r="H60" s="1" t="s">
        <v>1457</v>
      </c>
      <c r="I60" s="33" t="s">
        <v>2818</v>
      </c>
    </row>
    <row r="61" spans="1:9" x14ac:dyDescent="0.25">
      <c r="A61" s="24">
        <v>4</v>
      </c>
      <c r="B61" s="2">
        <v>24</v>
      </c>
      <c r="C61" s="2" t="s">
        <v>204</v>
      </c>
      <c r="D61" s="3">
        <v>0</v>
      </c>
      <c r="F61" s="2"/>
      <c r="H61" s="1" t="s">
        <v>1456</v>
      </c>
      <c r="I61" s="33" t="s">
        <v>2251</v>
      </c>
    </row>
    <row r="62" spans="1:9" x14ac:dyDescent="0.25">
      <c r="A62" s="24">
        <v>4</v>
      </c>
      <c r="B62" s="2">
        <v>24</v>
      </c>
      <c r="C62" s="2" t="s">
        <v>210</v>
      </c>
      <c r="D62" s="3">
        <v>0</v>
      </c>
      <c r="F62" s="2"/>
      <c r="H62" s="1" t="s">
        <v>1456</v>
      </c>
      <c r="I62" s="33" t="s">
        <v>2252</v>
      </c>
    </row>
    <row r="63" spans="1:9" x14ac:dyDescent="0.25">
      <c r="A63" s="24">
        <v>4</v>
      </c>
      <c r="B63" s="2">
        <v>24</v>
      </c>
      <c r="C63" s="2" t="s">
        <v>215</v>
      </c>
      <c r="D63" s="3">
        <v>0</v>
      </c>
      <c r="F63" s="2"/>
      <c r="H63" s="1" t="s">
        <v>1456</v>
      </c>
      <c r="I63" s="33" t="s">
        <v>2560</v>
      </c>
    </row>
    <row r="64" spans="1:9" ht="15.75" thickBot="1" x14ac:dyDescent="0.3">
      <c r="A64" s="26">
        <v>4</v>
      </c>
      <c r="B64" s="27">
        <v>24</v>
      </c>
      <c r="C64" s="27" t="s">
        <v>221</v>
      </c>
      <c r="D64" s="28">
        <v>0</v>
      </c>
      <c r="E64" s="30"/>
      <c r="F64" s="27"/>
      <c r="G64" s="30"/>
      <c r="H64" s="29" t="s">
        <v>1456</v>
      </c>
      <c r="I64" s="34" t="s">
        <v>2254</v>
      </c>
    </row>
    <row r="65" spans="1:9" x14ac:dyDescent="0.25">
      <c r="A65" s="18">
        <v>5</v>
      </c>
      <c r="B65" s="19">
        <v>27</v>
      </c>
      <c r="C65" s="19" t="s">
        <v>186</v>
      </c>
      <c r="D65" s="20">
        <v>0</v>
      </c>
      <c r="E65" s="22"/>
      <c r="F65" s="19"/>
      <c r="G65" s="22"/>
      <c r="H65" s="21" t="s">
        <v>1456</v>
      </c>
      <c r="I65" s="32" t="s">
        <v>2869</v>
      </c>
    </row>
    <row r="66" spans="1:9" x14ac:dyDescent="0.25">
      <c r="A66" s="24">
        <v>5</v>
      </c>
      <c r="B66" s="2">
        <v>27</v>
      </c>
      <c r="C66" s="2" t="s">
        <v>192</v>
      </c>
      <c r="D66" s="3">
        <v>1</v>
      </c>
      <c r="E66" t="s">
        <v>2879</v>
      </c>
      <c r="F66" s="2" t="s">
        <v>2870</v>
      </c>
      <c r="G66" t="s">
        <v>2876</v>
      </c>
      <c r="H66" s="1" t="s">
        <v>1457</v>
      </c>
      <c r="I66" s="33" t="s">
        <v>2875</v>
      </c>
    </row>
    <row r="67" spans="1:9" x14ac:dyDescent="0.25">
      <c r="A67" s="24">
        <v>5</v>
      </c>
      <c r="B67" s="2">
        <v>27</v>
      </c>
      <c r="C67" s="2" t="s">
        <v>198</v>
      </c>
      <c r="D67" s="3">
        <v>2</v>
      </c>
      <c r="E67" t="s">
        <v>2880</v>
      </c>
      <c r="F67" s="2" t="s">
        <v>2833</v>
      </c>
      <c r="G67" t="s">
        <v>2877</v>
      </c>
      <c r="H67" s="1" t="s">
        <v>1456</v>
      </c>
      <c r="I67" s="33" t="s">
        <v>2878</v>
      </c>
    </row>
    <row r="68" spans="1:9" x14ac:dyDescent="0.25">
      <c r="A68" s="24">
        <v>5</v>
      </c>
      <c r="B68" s="2">
        <v>27</v>
      </c>
      <c r="C68" s="2" t="s">
        <v>204</v>
      </c>
      <c r="D68" s="3">
        <v>1</v>
      </c>
      <c r="E68" t="s">
        <v>2881</v>
      </c>
      <c r="F68" s="2" t="s">
        <v>2833</v>
      </c>
      <c r="G68" t="s">
        <v>2871</v>
      </c>
      <c r="H68" s="1" t="s">
        <v>1457</v>
      </c>
      <c r="I68" s="33"/>
    </row>
    <row r="69" spans="1:9" x14ac:dyDescent="0.25">
      <c r="A69" s="24">
        <v>5</v>
      </c>
      <c r="B69" s="2">
        <v>27</v>
      </c>
      <c r="C69" s="2" t="s">
        <v>210</v>
      </c>
      <c r="D69" s="3">
        <v>0</v>
      </c>
      <c r="F69" s="2"/>
      <c r="H69" s="1" t="s">
        <v>1456</v>
      </c>
      <c r="I69" s="33" t="s">
        <v>2872</v>
      </c>
    </row>
    <row r="70" spans="1:9" x14ac:dyDescent="0.25">
      <c r="A70" s="24">
        <v>5</v>
      </c>
      <c r="B70" s="2">
        <v>27</v>
      </c>
      <c r="C70" s="2" t="s">
        <v>215</v>
      </c>
      <c r="D70" s="3">
        <v>0</v>
      </c>
      <c r="F70" s="2"/>
      <c r="H70" s="1" t="s">
        <v>1456</v>
      </c>
      <c r="I70" s="33" t="s">
        <v>2873</v>
      </c>
    </row>
    <row r="71" spans="1:9" ht="15.75" thickBot="1" x14ac:dyDescent="0.3">
      <c r="A71" s="26">
        <v>5</v>
      </c>
      <c r="B71" s="27">
        <v>27</v>
      </c>
      <c r="C71" s="27" t="s">
        <v>221</v>
      </c>
      <c r="D71" s="28">
        <v>0</v>
      </c>
      <c r="E71" s="30"/>
      <c r="F71" s="27"/>
      <c r="G71" s="30"/>
      <c r="H71" s="29" t="s">
        <v>1456</v>
      </c>
      <c r="I71" s="34" t="s">
        <v>2874</v>
      </c>
    </row>
    <row r="72" spans="1:9" x14ac:dyDescent="0.25">
      <c r="A72" s="18">
        <v>5</v>
      </c>
      <c r="B72" s="19">
        <v>28</v>
      </c>
      <c r="C72" s="19" t="s">
        <v>186</v>
      </c>
      <c r="D72" s="20">
        <v>2</v>
      </c>
      <c r="E72" t="s">
        <v>2961</v>
      </c>
      <c r="F72" s="19" t="s">
        <v>2943</v>
      </c>
      <c r="G72" s="22" t="s">
        <v>2950</v>
      </c>
      <c r="H72" s="21" t="s">
        <v>1457</v>
      </c>
      <c r="I72" s="32" t="s">
        <v>2949</v>
      </c>
    </row>
    <row r="73" spans="1:9" x14ac:dyDescent="0.25">
      <c r="A73" s="24">
        <v>5</v>
      </c>
      <c r="B73" s="2">
        <v>28</v>
      </c>
      <c r="C73" s="2" t="s">
        <v>192</v>
      </c>
      <c r="D73" s="3">
        <v>2</v>
      </c>
      <c r="E73" t="s">
        <v>2962</v>
      </c>
      <c r="F73" s="2" t="s">
        <v>2944</v>
      </c>
      <c r="G73" t="s">
        <v>2952</v>
      </c>
      <c r="H73" s="1" t="s">
        <v>1456</v>
      </c>
      <c r="I73" s="33" t="s">
        <v>2951</v>
      </c>
    </row>
    <row r="74" spans="1:9" x14ac:dyDescent="0.25">
      <c r="A74" s="24">
        <v>5</v>
      </c>
      <c r="B74" s="2">
        <v>28</v>
      </c>
      <c r="C74" s="2" t="s">
        <v>198</v>
      </c>
      <c r="D74" s="3">
        <v>2</v>
      </c>
      <c r="E74" t="s">
        <v>2963</v>
      </c>
      <c r="F74" s="2" t="s">
        <v>2945</v>
      </c>
      <c r="G74" t="s">
        <v>2954</v>
      </c>
      <c r="H74" s="1" t="s">
        <v>1456</v>
      </c>
      <c r="I74" s="33" t="s">
        <v>2953</v>
      </c>
    </row>
    <row r="75" spans="1:9" x14ac:dyDescent="0.25">
      <c r="A75" s="24">
        <v>5</v>
      </c>
      <c r="B75" s="2">
        <v>28</v>
      </c>
      <c r="C75" s="2" t="s">
        <v>204</v>
      </c>
      <c r="D75" s="3">
        <v>1</v>
      </c>
      <c r="E75" t="s">
        <v>2964</v>
      </c>
      <c r="F75" s="2" t="s">
        <v>2946</v>
      </c>
      <c r="G75" t="s">
        <v>2956</v>
      </c>
      <c r="H75" s="1" t="s">
        <v>1457</v>
      </c>
      <c r="I75" s="33" t="s">
        <v>2955</v>
      </c>
    </row>
    <row r="76" spans="1:9" x14ac:dyDescent="0.25">
      <c r="A76" s="24">
        <v>5</v>
      </c>
      <c r="B76" s="2">
        <v>28</v>
      </c>
      <c r="C76" s="2" t="s">
        <v>210</v>
      </c>
      <c r="D76" s="3">
        <v>1</v>
      </c>
      <c r="E76" t="s">
        <v>2965</v>
      </c>
      <c r="F76" s="2" t="s">
        <v>2947</v>
      </c>
      <c r="G76" t="s">
        <v>2958</v>
      </c>
      <c r="H76" s="1" t="s">
        <v>1456</v>
      </c>
      <c r="I76" s="33" t="s">
        <v>2957</v>
      </c>
    </row>
    <row r="77" spans="1:9" x14ac:dyDescent="0.25">
      <c r="A77" s="24">
        <v>5</v>
      </c>
      <c r="B77" s="2">
        <v>28</v>
      </c>
      <c r="C77" s="2" t="s">
        <v>215</v>
      </c>
      <c r="D77" s="3">
        <v>1</v>
      </c>
      <c r="E77" t="s">
        <v>2966</v>
      </c>
      <c r="F77" s="2" t="s">
        <v>2948</v>
      </c>
      <c r="G77" t="s">
        <v>2960</v>
      </c>
      <c r="H77" s="1" t="s">
        <v>1456</v>
      </c>
      <c r="I77" s="33" t="s">
        <v>2959</v>
      </c>
    </row>
    <row r="78" spans="1:9" ht="15.75" thickBot="1" x14ac:dyDescent="0.3">
      <c r="A78" s="26">
        <v>5</v>
      </c>
      <c r="B78" s="27">
        <v>28</v>
      </c>
      <c r="C78" s="27" t="s">
        <v>221</v>
      </c>
      <c r="D78" s="28">
        <v>0</v>
      </c>
      <c r="E78" s="30"/>
      <c r="F78" s="27"/>
      <c r="G78" s="30"/>
      <c r="H78" s="29" t="s">
        <v>1456</v>
      </c>
      <c r="I78" s="34" t="s">
        <v>2874</v>
      </c>
    </row>
    <row r="79" spans="1:9" x14ac:dyDescent="0.25">
      <c r="A79" s="18">
        <v>5</v>
      </c>
      <c r="B79" s="19">
        <v>30</v>
      </c>
      <c r="C79" s="19" t="s">
        <v>186</v>
      </c>
      <c r="D79" s="20">
        <v>0</v>
      </c>
      <c r="E79" s="22"/>
      <c r="F79" s="19"/>
      <c r="G79" s="22"/>
      <c r="H79" s="21" t="s">
        <v>1456</v>
      </c>
      <c r="I79" s="32" t="s">
        <v>3021</v>
      </c>
    </row>
    <row r="80" spans="1:9" x14ac:dyDescent="0.25">
      <c r="A80" s="24">
        <v>5</v>
      </c>
      <c r="B80" s="2">
        <v>30</v>
      </c>
      <c r="C80" s="2" t="s">
        <v>192</v>
      </c>
      <c r="D80" s="3">
        <v>0</v>
      </c>
      <c r="F80" s="2"/>
      <c r="H80" s="1" t="s">
        <v>1456</v>
      </c>
      <c r="I80" s="33" t="s">
        <v>3022</v>
      </c>
    </row>
    <row r="81" spans="1:9" x14ac:dyDescent="0.25">
      <c r="A81" s="24">
        <v>5</v>
      </c>
      <c r="B81" s="2">
        <v>30</v>
      </c>
      <c r="C81" s="2" t="s">
        <v>198</v>
      </c>
      <c r="D81" s="3">
        <v>2</v>
      </c>
      <c r="E81" t="s">
        <v>3006</v>
      </c>
      <c r="F81" s="2" t="s">
        <v>2994</v>
      </c>
      <c r="G81" t="s">
        <v>3023</v>
      </c>
      <c r="H81" s="1" t="s">
        <v>1457</v>
      </c>
      <c r="I81" s="33"/>
    </row>
    <row r="82" spans="1:9" x14ac:dyDescent="0.25">
      <c r="A82" s="24">
        <v>5</v>
      </c>
      <c r="B82" s="2">
        <v>30</v>
      </c>
      <c r="C82" s="2" t="s">
        <v>204</v>
      </c>
      <c r="D82" s="3">
        <v>0</v>
      </c>
      <c r="F82" s="2"/>
      <c r="H82" s="1" t="s">
        <v>1456</v>
      </c>
      <c r="I82" s="33" t="s">
        <v>3024</v>
      </c>
    </row>
    <row r="83" spans="1:9" x14ac:dyDescent="0.25">
      <c r="A83" s="24">
        <v>5</v>
      </c>
      <c r="B83" s="2">
        <v>30</v>
      </c>
      <c r="C83" s="2" t="s">
        <v>210</v>
      </c>
      <c r="D83" s="3">
        <v>1</v>
      </c>
      <c r="E83" t="s">
        <v>3029</v>
      </c>
      <c r="F83" s="2" t="s">
        <v>3025</v>
      </c>
      <c r="G83" t="s">
        <v>3027</v>
      </c>
      <c r="H83" s="1" t="s">
        <v>1456</v>
      </c>
      <c r="I83" s="33" t="s">
        <v>3028</v>
      </c>
    </row>
    <row r="84" spans="1:9" x14ac:dyDescent="0.25">
      <c r="A84" s="24">
        <v>5</v>
      </c>
      <c r="B84" s="2">
        <v>30</v>
      </c>
      <c r="C84" s="2" t="s">
        <v>215</v>
      </c>
      <c r="D84" s="3">
        <v>0</v>
      </c>
      <c r="F84" s="2"/>
      <c r="H84" s="1" t="s">
        <v>1456</v>
      </c>
      <c r="I84" s="33" t="s">
        <v>3026</v>
      </c>
    </row>
    <row r="85" spans="1:9" ht="15.75" thickBot="1" x14ac:dyDescent="0.3">
      <c r="A85" s="26">
        <v>5</v>
      </c>
      <c r="B85" s="27">
        <v>30</v>
      </c>
      <c r="C85" s="27" t="s">
        <v>221</v>
      </c>
      <c r="D85" s="28">
        <v>0</v>
      </c>
      <c r="E85" s="30"/>
      <c r="F85" s="27"/>
      <c r="G85" s="30"/>
      <c r="H85" s="29" t="s">
        <v>1456</v>
      </c>
      <c r="I85" s="34" t="s">
        <v>2874</v>
      </c>
    </row>
    <row r="86" spans="1:9" x14ac:dyDescent="0.25">
      <c r="A86" s="18">
        <v>5</v>
      </c>
      <c r="B86" s="19">
        <v>31</v>
      </c>
      <c r="C86" s="19" t="s">
        <v>186</v>
      </c>
      <c r="D86" s="20">
        <v>1</v>
      </c>
      <c r="E86" s="22" t="s">
        <v>3091</v>
      </c>
      <c r="F86" s="19" t="s">
        <v>2700</v>
      </c>
      <c r="G86" s="22" t="s">
        <v>3096</v>
      </c>
      <c r="H86" s="21" t="s">
        <v>1457</v>
      </c>
      <c r="I86" s="32" t="s">
        <v>3095</v>
      </c>
    </row>
    <row r="87" spans="1:9" x14ac:dyDescent="0.25">
      <c r="A87" s="24">
        <v>5</v>
      </c>
      <c r="B87" s="2">
        <v>31</v>
      </c>
      <c r="C87" s="2" t="s">
        <v>192</v>
      </c>
      <c r="D87" s="3">
        <v>1</v>
      </c>
      <c r="E87" t="s">
        <v>3092</v>
      </c>
      <c r="F87" s="2" t="s">
        <v>3087</v>
      </c>
      <c r="G87" t="s">
        <v>3098</v>
      </c>
      <c r="H87" s="1" t="s">
        <v>1457</v>
      </c>
      <c r="I87" s="33" t="s">
        <v>3097</v>
      </c>
    </row>
    <row r="88" spans="1:9" x14ac:dyDescent="0.25">
      <c r="A88" s="24">
        <v>5</v>
      </c>
      <c r="B88" s="2">
        <v>31</v>
      </c>
      <c r="C88" s="2" t="s">
        <v>198</v>
      </c>
      <c r="D88" s="3">
        <v>1</v>
      </c>
      <c r="E88" t="s">
        <v>3093</v>
      </c>
      <c r="F88" s="2" t="s">
        <v>3087</v>
      </c>
      <c r="G88" t="s">
        <v>3099</v>
      </c>
      <c r="H88" s="1" t="s">
        <v>1457</v>
      </c>
      <c r="I88" s="33" t="s">
        <v>3100</v>
      </c>
    </row>
    <row r="89" spans="1:9" x14ac:dyDescent="0.25">
      <c r="A89" s="24">
        <v>5</v>
      </c>
      <c r="B89" s="2">
        <v>31</v>
      </c>
      <c r="C89" s="2" t="s">
        <v>204</v>
      </c>
      <c r="D89" s="3">
        <v>1</v>
      </c>
      <c r="E89" t="s">
        <v>3094</v>
      </c>
      <c r="F89" s="2" t="s">
        <v>3087</v>
      </c>
      <c r="G89" t="s">
        <v>3101</v>
      </c>
      <c r="H89" s="1" t="s">
        <v>1456</v>
      </c>
      <c r="I89" s="33" t="s">
        <v>3102</v>
      </c>
    </row>
    <row r="90" spans="1:9" x14ac:dyDescent="0.25">
      <c r="A90" s="24">
        <v>5</v>
      </c>
      <c r="B90" s="2">
        <v>31</v>
      </c>
      <c r="C90" s="2" t="s">
        <v>210</v>
      </c>
      <c r="D90" s="3">
        <v>0</v>
      </c>
      <c r="F90" s="2"/>
      <c r="H90" s="1" t="s">
        <v>1456</v>
      </c>
      <c r="I90" s="33" t="s">
        <v>3088</v>
      </c>
    </row>
    <row r="91" spans="1:9" x14ac:dyDescent="0.25">
      <c r="A91" s="24">
        <v>5</v>
      </c>
      <c r="B91" s="2">
        <v>31</v>
      </c>
      <c r="C91" s="2" t="s">
        <v>215</v>
      </c>
      <c r="D91" s="3">
        <v>0</v>
      </c>
      <c r="F91" s="2"/>
      <c r="H91" s="1" t="s">
        <v>1456</v>
      </c>
      <c r="I91" s="33" t="s">
        <v>3089</v>
      </c>
    </row>
    <row r="92" spans="1:9" ht="15.75" thickBot="1" x14ac:dyDescent="0.3">
      <c r="A92" s="26">
        <v>5</v>
      </c>
      <c r="B92" s="27">
        <v>31</v>
      </c>
      <c r="C92" s="27" t="s">
        <v>221</v>
      </c>
      <c r="D92" s="28">
        <v>0</v>
      </c>
      <c r="E92" s="30"/>
      <c r="F92" s="27"/>
      <c r="G92" s="30"/>
      <c r="H92" s="29" t="s">
        <v>1456</v>
      </c>
      <c r="I92" s="34" t="s">
        <v>3090</v>
      </c>
    </row>
    <row r="93" spans="1:9" x14ac:dyDescent="0.25">
      <c r="A93" s="18">
        <v>6</v>
      </c>
      <c r="B93" s="19">
        <v>34</v>
      </c>
      <c r="C93" s="19" t="s">
        <v>186</v>
      </c>
      <c r="D93" s="20">
        <v>2</v>
      </c>
      <c r="E93" s="22" t="s">
        <v>3168</v>
      </c>
      <c r="F93" s="19" t="s">
        <v>3153</v>
      </c>
      <c r="G93" s="22" t="s">
        <v>3161</v>
      </c>
      <c r="H93" s="21" t="s">
        <v>1457</v>
      </c>
      <c r="I93" s="32" t="s">
        <v>3160</v>
      </c>
    </row>
    <row r="94" spans="1:9" x14ac:dyDescent="0.25">
      <c r="A94" s="24">
        <v>6</v>
      </c>
      <c r="B94" s="2">
        <v>34</v>
      </c>
      <c r="C94" s="2" t="s">
        <v>192</v>
      </c>
      <c r="D94" s="3">
        <v>2</v>
      </c>
      <c r="E94" t="s">
        <v>3169</v>
      </c>
      <c r="F94" s="2" t="s">
        <v>3154</v>
      </c>
      <c r="G94" t="s">
        <v>3163</v>
      </c>
      <c r="H94" s="1" t="s">
        <v>1456</v>
      </c>
      <c r="I94" s="33" t="s">
        <v>3162</v>
      </c>
    </row>
    <row r="95" spans="1:9" x14ac:dyDescent="0.25">
      <c r="A95" s="24">
        <v>6</v>
      </c>
      <c r="B95" s="2">
        <v>34</v>
      </c>
      <c r="C95" s="2" t="s">
        <v>198</v>
      </c>
      <c r="D95" s="3">
        <v>2</v>
      </c>
      <c r="E95" t="s">
        <v>3170</v>
      </c>
      <c r="F95" s="2" t="s">
        <v>3155</v>
      </c>
      <c r="G95" t="s">
        <v>3165</v>
      </c>
      <c r="H95" s="1" t="s">
        <v>1456</v>
      </c>
      <c r="I95" s="33" t="s">
        <v>3164</v>
      </c>
    </row>
    <row r="96" spans="1:9" x14ac:dyDescent="0.25">
      <c r="A96" s="24">
        <v>6</v>
      </c>
      <c r="B96" s="2">
        <v>34</v>
      </c>
      <c r="C96" s="2" t="s">
        <v>204</v>
      </c>
      <c r="D96" s="3">
        <v>0</v>
      </c>
      <c r="F96" s="2"/>
      <c r="H96" s="1" t="s">
        <v>1456</v>
      </c>
      <c r="I96" s="33" t="s">
        <v>3156</v>
      </c>
    </row>
    <row r="97" spans="1:9" x14ac:dyDescent="0.25">
      <c r="A97" s="24">
        <v>6</v>
      </c>
      <c r="B97" s="2">
        <v>34</v>
      </c>
      <c r="C97" s="2" t="s">
        <v>210</v>
      </c>
      <c r="D97" s="3">
        <v>0</v>
      </c>
      <c r="F97" s="2"/>
      <c r="H97" s="1" t="s">
        <v>1456</v>
      </c>
      <c r="I97" s="33" t="s">
        <v>3157</v>
      </c>
    </row>
    <row r="98" spans="1:9" x14ac:dyDescent="0.25">
      <c r="A98" s="24">
        <v>6</v>
      </c>
      <c r="B98" s="2">
        <v>34</v>
      </c>
      <c r="C98" s="2" t="s">
        <v>215</v>
      </c>
      <c r="D98" s="3">
        <v>0</v>
      </c>
      <c r="F98" s="2"/>
      <c r="H98" s="1" t="s">
        <v>1456</v>
      </c>
      <c r="I98" s="33" t="s">
        <v>3158</v>
      </c>
    </row>
    <row r="99" spans="1:9" ht="15.75" thickBot="1" x14ac:dyDescent="0.3">
      <c r="A99" s="26">
        <v>6</v>
      </c>
      <c r="B99" s="27">
        <v>34</v>
      </c>
      <c r="C99" s="27" t="s">
        <v>221</v>
      </c>
      <c r="D99" s="28">
        <v>1</v>
      </c>
      <c r="E99" s="30" t="s">
        <v>3171</v>
      </c>
      <c r="F99" s="27" t="s">
        <v>3159</v>
      </c>
      <c r="G99" s="30" t="s">
        <v>3167</v>
      </c>
      <c r="H99" s="29" t="s">
        <v>1457</v>
      </c>
      <c r="I99" s="34" t="s">
        <v>3166</v>
      </c>
    </row>
    <row r="100" spans="1:9" x14ac:dyDescent="0.25">
      <c r="A100" s="18">
        <v>6</v>
      </c>
      <c r="B100" s="19">
        <v>36</v>
      </c>
      <c r="C100" s="19" t="s">
        <v>186</v>
      </c>
      <c r="D100" s="20">
        <v>1</v>
      </c>
      <c r="E100" s="22" t="s">
        <v>3219</v>
      </c>
      <c r="F100" s="19" t="s">
        <v>3216</v>
      </c>
      <c r="G100" s="22" t="s">
        <v>3096</v>
      </c>
      <c r="H100" s="21" t="s">
        <v>1457</v>
      </c>
      <c r="I100" s="32" t="s">
        <v>3222</v>
      </c>
    </row>
    <row r="101" spans="1:9" x14ac:dyDescent="0.25">
      <c r="A101" s="24">
        <v>6</v>
      </c>
      <c r="B101" s="2">
        <v>36</v>
      </c>
      <c r="C101" s="2" t="s">
        <v>192</v>
      </c>
      <c r="D101" s="3">
        <v>1</v>
      </c>
      <c r="E101" t="s">
        <v>3220</v>
      </c>
      <c r="F101" s="2" t="s">
        <v>3216</v>
      </c>
      <c r="G101" t="s">
        <v>3224</v>
      </c>
      <c r="H101" s="1" t="s">
        <v>1457</v>
      </c>
      <c r="I101" s="33" t="s">
        <v>3223</v>
      </c>
    </row>
    <row r="102" spans="1:9" x14ac:dyDescent="0.25">
      <c r="A102" s="24">
        <v>6</v>
      </c>
      <c r="B102" s="2">
        <v>36</v>
      </c>
      <c r="C102" s="2" t="s">
        <v>198</v>
      </c>
      <c r="D102" s="3">
        <v>1</v>
      </c>
      <c r="E102" t="s">
        <v>3221</v>
      </c>
      <c r="F102" s="2" t="s">
        <v>3216</v>
      </c>
      <c r="G102" t="s">
        <v>3226</v>
      </c>
      <c r="H102" s="1" t="s">
        <v>1457</v>
      </c>
      <c r="I102" s="33" t="s">
        <v>3225</v>
      </c>
    </row>
    <row r="103" spans="1:9" x14ac:dyDescent="0.25">
      <c r="A103" s="24">
        <v>6</v>
      </c>
      <c r="B103" s="2">
        <v>36</v>
      </c>
      <c r="C103" s="2" t="s">
        <v>204</v>
      </c>
      <c r="D103" s="3">
        <v>0</v>
      </c>
      <c r="F103" s="2"/>
      <c r="H103" s="1" t="s">
        <v>1456</v>
      </c>
      <c r="I103" s="33" t="s">
        <v>3217</v>
      </c>
    </row>
    <row r="104" spans="1:9" x14ac:dyDescent="0.25">
      <c r="A104" s="24">
        <v>6</v>
      </c>
      <c r="B104" s="2">
        <v>36</v>
      </c>
      <c r="C104" s="2" t="s">
        <v>210</v>
      </c>
      <c r="D104" s="3">
        <v>0</v>
      </c>
      <c r="F104" s="2"/>
      <c r="H104" s="1" t="s">
        <v>1456</v>
      </c>
      <c r="I104" s="33" t="s">
        <v>3088</v>
      </c>
    </row>
    <row r="105" spans="1:9" x14ac:dyDescent="0.25">
      <c r="A105" s="24">
        <v>6</v>
      </c>
      <c r="B105" s="2">
        <v>36</v>
      </c>
      <c r="C105" s="2" t="s">
        <v>215</v>
      </c>
      <c r="D105" s="3">
        <v>0</v>
      </c>
      <c r="F105" s="2"/>
      <c r="H105" s="1" t="s">
        <v>1456</v>
      </c>
      <c r="I105" s="33" t="s">
        <v>3218</v>
      </c>
    </row>
    <row r="106" spans="1:9" ht="15.75" thickBot="1" x14ac:dyDescent="0.3">
      <c r="A106" s="26">
        <v>6</v>
      </c>
      <c r="B106" s="27">
        <v>36</v>
      </c>
      <c r="C106" s="27" t="s">
        <v>221</v>
      </c>
      <c r="D106" s="28">
        <v>0</v>
      </c>
      <c r="E106" s="30"/>
      <c r="F106" s="27"/>
      <c r="G106" s="30"/>
      <c r="H106" s="29" t="s">
        <v>1456</v>
      </c>
      <c r="I106" s="34" t="s">
        <v>2874</v>
      </c>
    </row>
    <row r="107" spans="1:9" x14ac:dyDescent="0.25">
      <c r="A107" s="18">
        <v>7</v>
      </c>
      <c r="B107" s="19">
        <v>37</v>
      </c>
      <c r="C107" s="19" t="s">
        <v>186</v>
      </c>
      <c r="D107" s="20">
        <v>2</v>
      </c>
      <c r="E107" s="22" t="s">
        <v>3304</v>
      </c>
      <c r="F107" s="19" t="s">
        <v>3216</v>
      </c>
      <c r="G107" s="22" t="s">
        <v>3161</v>
      </c>
      <c r="H107" s="21" t="s">
        <v>1456</v>
      </c>
      <c r="I107" s="32" t="s">
        <v>3295</v>
      </c>
    </row>
    <row r="108" spans="1:9" x14ac:dyDescent="0.25">
      <c r="A108" s="24">
        <v>7</v>
      </c>
      <c r="B108" s="2">
        <v>37</v>
      </c>
      <c r="C108" s="2" t="s">
        <v>192</v>
      </c>
      <c r="D108" s="3">
        <v>2</v>
      </c>
      <c r="E108" t="s">
        <v>3305</v>
      </c>
      <c r="F108" s="2" t="s">
        <v>2602</v>
      </c>
      <c r="G108" t="s">
        <v>3297</v>
      </c>
      <c r="H108" s="1" t="s">
        <v>1456</v>
      </c>
      <c r="I108" s="33" t="s">
        <v>3296</v>
      </c>
    </row>
    <row r="109" spans="1:9" x14ac:dyDescent="0.25">
      <c r="A109" s="24">
        <v>7</v>
      </c>
      <c r="B109" s="2">
        <v>37</v>
      </c>
      <c r="C109" s="2" t="s">
        <v>198</v>
      </c>
      <c r="D109" s="3">
        <v>2</v>
      </c>
      <c r="E109" t="s">
        <v>3306</v>
      </c>
      <c r="F109" s="2" t="s">
        <v>3291</v>
      </c>
      <c r="G109" t="s">
        <v>3299</v>
      </c>
      <c r="H109" s="1" t="s">
        <v>1456</v>
      </c>
      <c r="I109" s="33" t="s">
        <v>3298</v>
      </c>
    </row>
    <row r="110" spans="1:9" x14ac:dyDescent="0.25">
      <c r="A110" s="24">
        <v>7</v>
      </c>
      <c r="B110" s="2">
        <v>37</v>
      </c>
      <c r="C110" s="2" t="s">
        <v>204</v>
      </c>
      <c r="D110" s="3">
        <v>0</v>
      </c>
      <c r="F110" s="2"/>
      <c r="H110" s="1" t="s">
        <v>1456</v>
      </c>
      <c r="I110" s="33" t="s">
        <v>3292</v>
      </c>
    </row>
    <row r="111" spans="1:9" x14ac:dyDescent="0.25">
      <c r="A111" s="24">
        <v>7</v>
      </c>
      <c r="B111" s="2">
        <v>37</v>
      </c>
      <c r="C111" s="2" t="s">
        <v>210</v>
      </c>
      <c r="D111" s="3">
        <v>1</v>
      </c>
      <c r="E111" t="s">
        <v>3307</v>
      </c>
      <c r="F111" s="2" t="s">
        <v>3293</v>
      </c>
      <c r="G111" t="s">
        <v>3301</v>
      </c>
      <c r="H111" s="1" t="s">
        <v>1457</v>
      </c>
      <c r="I111" s="33" t="s">
        <v>3300</v>
      </c>
    </row>
    <row r="112" spans="1:9" x14ac:dyDescent="0.25">
      <c r="A112" s="24">
        <v>7</v>
      </c>
      <c r="B112" s="2">
        <v>37</v>
      </c>
      <c r="C112" s="2" t="s">
        <v>215</v>
      </c>
      <c r="D112" s="3">
        <v>0</v>
      </c>
      <c r="F112" s="2"/>
      <c r="H112" s="1" t="s">
        <v>1456</v>
      </c>
      <c r="I112" s="33" t="s">
        <v>3294</v>
      </c>
    </row>
    <row r="113" spans="1:9" ht="15.75" thickBot="1" x14ac:dyDescent="0.3">
      <c r="A113" s="26">
        <v>7</v>
      </c>
      <c r="B113" s="27">
        <v>37</v>
      </c>
      <c r="C113" s="27" t="s">
        <v>221</v>
      </c>
      <c r="D113" s="28">
        <v>1</v>
      </c>
      <c r="E113" s="30" t="s">
        <v>3308</v>
      </c>
      <c r="F113" s="27" t="s">
        <v>3216</v>
      </c>
      <c r="G113" s="30" t="s">
        <v>3303</v>
      </c>
      <c r="H113" s="29" t="s">
        <v>1457</v>
      </c>
      <c r="I113" s="34" t="s">
        <v>3302</v>
      </c>
    </row>
    <row r="114" spans="1:9" x14ac:dyDescent="0.25">
      <c r="A114" s="18">
        <v>7</v>
      </c>
      <c r="B114" s="19">
        <v>38</v>
      </c>
      <c r="C114" s="19" t="s">
        <v>186</v>
      </c>
      <c r="D114" s="20">
        <v>0</v>
      </c>
      <c r="E114" s="22"/>
      <c r="F114" s="19"/>
      <c r="G114" s="22"/>
      <c r="H114" s="21" t="s">
        <v>1456</v>
      </c>
      <c r="I114" s="32" t="s">
        <v>3349</v>
      </c>
    </row>
    <row r="115" spans="1:9" x14ac:dyDescent="0.25">
      <c r="A115" s="24">
        <v>7</v>
      </c>
      <c r="B115" s="2">
        <v>38</v>
      </c>
      <c r="C115" s="2" t="s">
        <v>192</v>
      </c>
      <c r="D115" s="3">
        <v>0</v>
      </c>
      <c r="F115" s="2"/>
      <c r="H115" s="1" t="s">
        <v>1456</v>
      </c>
      <c r="I115" s="33" t="s">
        <v>3350</v>
      </c>
    </row>
    <row r="116" spans="1:9" x14ac:dyDescent="0.25">
      <c r="A116" s="24">
        <v>7</v>
      </c>
      <c r="B116" s="2">
        <v>38</v>
      </c>
      <c r="C116" s="2" t="s">
        <v>198</v>
      </c>
      <c r="D116" s="3">
        <v>1</v>
      </c>
      <c r="E116" t="s">
        <v>3356</v>
      </c>
      <c r="F116" s="2" t="s">
        <v>3193</v>
      </c>
      <c r="G116" t="s">
        <v>3352</v>
      </c>
      <c r="H116" s="1" t="s">
        <v>1541</v>
      </c>
      <c r="I116" s="33" t="s">
        <v>3353</v>
      </c>
    </row>
    <row r="117" spans="1:9" x14ac:dyDescent="0.25">
      <c r="A117" s="24">
        <v>7</v>
      </c>
      <c r="B117" s="2">
        <v>38</v>
      </c>
      <c r="C117" s="2" t="s">
        <v>204</v>
      </c>
      <c r="D117" s="3">
        <v>0</v>
      </c>
      <c r="F117" s="2"/>
      <c r="H117" s="1" t="s">
        <v>1456</v>
      </c>
      <c r="I117" s="33" t="s">
        <v>3351</v>
      </c>
    </row>
    <row r="118" spans="1:9" x14ac:dyDescent="0.25">
      <c r="A118" s="24">
        <v>7</v>
      </c>
      <c r="B118" s="2">
        <v>38</v>
      </c>
      <c r="C118" s="2" t="s">
        <v>210</v>
      </c>
      <c r="D118" s="3">
        <v>1</v>
      </c>
      <c r="E118" t="s">
        <v>3357</v>
      </c>
      <c r="F118" s="2" t="s">
        <v>3193</v>
      </c>
      <c r="G118" t="s">
        <v>3355</v>
      </c>
      <c r="H118" s="1" t="s">
        <v>1456</v>
      </c>
      <c r="I118" s="33" t="s">
        <v>3354</v>
      </c>
    </row>
    <row r="119" spans="1:9" x14ac:dyDescent="0.25">
      <c r="A119" s="24">
        <v>7</v>
      </c>
      <c r="B119" s="2">
        <v>38</v>
      </c>
      <c r="C119" s="2" t="s">
        <v>215</v>
      </c>
      <c r="D119" s="3">
        <v>0</v>
      </c>
      <c r="F119" s="2"/>
      <c r="H119" s="1" t="s">
        <v>1456</v>
      </c>
      <c r="I119" s="33" t="s">
        <v>3218</v>
      </c>
    </row>
    <row r="120" spans="1:9" ht="15.75" thickBot="1" x14ac:dyDescent="0.3">
      <c r="A120" s="26">
        <v>7</v>
      </c>
      <c r="B120" s="27">
        <v>38</v>
      </c>
      <c r="C120" s="27" t="s">
        <v>221</v>
      </c>
      <c r="D120" s="28">
        <v>0</v>
      </c>
      <c r="E120" s="30"/>
      <c r="F120" s="27"/>
      <c r="G120" s="30"/>
      <c r="H120" s="29" t="s">
        <v>1456</v>
      </c>
      <c r="I120" s="34" t="s">
        <v>2874</v>
      </c>
    </row>
    <row r="121" spans="1:9" x14ac:dyDescent="0.25">
      <c r="A121" s="18">
        <v>9</v>
      </c>
      <c r="B121" s="19">
        <v>46</v>
      </c>
      <c r="C121" s="19" t="s">
        <v>186</v>
      </c>
      <c r="D121" s="20">
        <v>2</v>
      </c>
      <c r="E121" s="22" t="s">
        <v>3417</v>
      </c>
      <c r="F121" s="19" t="s">
        <v>2698</v>
      </c>
      <c r="G121" s="22"/>
      <c r="H121" s="21" t="s">
        <v>1456</v>
      </c>
      <c r="I121" s="32" t="s">
        <v>3411</v>
      </c>
    </row>
    <row r="122" spans="1:9" x14ac:dyDescent="0.25">
      <c r="A122" s="24">
        <v>9</v>
      </c>
      <c r="B122" s="2">
        <v>46</v>
      </c>
      <c r="C122" s="2" t="s">
        <v>192</v>
      </c>
      <c r="D122" s="3">
        <v>2</v>
      </c>
      <c r="E122" t="s">
        <v>3418</v>
      </c>
      <c r="F122" s="2" t="s">
        <v>2698</v>
      </c>
      <c r="H122" s="1" t="s">
        <v>1456</v>
      </c>
      <c r="I122" s="33" t="s">
        <v>3412</v>
      </c>
    </row>
    <row r="123" spans="1:9" x14ac:dyDescent="0.25">
      <c r="A123" s="24">
        <v>9</v>
      </c>
      <c r="B123" s="2">
        <v>46</v>
      </c>
      <c r="C123" s="2" t="s">
        <v>198</v>
      </c>
      <c r="D123" s="3">
        <v>2</v>
      </c>
      <c r="E123" t="s">
        <v>3419</v>
      </c>
      <c r="F123" s="2" t="s">
        <v>3256</v>
      </c>
      <c r="H123" s="1" t="s">
        <v>1457</v>
      </c>
      <c r="I123" s="33" t="s">
        <v>3413</v>
      </c>
    </row>
    <row r="124" spans="1:9" x14ac:dyDescent="0.25">
      <c r="A124" s="24">
        <v>9</v>
      </c>
      <c r="B124" s="2">
        <v>46</v>
      </c>
      <c r="C124" s="2" t="s">
        <v>204</v>
      </c>
      <c r="D124" s="3">
        <v>0</v>
      </c>
      <c r="F124" s="2"/>
      <c r="H124" s="1" t="s">
        <v>1456</v>
      </c>
      <c r="I124" s="33" t="s">
        <v>3414</v>
      </c>
    </row>
    <row r="125" spans="1:9" x14ac:dyDescent="0.25">
      <c r="A125" s="24">
        <v>9</v>
      </c>
      <c r="B125" s="2">
        <v>46</v>
      </c>
      <c r="C125" s="2" t="s">
        <v>210</v>
      </c>
      <c r="D125" s="3">
        <v>1</v>
      </c>
      <c r="E125" t="s">
        <v>3420</v>
      </c>
      <c r="F125" s="2" t="s">
        <v>3293</v>
      </c>
      <c r="G125" t="s">
        <v>3421</v>
      </c>
      <c r="H125" s="1" t="s">
        <v>1457</v>
      </c>
      <c r="I125" s="33" t="s">
        <v>3422</v>
      </c>
    </row>
    <row r="126" spans="1:9" x14ac:dyDescent="0.25">
      <c r="A126" s="24">
        <v>9</v>
      </c>
      <c r="B126" s="2">
        <v>46</v>
      </c>
      <c r="C126" s="2" t="s">
        <v>215</v>
      </c>
      <c r="D126" s="3">
        <v>0</v>
      </c>
      <c r="F126" s="2"/>
      <c r="H126" s="1" t="s">
        <v>1456</v>
      </c>
      <c r="I126" s="33" t="s">
        <v>3415</v>
      </c>
    </row>
    <row r="127" spans="1:9" ht="15.75" thickBot="1" x14ac:dyDescent="0.3">
      <c r="A127" s="26">
        <v>9</v>
      </c>
      <c r="B127" s="27">
        <v>46</v>
      </c>
      <c r="C127" s="27" t="s">
        <v>221</v>
      </c>
      <c r="D127" s="28">
        <v>0</v>
      </c>
      <c r="E127" s="30"/>
      <c r="F127" s="27"/>
      <c r="G127" s="30"/>
      <c r="H127" s="29" t="s">
        <v>1456</v>
      </c>
      <c r="I127" s="34" t="s">
        <v>3416</v>
      </c>
    </row>
    <row r="128" spans="1:9" x14ac:dyDescent="0.25">
      <c r="A128" s="18">
        <v>9</v>
      </c>
      <c r="B128" s="19">
        <v>48</v>
      </c>
      <c r="C128" s="19" t="s">
        <v>186</v>
      </c>
      <c r="D128" s="20">
        <v>2</v>
      </c>
      <c r="E128" t="s">
        <v>3496</v>
      </c>
      <c r="F128" s="19" t="s">
        <v>3483</v>
      </c>
      <c r="G128" s="22"/>
      <c r="H128" s="21" t="s">
        <v>1456</v>
      </c>
      <c r="I128" s="32" t="s">
        <v>3484</v>
      </c>
    </row>
    <row r="129" spans="1:9" x14ac:dyDescent="0.25">
      <c r="A129" s="24">
        <v>9</v>
      </c>
      <c r="B129" s="2">
        <v>48</v>
      </c>
      <c r="C129" s="2" t="s">
        <v>192</v>
      </c>
      <c r="D129" s="3">
        <v>2</v>
      </c>
      <c r="E129" t="s">
        <v>3497</v>
      </c>
      <c r="F129" s="2" t="s">
        <v>3485</v>
      </c>
      <c r="G129" t="s">
        <v>3491</v>
      </c>
      <c r="H129" s="1" t="s">
        <v>1456</v>
      </c>
      <c r="I129" s="33" t="s">
        <v>3490</v>
      </c>
    </row>
    <row r="130" spans="1:9" x14ac:dyDescent="0.25">
      <c r="A130" s="24">
        <v>9</v>
      </c>
      <c r="B130" s="2">
        <v>48</v>
      </c>
      <c r="C130" s="2" t="s">
        <v>198</v>
      </c>
      <c r="D130" s="3">
        <v>2</v>
      </c>
      <c r="E130" t="s">
        <v>3494</v>
      </c>
      <c r="F130" s="2" t="s">
        <v>2833</v>
      </c>
      <c r="G130" t="s">
        <v>3493</v>
      </c>
      <c r="H130" s="1" t="s">
        <v>1457</v>
      </c>
      <c r="I130" s="33" t="s">
        <v>3492</v>
      </c>
    </row>
    <row r="131" spans="1:9" x14ac:dyDescent="0.25">
      <c r="A131" s="24">
        <v>9</v>
      </c>
      <c r="B131" s="2">
        <v>48</v>
      </c>
      <c r="C131" s="2" t="s">
        <v>204</v>
      </c>
      <c r="D131" s="3">
        <v>2</v>
      </c>
      <c r="E131" t="s">
        <v>3495</v>
      </c>
      <c r="F131" s="2" t="s">
        <v>1400</v>
      </c>
      <c r="H131" s="1" t="s">
        <v>1456</v>
      </c>
      <c r="I131" s="33" t="s">
        <v>3486</v>
      </c>
    </row>
    <row r="132" spans="1:9" x14ac:dyDescent="0.25">
      <c r="A132" s="24">
        <v>9</v>
      </c>
      <c r="B132" s="2">
        <v>48</v>
      </c>
      <c r="C132" s="2" t="s">
        <v>210</v>
      </c>
      <c r="D132" s="3">
        <v>0</v>
      </c>
      <c r="F132" s="2"/>
      <c r="H132" s="1" t="s">
        <v>1456</v>
      </c>
      <c r="I132" s="33" t="s">
        <v>3487</v>
      </c>
    </row>
    <row r="133" spans="1:9" x14ac:dyDescent="0.25">
      <c r="A133" s="24">
        <v>9</v>
      </c>
      <c r="B133" s="2">
        <v>48</v>
      </c>
      <c r="C133" s="2" t="s">
        <v>215</v>
      </c>
      <c r="D133" s="3">
        <v>0</v>
      </c>
      <c r="F133" s="2"/>
      <c r="H133" s="1" t="s">
        <v>1456</v>
      </c>
      <c r="I133" s="33" t="s">
        <v>3488</v>
      </c>
    </row>
    <row r="134" spans="1:9" ht="15.75" thickBot="1" x14ac:dyDescent="0.3">
      <c r="A134" s="26">
        <v>9</v>
      </c>
      <c r="B134" s="27">
        <v>48</v>
      </c>
      <c r="C134" s="27" t="s">
        <v>221</v>
      </c>
      <c r="D134" s="28">
        <v>0</v>
      </c>
      <c r="E134" s="30"/>
      <c r="F134" s="27"/>
      <c r="G134" s="30"/>
      <c r="H134" s="29" t="s">
        <v>1456</v>
      </c>
      <c r="I134" s="34" t="s">
        <v>3489</v>
      </c>
    </row>
    <row r="135" spans="1:9" x14ac:dyDescent="0.25">
      <c r="A135" s="18">
        <v>10</v>
      </c>
      <c r="B135" s="19">
        <v>52</v>
      </c>
      <c r="C135" s="19" t="s">
        <v>186</v>
      </c>
      <c r="D135" s="20">
        <v>0</v>
      </c>
      <c r="E135" s="22"/>
      <c r="F135" s="19"/>
      <c r="G135" s="22"/>
      <c r="H135" s="21" t="s">
        <v>1457</v>
      </c>
      <c r="I135" s="32" t="s">
        <v>3538</v>
      </c>
    </row>
    <row r="136" spans="1:9" x14ac:dyDescent="0.25">
      <c r="A136" s="24">
        <v>10</v>
      </c>
      <c r="B136" s="2">
        <v>52</v>
      </c>
      <c r="C136" s="2" t="s">
        <v>192</v>
      </c>
      <c r="D136" s="3">
        <v>1</v>
      </c>
      <c r="E136" t="s">
        <v>3544</v>
      </c>
      <c r="F136" s="2" t="s">
        <v>3514</v>
      </c>
      <c r="G136" t="s">
        <v>3546</v>
      </c>
      <c r="H136" s="1" t="s">
        <v>1457</v>
      </c>
      <c r="I136" s="33" t="s">
        <v>3545</v>
      </c>
    </row>
    <row r="137" spans="1:9" x14ac:dyDescent="0.25">
      <c r="A137" s="24">
        <v>10</v>
      </c>
      <c r="B137" s="2">
        <v>52</v>
      </c>
      <c r="C137" s="2" t="s">
        <v>198</v>
      </c>
      <c r="D137" s="3">
        <v>0</v>
      </c>
      <c r="F137" s="2"/>
      <c r="H137" s="1" t="s">
        <v>1456</v>
      </c>
      <c r="I137" s="33" t="s">
        <v>3539</v>
      </c>
    </row>
    <row r="138" spans="1:9" x14ac:dyDescent="0.25">
      <c r="A138" s="24">
        <v>10</v>
      </c>
      <c r="B138" s="2">
        <v>52</v>
      </c>
      <c r="C138" s="2" t="s">
        <v>204</v>
      </c>
      <c r="D138" s="3">
        <v>0</v>
      </c>
      <c r="F138" s="2"/>
      <c r="H138" s="1" t="s">
        <v>1456</v>
      </c>
      <c r="I138" s="33" t="s">
        <v>3540</v>
      </c>
    </row>
    <row r="139" spans="1:9" x14ac:dyDescent="0.25">
      <c r="A139" s="24">
        <v>10</v>
      </c>
      <c r="B139" s="2">
        <v>52</v>
      </c>
      <c r="C139" s="2" t="s">
        <v>210</v>
      </c>
      <c r="D139" s="3">
        <v>0</v>
      </c>
      <c r="F139" s="2"/>
      <c r="H139" s="1" t="s">
        <v>1456</v>
      </c>
      <c r="I139" s="33" t="s">
        <v>3541</v>
      </c>
    </row>
    <row r="140" spans="1:9" x14ac:dyDescent="0.25">
      <c r="A140" s="24">
        <v>10</v>
      </c>
      <c r="B140" s="2">
        <v>52</v>
      </c>
      <c r="C140" s="2" t="s">
        <v>215</v>
      </c>
      <c r="D140" s="3">
        <v>1</v>
      </c>
      <c r="E140" t="s">
        <v>3543</v>
      </c>
      <c r="F140" s="2" t="s">
        <v>3514</v>
      </c>
      <c r="G140" t="s">
        <v>3548</v>
      </c>
      <c r="H140" s="1" t="s">
        <v>1456</v>
      </c>
      <c r="I140" s="33" t="s">
        <v>3547</v>
      </c>
    </row>
    <row r="141" spans="1:9" ht="15.75" thickBot="1" x14ac:dyDescent="0.3">
      <c r="A141" s="26">
        <v>10</v>
      </c>
      <c r="B141" s="27">
        <v>52</v>
      </c>
      <c r="C141" s="27" t="s">
        <v>221</v>
      </c>
      <c r="D141" s="28">
        <v>0</v>
      </c>
      <c r="E141" s="30"/>
      <c r="F141" s="27"/>
      <c r="G141" s="30"/>
      <c r="H141" s="29" t="s">
        <v>1456</v>
      </c>
      <c r="I141" s="34" t="s">
        <v>3542</v>
      </c>
    </row>
    <row r="142" spans="1:9" x14ac:dyDescent="0.25">
      <c r="A142" s="18">
        <v>10</v>
      </c>
      <c r="B142" s="19">
        <v>53</v>
      </c>
      <c r="C142" s="19" t="s">
        <v>186</v>
      </c>
      <c r="D142" s="20">
        <v>0</v>
      </c>
      <c r="E142" s="22"/>
      <c r="F142" s="19"/>
      <c r="G142" s="22"/>
      <c r="H142" s="21" t="s">
        <v>1456</v>
      </c>
      <c r="I142" s="32" t="s">
        <v>3591</v>
      </c>
    </row>
    <row r="143" spans="1:9" x14ac:dyDescent="0.25">
      <c r="A143" s="24">
        <v>10</v>
      </c>
      <c r="B143" s="2">
        <v>53</v>
      </c>
      <c r="C143" s="2" t="s">
        <v>192</v>
      </c>
      <c r="D143" s="3">
        <v>0</v>
      </c>
      <c r="F143" s="2"/>
      <c r="H143" s="1" t="s">
        <v>1457</v>
      </c>
      <c r="I143" s="33" t="s">
        <v>3592</v>
      </c>
    </row>
    <row r="144" spans="1:9" x14ac:dyDescent="0.25">
      <c r="A144" s="24">
        <v>10</v>
      </c>
      <c r="B144" s="2">
        <v>53</v>
      </c>
      <c r="C144" s="2" t="s">
        <v>198</v>
      </c>
      <c r="D144" s="3">
        <v>0</v>
      </c>
      <c r="F144" s="2"/>
      <c r="H144" s="1" t="s">
        <v>1456</v>
      </c>
      <c r="I144" s="33" t="s">
        <v>3593</v>
      </c>
    </row>
    <row r="145" spans="1:9" x14ac:dyDescent="0.25">
      <c r="A145" s="24">
        <v>10</v>
      </c>
      <c r="B145" s="2">
        <v>53</v>
      </c>
      <c r="C145" s="2" t="s">
        <v>204</v>
      </c>
      <c r="D145" s="3">
        <v>0</v>
      </c>
      <c r="F145" s="2"/>
      <c r="H145" s="1" t="s">
        <v>1457</v>
      </c>
      <c r="I145" s="33" t="s">
        <v>3594</v>
      </c>
    </row>
    <row r="146" spans="1:9" x14ac:dyDescent="0.25">
      <c r="A146" s="24">
        <v>10</v>
      </c>
      <c r="B146" s="2">
        <v>53</v>
      </c>
      <c r="C146" s="2" t="s">
        <v>210</v>
      </c>
      <c r="D146" s="3">
        <v>0</v>
      </c>
      <c r="F146" s="2"/>
      <c r="H146" s="1" t="s">
        <v>1457</v>
      </c>
      <c r="I146" s="33" t="s">
        <v>3595</v>
      </c>
    </row>
    <row r="147" spans="1:9" x14ac:dyDescent="0.25">
      <c r="A147" s="24">
        <v>10</v>
      </c>
      <c r="B147" s="2">
        <v>53</v>
      </c>
      <c r="C147" s="2" t="s">
        <v>215</v>
      </c>
      <c r="D147" s="3">
        <v>0</v>
      </c>
      <c r="F147" s="2"/>
      <c r="H147" s="1" t="s">
        <v>1457</v>
      </c>
      <c r="I147" s="33" t="s">
        <v>3596</v>
      </c>
    </row>
    <row r="148" spans="1:9" ht="15.75" thickBot="1" x14ac:dyDescent="0.3">
      <c r="A148" s="26">
        <v>10</v>
      </c>
      <c r="B148" s="27">
        <v>53</v>
      </c>
      <c r="C148" s="27" t="s">
        <v>221</v>
      </c>
      <c r="D148" s="28">
        <v>0</v>
      </c>
      <c r="E148" s="30"/>
      <c r="F148" s="27"/>
      <c r="G148" s="30"/>
      <c r="H148" s="29" t="s">
        <v>1456</v>
      </c>
      <c r="I148" s="34" t="s">
        <v>3542</v>
      </c>
    </row>
    <row r="149" spans="1:9" x14ac:dyDescent="0.25">
      <c r="A149" s="18">
        <v>11</v>
      </c>
      <c r="B149" s="19">
        <v>56</v>
      </c>
      <c r="C149" s="19" t="s">
        <v>186</v>
      </c>
      <c r="D149" s="20">
        <v>0</v>
      </c>
      <c r="E149" s="22"/>
      <c r="F149" s="19"/>
      <c r="G149" s="22"/>
      <c r="H149" s="21" t="s">
        <v>1456</v>
      </c>
      <c r="I149" s="32" t="s">
        <v>3642</v>
      </c>
    </row>
    <row r="150" spans="1:9" x14ac:dyDescent="0.25">
      <c r="A150" s="24">
        <v>11</v>
      </c>
      <c r="B150" s="2">
        <v>56</v>
      </c>
      <c r="C150" s="2" t="s">
        <v>192</v>
      </c>
      <c r="D150" s="3">
        <v>0</v>
      </c>
      <c r="F150" s="2"/>
      <c r="H150" s="1" t="s">
        <v>1457</v>
      </c>
      <c r="I150" s="33" t="s">
        <v>3643</v>
      </c>
    </row>
    <row r="151" spans="1:9" x14ac:dyDescent="0.25">
      <c r="A151" s="24">
        <v>11</v>
      </c>
      <c r="B151" s="2">
        <v>56</v>
      </c>
      <c r="C151" s="2" t="s">
        <v>198</v>
      </c>
      <c r="D151" s="3">
        <v>0</v>
      </c>
      <c r="F151" s="2"/>
      <c r="H151" s="1" t="s">
        <v>1456</v>
      </c>
      <c r="I151" s="33" t="s">
        <v>3539</v>
      </c>
    </row>
    <row r="152" spans="1:9" x14ac:dyDescent="0.25">
      <c r="A152" s="24">
        <v>11</v>
      </c>
      <c r="B152" s="2">
        <v>56</v>
      </c>
      <c r="C152" s="2" t="s">
        <v>204</v>
      </c>
      <c r="D152" s="3">
        <v>0</v>
      </c>
      <c r="F152" s="2"/>
      <c r="H152" s="1" t="s">
        <v>1456</v>
      </c>
      <c r="I152" s="33" t="s">
        <v>3644</v>
      </c>
    </row>
    <row r="153" spans="1:9" x14ac:dyDescent="0.25">
      <c r="A153" s="24">
        <v>11</v>
      </c>
      <c r="B153" s="2">
        <v>56</v>
      </c>
      <c r="C153" s="2" t="s">
        <v>210</v>
      </c>
      <c r="D153" s="3">
        <v>0</v>
      </c>
      <c r="F153" s="2"/>
      <c r="H153" s="1" t="s">
        <v>1457</v>
      </c>
      <c r="I153" s="33" t="s">
        <v>3645</v>
      </c>
    </row>
    <row r="154" spans="1:9" x14ac:dyDescent="0.25">
      <c r="A154" s="24">
        <v>11</v>
      </c>
      <c r="B154" s="2">
        <v>56</v>
      </c>
      <c r="C154" s="2" t="s">
        <v>215</v>
      </c>
      <c r="D154" s="3">
        <v>0</v>
      </c>
      <c r="F154" s="2"/>
      <c r="H154" s="1" t="s">
        <v>1457</v>
      </c>
      <c r="I154" s="33" t="s">
        <v>3646</v>
      </c>
    </row>
    <row r="155" spans="1:9" ht="15.75" thickBot="1" x14ac:dyDescent="0.3">
      <c r="A155" s="26">
        <v>11</v>
      </c>
      <c r="B155" s="27">
        <v>56</v>
      </c>
      <c r="C155" s="27" t="s">
        <v>221</v>
      </c>
      <c r="D155" s="28">
        <v>0</v>
      </c>
      <c r="E155" s="30"/>
      <c r="F155" s="27"/>
      <c r="G155" s="30"/>
      <c r="H155" s="29" t="s">
        <v>1456</v>
      </c>
      <c r="I155" s="34" t="s">
        <v>3542</v>
      </c>
    </row>
    <row r="156" spans="1:9" x14ac:dyDescent="0.25">
      <c r="A156" s="18">
        <v>11</v>
      </c>
      <c r="B156" s="19">
        <v>57</v>
      </c>
      <c r="C156" s="19" t="s">
        <v>186</v>
      </c>
      <c r="D156" s="20">
        <v>0</v>
      </c>
      <c r="E156" s="22"/>
      <c r="F156" s="19"/>
      <c r="G156" s="22"/>
      <c r="H156" s="21" t="s">
        <v>1456</v>
      </c>
      <c r="I156" s="32" t="s">
        <v>3642</v>
      </c>
    </row>
    <row r="157" spans="1:9" x14ac:dyDescent="0.25">
      <c r="A157" s="24">
        <v>11</v>
      </c>
      <c r="B157" s="2">
        <v>57</v>
      </c>
      <c r="C157" s="2" t="s">
        <v>192</v>
      </c>
      <c r="D157" s="3">
        <v>1</v>
      </c>
      <c r="E157" t="s">
        <v>3660</v>
      </c>
      <c r="F157" s="2" t="s">
        <v>3673</v>
      </c>
      <c r="G157" s="33" t="s">
        <v>3683</v>
      </c>
      <c r="H157" s="1" t="s">
        <v>1457</v>
      </c>
    </row>
    <row r="158" spans="1:9" x14ac:dyDescent="0.25">
      <c r="A158" s="24">
        <v>11</v>
      </c>
      <c r="B158" s="2">
        <v>57</v>
      </c>
      <c r="C158" s="2" t="s">
        <v>198</v>
      </c>
      <c r="D158" s="3">
        <v>0</v>
      </c>
      <c r="F158" s="2"/>
      <c r="H158" s="1" t="s">
        <v>1456</v>
      </c>
      <c r="I158" s="33" t="s">
        <v>3539</v>
      </c>
    </row>
    <row r="159" spans="1:9" x14ac:dyDescent="0.25">
      <c r="A159" s="24">
        <v>11</v>
      </c>
      <c r="B159" s="2">
        <v>57</v>
      </c>
      <c r="C159" s="2" t="s">
        <v>204</v>
      </c>
      <c r="D159" s="3">
        <v>0</v>
      </c>
      <c r="F159" s="2"/>
      <c r="H159" s="1" t="s">
        <v>1456</v>
      </c>
      <c r="I159" s="33" t="s">
        <v>3644</v>
      </c>
    </row>
    <row r="160" spans="1:9" x14ac:dyDescent="0.25">
      <c r="A160" s="24">
        <v>11</v>
      </c>
      <c r="B160" s="2">
        <v>57</v>
      </c>
      <c r="C160" s="2" t="s">
        <v>210</v>
      </c>
      <c r="D160" s="3">
        <v>0</v>
      </c>
      <c r="F160" s="2"/>
      <c r="H160" s="1" t="s">
        <v>1457</v>
      </c>
      <c r="I160" s="33" t="s">
        <v>3684</v>
      </c>
    </row>
    <row r="161" spans="1:9" x14ac:dyDescent="0.25">
      <c r="A161" s="24">
        <v>11</v>
      </c>
      <c r="B161" s="2">
        <v>57</v>
      </c>
      <c r="C161" s="2" t="s">
        <v>215</v>
      </c>
      <c r="D161" s="3">
        <v>0</v>
      </c>
      <c r="F161" s="2"/>
      <c r="H161" s="1" t="s">
        <v>1457</v>
      </c>
      <c r="I161" s="33" t="s">
        <v>3685</v>
      </c>
    </row>
    <row r="162" spans="1:9" ht="15.75" thickBot="1" x14ac:dyDescent="0.3">
      <c r="A162" s="26">
        <v>11</v>
      </c>
      <c r="B162" s="27">
        <v>57</v>
      </c>
      <c r="C162" s="27" t="s">
        <v>221</v>
      </c>
      <c r="D162" s="28">
        <v>0</v>
      </c>
      <c r="E162" s="30"/>
      <c r="F162" s="27"/>
      <c r="G162" s="30"/>
      <c r="H162" s="29" t="s">
        <v>1456</v>
      </c>
      <c r="I162" s="34" t="s">
        <v>3542</v>
      </c>
    </row>
    <row r="163" spans="1:9" x14ac:dyDescent="0.25">
      <c r="A163" s="18">
        <v>12</v>
      </c>
      <c r="B163" s="19">
        <v>62</v>
      </c>
      <c r="C163" s="19" t="s">
        <v>186</v>
      </c>
      <c r="D163" s="20">
        <v>0</v>
      </c>
      <c r="E163" s="22"/>
      <c r="F163" s="19"/>
      <c r="G163" s="22"/>
      <c r="H163" s="21" t="s">
        <v>1457</v>
      </c>
      <c r="I163" s="32" t="s">
        <v>3849</v>
      </c>
    </row>
    <row r="164" spans="1:9" x14ac:dyDescent="0.25">
      <c r="A164" s="24">
        <v>12</v>
      </c>
      <c r="B164" s="2">
        <v>62</v>
      </c>
      <c r="C164" s="2" t="s">
        <v>192</v>
      </c>
      <c r="D164" s="3">
        <v>1</v>
      </c>
      <c r="E164" t="s">
        <v>3859</v>
      </c>
      <c r="F164" s="2" t="s">
        <v>3806</v>
      </c>
      <c r="G164" t="s">
        <v>3853</v>
      </c>
      <c r="H164" s="1" t="s">
        <v>1457</v>
      </c>
      <c r="I164" s="33" t="s">
        <v>3854</v>
      </c>
    </row>
    <row r="165" spans="1:9" x14ac:dyDescent="0.25">
      <c r="A165" s="24">
        <v>12</v>
      </c>
      <c r="B165" s="2">
        <v>62</v>
      </c>
      <c r="C165" s="2" t="s">
        <v>198</v>
      </c>
      <c r="D165" s="3">
        <v>1</v>
      </c>
      <c r="E165" t="s">
        <v>3860</v>
      </c>
      <c r="F165" s="2" t="s">
        <v>3806</v>
      </c>
      <c r="G165" t="s">
        <v>3856</v>
      </c>
      <c r="H165" s="1" t="s">
        <v>1457</v>
      </c>
      <c r="I165" s="33" t="s">
        <v>3855</v>
      </c>
    </row>
    <row r="166" spans="1:9" x14ac:dyDescent="0.25">
      <c r="A166" s="24">
        <v>12</v>
      </c>
      <c r="B166" s="2">
        <v>62</v>
      </c>
      <c r="C166" s="2" t="s">
        <v>204</v>
      </c>
      <c r="D166" s="3">
        <v>0</v>
      </c>
      <c r="F166" s="2"/>
      <c r="H166" s="1" t="s">
        <v>1456</v>
      </c>
      <c r="I166" s="33" t="s">
        <v>3850</v>
      </c>
    </row>
    <row r="167" spans="1:9" x14ac:dyDescent="0.25">
      <c r="A167" s="24">
        <v>12</v>
      </c>
      <c r="B167" s="2">
        <v>62</v>
      </c>
      <c r="C167" s="2" t="s">
        <v>210</v>
      </c>
      <c r="D167" s="3">
        <v>1</v>
      </c>
      <c r="E167" t="s">
        <v>3861</v>
      </c>
      <c r="F167" s="2" t="s">
        <v>3808</v>
      </c>
      <c r="G167" t="s">
        <v>3858</v>
      </c>
      <c r="H167" s="1" t="s">
        <v>1456</v>
      </c>
      <c r="I167" s="33" t="s">
        <v>3857</v>
      </c>
    </row>
    <row r="168" spans="1:9" x14ac:dyDescent="0.25">
      <c r="A168" s="24">
        <v>12</v>
      </c>
      <c r="B168" s="2">
        <v>62</v>
      </c>
      <c r="C168" s="2" t="s">
        <v>215</v>
      </c>
      <c r="D168" s="3">
        <v>0</v>
      </c>
      <c r="F168" s="2"/>
      <c r="H168" s="1" t="s">
        <v>1456</v>
      </c>
      <c r="I168" s="33" t="s">
        <v>3851</v>
      </c>
    </row>
    <row r="169" spans="1:9" ht="15.75" thickBot="1" x14ac:dyDescent="0.3">
      <c r="A169" s="26">
        <v>12</v>
      </c>
      <c r="B169" s="27">
        <v>62</v>
      </c>
      <c r="C169" s="27" t="s">
        <v>221</v>
      </c>
      <c r="D169" s="28">
        <v>0</v>
      </c>
      <c r="E169" s="30"/>
      <c r="F169" s="27"/>
      <c r="G169" s="30"/>
      <c r="H169" s="29" t="s">
        <v>1456</v>
      </c>
      <c r="I169" s="34" t="s">
        <v>3852</v>
      </c>
    </row>
    <row r="170" spans="1:9" x14ac:dyDescent="0.25">
      <c r="A170" s="18">
        <v>12</v>
      </c>
      <c r="B170" s="19">
        <v>64</v>
      </c>
      <c r="C170" s="19" t="s">
        <v>186</v>
      </c>
      <c r="D170" s="20">
        <v>2</v>
      </c>
      <c r="E170" t="s">
        <v>3918</v>
      </c>
      <c r="F170" s="19" t="s">
        <v>3904</v>
      </c>
      <c r="G170" s="22" t="s">
        <v>3911</v>
      </c>
      <c r="H170" s="21" t="s">
        <v>1457</v>
      </c>
      <c r="I170" s="32" t="s">
        <v>3910</v>
      </c>
    </row>
    <row r="171" spans="1:9" x14ac:dyDescent="0.25">
      <c r="A171" s="24">
        <v>12</v>
      </c>
      <c r="B171" s="2">
        <v>64</v>
      </c>
      <c r="C171" s="2" t="s">
        <v>192</v>
      </c>
      <c r="D171" s="3">
        <v>1</v>
      </c>
      <c r="E171" t="s">
        <v>3919</v>
      </c>
      <c r="F171" s="2" t="s">
        <v>3905</v>
      </c>
      <c r="G171" t="s">
        <v>3913</v>
      </c>
      <c r="H171" s="1" t="s">
        <v>1457</v>
      </c>
      <c r="I171" s="33" t="s">
        <v>3912</v>
      </c>
    </row>
    <row r="172" spans="1:9" x14ac:dyDescent="0.25">
      <c r="A172" s="24">
        <v>12</v>
      </c>
      <c r="B172" s="2">
        <v>64</v>
      </c>
      <c r="C172" s="2" t="s">
        <v>198</v>
      </c>
      <c r="D172" s="3">
        <v>2</v>
      </c>
      <c r="E172" t="s">
        <v>3920</v>
      </c>
      <c r="F172" s="2" t="s">
        <v>3906</v>
      </c>
      <c r="G172" t="s">
        <v>3915</v>
      </c>
      <c r="H172" s="1" t="s">
        <v>1457</v>
      </c>
      <c r="I172" s="33" t="s">
        <v>3914</v>
      </c>
    </row>
    <row r="173" spans="1:9" x14ac:dyDescent="0.25">
      <c r="A173" s="24">
        <v>12</v>
      </c>
      <c r="B173" s="2">
        <v>64</v>
      </c>
      <c r="C173" s="2" t="s">
        <v>204</v>
      </c>
      <c r="D173" s="3">
        <v>0</v>
      </c>
      <c r="F173" s="2"/>
      <c r="H173" s="1" t="s">
        <v>1456</v>
      </c>
      <c r="I173" s="33" t="s">
        <v>3907</v>
      </c>
    </row>
    <row r="174" spans="1:9" x14ac:dyDescent="0.25">
      <c r="A174" s="24">
        <v>12</v>
      </c>
      <c r="B174" s="2">
        <v>64</v>
      </c>
      <c r="C174" s="2" t="s">
        <v>210</v>
      </c>
      <c r="D174" s="3">
        <v>1</v>
      </c>
      <c r="E174" t="s">
        <v>3921</v>
      </c>
      <c r="F174" s="2" t="s">
        <v>3905</v>
      </c>
      <c r="G174" t="s">
        <v>3917</v>
      </c>
      <c r="H174" s="1" t="s">
        <v>1457</v>
      </c>
      <c r="I174" s="33" t="s">
        <v>3916</v>
      </c>
    </row>
    <row r="175" spans="1:9" x14ac:dyDescent="0.25">
      <c r="A175" s="24">
        <v>12</v>
      </c>
      <c r="B175" s="2">
        <v>64</v>
      </c>
      <c r="C175" s="2" t="s">
        <v>215</v>
      </c>
      <c r="D175" s="3">
        <v>0</v>
      </c>
      <c r="F175" s="2"/>
      <c r="H175" s="1" t="s">
        <v>1456</v>
      </c>
      <c r="I175" s="33" t="s">
        <v>3908</v>
      </c>
    </row>
    <row r="176" spans="1:9" ht="15.75" thickBot="1" x14ac:dyDescent="0.3">
      <c r="A176" s="26">
        <v>12</v>
      </c>
      <c r="B176" s="27">
        <v>64</v>
      </c>
      <c r="C176" s="27" t="s">
        <v>221</v>
      </c>
      <c r="D176" s="28">
        <v>0</v>
      </c>
      <c r="E176" s="30"/>
      <c r="F176" s="27"/>
      <c r="G176" s="30"/>
      <c r="H176" s="29" t="s">
        <v>1456</v>
      </c>
      <c r="I176" s="34" t="s">
        <v>3909</v>
      </c>
    </row>
    <row r="177" spans="1:9" x14ac:dyDescent="0.25">
      <c r="A177" s="18">
        <v>12</v>
      </c>
      <c r="B177" s="19">
        <v>69</v>
      </c>
      <c r="C177" s="19" t="s">
        <v>186</v>
      </c>
      <c r="D177" s="20">
        <v>2</v>
      </c>
      <c r="E177" t="s">
        <v>4004</v>
      </c>
      <c r="F177" s="19" t="s">
        <v>3985</v>
      </c>
      <c r="G177" s="22" t="s">
        <v>3993</v>
      </c>
      <c r="H177" s="21" t="s">
        <v>1457</v>
      </c>
      <c r="I177" s="32" t="s">
        <v>3992</v>
      </c>
    </row>
    <row r="178" spans="1:9" x14ac:dyDescent="0.25">
      <c r="A178" s="24">
        <v>12</v>
      </c>
      <c r="B178" s="2">
        <v>69</v>
      </c>
      <c r="C178" s="2" t="s">
        <v>192</v>
      </c>
      <c r="D178" s="3">
        <v>2</v>
      </c>
      <c r="E178" t="s">
        <v>4005</v>
      </c>
      <c r="F178" s="2" t="s">
        <v>3986</v>
      </c>
      <c r="G178" t="s">
        <v>3995</v>
      </c>
      <c r="H178" s="1" t="s">
        <v>1457</v>
      </c>
      <c r="I178" s="33" t="s">
        <v>3994</v>
      </c>
    </row>
    <row r="179" spans="1:9" x14ac:dyDescent="0.25">
      <c r="A179" s="24">
        <v>12</v>
      </c>
      <c r="B179" s="2">
        <v>69</v>
      </c>
      <c r="C179" s="2" t="s">
        <v>198</v>
      </c>
      <c r="D179" s="3">
        <v>2</v>
      </c>
      <c r="E179" t="s">
        <v>4006</v>
      </c>
      <c r="F179" s="2" t="s">
        <v>3987</v>
      </c>
      <c r="G179" t="s">
        <v>3997</v>
      </c>
      <c r="H179" s="1" t="s">
        <v>1457</v>
      </c>
      <c r="I179" s="33" t="s">
        <v>3996</v>
      </c>
    </row>
    <row r="180" spans="1:9" x14ac:dyDescent="0.25">
      <c r="A180" s="24">
        <v>12</v>
      </c>
      <c r="B180" s="2">
        <v>69</v>
      </c>
      <c r="C180" s="2" t="s">
        <v>204</v>
      </c>
      <c r="D180" s="3">
        <v>1</v>
      </c>
      <c r="E180" t="s">
        <v>4002</v>
      </c>
      <c r="F180" s="2" t="s">
        <v>3988</v>
      </c>
      <c r="G180" t="s">
        <v>3999</v>
      </c>
      <c r="H180" s="1" t="s">
        <v>1456</v>
      </c>
      <c r="I180" s="33" t="s">
        <v>3998</v>
      </c>
    </row>
    <row r="181" spans="1:9" x14ac:dyDescent="0.25">
      <c r="A181" s="24">
        <v>12</v>
      </c>
      <c r="B181" s="2">
        <v>69</v>
      </c>
      <c r="C181" s="2" t="s">
        <v>210</v>
      </c>
      <c r="D181" s="3">
        <v>1</v>
      </c>
      <c r="E181" t="s">
        <v>4003</v>
      </c>
      <c r="F181" s="2" t="s">
        <v>3989</v>
      </c>
      <c r="G181" t="s">
        <v>4001</v>
      </c>
      <c r="H181" s="1" t="s">
        <v>1456</v>
      </c>
      <c r="I181" s="33" t="s">
        <v>4000</v>
      </c>
    </row>
    <row r="182" spans="1:9" x14ac:dyDescent="0.25">
      <c r="A182" s="24">
        <v>12</v>
      </c>
      <c r="B182" s="2">
        <v>69</v>
      </c>
      <c r="C182" s="2" t="s">
        <v>215</v>
      </c>
      <c r="D182" s="3">
        <v>0</v>
      </c>
      <c r="F182" s="2"/>
      <c r="H182" s="1" t="s">
        <v>1456</v>
      </c>
      <c r="I182" s="33" t="s">
        <v>3990</v>
      </c>
    </row>
    <row r="183" spans="1:9" ht="15.75" thickBot="1" x14ac:dyDescent="0.3">
      <c r="A183" s="26">
        <v>12</v>
      </c>
      <c r="B183" s="27">
        <v>69</v>
      </c>
      <c r="C183" s="27" t="s">
        <v>221</v>
      </c>
      <c r="D183" s="28">
        <v>0</v>
      </c>
      <c r="E183" s="30"/>
      <c r="F183" s="27"/>
      <c r="G183" s="30"/>
      <c r="H183" s="29" t="s">
        <v>1457</v>
      </c>
      <c r="I183" s="34" t="s">
        <v>3991</v>
      </c>
    </row>
    <row r="184" spans="1:9" x14ac:dyDescent="0.25">
      <c r="A184" s="18">
        <v>12</v>
      </c>
      <c r="B184" s="19">
        <v>70</v>
      </c>
      <c r="C184" s="19" t="s">
        <v>186</v>
      </c>
      <c r="D184" s="20">
        <v>1</v>
      </c>
      <c r="E184" t="s">
        <v>4077</v>
      </c>
      <c r="F184" s="19" t="s">
        <v>4022</v>
      </c>
      <c r="G184" s="22" t="s">
        <v>4082</v>
      </c>
      <c r="H184" s="21" t="s">
        <v>1457</v>
      </c>
      <c r="I184" s="32" t="s">
        <v>4081</v>
      </c>
    </row>
    <row r="185" spans="1:9" x14ac:dyDescent="0.25">
      <c r="A185" s="24">
        <v>12</v>
      </c>
      <c r="B185" s="2">
        <v>70</v>
      </c>
      <c r="C185" s="2" t="s">
        <v>192</v>
      </c>
      <c r="D185" s="3">
        <v>1</v>
      </c>
      <c r="E185" t="s">
        <v>4078</v>
      </c>
      <c r="F185" s="2" t="s">
        <v>4072</v>
      </c>
      <c r="G185" t="s">
        <v>4084</v>
      </c>
      <c r="H185" s="1" t="s">
        <v>1457</v>
      </c>
      <c r="I185" s="33" t="s">
        <v>4083</v>
      </c>
    </row>
    <row r="186" spans="1:9" x14ac:dyDescent="0.25">
      <c r="A186" s="24">
        <v>12</v>
      </c>
      <c r="B186" s="2">
        <v>70</v>
      </c>
      <c r="C186" s="2" t="s">
        <v>198</v>
      </c>
      <c r="D186" s="3">
        <v>2</v>
      </c>
      <c r="E186" t="s">
        <v>4080</v>
      </c>
      <c r="F186" s="2" t="s">
        <v>4073</v>
      </c>
      <c r="G186" t="s">
        <v>4086</v>
      </c>
      <c r="H186" s="1" t="s">
        <v>1456</v>
      </c>
      <c r="I186" s="33" t="s">
        <v>4085</v>
      </c>
    </row>
    <row r="187" spans="1:9" x14ac:dyDescent="0.25">
      <c r="A187" s="24">
        <v>12</v>
      </c>
      <c r="B187" s="2">
        <v>70</v>
      </c>
      <c r="C187" s="2" t="s">
        <v>204</v>
      </c>
      <c r="D187" s="3">
        <v>0</v>
      </c>
      <c r="F187" s="2"/>
      <c r="H187" s="1" t="s">
        <v>1457</v>
      </c>
      <c r="I187" s="33" t="s">
        <v>4074</v>
      </c>
    </row>
    <row r="188" spans="1:9" x14ac:dyDescent="0.25">
      <c r="A188" s="24">
        <v>12</v>
      </c>
      <c r="B188" s="2">
        <v>70</v>
      </c>
      <c r="C188" s="2" t="s">
        <v>210</v>
      </c>
      <c r="D188" s="3">
        <v>1</v>
      </c>
      <c r="E188" t="s">
        <v>4079</v>
      </c>
      <c r="F188" s="2" t="s">
        <v>3514</v>
      </c>
      <c r="G188" t="s">
        <v>4088</v>
      </c>
      <c r="H188" s="1" t="s">
        <v>1456</v>
      </c>
      <c r="I188" s="33" t="s">
        <v>4087</v>
      </c>
    </row>
    <row r="189" spans="1:9" x14ac:dyDescent="0.25">
      <c r="A189" s="24">
        <v>12</v>
      </c>
      <c r="B189" s="2">
        <v>70</v>
      </c>
      <c r="C189" s="2" t="s">
        <v>215</v>
      </c>
      <c r="D189" s="3">
        <v>0</v>
      </c>
      <c r="F189" s="2"/>
      <c r="H189" s="1" t="s">
        <v>1456</v>
      </c>
      <c r="I189" s="33" t="s">
        <v>4075</v>
      </c>
    </row>
    <row r="190" spans="1:9" ht="15.75" thickBot="1" x14ac:dyDescent="0.3">
      <c r="A190" s="26">
        <v>12</v>
      </c>
      <c r="B190" s="27">
        <v>70</v>
      </c>
      <c r="C190" s="27" t="s">
        <v>221</v>
      </c>
      <c r="D190" s="28">
        <v>0</v>
      </c>
      <c r="E190" s="30"/>
      <c r="F190" s="27"/>
      <c r="G190" s="30"/>
      <c r="H190" s="29" t="s">
        <v>1457</v>
      </c>
      <c r="I190" s="34" t="s">
        <v>4076</v>
      </c>
    </row>
    <row r="191" spans="1:9" x14ac:dyDescent="0.25">
      <c r="A191" s="18">
        <v>13</v>
      </c>
      <c r="B191" s="19">
        <v>73</v>
      </c>
      <c r="C191" s="19" t="s">
        <v>186</v>
      </c>
      <c r="D191" s="20">
        <v>1</v>
      </c>
      <c r="E191" t="s">
        <v>4152</v>
      </c>
      <c r="F191" s="19" t="s">
        <v>4139</v>
      </c>
      <c r="G191" s="22" t="s">
        <v>4147</v>
      </c>
      <c r="H191" s="21" t="s">
        <v>1457</v>
      </c>
      <c r="I191" s="32" t="s">
        <v>4146</v>
      </c>
    </row>
    <row r="192" spans="1:9" x14ac:dyDescent="0.25">
      <c r="A192" s="24">
        <v>13</v>
      </c>
      <c r="B192" s="2">
        <v>73</v>
      </c>
      <c r="C192" s="2" t="s">
        <v>192</v>
      </c>
      <c r="D192" s="3">
        <v>1</v>
      </c>
      <c r="E192" t="s">
        <v>4153</v>
      </c>
      <c r="F192" s="2" t="s">
        <v>4140</v>
      </c>
      <c r="G192" t="s">
        <v>4149</v>
      </c>
      <c r="H192" s="1" t="s">
        <v>1457</v>
      </c>
      <c r="I192" s="33" t="s">
        <v>4148</v>
      </c>
    </row>
    <row r="193" spans="1:9" x14ac:dyDescent="0.25">
      <c r="A193" s="24">
        <v>13</v>
      </c>
      <c r="B193" s="2">
        <v>73</v>
      </c>
      <c r="C193" s="2" t="s">
        <v>198</v>
      </c>
      <c r="D193" s="3">
        <v>1</v>
      </c>
      <c r="E193" t="s">
        <v>4154</v>
      </c>
      <c r="F193" s="2" t="s">
        <v>4141</v>
      </c>
      <c r="G193" t="s">
        <v>4151</v>
      </c>
      <c r="H193" s="1" t="s">
        <v>1457</v>
      </c>
      <c r="I193" s="33" t="s">
        <v>4150</v>
      </c>
    </row>
    <row r="194" spans="1:9" x14ac:dyDescent="0.25">
      <c r="A194" s="24">
        <v>13</v>
      </c>
      <c r="B194" s="2">
        <v>73</v>
      </c>
      <c r="C194" s="2" t="s">
        <v>204</v>
      </c>
      <c r="D194" s="3">
        <v>0</v>
      </c>
      <c r="F194" s="2"/>
      <c r="H194" s="1" t="s">
        <v>1456</v>
      </c>
      <c r="I194" s="33" t="s">
        <v>4142</v>
      </c>
    </row>
    <row r="195" spans="1:9" x14ac:dyDescent="0.25">
      <c r="A195" s="24">
        <v>13</v>
      </c>
      <c r="B195" s="2">
        <v>73</v>
      </c>
      <c r="C195" s="2" t="s">
        <v>210</v>
      </c>
      <c r="D195" s="3">
        <v>0</v>
      </c>
      <c r="F195" s="2"/>
      <c r="H195" s="1" t="s">
        <v>1456</v>
      </c>
      <c r="I195" s="33" t="s">
        <v>4143</v>
      </c>
    </row>
    <row r="196" spans="1:9" x14ac:dyDescent="0.25">
      <c r="A196" s="24">
        <v>13</v>
      </c>
      <c r="B196" s="2">
        <v>73</v>
      </c>
      <c r="C196" s="2" t="s">
        <v>215</v>
      </c>
      <c r="D196" s="3">
        <v>0</v>
      </c>
      <c r="F196" s="2"/>
      <c r="H196" s="1" t="s">
        <v>1456</v>
      </c>
      <c r="I196" s="33" t="s">
        <v>4144</v>
      </c>
    </row>
    <row r="197" spans="1:9" ht="15.75" thickBot="1" x14ac:dyDescent="0.3">
      <c r="A197" s="26">
        <v>13</v>
      </c>
      <c r="B197" s="27">
        <v>73</v>
      </c>
      <c r="C197" s="27" t="s">
        <v>221</v>
      </c>
      <c r="D197" s="28">
        <v>0</v>
      </c>
      <c r="E197" s="30"/>
      <c r="F197" s="27"/>
      <c r="G197" s="30"/>
      <c r="H197" s="29" t="s">
        <v>1456</v>
      </c>
      <c r="I197" s="34" t="s">
        <v>4145</v>
      </c>
    </row>
    <row r="198" spans="1:9" x14ac:dyDescent="0.25">
      <c r="A198" s="18">
        <v>13</v>
      </c>
      <c r="B198" s="19">
        <v>74</v>
      </c>
      <c r="C198" s="19" t="s">
        <v>186</v>
      </c>
      <c r="D198" s="20">
        <v>0</v>
      </c>
      <c r="E198" s="22"/>
      <c r="F198" s="19"/>
      <c r="G198" s="22"/>
      <c r="H198" s="21" t="s">
        <v>1456</v>
      </c>
      <c r="I198" s="32" t="s">
        <v>4185</v>
      </c>
    </row>
    <row r="199" spans="1:9" x14ac:dyDescent="0.25">
      <c r="A199" s="24">
        <v>13</v>
      </c>
      <c r="B199" s="2">
        <v>74</v>
      </c>
      <c r="C199" s="2" t="s">
        <v>192</v>
      </c>
      <c r="D199" s="3">
        <v>1</v>
      </c>
      <c r="E199" t="s">
        <v>4193</v>
      </c>
      <c r="F199" s="2" t="s">
        <v>4178</v>
      </c>
      <c r="G199" t="s">
        <v>4084</v>
      </c>
      <c r="H199" s="1" t="s">
        <v>1457</v>
      </c>
      <c r="I199" s="33" t="s">
        <v>4189</v>
      </c>
    </row>
    <row r="200" spans="1:9" x14ac:dyDescent="0.25">
      <c r="A200" s="24">
        <v>13</v>
      </c>
      <c r="B200" s="2">
        <v>74</v>
      </c>
      <c r="C200" s="2" t="s">
        <v>198</v>
      </c>
      <c r="D200" s="3">
        <v>2</v>
      </c>
      <c r="E200" t="s">
        <v>4192</v>
      </c>
      <c r="F200" s="2" t="s">
        <v>4178</v>
      </c>
      <c r="G200" t="s">
        <v>4191</v>
      </c>
      <c r="H200" s="1" t="s">
        <v>1456</v>
      </c>
      <c r="I200" s="33" t="s">
        <v>4190</v>
      </c>
    </row>
    <row r="201" spans="1:9" x14ac:dyDescent="0.25">
      <c r="A201" s="24">
        <v>13</v>
      </c>
      <c r="B201" s="2">
        <v>74</v>
      </c>
      <c r="C201" s="2" t="s">
        <v>204</v>
      </c>
      <c r="D201" s="3">
        <v>0</v>
      </c>
      <c r="F201" s="2"/>
      <c r="H201" s="1" t="s">
        <v>1456</v>
      </c>
      <c r="I201" s="33" t="s">
        <v>4186</v>
      </c>
    </row>
    <row r="202" spans="1:9" x14ac:dyDescent="0.25">
      <c r="A202" s="24">
        <v>13</v>
      </c>
      <c r="B202" s="2">
        <v>74</v>
      </c>
      <c r="C202" s="2" t="s">
        <v>210</v>
      </c>
      <c r="D202" s="3">
        <v>0</v>
      </c>
      <c r="F202" s="2"/>
      <c r="H202" s="1" t="s">
        <v>1456</v>
      </c>
      <c r="I202" s="33" t="s">
        <v>4143</v>
      </c>
    </row>
    <row r="203" spans="1:9" x14ac:dyDescent="0.25">
      <c r="A203" s="24">
        <v>13</v>
      </c>
      <c r="B203" s="2">
        <v>74</v>
      </c>
      <c r="C203" s="2" t="s">
        <v>215</v>
      </c>
      <c r="D203" s="3">
        <v>0</v>
      </c>
      <c r="F203" s="2"/>
      <c r="H203" s="1" t="s">
        <v>1457</v>
      </c>
      <c r="I203" s="33" t="s">
        <v>4187</v>
      </c>
    </row>
    <row r="204" spans="1:9" ht="15.75" thickBot="1" x14ac:dyDescent="0.3">
      <c r="A204" s="26">
        <v>13</v>
      </c>
      <c r="B204" s="27">
        <v>74</v>
      </c>
      <c r="C204" s="27" t="s">
        <v>221</v>
      </c>
      <c r="D204" s="28">
        <v>0</v>
      </c>
      <c r="E204" s="30"/>
      <c r="F204" s="27"/>
      <c r="G204" s="30"/>
      <c r="H204" s="29" t="s">
        <v>1456</v>
      </c>
      <c r="I204" s="34" t="s">
        <v>4188</v>
      </c>
    </row>
    <row r="205" spans="1:9" x14ac:dyDescent="0.25">
      <c r="A205" s="18">
        <v>15</v>
      </c>
      <c r="B205" s="19">
        <v>86</v>
      </c>
      <c r="C205" s="19" t="s">
        <v>186</v>
      </c>
      <c r="D205" s="20">
        <v>2</v>
      </c>
      <c r="E205" t="s">
        <v>4233</v>
      </c>
      <c r="F205" s="19" t="s">
        <v>4209</v>
      </c>
      <c r="G205" s="22" t="s">
        <v>4262</v>
      </c>
      <c r="H205" s="21" t="s">
        <v>1456</v>
      </c>
      <c r="I205" s="32" t="s">
        <v>4261</v>
      </c>
    </row>
    <row r="206" spans="1:9" x14ac:dyDescent="0.25">
      <c r="A206" s="24">
        <v>15</v>
      </c>
      <c r="B206" s="2">
        <v>86</v>
      </c>
      <c r="C206" s="2" t="s">
        <v>192</v>
      </c>
      <c r="D206" s="3">
        <v>2</v>
      </c>
      <c r="E206" t="s">
        <v>4269</v>
      </c>
      <c r="F206" s="2" t="s">
        <v>4213</v>
      </c>
      <c r="G206" t="s">
        <v>4264</v>
      </c>
      <c r="H206" s="1" t="s">
        <v>1457</v>
      </c>
      <c r="I206" s="33" t="s">
        <v>4263</v>
      </c>
    </row>
    <row r="207" spans="1:9" x14ac:dyDescent="0.25">
      <c r="A207" s="24">
        <v>15</v>
      </c>
      <c r="B207" s="2">
        <v>86</v>
      </c>
      <c r="C207" s="2" t="s">
        <v>198</v>
      </c>
      <c r="D207" s="3">
        <v>2</v>
      </c>
      <c r="E207" t="s">
        <v>4270</v>
      </c>
      <c r="F207" s="2" t="s">
        <v>4230</v>
      </c>
      <c r="G207" t="s">
        <v>4266</v>
      </c>
      <c r="H207" s="1" t="s">
        <v>1456</v>
      </c>
      <c r="I207" s="33" t="s">
        <v>4265</v>
      </c>
    </row>
    <row r="208" spans="1:9" x14ac:dyDescent="0.25">
      <c r="A208" s="24">
        <v>15</v>
      </c>
      <c r="B208" s="2">
        <v>86</v>
      </c>
      <c r="C208" s="2" t="s">
        <v>204</v>
      </c>
      <c r="D208" s="3">
        <v>0</v>
      </c>
      <c r="F208" s="2"/>
      <c r="H208" s="1" t="s">
        <v>1456</v>
      </c>
      <c r="I208" s="33" t="s">
        <v>4257</v>
      </c>
    </row>
    <row r="209" spans="1:9" x14ac:dyDescent="0.25">
      <c r="A209" s="24">
        <v>15</v>
      </c>
      <c r="B209" s="2">
        <v>86</v>
      </c>
      <c r="C209" s="2" t="s">
        <v>210</v>
      </c>
      <c r="D209" s="3">
        <v>1</v>
      </c>
      <c r="E209" t="s">
        <v>4271</v>
      </c>
      <c r="F209" s="2" t="s">
        <v>4258</v>
      </c>
      <c r="G209" t="s">
        <v>4268</v>
      </c>
      <c r="H209" s="1" t="s">
        <v>1456</v>
      </c>
      <c r="I209" s="33" t="s">
        <v>4267</v>
      </c>
    </row>
    <row r="210" spans="1:9" x14ac:dyDescent="0.25">
      <c r="A210" s="24">
        <v>15</v>
      </c>
      <c r="B210" s="2">
        <v>86</v>
      </c>
      <c r="C210" s="2" t="s">
        <v>215</v>
      </c>
      <c r="D210" s="3">
        <v>0</v>
      </c>
      <c r="F210" s="2"/>
      <c r="H210" s="1" t="s">
        <v>1456</v>
      </c>
      <c r="I210" s="33" t="s">
        <v>4259</v>
      </c>
    </row>
    <row r="211" spans="1:9" ht="15.75" thickBot="1" x14ac:dyDescent="0.3">
      <c r="A211" s="26">
        <v>15</v>
      </c>
      <c r="B211" s="27">
        <v>86</v>
      </c>
      <c r="C211" s="27" t="s">
        <v>221</v>
      </c>
      <c r="D211" s="28">
        <v>0</v>
      </c>
      <c r="E211" s="30"/>
      <c r="F211" s="27"/>
      <c r="G211" s="30"/>
      <c r="H211" s="29" t="s">
        <v>1456</v>
      </c>
      <c r="I211" s="34" t="s">
        <v>4260</v>
      </c>
    </row>
    <row r="212" spans="1:9" x14ac:dyDescent="0.25">
      <c r="A212" s="18">
        <v>15</v>
      </c>
      <c r="B212" s="19">
        <v>88</v>
      </c>
      <c r="C212" s="19" t="s">
        <v>186</v>
      </c>
      <c r="D212" s="20">
        <v>0</v>
      </c>
      <c r="E212" s="22"/>
      <c r="F212" s="19"/>
      <c r="G212" s="22"/>
      <c r="H212" s="21" t="s">
        <v>1457</v>
      </c>
      <c r="I212" s="32" t="s">
        <v>4306</v>
      </c>
    </row>
    <row r="213" spans="1:9" x14ac:dyDescent="0.25">
      <c r="A213" s="24">
        <v>15</v>
      </c>
      <c r="B213" s="2">
        <v>88</v>
      </c>
      <c r="C213" s="2" t="s">
        <v>192</v>
      </c>
      <c r="D213" s="3">
        <v>1</v>
      </c>
      <c r="E213" t="s">
        <v>4315</v>
      </c>
      <c r="F213" s="2"/>
      <c r="G213" t="s">
        <v>4312</v>
      </c>
      <c r="H213" s="1" t="s">
        <v>1457</v>
      </c>
      <c r="I213" s="33" t="s">
        <v>4311</v>
      </c>
    </row>
    <row r="214" spans="1:9" x14ac:dyDescent="0.25">
      <c r="A214" s="24">
        <v>15</v>
      </c>
      <c r="B214" s="2">
        <v>88</v>
      </c>
      <c r="C214" s="2" t="s">
        <v>198</v>
      </c>
      <c r="D214" s="3">
        <v>1</v>
      </c>
      <c r="E214" t="s">
        <v>4316</v>
      </c>
      <c r="F214" s="2"/>
      <c r="G214" t="s">
        <v>4314</v>
      </c>
      <c r="H214" s="1" t="s">
        <v>1457</v>
      </c>
      <c r="I214" s="33" t="s">
        <v>4313</v>
      </c>
    </row>
    <row r="215" spans="1:9" x14ac:dyDescent="0.25">
      <c r="A215" s="24">
        <v>15</v>
      </c>
      <c r="B215" s="2">
        <v>88</v>
      </c>
      <c r="C215" s="2" t="s">
        <v>204</v>
      </c>
      <c r="D215" s="3">
        <v>0</v>
      </c>
      <c r="F215" s="2"/>
      <c r="H215" s="1" t="s">
        <v>1456</v>
      </c>
      <c r="I215" s="33" t="s">
        <v>4307</v>
      </c>
    </row>
    <row r="216" spans="1:9" x14ac:dyDescent="0.25">
      <c r="A216" s="24">
        <v>15</v>
      </c>
      <c r="B216" s="2">
        <v>88</v>
      </c>
      <c r="C216" s="2" t="s">
        <v>210</v>
      </c>
      <c r="D216" s="3">
        <v>0</v>
      </c>
      <c r="F216" s="2"/>
      <c r="H216" s="1" t="s">
        <v>1456</v>
      </c>
      <c r="I216" s="33" t="s">
        <v>4308</v>
      </c>
    </row>
    <row r="217" spans="1:9" x14ac:dyDescent="0.25">
      <c r="A217" s="24">
        <v>15</v>
      </c>
      <c r="B217" s="2">
        <v>88</v>
      </c>
      <c r="C217" s="2" t="s">
        <v>215</v>
      </c>
      <c r="D217" s="3">
        <v>0</v>
      </c>
      <c r="F217" s="2"/>
      <c r="H217" s="1" t="s">
        <v>1456</v>
      </c>
      <c r="I217" s="33" t="s">
        <v>4309</v>
      </c>
    </row>
    <row r="218" spans="1:9" ht="15.75" thickBot="1" x14ac:dyDescent="0.3">
      <c r="A218" s="26">
        <v>15</v>
      </c>
      <c r="B218" s="27">
        <v>88</v>
      </c>
      <c r="C218" s="27" t="s">
        <v>221</v>
      </c>
      <c r="D218" s="28">
        <v>0</v>
      </c>
      <c r="E218" s="30"/>
      <c r="F218" s="27"/>
      <c r="G218" s="30"/>
      <c r="H218" s="29" t="s">
        <v>1457</v>
      </c>
      <c r="I218" s="34" t="s">
        <v>4310</v>
      </c>
    </row>
    <row r="219" spans="1:9" x14ac:dyDescent="0.25">
      <c r="A219" s="18">
        <v>15</v>
      </c>
      <c r="B219" s="19">
        <v>90</v>
      </c>
      <c r="C219" s="19" t="s">
        <v>186</v>
      </c>
      <c r="D219" s="20">
        <v>2</v>
      </c>
      <c r="E219" t="s">
        <v>4382</v>
      </c>
      <c r="F219" s="19" t="s">
        <v>4333</v>
      </c>
      <c r="G219" s="22" t="s">
        <v>4377</v>
      </c>
      <c r="H219" s="21" t="s">
        <v>1456</v>
      </c>
      <c r="I219" s="32" t="s">
        <v>4376</v>
      </c>
    </row>
    <row r="220" spans="1:9" x14ac:dyDescent="0.25">
      <c r="A220" s="24">
        <v>15</v>
      </c>
      <c r="B220" s="2">
        <v>90</v>
      </c>
      <c r="C220" s="2" t="s">
        <v>192</v>
      </c>
      <c r="D220" s="3">
        <v>2</v>
      </c>
      <c r="E220" t="s">
        <v>4383</v>
      </c>
      <c r="F220" s="2" t="s">
        <v>4333</v>
      </c>
      <c r="G220" t="s">
        <v>4379</v>
      </c>
      <c r="H220" s="1" t="s">
        <v>1457</v>
      </c>
      <c r="I220" s="33" t="s">
        <v>4378</v>
      </c>
    </row>
    <row r="221" spans="1:9" x14ac:dyDescent="0.25">
      <c r="A221" s="24">
        <v>15</v>
      </c>
      <c r="B221" s="2">
        <v>90</v>
      </c>
      <c r="C221" s="2" t="s">
        <v>198</v>
      </c>
      <c r="D221" s="3">
        <v>2</v>
      </c>
      <c r="E221" t="s">
        <v>4384</v>
      </c>
      <c r="F221" s="2" t="s">
        <v>4333</v>
      </c>
      <c r="G221" t="s">
        <v>4381</v>
      </c>
      <c r="H221" s="1" t="s">
        <v>1456</v>
      </c>
      <c r="I221" s="33" t="s">
        <v>4380</v>
      </c>
    </row>
    <row r="222" spans="1:9" x14ac:dyDescent="0.25">
      <c r="A222" s="24">
        <v>15</v>
      </c>
      <c r="B222" s="2">
        <v>90</v>
      </c>
      <c r="C222" s="2" t="s">
        <v>204</v>
      </c>
      <c r="D222" s="3">
        <v>0</v>
      </c>
      <c r="F222" s="2"/>
      <c r="H222" s="1" t="s">
        <v>1457</v>
      </c>
      <c r="I222" s="33" t="s">
        <v>4372</v>
      </c>
    </row>
    <row r="223" spans="1:9" x14ac:dyDescent="0.25">
      <c r="A223" s="24">
        <v>15</v>
      </c>
      <c r="B223" s="2">
        <v>90</v>
      </c>
      <c r="C223" s="2" t="s">
        <v>210</v>
      </c>
      <c r="D223" s="3">
        <v>0</v>
      </c>
      <c r="F223" s="2"/>
      <c r="H223" s="1" t="s">
        <v>1457</v>
      </c>
      <c r="I223" s="33" t="s">
        <v>4373</v>
      </c>
    </row>
    <row r="224" spans="1:9" x14ac:dyDescent="0.25">
      <c r="A224" s="24">
        <v>15</v>
      </c>
      <c r="B224" s="2">
        <v>90</v>
      </c>
      <c r="C224" s="2" t="s">
        <v>215</v>
      </c>
      <c r="D224" s="3">
        <v>0</v>
      </c>
      <c r="F224" s="2"/>
      <c r="H224" s="1" t="s">
        <v>1457</v>
      </c>
      <c r="I224" s="33" t="s">
        <v>4374</v>
      </c>
    </row>
    <row r="225" spans="1:9" ht="15.75" thickBot="1" x14ac:dyDescent="0.3">
      <c r="A225" s="26">
        <v>15</v>
      </c>
      <c r="B225" s="27">
        <v>90</v>
      </c>
      <c r="C225" s="27" t="s">
        <v>221</v>
      </c>
      <c r="D225" s="28">
        <v>0</v>
      </c>
      <c r="E225" s="30"/>
      <c r="F225" s="27"/>
      <c r="G225" s="30"/>
      <c r="H225" s="29" t="s">
        <v>1457</v>
      </c>
      <c r="I225" s="34" t="s">
        <v>4375</v>
      </c>
    </row>
    <row r="226" spans="1:9" x14ac:dyDescent="0.25">
      <c r="A226" s="18">
        <v>15</v>
      </c>
      <c r="B226" s="19">
        <v>91</v>
      </c>
      <c r="C226" s="19" t="s">
        <v>186</v>
      </c>
      <c r="D226" s="20">
        <v>2</v>
      </c>
      <c r="E226" t="s">
        <v>4454</v>
      </c>
      <c r="F226" s="19" t="s">
        <v>4441</v>
      </c>
      <c r="G226" s="22" t="s">
        <v>4446</v>
      </c>
      <c r="H226" s="21" t="s">
        <v>1456</v>
      </c>
      <c r="I226" s="32" t="s">
        <v>4445</v>
      </c>
    </row>
    <row r="227" spans="1:9" x14ac:dyDescent="0.25">
      <c r="A227" s="24">
        <v>15</v>
      </c>
      <c r="B227" s="2">
        <v>91</v>
      </c>
      <c r="C227" s="2" t="s">
        <v>192</v>
      </c>
      <c r="D227" s="3">
        <v>2</v>
      </c>
      <c r="E227" t="s">
        <v>4455</v>
      </c>
      <c r="F227" s="2" t="s">
        <v>4420</v>
      </c>
      <c r="G227" t="s">
        <v>4448</v>
      </c>
      <c r="H227" s="1" t="s">
        <v>1456</v>
      </c>
      <c r="I227" s="33" t="s">
        <v>4447</v>
      </c>
    </row>
    <row r="228" spans="1:9" x14ac:dyDescent="0.25">
      <c r="A228" s="24">
        <v>15</v>
      </c>
      <c r="B228" s="2">
        <v>91</v>
      </c>
      <c r="C228" s="2" t="s">
        <v>198</v>
      </c>
      <c r="D228" s="3">
        <v>2</v>
      </c>
      <c r="E228" t="s">
        <v>4456</v>
      </c>
      <c r="F228" s="2" t="s">
        <v>4442</v>
      </c>
      <c r="G228" t="s">
        <v>4450</v>
      </c>
      <c r="H228" s="1" t="s">
        <v>1456</v>
      </c>
      <c r="I228" s="33" t="s">
        <v>4449</v>
      </c>
    </row>
    <row r="229" spans="1:9" x14ac:dyDescent="0.25">
      <c r="A229" s="24">
        <v>15</v>
      </c>
      <c r="B229" s="2">
        <v>91</v>
      </c>
      <c r="C229" s="2" t="s">
        <v>204</v>
      </c>
      <c r="D229" s="3">
        <v>0</v>
      </c>
      <c r="F229" s="2"/>
      <c r="H229" s="1" t="s">
        <v>1456</v>
      </c>
      <c r="I229" s="33" t="s">
        <v>3907</v>
      </c>
    </row>
    <row r="230" spans="1:9" x14ac:dyDescent="0.25">
      <c r="A230" s="24">
        <v>15</v>
      </c>
      <c r="B230" s="2">
        <v>91</v>
      </c>
      <c r="C230" s="2" t="s">
        <v>210</v>
      </c>
      <c r="D230" s="3">
        <v>1</v>
      </c>
      <c r="E230" t="s">
        <v>4453</v>
      </c>
      <c r="F230" s="2" t="s">
        <v>4441</v>
      </c>
      <c r="G230" t="s">
        <v>4452</v>
      </c>
      <c r="H230" s="1" t="s">
        <v>1457</v>
      </c>
      <c r="I230" s="33" t="s">
        <v>4451</v>
      </c>
    </row>
    <row r="231" spans="1:9" x14ac:dyDescent="0.25">
      <c r="A231" s="24">
        <v>15</v>
      </c>
      <c r="B231" s="2">
        <v>91</v>
      </c>
      <c r="C231" s="2" t="s">
        <v>215</v>
      </c>
      <c r="D231" s="3">
        <v>0</v>
      </c>
      <c r="F231" s="2"/>
      <c r="H231" s="1" t="s">
        <v>1456</v>
      </c>
      <c r="I231" s="33" t="s">
        <v>4443</v>
      </c>
    </row>
    <row r="232" spans="1:9" ht="15.75" thickBot="1" x14ac:dyDescent="0.3">
      <c r="A232" s="26">
        <v>15</v>
      </c>
      <c r="B232" s="27">
        <v>91</v>
      </c>
      <c r="C232" s="27" t="s">
        <v>221</v>
      </c>
      <c r="D232" s="28">
        <v>0</v>
      </c>
      <c r="E232" s="30"/>
      <c r="F232" s="27"/>
      <c r="G232" s="30"/>
      <c r="H232" s="29" t="s">
        <v>1456</v>
      </c>
      <c r="I232" s="34" t="s">
        <v>4444</v>
      </c>
    </row>
    <row r="233" spans="1:9" x14ac:dyDescent="0.25">
      <c r="A233" s="18">
        <v>15</v>
      </c>
      <c r="B233" s="19">
        <v>92</v>
      </c>
      <c r="C233" s="19" t="s">
        <v>186</v>
      </c>
      <c r="D233" s="20">
        <v>2</v>
      </c>
      <c r="E233" t="s">
        <v>4512</v>
      </c>
      <c r="F233" s="19" t="s">
        <v>4475</v>
      </c>
      <c r="G233" s="22" t="s">
        <v>4507</v>
      </c>
      <c r="H233" s="21" t="s">
        <v>1456</v>
      </c>
      <c r="I233" s="32" t="s">
        <v>4506</v>
      </c>
    </row>
    <row r="234" spans="1:9" x14ac:dyDescent="0.25">
      <c r="A234" s="24">
        <v>15</v>
      </c>
      <c r="B234" s="2">
        <v>92</v>
      </c>
      <c r="C234" s="2" t="s">
        <v>192</v>
      </c>
      <c r="D234" s="3">
        <v>2</v>
      </c>
      <c r="E234" t="s">
        <v>4513</v>
      </c>
      <c r="F234" s="2" t="s">
        <v>4499</v>
      </c>
      <c r="G234" t="s">
        <v>4509</v>
      </c>
      <c r="H234" s="1" t="s">
        <v>1456</v>
      </c>
      <c r="I234" s="33" t="s">
        <v>4508</v>
      </c>
    </row>
    <row r="235" spans="1:9" x14ac:dyDescent="0.25">
      <c r="A235" s="24">
        <v>15</v>
      </c>
      <c r="B235" s="2">
        <v>92</v>
      </c>
      <c r="C235" s="2" t="s">
        <v>198</v>
      </c>
      <c r="D235" s="3">
        <v>2</v>
      </c>
      <c r="E235" t="s">
        <v>4514</v>
      </c>
      <c r="F235" s="2" t="s">
        <v>4500</v>
      </c>
      <c r="G235" t="s">
        <v>4511</v>
      </c>
      <c r="H235" s="1" t="s">
        <v>1456</v>
      </c>
      <c r="I235" s="33" t="s">
        <v>4510</v>
      </c>
    </row>
    <row r="236" spans="1:9" x14ac:dyDescent="0.25">
      <c r="A236" s="24">
        <v>15</v>
      </c>
      <c r="B236" s="2">
        <v>92</v>
      </c>
      <c r="C236" s="2" t="s">
        <v>204</v>
      </c>
      <c r="D236" s="3">
        <v>3</v>
      </c>
      <c r="E236" t="s">
        <v>4515</v>
      </c>
      <c r="F236" s="2" t="s">
        <v>4475</v>
      </c>
      <c r="H236" s="1" t="s">
        <v>1456</v>
      </c>
      <c r="I236" s="33" t="s">
        <v>4501</v>
      </c>
    </row>
    <row r="237" spans="1:9" x14ac:dyDescent="0.25">
      <c r="A237" s="24">
        <v>15</v>
      </c>
      <c r="B237" s="2">
        <v>92</v>
      </c>
      <c r="C237" s="2" t="s">
        <v>210</v>
      </c>
      <c r="D237" s="3">
        <v>3</v>
      </c>
      <c r="E237" t="s">
        <v>4516</v>
      </c>
      <c r="F237" s="2" t="s">
        <v>4502</v>
      </c>
      <c r="H237" s="1" t="s">
        <v>1456</v>
      </c>
      <c r="I237" s="33" t="s">
        <v>4503</v>
      </c>
    </row>
    <row r="238" spans="1:9" x14ac:dyDescent="0.25">
      <c r="A238" s="24">
        <v>15</v>
      </c>
      <c r="B238" s="2">
        <v>92</v>
      </c>
      <c r="C238" s="2" t="s">
        <v>215</v>
      </c>
      <c r="D238" s="3">
        <v>0</v>
      </c>
      <c r="F238" s="2"/>
      <c r="H238" s="1" t="s">
        <v>1456</v>
      </c>
      <c r="I238" s="33" t="s">
        <v>4504</v>
      </c>
    </row>
    <row r="239" spans="1:9" ht="15.75" thickBot="1" x14ac:dyDescent="0.3">
      <c r="A239" s="26">
        <v>15</v>
      </c>
      <c r="B239" s="27">
        <v>92</v>
      </c>
      <c r="C239" s="27" t="s">
        <v>221</v>
      </c>
      <c r="D239" s="28">
        <v>0</v>
      </c>
      <c r="E239" s="30"/>
      <c r="F239" s="27"/>
      <c r="G239" s="30"/>
      <c r="H239" s="29" t="s">
        <v>1457</v>
      </c>
      <c r="I239" s="34" t="s">
        <v>4505</v>
      </c>
    </row>
    <row r="240" spans="1:9" x14ac:dyDescent="0.25">
      <c r="A240" s="18">
        <v>15</v>
      </c>
      <c r="B240" s="19">
        <v>93</v>
      </c>
      <c r="C240" s="19" t="s">
        <v>186</v>
      </c>
      <c r="D240" s="20">
        <v>2</v>
      </c>
      <c r="E240" t="s">
        <v>4577</v>
      </c>
      <c r="F240" s="19" t="s">
        <v>4566</v>
      </c>
      <c r="G240" s="22" t="s">
        <v>4572</v>
      </c>
      <c r="H240" s="21" t="s">
        <v>1457</v>
      </c>
      <c r="I240" s="32" t="s">
        <v>4571</v>
      </c>
    </row>
    <row r="241" spans="1:9" x14ac:dyDescent="0.25">
      <c r="A241" s="24">
        <v>15</v>
      </c>
      <c r="B241" s="2">
        <v>93</v>
      </c>
      <c r="C241" s="2" t="s">
        <v>192</v>
      </c>
      <c r="D241" s="3">
        <v>2</v>
      </c>
      <c r="E241" t="s">
        <v>4578</v>
      </c>
      <c r="F241" s="2" t="s">
        <v>4517</v>
      </c>
      <c r="G241" t="s">
        <v>4574</v>
      </c>
      <c r="H241" s="1" t="s">
        <v>1456</v>
      </c>
      <c r="I241" s="33" t="s">
        <v>4573</v>
      </c>
    </row>
    <row r="242" spans="1:9" x14ac:dyDescent="0.25">
      <c r="A242" s="24">
        <v>15</v>
      </c>
      <c r="B242" s="2">
        <v>93</v>
      </c>
      <c r="C242" s="2" t="s">
        <v>198</v>
      </c>
      <c r="D242" s="3">
        <v>2</v>
      </c>
      <c r="E242" t="s">
        <v>4579</v>
      </c>
      <c r="F242" s="2" t="s">
        <v>4519</v>
      </c>
      <c r="G242" t="s">
        <v>4576</v>
      </c>
      <c r="H242" s="1" t="s">
        <v>1456</v>
      </c>
      <c r="I242" s="33" t="s">
        <v>4575</v>
      </c>
    </row>
    <row r="243" spans="1:9" x14ac:dyDescent="0.25">
      <c r="A243" s="24">
        <v>15</v>
      </c>
      <c r="B243" s="2">
        <v>93</v>
      </c>
      <c r="C243" s="2" t="s">
        <v>204</v>
      </c>
      <c r="D243" s="3">
        <v>0</v>
      </c>
      <c r="F243" s="2"/>
      <c r="H243" s="1" t="s">
        <v>1456</v>
      </c>
      <c r="I243" s="33" t="s">
        <v>4567</v>
      </c>
    </row>
    <row r="244" spans="1:9" x14ac:dyDescent="0.25">
      <c r="A244" s="24">
        <v>15</v>
      </c>
      <c r="B244" s="2">
        <v>93</v>
      </c>
      <c r="C244" s="2" t="s">
        <v>210</v>
      </c>
      <c r="D244" s="3">
        <v>0</v>
      </c>
      <c r="F244" s="2"/>
      <c r="H244" s="1" t="s">
        <v>1456</v>
      </c>
      <c r="I244" s="33" t="s">
        <v>4568</v>
      </c>
    </row>
    <row r="245" spans="1:9" x14ac:dyDescent="0.25">
      <c r="A245" s="24">
        <v>15</v>
      </c>
      <c r="B245" s="2">
        <v>93</v>
      </c>
      <c r="C245" s="2" t="s">
        <v>215</v>
      </c>
      <c r="D245" s="3">
        <v>0</v>
      </c>
      <c r="F245" s="2"/>
      <c r="H245" s="1" t="s">
        <v>1456</v>
      </c>
      <c r="I245" s="33" t="s">
        <v>4569</v>
      </c>
    </row>
    <row r="246" spans="1:9" ht="15.75" thickBot="1" x14ac:dyDescent="0.3">
      <c r="A246" s="26">
        <v>15</v>
      </c>
      <c r="B246" s="27">
        <v>93</v>
      </c>
      <c r="C246" s="27" t="s">
        <v>221</v>
      </c>
      <c r="D246" s="28">
        <v>0</v>
      </c>
      <c r="E246" s="30"/>
      <c r="F246" s="27"/>
      <c r="G246" s="30"/>
      <c r="H246" s="29" t="s">
        <v>1456</v>
      </c>
      <c r="I246" s="34" t="s">
        <v>4570</v>
      </c>
    </row>
    <row r="247" spans="1:9" x14ac:dyDescent="0.25">
      <c r="A247" s="18">
        <v>15</v>
      </c>
      <c r="B247" s="19">
        <v>94</v>
      </c>
      <c r="C247" s="19" t="s">
        <v>186</v>
      </c>
      <c r="D247" s="20">
        <v>2</v>
      </c>
      <c r="E247" t="s">
        <v>4689</v>
      </c>
      <c r="F247" s="19" t="s">
        <v>4618</v>
      </c>
      <c r="G247" s="22" t="s">
        <v>4670</v>
      </c>
      <c r="H247" s="21" t="s">
        <v>1456</v>
      </c>
      <c r="I247" s="32" t="s">
        <v>4669</v>
      </c>
    </row>
    <row r="248" spans="1:9" x14ac:dyDescent="0.25">
      <c r="A248" s="24">
        <v>15</v>
      </c>
      <c r="B248" s="2">
        <v>94</v>
      </c>
      <c r="C248" s="2" t="s">
        <v>192</v>
      </c>
      <c r="D248" s="3">
        <v>2</v>
      </c>
      <c r="E248" t="s">
        <v>4688</v>
      </c>
      <c r="F248" s="2" t="s">
        <v>4663</v>
      </c>
      <c r="G248" t="s">
        <v>4672</v>
      </c>
      <c r="H248" s="1" t="s">
        <v>1456</v>
      </c>
      <c r="I248" s="33" t="s">
        <v>4671</v>
      </c>
    </row>
    <row r="249" spans="1:9" x14ac:dyDescent="0.25">
      <c r="A249" s="24">
        <v>15</v>
      </c>
      <c r="B249" s="2">
        <v>94</v>
      </c>
      <c r="C249" s="2" t="s">
        <v>198</v>
      </c>
      <c r="D249" s="3">
        <v>2</v>
      </c>
      <c r="E249" t="s">
        <v>4687</v>
      </c>
      <c r="F249" s="2" t="s">
        <v>4664</v>
      </c>
      <c r="G249" t="s">
        <v>4674</v>
      </c>
      <c r="H249" s="1" t="s">
        <v>1456</v>
      </c>
      <c r="I249" s="33" t="s">
        <v>4673</v>
      </c>
    </row>
    <row r="250" spans="1:9" x14ac:dyDescent="0.25">
      <c r="A250" s="24">
        <v>15</v>
      </c>
      <c r="B250" s="2">
        <v>94</v>
      </c>
      <c r="C250" s="2" t="s">
        <v>204</v>
      </c>
      <c r="D250" s="3">
        <v>1</v>
      </c>
      <c r="E250" t="s">
        <v>4683</v>
      </c>
      <c r="F250" s="2" t="s">
        <v>4665</v>
      </c>
      <c r="G250" t="s">
        <v>4676</v>
      </c>
      <c r="H250" s="1" t="s">
        <v>1457</v>
      </c>
      <c r="I250" s="33" t="s">
        <v>4675</v>
      </c>
    </row>
    <row r="251" spans="1:9" x14ac:dyDescent="0.25">
      <c r="A251" s="24">
        <v>15</v>
      </c>
      <c r="B251" s="2">
        <v>94</v>
      </c>
      <c r="C251" s="2" t="s">
        <v>210</v>
      </c>
      <c r="D251" s="3">
        <v>1</v>
      </c>
      <c r="E251" t="s">
        <v>4684</v>
      </c>
      <c r="F251" s="2" t="s">
        <v>4666</v>
      </c>
      <c r="G251" t="s">
        <v>4678</v>
      </c>
      <c r="H251" s="1" t="s">
        <v>1456</v>
      </c>
      <c r="I251" s="33" t="s">
        <v>4677</v>
      </c>
    </row>
    <row r="252" spans="1:9" x14ac:dyDescent="0.25">
      <c r="A252" s="24">
        <v>15</v>
      </c>
      <c r="B252" s="2">
        <v>94</v>
      </c>
      <c r="C252" s="2" t="s">
        <v>215</v>
      </c>
      <c r="D252" s="3">
        <v>2</v>
      </c>
      <c r="E252" t="s">
        <v>4686</v>
      </c>
      <c r="F252" s="2" t="s">
        <v>4667</v>
      </c>
      <c r="G252" t="s">
        <v>4680</v>
      </c>
      <c r="H252" s="1" t="s">
        <v>1457</v>
      </c>
      <c r="I252" s="33" t="s">
        <v>4679</v>
      </c>
    </row>
    <row r="253" spans="1:9" ht="15.75" thickBot="1" x14ac:dyDescent="0.3">
      <c r="A253" s="24">
        <v>15</v>
      </c>
      <c r="B253" s="2">
        <v>94</v>
      </c>
      <c r="C253" s="2" t="s">
        <v>221</v>
      </c>
      <c r="D253" s="3">
        <v>1</v>
      </c>
      <c r="E253" t="s">
        <v>4685</v>
      </c>
      <c r="F253" s="2" t="s">
        <v>4668</v>
      </c>
      <c r="G253" t="s">
        <v>4682</v>
      </c>
      <c r="H253" s="1" t="s">
        <v>1457</v>
      </c>
      <c r="I253" s="33" t="s">
        <v>4681</v>
      </c>
    </row>
    <row r="254" spans="1:9" x14ac:dyDescent="0.25">
      <c r="A254" s="18">
        <v>15</v>
      </c>
      <c r="B254" s="19">
        <v>96</v>
      </c>
      <c r="C254" s="19" t="s">
        <v>186</v>
      </c>
      <c r="D254" s="20">
        <v>0</v>
      </c>
      <c r="E254" s="22"/>
      <c r="F254" s="19"/>
      <c r="G254" s="22"/>
      <c r="H254" s="21" t="s">
        <v>1456</v>
      </c>
      <c r="I254" s="32" t="s">
        <v>4756</v>
      </c>
    </row>
    <row r="255" spans="1:9" x14ac:dyDescent="0.25">
      <c r="A255" s="24">
        <v>15</v>
      </c>
      <c r="B255" s="2">
        <v>96</v>
      </c>
      <c r="C255" s="2" t="s">
        <v>192</v>
      </c>
      <c r="D255" s="3">
        <v>1</v>
      </c>
      <c r="E255" t="s">
        <v>4764</v>
      </c>
      <c r="F255" s="2" t="s">
        <v>4757</v>
      </c>
      <c r="G255" t="s">
        <v>4766</v>
      </c>
      <c r="H255" s="1" t="s">
        <v>1457</v>
      </c>
      <c r="I255" s="33" t="s">
        <v>4765</v>
      </c>
    </row>
    <row r="256" spans="1:9" x14ac:dyDescent="0.25">
      <c r="A256" s="24">
        <v>15</v>
      </c>
      <c r="B256" s="2">
        <v>96</v>
      </c>
      <c r="C256" s="2" t="s">
        <v>198</v>
      </c>
      <c r="D256" s="3">
        <v>2</v>
      </c>
      <c r="E256" t="s">
        <v>4763</v>
      </c>
      <c r="F256" s="2" t="s">
        <v>4718</v>
      </c>
      <c r="G256" t="s">
        <v>4576</v>
      </c>
      <c r="H256" s="1" t="s">
        <v>1456</v>
      </c>
      <c r="I256" s="33" t="s">
        <v>4758</v>
      </c>
    </row>
    <row r="257" spans="1:9" x14ac:dyDescent="0.25">
      <c r="A257" s="24">
        <v>15</v>
      </c>
      <c r="B257" s="2">
        <v>96</v>
      </c>
      <c r="C257" s="2" t="s">
        <v>204</v>
      </c>
      <c r="D257" s="3">
        <v>0</v>
      </c>
      <c r="F257" s="2"/>
      <c r="H257" s="1" t="s">
        <v>1456</v>
      </c>
      <c r="I257" s="33" t="s">
        <v>4759</v>
      </c>
    </row>
    <row r="258" spans="1:9" x14ac:dyDescent="0.25">
      <c r="A258" s="24">
        <v>15</v>
      </c>
      <c r="B258" s="2">
        <v>96</v>
      </c>
      <c r="C258" s="2" t="s">
        <v>210</v>
      </c>
      <c r="D258" s="3">
        <v>0</v>
      </c>
      <c r="F258" s="2"/>
      <c r="H258" s="1" t="s">
        <v>1456</v>
      </c>
      <c r="I258" s="33" t="s">
        <v>4760</v>
      </c>
    </row>
    <row r="259" spans="1:9" x14ac:dyDescent="0.25">
      <c r="A259" s="24">
        <v>15</v>
      </c>
      <c r="B259" s="2">
        <v>96</v>
      </c>
      <c r="C259" s="2" t="s">
        <v>215</v>
      </c>
      <c r="D259" s="3">
        <v>0</v>
      </c>
      <c r="F259" s="2"/>
      <c r="H259" s="1" t="s">
        <v>1456</v>
      </c>
      <c r="I259" s="33" t="s">
        <v>4761</v>
      </c>
    </row>
    <row r="260" spans="1:9" ht="15.75" thickBot="1" x14ac:dyDescent="0.3">
      <c r="A260" s="26">
        <v>15</v>
      </c>
      <c r="B260" s="27">
        <v>96</v>
      </c>
      <c r="C260" s="27" t="s">
        <v>221</v>
      </c>
      <c r="D260" s="28">
        <v>0</v>
      </c>
      <c r="E260" s="30"/>
      <c r="F260" s="27"/>
      <c r="G260" s="30"/>
      <c r="H260" s="29" t="s">
        <v>1456</v>
      </c>
      <c r="I260" s="34" t="s">
        <v>4762</v>
      </c>
    </row>
    <row r="261" spans="1:9" x14ac:dyDescent="0.25">
      <c r="A261" s="18">
        <v>15</v>
      </c>
      <c r="B261" s="19">
        <v>97</v>
      </c>
      <c r="C261" s="19" t="s">
        <v>186</v>
      </c>
      <c r="D261" s="20">
        <v>1</v>
      </c>
      <c r="E261" t="s">
        <v>4781</v>
      </c>
      <c r="F261" s="19" t="s">
        <v>4780</v>
      </c>
      <c r="G261" s="22" t="s">
        <v>4811</v>
      </c>
      <c r="H261" s="21" t="s">
        <v>1457</v>
      </c>
      <c r="I261" s="32" t="s">
        <v>4810</v>
      </c>
    </row>
    <row r="262" spans="1:9" x14ac:dyDescent="0.25">
      <c r="A262" s="24">
        <v>15</v>
      </c>
      <c r="B262" s="2">
        <v>97</v>
      </c>
      <c r="C262" s="2" t="s">
        <v>192</v>
      </c>
      <c r="D262" s="3">
        <v>2</v>
      </c>
      <c r="E262" t="s">
        <v>4818</v>
      </c>
      <c r="F262" s="2" t="s">
        <v>4804</v>
      </c>
      <c r="G262" t="s">
        <v>4813</v>
      </c>
      <c r="H262" s="1" t="s">
        <v>1456</v>
      </c>
      <c r="I262" s="33" t="s">
        <v>4812</v>
      </c>
    </row>
    <row r="263" spans="1:9" x14ac:dyDescent="0.25">
      <c r="A263" s="24">
        <v>15</v>
      </c>
      <c r="B263" s="2">
        <v>97</v>
      </c>
      <c r="C263" s="2" t="s">
        <v>198</v>
      </c>
      <c r="D263" s="3">
        <v>2</v>
      </c>
      <c r="E263" t="s">
        <v>4819</v>
      </c>
      <c r="F263" s="2" t="s">
        <v>4805</v>
      </c>
      <c r="G263" t="s">
        <v>4815</v>
      </c>
      <c r="H263" s="1" t="s">
        <v>1456</v>
      </c>
      <c r="I263" s="33" t="s">
        <v>4814</v>
      </c>
    </row>
    <row r="264" spans="1:9" x14ac:dyDescent="0.25">
      <c r="A264" s="24">
        <v>15</v>
      </c>
      <c r="B264" s="2">
        <v>97</v>
      </c>
      <c r="C264" s="2" t="s">
        <v>204</v>
      </c>
      <c r="D264" s="3">
        <v>0</v>
      </c>
      <c r="F264" s="2"/>
      <c r="H264" s="1" t="s">
        <v>1457</v>
      </c>
      <c r="I264" s="33" t="s">
        <v>4806</v>
      </c>
    </row>
    <row r="265" spans="1:9" x14ac:dyDescent="0.25">
      <c r="A265" s="24">
        <v>15</v>
      </c>
      <c r="B265" s="2">
        <v>97</v>
      </c>
      <c r="C265" s="2" t="s">
        <v>210</v>
      </c>
      <c r="D265" s="3">
        <v>1</v>
      </c>
      <c r="E265" t="s">
        <v>4820</v>
      </c>
      <c r="F265" s="2" t="s">
        <v>4807</v>
      </c>
      <c r="G265" t="s">
        <v>4817</v>
      </c>
      <c r="H265" s="1" t="s">
        <v>1457</v>
      </c>
      <c r="I265" s="33" t="s">
        <v>4816</v>
      </c>
    </row>
    <row r="266" spans="1:9" x14ac:dyDescent="0.25">
      <c r="A266" s="24">
        <v>15</v>
      </c>
      <c r="B266" s="2">
        <v>97</v>
      </c>
      <c r="C266" s="2" t="s">
        <v>215</v>
      </c>
      <c r="D266" s="3">
        <v>0</v>
      </c>
      <c r="F266" s="2"/>
      <c r="H266" s="1" t="s">
        <v>1456</v>
      </c>
      <c r="I266" s="33" t="s">
        <v>4808</v>
      </c>
    </row>
    <row r="267" spans="1:9" ht="15.75" thickBot="1" x14ac:dyDescent="0.3">
      <c r="A267" s="26">
        <v>15</v>
      </c>
      <c r="B267" s="27">
        <v>97</v>
      </c>
      <c r="C267" s="27" t="s">
        <v>221</v>
      </c>
      <c r="D267" s="28">
        <v>0</v>
      </c>
      <c r="E267" s="30"/>
      <c r="F267" s="27"/>
      <c r="G267" s="30"/>
      <c r="H267" s="29" t="s">
        <v>1456</v>
      </c>
      <c r="I267" s="34" t="s">
        <v>4809</v>
      </c>
    </row>
    <row r="268" spans="1:9" x14ac:dyDescent="0.25">
      <c r="A268" s="18">
        <v>17</v>
      </c>
      <c r="B268" s="19">
        <v>102</v>
      </c>
      <c r="C268" s="19" t="s">
        <v>186</v>
      </c>
      <c r="D268" s="20">
        <v>0</v>
      </c>
      <c r="E268" s="22"/>
      <c r="F268" s="19"/>
      <c r="G268" s="22" t="s">
        <v>4909</v>
      </c>
      <c r="H268" s="21" t="s">
        <v>1457</v>
      </c>
      <c r="I268" s="32" t="s">
        <v>4908</v>
      </c>
    </row>
    <row r="269" spans="1:9" x14ac:dyDescent="0.25">
      <c r="A269" s="24">
        <v>17</v>
      </c>
      <c r="B269" s="2">
        <v>102</v>
      </c>
      <c r="C269" s="2" t="s">
        <v>192</v>
      </c>
      <c r="D269" s="3">
        <v>2</v>
      </c>
      <c r="E269" t="s">
        <v>4921</v>
      </c>
      <c r="F269" s="2" t="s">
        <v>4904</v>
      </c>
      <c r="G269" t="s">
        <v>4911</v>
      </c>
      <c r="H269" s="1" t="s">
        <v>1457</v>
      </c>
      <c r="I269" s="33" t="s">
        <v>4910</v>
      </c>
    </row>
    <row r="270" spans="1:9" x14ac:dyDescent="0.25">
      <c r="A270" s="24">
        <v>17</v>
      </c>
      <c r="B270" s="2">
        <v>102</v>
      </c>
      <c r="C270" s="2" t="s">
        <v>198</v>
      </c>
      <c r="D270" s="3">
        <v>2</v>
      </c>
      <c r="E270" t="s">
        <v>4922</v>
      </c>
      <c r="F270" s="2" t="s">
        <v>4905</v>
      </c>
      <c r="G270" t="s">
        <v>4913</v>
      </c>
      <c r="H270" s="1" t="s">
        <v>1456</v>
      </c>
      <c r="I270" s="33" t="s">
        <v>4912</v>
      </c>
    </row>
    <row r="271" spans="1:9" x14ac:dyDescent="0.25">
      <c r="A271" s="24">
        <v>17</v>
      </c>
      <c r="B271" s="2">
        <v>102</v>
      </c>
      <c r="C271" s="2" t="s">
        <v>204</v>
      </c>
      <c r="D271" s="3">
        <v>0</v>
      </c>
      <c r="F271" s="2"/>
      <c r="H271" s="1" t="s">
        <v>1456</v>
      </c>
      <c r="I271" s="33" t="s">
        <v>4906</v>
      </c>
    </row>
    <row r="272" spans="1:9" x14ac:dyDescent="0.25">
      <c r="A272" s="24">
        <v>17</v>
      </c>
      <c r="B272" s="2">
        <v>102</v>
      </c>
      <c r="C272" s="2" t="s">
        <v>210</v>
      </c>
      <c r="D272" s="3">
        <v>1</v>
      </c>
      <c r="E272" t="s">
        <v>4881</v>
      </c>
      <c r="F272" s="2" t="s">
        <v>4860</v>
      </c>
      <c r="G272" t="s">
        <v>4915</v>
      </c>
      <c r="H272" s="1" t="s">
        <v>1457</v>
      </c>
      <c r="I272" s="33" t="s">
        <v>4914</v>
      </c>
    </row>
    <row r="273" spans="1:9" x14ac:dyDescent="0.25">
      <c r="A273" s="24">
        <v>17</v>
      </c>
      <c r="B273" s="2">
        <v>102</v>
      </c>
      <c r="C273" s="2" t="s">
        <v>215</v>
      </c>
      <c r="D273" s="3">
        <v>1</v>
      </c>
      <c r="E273" t="s">
        <v>4920</v>
      </c>
      <c r="F273" s="2" t="s">
        <v>4907</v>
      </c>
      <c r="G273" t="s">
        <v>4917</v>
      </c>
      <c r="H273" s="1" t="s">
        <v>1457</v>
      </c>
      <c r="I273" s="33" t="s">
        <v>4916</v>
      </c>
    </row>
    <row r="274" spans="1:9" ht="15.75" thickBot="1" x14ac:dyDescent="0.3">
      <c r="A274" s="24">
        <v>17</v>
      </c>
      <c r="B274" s="2">
        <v>102</v>
      </c>
      <c r="C274" s="2" t="s">
        <v>221</v>
      </c>
      <c r="D274" s="3">
        <v>1</v>
      </c>
      <c r="E274" t="s">
        <v>4877</v>
      </c>
      <c r="F274" s="2" t="s">
        <v>4831</v>
      </c>
      <c r="G274" t="s">
        <v>4919</v>
      </c>
      <c r="H274" s="1" t="s">
        <v>1541</v>
      </c>
      <c r="I274" s="33" t="s">
        <v>4918</v>
      </c>
    </row>
    <row r="275" spans="1:9" x14ac:dyDescent="0.25">
      <c r="A275" s="18">
        <v>19</v>
      </c>
      <c r="B275" s="19">
        <v>113</v>
      </c>
      <c r="C275" s="19" t="s">
        <v>186</v>
      </c>
      <c r="D275" s="20">
        <v>2</v>
      </c>
      <c r="E275" t="s">
        <v>4949</v>
      </c>
      <c r="F275" s="19" t="s">
        <v>4940</v>
      </c>
      <c r="G275" s="22" t="s">
        <v>4670</v>
      </c>
      <c r="H275" s="21" t="s">
        <v>1456</v>
      </c>
      <c r="I275" s="32" t="s">
        <v>4974</v>
      </c>
    </row>
    <row r="276" spans="1:9" x14ac:dyDescent="0.25">
      <c r="A276" s="24">
        <v>19</v>
      </c>
      <c r="B276" s="2">
        <v>113</v>
      </c>
      <c r="C276" s="2" t="s">
        <v>192</v>
      </c>
      <c r="D276" s="3">
        <v>2</v>
      </c>
      <c r="E276" t="s">
        <v>4987</v>
      </c>
      <c r="F276" s="2" t="s">
        <v>4979</v>
      </c>
      <c r="G276" t="s">
        <v>4672</v>
      </c>
      <c r="H276" s="1" t="s">
        <v>1456</v>
      </c>
      <c r="I276" s="33" t="s">
        <v>4975</v>
      </c>
    </row>
    <row r="277" spans="1:9" x14ac:dyDescent="0.25">
      <c r="A277" s="24">
        <v>19</v>
      </c>
      <c r="B277" s="2">
        <v>113</v>
      </c>
      <c r="C277" s="2" t="s">
        <v>198</v>
      </c>
      <c r="D277" s="3">
        <v>2</v>
      </c>
      <c r="E277" t="s">
        <v>4988</v>
      </c>
      <c r="F277" s="2" t="s">
        <v>4980</v>
      </c>
      <c r="G277" t="s">
        <v>4674</v>
      </c>
      <c r="H277" s="1" t="s">
        <v>1456</v>
      </c>
      <c r="I277" s="33" t="s">
        <v>4976</v>
      </c>
    </row>
    <row r="278" spans="1:9" x14ac:dyDescent="0.25">
      <c r="A278" s="24">
        <v>19</v>
      </c>
      <c r="B278" s="2">
        <v>113</v>
      </c>
      <c r="C278" s="2" t="s">
        <v>204</v>
      </c>
      <c r="D278" s="3">
        <v>0</v>
      </c>
      <c r="F278" s="2"/>
      <c r="H278" s="1" t="s">
        <v>1456</v>
      </c>
      <c r="I278" s="33" t="s">
        <v>4977</v>
      </c>
    </row>
    <row r="279" spans="1:9" x14ac:dyDescent="0.25">
      <c r="A279" s="24">
        <v>19</v>
      </c>
      <c r="B279" s="2">
        <v>113</v>
      </c>
      <c r="C279" s="2" t="s">
        <v>210</v>
      </c>
      <c r="D279" s="3">
        <v>2</v>
      </c>
      <c r="E279" t="s">
        <v>4985</v>
      </c>
      <c r="F279" s="2" t="s">
        <v>4981</v>
      </c>
      <c r="G279" t="s">
        <v>4813</v>
      </c>
      <c r="H279" s="1" t="s">
        <v>1456</v>
      </c>
      <c r="I279" s="33" t="s">
        <v>4984</v>
      </c>
    </row>
    <row r="280" spans="1:9" x14ac:dyDescent="0.25">
      <c r="A280" s="24">
        <v>19</v>
      </c>
      <c r="B280" s="2">
        <v>113</v>
      </c>
      <c r="C280" s="2" t="s">
        <v>215</v>
      </c>
      <c r="D280" s="3">
        <v>1</v>
      </c>
      <c r="E280" t="s">
        <v>4986</v>
      </c>
      <c r="F280" s="2" t="s">
        <v>4981</v>
      </c>
      <c r="G280" t="s">
        <v>4982</v>
      </c>
      <c r="H280" s="1" t="s">
        <v>1457</v>
      </c>
      <c r="I280" s="33" t="s">
        <v>4983</v>
      </c>
    </row>
    <row r="281" spans="1:9" ht="15.75" thickBot="1" x14ac:dyDescent="0.3">
      <c r="A281" s="26">
        <v>19</v>
      </c>
      <c r="B281" s="27">
        <v>113</v>
      </c>
      <c r="C281" s="27" t="s">
        <v>221</v>
      </c>
      <c r="D281" s="28">
        <v>0</v>
      </c>
      <c r="E281" s="30"/>
      <c r="F281" s="27"/>
      <c r="G281" s="30"/>
      <c r="H281" s="29" t="s">
        <v>1456</v>
      </c>
      <c r="I281" s="34" t="s">
        <v>4978</v>
      </c>
    </row>
    <row r="282" spans="1:9" x14ac:dyDescent="0.25">
      <c r="A282" s="18">
        <v>20</v>
      </c>
      <c r="B282" s="19">
        <v>122</v>
      </c>
      <c r="C282" s="19" t="s">
        <v>186</v>
      </c>
      <c r="D282" s="20">
        <v>0</v>
      </c>
      <c r="E282" s="22"/>
      <c r="F282" s="19"/>
      <c r="G282" s="22"/>
      <c r="H282" s="21" t="s">
        <v>1456</v>
      </c>
      <c r="I282" s="32" t="s">
        <v>5019</v>
      </c>
    </row>
    <row r="283" spans="1:9" x14ac:dyDescent="0.25">
      <c r="A283" s="24">
        <v>20</v>
      </c>
      <c r="B283" s="2">
        <v>122</v>
      </c>
      <c r="C283" s="2" t="s">
        <v>192</v>
      </c>
      <c r="D283" s="3">
        <v>1</v>
      </c>
      <c r="E283" t="s">
        <v>5025</v>
      </c>
      <c r="F283" s="2" t="s">
        <v>5020</v>
      </c>
      <c r="G283" t="s">
        <v>5024</v>
      </c>
      <c r="H283" s="1" t="s">
        <v>1457</v>
      </c>
      <c r="I283" s="33" t="s">
        <v>5023</v>
      </c>
    </row>
    <row r="284" spans="1:9" x14ac:dyDescent="0.25">
      <c r="A284" s="24">
        <v>20</v>
      </c>
      <c r="B284" s="2">
        <v>122</v>
      </c>
      <c r="C284" s="2" t="s">
        <v>198</v>
      </c>
      <c r="D284" s="3">
        <v>0</v>
      </c>
      <c r="F284" s="2"/>
      <c r="H284" s="1" t="s">
        <v>1457</v>
      </c>
      <c r="I284" s="33" t="s">
        <v>5021</v>
      </c>
    </row>
    <row r="285" spans="1:9" x14ac:dyDescent="0.25">
      <c r="A285" s="24">
        <v>20</v>
      </c>
      <c r="B285" s="2">
        <v>122</v>
      </c>
      <c r="C285" s="2" t="s">
        <v>204</v>
      </c>
      <c r="D285" s="3">
        <v>0</v>
      </c>
      <c r="F285" s="2"/>
      <c r="H285" s="1" t="s">
        <v>1456</v>
      </c>
      <c r="I285" s="33" t="s">
        <v>4710</v>
      </c>
    </row>
    <row r="286" spans="1:9" x14ac:dyDescent="0.25">
      <c r="A286" s="24">
        <v>20</v>
      </c>
      <c r="B286" s="2">
        <v>122</v>
      </c>
      <c r="C286" s="2" t="s">
        <v>210</v>
      </c>
      <c r="D286" s="3">
        <v>0</v>
      </c>
      <c r="F286" s="2"/>
      <c r="H286" s="1" t="s">
        <v>1456</v>
      </c>
      <c r="I286" s="33" t="s">
        <v>4710</v>
      </c>
    </row>
    <row r="287" spans="1:9" x14ac:dyDescent="0.25">
      <c r="A287" s="24">
        <v>20</v>
      </c>
      <c r="B287" s="2">
        <v>122</v>
      </c>
      <c r="C287" s="2" t="s">
        <v>215</v>
      </c>
      <c r="D287" s="3">
        <v>0</v>
      </c>
      <c r="F287" s="2"/>
      <c r="H287" s="1" t="s">
        <v>1457</v>
      </c>
      <c r="I287" s="33" t="s">
        <v>5022</v>
      </c>
    </row>
    <row r="288" spans="1:9" ht="15.75" thickBot="1" x14ac:dyDescent="0.3">
      <c r="A288" s="26">
        <v>20</v>
      </c>
      <c r="B288" s="27">
        <v>122</v>
      </c>
      <c r="C288" s="27" t="s">
        <v>221</v>
      </c>
      <c r="D288" s="28">
        <v>0</v>
      </c>
      <c r="E288" s="30"/>
      <c r="F288" s="27"/>
      <c r="G288" s="30"/>
      <c r="H288" s="29" t="s">
        <v>1456</v>
      </c>
      <c r="I288" s="34" t="s">
        <v>4710</v>
      </c>
    </row>
    <row r="289" spans="1:9" x14ac:dyDescent="0.25">
      <c r="A289" s="18">
        <v>22</v>
      </c>
      <c r="B289" s="19">
        <v>132</v>
      </c>
      <c r="C289" s="19" t="s">
        <v>186</v>
      </c>
      <c r="D289" s="20">
        <v>0</v>
      </c>
      <c r="E289" s="22"/>
      <c r="F289" s="19"/>
      <c r="G289" s="22"/>
      <c r="H289" s="21" t="s">
        <v>1456</v>
      </c>
      <c r="I289" s="32" t="s">
        <v>5083</v>
      </c>
    </row>
    <row r="290" spans="1:9" x14ac:dyDescent="0.25">
      <c r="A290" s="24">
        <v>22</v>
      </c>
      <c r="B290" s="2">
        <v>132</v>
      </c>
      <c r="C290" s="2" t="s">
        <v>192</v>
      </c>
      <c r="D290" s="3">
        <v>0</v>
      </c>
      <c r="F290" s="2"/>
      <c r="H290" s="1" t="s">
        <v>1457</v>
      </c>
      <c r="I290" s="33" t="s">
        <v>5084</v>
      </c>
    </row>
    <row r="291" spans="1:9" x14ac:dyDescent="0.25">
      <c r="A291" s="24">
        <v>22</v>
      </c>
      <c r="B291" s="2">
        <v>132</v>
      </c>
      <c r="C291" s="2" t="s">
        <v>198</v>
      </c>
      <c r="D291" s="3">
        <v>1</v>
      </c>
      <c r="F291" s="2" t="s">
        <v>5071</v>
      </c>
      <c r="G291" t="s">
        <v>5085</v>
      </c>
      <c r="H291" s="1" t="s">
        <v>1457</v>
      </c>
      <c r="I291" s="33"/>
    </row>
    <row r="292" spans="1:9" x14ac:dyDescent="0.25">
      <c r="A292" s="24">
        <v>22</v>
      </c>
      <c r="B292" s="2">
        <v>132</v>
      </c>
      <c r="C292" s="2" t="s">
        <v>204</v>
      </c>
      <c r="D292" s="3">
        <v>0</v>
      </c>
      <c r="F292" s="2"/>
      <c r="H292" s="1" t="s">
        <v>1456</v>
      </c>
      <c r="I292" s="33" t="s">
        <v>4710</v>
      </c>
    </row>
    <row r="293" spans="1:9" x14ac:dyDescent="0.25">
      <c r="A293" s="24">
        <v>22</v>
      </c>
      <c r="B293" s="2">
        <v>132</v>
      </c>
      <c r="C293" s="2" t="s">
        <v>210</v>
      </c>
      <c r="D293" s="3">
        <v>0</v>
      </c>
      <c r="F293" s="2"/>
      <c r="H293" s="1" t="s">
        <v>1456</v>
      </c>
      <c r="I293" s="33" t="s">
        <v>4710</v>
      </c>
    </row>
    <row r="294" spans="1:9" x14ac:dyDescent="0.25">
      <c r="A294" s="24">
        <v>22</v>
      </c>
      <c r="B294" s="2">
        <v>132</v>
      </c>
      <c r="C294" s="2" t="s">
        <v>215</v>
      </c>
      <c r="D294" s="3">
        <v>0</v>
      </c>
      <c r="F294" s="2"/>
      <c r="H294" s="1" t="s">
        <v>1457</v>
      </c>
      <c r="I294" s="33" t="s">
        <v>5086</v>
      </c>
    </row>
    <row r="295" spans="1:9" ht="15.75" thickBot="1" x14ac:dyDescent="0.3">
      <c r="A295" s="26">
        <v>22</v>
      </c>
      <c r="B295" s="27">
        <v>132</v>
      </c>
      <c r="C295" s="27" t="s">
        <v>221</v>
      </c>
      <c r="D295" s="28">
        <v>0</v>
      </c>
      <c r="E295" s="30"/>
      <c r="F295" s="27"/>
      <c r="G295" s="30"/>
      <c r="H295" s="29" t="s">
        <v>1457</v>
      </c>
      <c r="I295" s="34" t="s">
        <v>5087</v>
      </c>
    </row>
    <row r="296" spans="1:9" x14ac:dyDescent="0.25">
      <c r="A296" s="18">
        <v>23</v>
      </c>
      <c r="B296" s="19">
        <v>142</v>
      </c>
      <c r="C296" s="19" t="s">
        <v>186</v>
      </c>
      <c r="D296" s="20">
        <v>2</v>
      </c>
      <c r="E296" t="s">
        <v>5231</v>
      </c>
      <c r="F296" s="19" t="s">
        <v>5213</v>
      </c>
      <c r="G296" s="22" t="s">
        <v>5219</v>
      </c>
      <c r="H296" s="21" t="s">
        <v>1456</v>
      </c>
      <c r="I296" s="32" t="s">
        <v>5218</v>
      </c>
    </row>
    <row r="297" spans="1:9" x14ac:dyDescent="0.25">
      <c r="A297" s="24">
        <v>23</v>
      </c>
      <c r="B297" s="2">
        <v>142</v>
      </c>
      <c r="C297" s="2" t="s">
        <v>192</v>
      </c>
      <c r="D297" s="3">
        <v>2</v>
      </c>
      <c r="E297" t="s">
        <v>5232</v>
      </c>
      <c r="F297" s="2" t="s">
        <v>5214</v>
      </c>
      <c r="G297" t="s">
        <v>5221</v>
      </c>
      <c r="H297" s="1" t="s">
        <v>1456</v>
      </c>
      <c r="I297" s="33" t="s">
        <v>5220</v>
      </c>
    </row>
    <row r="298" spans="1:9" x14ac:dyDescent="0.25">
      <c r="A298" s="24">
        <v>23</v>
      </c>
      <c r="B298" s="2">
        <v>142</v>
      </c>
      <c r="C298" s="2" t="s">
        <v>198</v>
      </c>
      <c r="D298" s="3">
        <v>2</v>
      </c>
      <c r="E298" t="s">
        <v>5233</v>
      </c>
      <c r="F298" s="2" t="s">
        <v>5215</v>
      </c>
      <c r="G298" t="s">
        <v>5223</v>
      </c>
      <c r="H298" s="1" t="s">
        <v>1457</v>
      </c>
      <c r="I298" s="33" t="s">
        <v>5222</v>
      </c>
    </row>
    <row r="299" spans="1:9" x14ac:dyDescent="0.25">
      <c r="A299" s="24">
        <v>23</v>
      </c>
      <c r="B299" s="2">
        <v>142</v>
      </c>
      <c r="C299" s="2" t="s">
        <v>204</v>
      </c>
      <c r="D299" s="3">
        <v>1</v>
      </c>
      <c r="E299" t="s">
        <v>5230</v>
      </c>
      <c r="F299" s="2" t="s">
        <v>5184</v>
      </c>
      <c r="G299" t="s">
        <v>5225</v>
      </c>
      <c r="H299" s="1" t="s">
        <v>1541</v>
      </c>
      <c r="I299" s="33" t="s">
        <v>5224</v>
      </c>
    </row>
    <row r="300" spans="1:9" x14ac:dyDescent="0.25">
      <c r="A300" s="24">
        <v>23</v>
      </c>
      <c r="B300" s="2">
        <v>142</v>
      </c>
      <c r="C300" s="2" t="s">
        <v>210</v>
      </c>
      <c r="D300" s="3">
        <v>1</v>
      </c>
      <c r="E300" t="s">
        <v>5234</v>
      </c>
      <c r="F300" s="2" t="s">
        <v>5216</v>
      </c>
      <c r="G300" t="s">
        <v>5227</v>
      </c>
      <c r="H300" s="1" t="s">
        <v>1456</v>
      </c>
      <c r="I300" s="33" t="s">
        <v>5226</v>
      </c>
    </row>
    <row r="301" spans="1:9" x14ac:dyDescent="0.25">
      <c r="A301" s="24">
        <v>23</v>
      </c>
      <c r="B301" s="2">
        <v>142</v>
      </c>
      <c r="C301" s="2" t="s">
        <v>215</v>
      </c>
      <c r="D301" s="3">
        <v>2</v>
      </c>
      <c r="E301" t="s">
        <v>5235</v>
      </c>
      <c r="F301" s="2" t="s">
        <v>5213</v>
      </c>
      <c r="G301" t="s">
        <v>5229</v>
      </c>
      <c r="H301" s="1" t="s">
        <v>1456</v>
      </c>
      <c r="I301" s="33" t="s">
        <v>5228</v>
      </c>
    </row>
    <row r="302" spans="1:9" ht="15.75" thickBot="1" x14ac:dyDescent="0.3">
      <c r="A302" s="26">
        <v>23</v>
      </c>
      <c r="B302" s="27">
        <v>142</v>
      </c>
      <c r="C302" s="27" t="s">
        <v>221</v>
      </c>
      <c r="D302" s="28">
        <v>0</v>
      </c>
      <c r="E302" s="30"/>
      <c r="F302" s="27"/>
      <c r="G302" s="30"/>
      <c r="H302" s="29" t="s">
        <v>1456</v>
      </c>
      <c r="I302" s="34" t="s">
        <v>5217</v>
      </c>
    </row>
    <row r="303" spans="1:9" x14ac:dyDescent="0.25">
      <c r="A303" s="18">
        <v>24</v>
      </c>
      <c r="B303" s="19">
        <v>148</v>
      </c>
      <c r="C303" s="19" t="s">
        <v>186</v>
      </c>
      <c r="D303" s="20">
        <v>0</v>
      </c>
      <c r="E303" s="22"/>
      <c r="F303" s="19"/>
      <c r="G303" s="22"/>
      <c r="H303" s="21" t="s">
        <v>1456</v>
      </c>
      <c r="I303" s="32" t="s">
        <v>5290</v>
      </c>
    </row>
    <row r="304" spans="1:9" x14ac:dyDescent="0.25">
      <c r="A304" s="24">
        <v>24</v>
      </c>
      <c r="B304" s="2">
        <v>148</v>
      </c>
      <c r="C304" s="2" t="s">
        <v>192</v>
      </c>
      <c r="D304" s="3">
        <v>2</v>
      </c>
      <c r="E304" t="s">
        <v>5301</v>
      </c>
      <c r="F304" s="2" t="s">
        <v>5296</v>
      </c>
      <c r="G304" t="s">
        <v>5298</v>
      </c>
      <c r="H304" s="1" t="s">
        <v>1457</v>
      </c>
      <c r="I304" s="33" t="s">
        <v>5297</v>
      </c>
    </row>
    <row r="305" spans="1:9" x14ac:dyDescent="0.25">
      <c r="A305" s="24">
        <v>24</v>
      </c>
      <c r="B305" s="2">
        <v>148</v>
      </c>
      <c r="C305" s="2" t="s">
        <v>198</v>
      </c>
      <c r="D305" s="3">
        <v>2</v>
      </c>
      <c r="E305" t="s">
        <v>5302</v>
      </c>
      <c r="F305" s="2" t="s">
        <v>5291</v>
      </c>
      <c r="G305" t="s">
        <v>5300</v>
      </c>
      <c r="H305" s="1" t="s">
        <v>1456</v>
      </c>
      <c r="I305" s="33" t="s">
        <v>5299</v>
      </c>
    </row>
    <row r="306" spans="1:9" x14ac:dyDescent="0.25">
      <c r="A306" s="24">
        <v>24</v>
      </c>
      <c r="B306" s="2">
        <v>148</v>
      </c>
      <c r="C306" s="2" t="s">
        <v>204</v>
      </c>
      <c r="D306" s="3">
        <v>0</v>
      </c>
      <c r="F306" s="2"/>
      <c r="H306" s="1" t="s">
        <v>1456</v>
      </c>
      <c r="I306" s="33" t="s">
        <v>5292</v>
      </c>
    </row>
    <row r="307" spans="1:9" x14ac:dyDescent="0.25">
      <c r="A307" s="24">
        <v>24</v>
      </c>
      <c r="B307" s="2">
        <v>148</v>
      </c>
      <c r="C307" s="2" t="s">
        <v>210</v>
      </c>
      <c r="D307" s="3">
        <v>0</v>
      </c>
      <c r="F307" s="2"/>
      <c r="H307" s="1" t="s">
        <v>1456</v>
      </c>
      <c r="I307" s="33" t="s">
        <v>5293</v>
      </c>
    </row>
    <row r="308" spans="1:9" x14ac:dyDescent="0.25">
      <c r="A308" s="24">
        <v>24</v>
      </c>
      <c r="B308" s="2">
        <v>148</v>
      </c>
      <c r="C308" s="2" t="s">
        <v>215</v>
      </c>
      <c r="D308" s="3">
        <v>0</v>
      </c>
      <c r="F308" s="2"/>
      <c r="H308" s="1" t="s">
        <v>1456</v>
      </c>
      <c r="I308" s="33" t="s">
        <v>5294</v>
      </c>
    </row>
    <row r="309" spans="1:9" ht="15.75" thickBot="1" x14ac:dyDescent="0.3">
      <c r="A309" s="26">
        <v>24</v>
      </c>
      <c r="B309" s="27">
        <v>148</v>
      </c>
      <c r="C309" s="27" t="s">
        <v>221</v>
      </c>
      <c r="D309" s="28">
        <v>0</v>
      </c>
      <c r="E309" s="30"/>
      <c r="F309" s="27"/>
      <c r="G309" s="30"/>
      <c r="H309" s="29" t="s">
        <v>1456</v>
      </c>
      <c r="I309" s="34" t="s">
        <v>5295</v>
      </c>
    </row>
    <row r="310" spans="1:9" x14ac:dyDescent="0.25">
      <c r="A310" s="18">
        <v>24</v>
      </c>
      <c r="B310" s="19">
        <v>149</v>
      </c>
      <c r="C310" s="19" t="s">
        <v>186</v>
      </c>
      <c r="D310" s="20">
        <v>0</v>
      </c>
      <c r="E310" s="22"/>
      <c r="F310" s="19"/>
      <c r="G310" s="22"/>
      <c r="H310" s="21" t="s">
        <v>1456</v>
      </c>
      <c r="I310" s="32" t="s">
        <v>5344</v>
      </c>
    </row>
    <row r="311" spans="1:9" x14ac:dyDescent="0.25">
      <c r="A311" s="24">
        <v>24</v>
      </c>
      <c r="B311" s="2">
        <v>149</v>
      </c>
      <c r="C311" s="2" t="s">
        <v>192</v>
      </c>
      <c r="D311" s="3">
        <v>0</v>
      </c>
      <c r="F311" s="2"/>
      <c r="H311" s="1" t="s">
        <v>1457</v>
      </c>
      <c r="I311" s="33" t="s">
        <v>5345</v>
      </c>
    </row>
    <row r="312" spans="1:9" x14ac:dyDescent="0.25">
      <c r="A312" s="24">
        <v>24</v>
      </c>
      <c r="B312" s="2">
        <v>149</v>
      </c>
      <c r="C312" s="2" t="s">
        <v>198</v>
      </c>
      <c r="D312" s="3">
        <v>0</v>
      </c>
      <c r="F312" s="2"/>
      <c r="H312" s="1" t="s">
        <v>1456</v>
      </c>
      <c r="I312" s="33" t="s">
        <v>5346</v>
      </c>
    </row>
    <row r="313" spans="1:9" x14ac:dyDescent="0.25">
      <c r="A313" s="24">
        <v>24</v>
      </c>
      <c r="B313" s="2">
        <v>149</v>
      </c>
      <c r="C313" s="2" t="s">
        <v>204</v>
      </c>
      <c r="D313" s="3">
        <v>0</v>
      </c>
      <c r="F313" s="2"/>
      <c r="H313" s="1" t="s">
        <v>1456</v>
      </c>
      <c r="I313" s="33" t="s">
        <v>5347</v>
      </c>
    </row>
    <row r="314" spans="1:9" x14ac:dyDescent="0.25">
      <c r="A314" s="24">
        <v>24</v>
      </c>
      <c r="B314" s="2">
        <v>149</v>
      </c>
      <c r="C314" s="2" t="s">
        <v>210</v>
      </c>
      <c r="D314" s="3">
        <v>0</v>
      </c>
      <c r="F314" s="2"/>
      <c r="H314" s="1" t="s">
        <v>1456</v>
      </c>
      <c r="I314" s="33" t="s">
        <v>5348</v>
      </c>
    </row>
    <row r="315" spans="1:9" x14ac:dyDescent="0.25">
      <c r="A315" s="24">
        <v>24</v>
      </c>
      <c r="B315" s="2">
        <v>149</v>
      </c>
      <c r="C315" s="2" t="s">
        <v>215</v>
      </c>
      <c r="D315" s="3">
        <v>0</v>
      </c>
      <c r="F315" s="2"/>
      <c r="H315" s="1" t="s">
        <v>1456</v>
      </c>
      <c r="I315" s="33" t="s">
        <v>5349</v>
      </c>
    </row>
    <row r="316" spans="1:9" ht="15.75" thickBot="1" x14ac:dyDescent="0.3">
      <c r="A316" s="26">
        <v>24</v>
      </c>
      <c r="B316" s="27">
        <v>149</v>
      </c>
      <c r="C316" s="27" t="s">
        <v>221</v>
      </c>
      <c r="D316" s="28">
        <v>0</v>
      </c>
      <c r="E316" s="30"/>
      <c r="F316" s="27"/>
      <c r="G316" s="30"/>
      <c r="H316" s="29" t="s">
        <v>1456</v>
      </c>
      <c r="I316" s="34" t="s">
        <v>5350</v>
      </c>
    </row>
    <row r="317" spans="1:9" x14ac:dyDescent="0.25">
      <c r="A317" s="18">
        <v>25</v>
      </c>
      <c r="B317" s="19">
        <v>153</v>
      </c>
      <c r="C317" s="19" t="s">
        <v>186</v>
      </c>
      <c r="D317" s="20">
        <v>2</v>
      </c>
      <c r="E317" t="s">
        <v>5416</v>
      </c>
      <c r="F317" s="19" t="s">
        <v>5401</v>
      </c>
      <c r="G317" s="22" t="s">
        <v>5413</v>
      </c>
      <c r="H317" s="21" t="s">
        <v>1456</v>
      </c>
      <c r="I317" s="32" t="s">
        <v>5412</v>
      </c>
    </row>
    <row r="318" spans="1:9" x14ac:dyDescent="0.25">
      <c r="A318" s="24">
        <v>25</v>
      </c>
      <c r="B318" s="2">
        <v>153</v>
      </c>
      <c r="C318" s="2" t="s">
        <v>192</v>
      </c>
      <c r="D318" s="3">
        <v>3</v>
      </c>
      <c r="E318" t="s">
        <v>5417</v>
      </c>
      <c r="F318" s="2" t="s">
        <v>5402</v>
      </c>
      <c r="H318" s="1" t="s">
        <v>1456</v>
      </c>
      <c r="I318" s="33" t="s">
        <v>5403</v>
      </c>
    </row>
    <row r="319" spans="1:9" x14ac:dyDescent="0.25">
      <c r="A319" s="24">
        <v>25</v>
      </c>
      <c r="B319" s="2">
        <v>153</v>
      </c>
      <c r="C319" s="2" t="s">
        <v>198</v>
      </c>
      <c r="D319" s="3">
        <v>3</v>
      </c>
      <c r="E319" t="s">
        <v>5418</v>
      </c>
      <c r="F319" s="2" t="s">
        <v>5404</v>
      </c>
      <c r="H319" s="1" t="s">
        <v>1456</v>
      </c>
      <c r="I319" s="33" t="s">
        <v>5405</v>
      </c>
    </row>
    <row r="320" spans="1:9" x14ac:dyDescent="0.25">
      <c r="A320" s="24">
        <v>25</v>
      </c>
      <c r="B320" s="2">
        <v>153</v>
      </c>
      <c r="C320" s="2" t="s">
        <v>204</v>
      </c>
      <c r="D320" s="3">
        <v>2</v>
      </c>
      <c r="E320" t="s">
        <v>5419</v>
      </c>
      <c r="F320" s="2" t="s">
        <v>5406</v>
      </c>
      <c r="G320" t="s">
        <v>5415</v>
      </c>
      <c r="H320" s="1" t="s">
        <v>1457</v>
      </c>
      <c r="I320" s="33" t="s">
        <v>5414</v>
      </c>
    </row>
    <row r="321" spans="1:9" x14ac:dyDescent="0.25">
      <c r="A321" s="24">
        <v>25</v>
      </c>
      <c r="B321" s="2">
        <v>153</v>
      </c>
      <c r="C321" s="2" t="s">
        <v>210</v>
      </c>
      <c r="D321" s="3">
        <v>3</v>
      </c>
      <c r="E321" t="s">
        <v>5420</v>
      </c>
      <c r="F321" s="2" t="s">
        <v>5407</v>
      </c>
      <c r="H321" s="1" t="s">
        <v>1456</v>
      </c>
      <c r="I321" s="33" t="s">
        <v>5408</v>
      </c>
    </row>
    <row r="322" spans="1:9" x14ac:dyDescent="0.25">
      <c r="A322" s="24">
        <v>25</v>
      </c>
      <c r="B322" s="2">
        <v>153</v>
      </c>
      <c r="C322" s="2" t="s">
        <v>215</v>
      </c>
      <c r="D322" s="3">
        <v>3</v>
      </c>
      <c r="E322" t="s">
        <v>5421</v>
      </c>
      <c r="F322" s="2" t="s">
        <v>5409</v>
      </c>
      <c r="H322" s="1" t="s">
        <v>1456</v>
      </c>
      <c r="I322" s="33" t="s">
        <v>5410</v>
      </c>
    </row>
    <row r="323" spans="1:9" ht="15.75" thickBot="1" x14ac:dyDescent="0.3">
      <c r="A323" s="26">
        <v>25</v>
      </c>
      <c r="B323" s="27">
        <v>153</v>
      </c>
      <c r="C323" s="27" t="s">
        <v>221</v>
      </c>
      <c r="D323" s="28">
        <v>0</v>
      </c>
      <c r="E323" s="30"/>
      <c r="F323" s="27"/>
      <c r="G323" s="30"/>
      <c r="H323" s="29" t="s">
        <v>1456</v>
      </c>
      <c r="I323" s="34" t="s">
        <v>5411</v>
      </c>
    </row>
    <row r="324" spans="1:9" x14ac:dyDescent="0.25">
      <c r="A324" s="18">
        <v>25</v>
      </c>
      <c r="B324" s="19">
        <v>154</v>
      </c>
      <c r="C324" s="19" t="s">
        <v>186</v>
      </c>
      <c r="D324" s="20">
        <v>2</v>
      </c>
      <c r="E324" t="s">
        <v>5519</v>
      </c>
      <c r="F324" s="19" t="s">
        <v>5500</v>
      </c>
      <c r="G324" s="22" t="s">
        <v>5508</v>
      </c>
      <c r="H324" s="21" t="s">
        <v>1456</v>
      </c>
      <c r="I324" s="32" t="s">
        <v>5507</v>
      </c>
    </row>
    <row r="325" spans="1:9" x14ac:dyDescent="0.25">
      <c r="A325" s="24">
        <v>25</v>
      </c>
      <c r="B325" s="2">
        <v>154</v>
      </c>
      <c r="C325" s="2" t="s">
        <v>192</v>
      </c>
      <c r="D325" s="3">
        <v>2</v>
      </c>
      <c r="E325" t="s">
        <v>5520</v>
      </c>
      <c r="F325" s="2" t="s">
        <v>5501</v>
      </c>
      <c r="G325" t="s">
        <v>5510</v>
      </c>
      <c r="H325" s="1" t="s">
        <v>1456</v>
      </c>
      <c r="I325" s="33" t="s">
        <v>5509</v>
      </c>
    </row>
    <row r="326" spans="1:9" x14ac:dyDescent="0.25">
      <c r="A326" s="24">
        <v>25</v>
      </c>
      <c r="B326" s="2">
        <v>154</v>
      </c>
      <c r="C326" s="2" t="s">
        <v>198</v>
      </c>
      <c r="D326" s="3">
        <v>2</v>
      </c>
      <c r="E326" t="s">
        <v>5521</v>
      </c>
      <c r="F326" s="2" t="s">
        <v>5502</v>
      </c>
      <c r="G326" t="s">
        <v>5512</v>
      </c>
      <c r="H326" s="1" t="s">
        <v>1457</v>
      </c>
      <c r="I326" s="33" t="s">
        <v>5511</v>
      </c>
    </row>
    <row r="327" spans="1:9" x14ac:dyDescent="0.25">
      <c r="A327" s="24">
        <v>25</v>
      </c>
      <c r="B327" s="2">
        <v>154</v>
      </c>
      <c r="C327" s="2" t="s">
        <v>204</v>
      </c>
      <c r="D327" s="3">
        <v>1</v>
      </c>
      <c r="E327" t="s">
        <v>5522</v>
      </c>
      <c r="F327" s="2" t="s">
        <v>5503</v>
      </c>
      <c r="G327" t="s">
        <v>5514</v>
      </c>
      <c r="H327" s="1" t="s">
        <v>1541</v>
      </c>
      <c r="I327" s="33" t="s">
        <v>5513</v>
      </c>
    </row>
    <row r="328" spans="1:9" x14ac:dyDescent="0.25">
      <c r="A328" s="24">
        <v>25</v>
      </c>
      <c r="B328" s="2">
        <v>154</v>
      </c>
      <c r="C328" s="2" t="s">
        <v>210</v>
      </c>
      <c r="D328" s="3">
        <v>1</v>
      </c>
      <c r="E328" t="s">
        <v>5523</v>
      </c>
      <c r="F328" s="2" t="s">
        <v>5504</v>
      </c>
      <c r="G328" t="s">
        <v>5516</v>
      </c>
      <c r="H328" s="1" t="s">
        <v>1457</v>
      </c>
      <c r="I328" s="33" t="s">
        <v>5515</v>
      </c>
    </row>
    <row r="329" spans="1:9" x14ac:dyDescent="0.25">
      <c r="A329" s="24">
        <v>25</v>
      </c>
      <c r="B329" s="2">
        <v>154</v>
      </c>
      <c r="C329" s="2" t="s">
        <v>215</v>
      </c>
      <c r="D329" s="3">
        <v>2</v>
      </c>
      <c r="E329" t="s">
        <v>5524</v>
      </c>
      <c r="F329" s="2" t="s">
        <v>5505</v>
      </c>
      <c r="G329" t="s">
        <v>5518</v>
      </c>
      <c r="H329" s="1" t="s">
        <v>1456</v>
      </c>
      <c r="I329" s="33" t="s">
        <v>5517</v>
      </c>
    </row>
    <row r="330" spans="1:9" ht="15.75" thickBot="1" x14ac:dyDescent="0.3">
      <c r="A330" s="26">
        <v>25</v>
      </c>
      <c r="B330" s="27">
        <v>154</v>
      </c>
      <c r="C330" s="27" t="s">
        <v>221</v>
      </c>
      <c r="D330" s="28">
        <v>0</v>
      </c>
      <c r="E330" s="30"/>
      <c r="F330" s="27"/>
      <c r="G330" s="30"/>
      <c r="H330" s="29" t="s">
        <v>1456</v>
      </c>
      <c r="I330" s="34" t="s">
        <v>5506</v>
      </c>
    </row>
    <row r="331" spans="1:9" x14ac:dyDescent="0.25">
      <c r="A331" s="18">
        <v>27</v>
      </c>
      <c r="B331" s="19">
        <v>162</v>
      </c>
      <c r="C331" s="19" t="s">
        <v>186</v>
      </c>
      <c r="D331" s="20">
        <v>0</v>
      </c>
      <c r="E331" s="22"/>
      <c r="F331" s="19"/>
      <c r="G331" s="22"/>
      <c r="H331" s="21" t="s">
        <v>1456</v>
      </c>
      <c r="I331" s="32" t="s">
        <v>5579</v>
      </c>
    </row>
    <row r="332" spans="1:9" x14ac:dyDescent="0.25">
      <c r="A332" s="24">
        <v>27</v>
      </c>
      <c r="B332" s="2">
        <v>162</v>
      </c>
      <c r="C332" s="2" t="s">
        <v>192</v>
      </c>
      <c r="D332" s="3">
        <v>0</v>
      </c>
      <c r="F332" s="2"/>
      <c r="H332" s="1" t="s">
        <v>1457</v>
      </c>
      <c r="I332" s="33" t="s">
        <v>5580</v>
      </c>
    </row>
    <row r="333" spans="1:9" x14ac:dyDescent="0.25">
      <c r="A333" s="24">
        <v>27</v>
      </c>
      <c r="B333" s="2">
        <v>162</v>
      </c>
      <c r="C333" s="2" t="s">
        <v>198</v>
      </c>
      <c r="D333" s="3">
        <v>1</v>
      </c>
      <c r="E333" t="s">
        <v>5587</v>
      </c>
      <c r="F333" s="2" t="s">
        <v>5555</v>
      </c>
      <c r="G333" t="s">
        <v>5586</v>
      </c>
      <c r="H333" s="1" t="s">
        <v>1457</v>
      </c>
      <c r="I333" s="33" t="s">
        <v>5585</v>
      </c>
    </row>
    <row r="334" spans="1:9" x14ac:dyDescent="0.25">
      <c r="A334" s="24">
        <v>27</v>
      </c>
      <c r="B334" s="2">
        <v>162</v>
      </c>
      <c r="C334" s="2" t="s">
        <v>204</v>
      </c>
      <c r="D334" s="3">
        <v>0</v>
      </c>
      <c r="F334" s="2"/>
      <c r="H334" s="1" t="s">
        <v>1456</v>
      </c>
      <c r="I334" s="33" t="s">
        <v>5581</v>
      </c>
    </row>
    <row r="335" spans="1:9" x14ac:dyDescent="0.25">
      <c r="A335" s="24">
        <v>27</v>
      </c>
      <c r="B335" s="2">
        <v>162</v>
      </c>
      <c r="C335" s="2" t="s">
        <v>210</v>
      </c>
      <c r="D335" s="3">
        <v>0</v>
      </c>
      <c r="F335" s="2"/>
      <c r="H335" s="1" t="s">
        <v>1456</v>
      </c>
      <c r="I335" s="33" t="s">
        <v>5582</v>
      </c>
    </row>
    <row r="336" spans="1:9" x14ac:dyDescent="0.25">
      <c r="A336" s="24">
        <v>27</v>
      </c>
      <c r="B336" s="2">
        <v>162</v>
      </c>
      <c r="C336" s="2" t="s">
        <v>215</v>
      </c>
      <c r="D336" s="3">
        <v>0</v>
      </c>
      <c r="F336" s="2"/>
      <c r="H336" s="1" t="s">
        <v>1456</v>
      </c>
      <c r="I336" s="33" t="s">
        <v>5583</v>
      </c>
    </row>
    <row r="337" spans="1:9" ht="15.75" thickBot="1" x14ac:dyDescent="0.3">
      <c r="A337" s="26">
        <v>27</v>
      </c>
      <c r="B337" s="27">
        <v>162</v>
      </c>
      <c r="C337" s="27" t="s">
        <v>221</v>
      </c>
      <c r="D337" s="28">
        <v>0</v>
      </c>
      <c r="E337" s="30"/>
      <c r="F337" s="27"/>
      <c r="G337" s="30"/>
      <c r="H337" s="29" t="s">
        <v>1456</v>
      </c>
      <c r="I337" s="34" t="s">
        <v>5584</v>
      </c>
    </row>
    <row r="338" spans="1:9" x14ac:dyDescent="0.25">
      <c r="A338" s="18">
        <v>27</v>
      </c>
      <c r="B338" s="19">
        <v>163</v>
      </c>
      <c r="C338" s="19" t="s">
        <v>186</v>
      </c>
      <c r="D338" s="20">
        <v>2</v>
      </c>
      <c r="E338" t="s">
        <v>5652</v>
      </c>
      <c r="F338" s="19" t="s">
        <v>5616</v>
      </c>
      <c r="G338" s="22" t="s">
        <v>5508</v>
      </c>
      <c r="H338" s="21" t="s">
        <v>1456</v>
      </c>
      <c r="I338" s="32" t="s">
        <v>5639</v>
      </c>
    </row>
    <row r="339" spans="1:9" x14ac:dyDescent="0.25">
      <c r="A339" s="24">
        <v>27</v>
      </c>
      <c r="B339" s="2">
        <v>163</v>
      </c>
      <c r="C339" s="2" t="s">
        <v>192</v>
      </c>
      <c r="D339" s="3">
        <v>2</v>
      </c>
      <c r="E339" t="s">
        <v>5649</v>
      </c>
      <c r="F339" s="2" t="s">
        <v>5605</v>
      </c>
      <c r="G339" t="s">
        <v>5644</v>
      </c>
      <c r="H339" s="1" t="s">
        <v>1457</v>
      </c>
      <c r="I339" s="33" t="s">
        <v>5643</v>
      </c>
    </row>
    <row r="340" spans="1:9" x14ac:dyDescent="0.25">
      <c r="A340" s="24">
        <v>27</v>
      </c>
      <c r="B340" s="2">
        <v>163</v>
      </c>
      <c r="C340" s="2" t="s">
        <v>198</v>
      </c>
      <c r="D340" s="3">
        <v>2</v>
      </c>
      <c r="E340" t="s">
        <v>5653</v>
      </c>
      <c r="F340" s="2" t="s">
        <v>5605</v>
      </c>
      <c r="G340" t="s">
        <v>5512</v>
      </c>
      <c r="H340" s="1" t="s">
        <v>1456</v>
      </c>
      <c r="I340" s="33" t="s">
        <v>5640</v>
      </c>
    </row>
    <row r="341" spans="1:9" x14ac:dyDescent="0.25">
      <c r="A341" s="24">
        <v>27</v>
      </c>
      <c r="B341" s="2">
        <v>163</v>
      </c>
      <c r="C341" s="2" t="s">
        <v>204</v>
      </c>
      <c r="D341" s="3">
        <v>0</v>
      </c>
      <c r="F341" s="2"/>
      <c r="H341" s="1" t="s">
        <v>1456</v>
      </c>
      <c r="I341" s="33" t="s">
        <v>5641</v>
      </c>
    </row>
    <row r="342" spans="1:9" x14ac:dyDescent="0.25">
      <c r="A342" s="24">
        <v>27</v>
      </c>
      <c r="B342" s="2">
        <v>163</v>
      </c>
      <c r="C342" s="2" t="s">
        <v>210</v>
      </c>
      <c r="D342" s="3">
        <v>3</v>
      </c>
      <c r="E342" t="s">
        <v>5654</v>
      </c>
      <c r="F342" s="2" t="s">
        <v>5605</v>
      </c>
      <c r="H342" s="1" t="s">
        <v>1456</v>
      </c>
      <c r="I342" s="33" t="s">
        <v>5642</v>
      </c>
    </row>
    <row r="343" spans="1:9" x14ac:dyDescent="0.25">
      <c r="A343" s="24">
        <v>27</v>
      </c>
      <c r="B343" s="2">
        <v>163</v>
      </c>
      <c r="C343" s="2" t="s">
        <v>215</v>
      </c>
      <c r="D343" s="3">
        <v>1</v>
      </c>
      <c r="E343" t="s">
        <v>5650</v>
      </c>
      <c r="F343" s="2" t="s">
        <v>5616</v>
      </c>
      <c r="G343" t="s">
        <v>5646</v>
      </c>
      <c r="H343" s="1" t="s">
        <v>1457</v>
      </c>
      <c r="I343" s="33" t="s">
        <v>5645</v>
      </c>
    </row>
    <row r="344" spans="1:9" ht="15.75" thickBot="1" x14ac:dyDescent="0.3">
      <c r="A344" s="24">
        <v>27</v>
      </c>
      <c r="B344" s="2">
        <v>163</v>
      </c>
      <c r="C344" s="2" t="s">
        <v>221</v>
      </c>
      <c r="D344" s="3">
        <v>1</v>
      </c>
      <c r="E344" t="s">
        <v>5651</v>
      </c>
      <c r="F344" s="2" t="s">
        <v>5616</v>
      </c>
      <c r="G344" t="s">
        <v>5648</v>
      </c>
      <c r="H344" s="1" t="s">
        <v>1541</v>
      </c>
      <c r="I344" s="33" t="s">
        <v>5647</v>
      </c>
    </row>
    <row r="345" spans="1:9" x14ac:dyDescent="0.25">
      <c r="A345" s="18">
        <v>31</v>
      </c>
      <c r="B345" s="19">
        <v>184</v>
      </c>
      <c r="C345" s="19" t="s">
        <v>186</v>
      </c>
      <c r="D345" s="20">
        <v>0</v>
      </c>
      <c r="E345" s="22"/>
      <c r="F345" s="19"/>
      <c r="G345" s="22"/>
      <c r="H345" s="21" t="s">
        <v>1456</v>
      </c>
      <c r="I345" s="32" t="s">
        <v>5719</v>
      </c>
    </row>
    <row r="346" spans="1:9" x14ac:dyDescent="0.25">
      <c r="A346" s="24">
        <v>31</v>
      </c>
      <c r="B346" s="2">
        <v>184</v>
      </c>
      <c r="C346" s="2" t="s">
        <v>192</v>
      </c>
      <c r="D346" s="3">
        <v>2</v>
      </c>
      <c r="E346" t="s">
        <v>5728</v>
      </c>
      <c r="F346" s="2" t="s">
        <v>5720</v>
      </c>
      <c r="G346" t="s">
        <v>5726</v>
      </c>
      <c r="H346" s="1" t="s">
        <v>1457</v>
      </c>
      <c r="I346" s="33" t="s">
        <v>5725</v>
      </c>
    </row>
    <row r="347" spans="1:9" x14ac:dyDescent="0.25">
      <c r="A347" s="24">
        <v>31</v>
      </c>
      <c r="B347" s="2">
        <v>184</v>
      </c>
      <c r="C347" s="2" t="s">
        <v>198</v>
      </c>
      <c r="D347" s="3">
        <v>2</v>
      </c>
      <c r="E347" t="s">
        <v>5727</v>
      </c>
      <c r="F347" s="2" t="s">
        <v>5676</v>
      </c>
      <c r="G347" t="s">
        <v>5512</v>
      </c>
      <c r="H347" s="1" t="s">
        <v>1456</v>
      </c>
      <c r="I347" s="33" t="s">
        <v>5721</v>
      </c>
    </row>
    <row r="348" spans="1:9" x14ac:dyDescent="0.25">
      <c r="A348" s="24">
        <v>31</v>
      </c>
      <c r="B348" s="2">
        <v>184</v>
      </c>
      <c r="C348" s="2" t="s">
        <v>204</v>
      </c>
      <c r="D348" s="3">
        <v>0</v>
      </c>
      <c r="F348" s="2"/>
      <c r="H348" s="1" t="s">
        <v>1456</v>
      </c>
      <c r="I348" s="33" t="s">
        <v>5722</v>
      </c>
    </row>
    <row r="349" spans="1:9" x14ac:dyDescent="0.25">
      <c r="A349" s="24">
        <v>31</v>
      </c>
      <c r="B349" s="2">
        <v>184</v>
      </c>
      <c r="C349" s="2" t="s">
        <v>210</v>
      </c>
      <c r="D349" s="3">
        <v>0</v>
      </c>
      <c r="F349" s="2"/>
      <c r="H349" s="1" t="s">
        <v>1457</v>
      </c>
      <c r="I349" s="33" t="s">
        <v>5723</v>
      </c>
    </row>
    <row r="350" spans="1:9" x14ac:dyDescent="0.25">
      <c r="A350" s="24">
        <v>31</v>
      </c>
      <c r="B350" s="2">
        <v>184</v>
      </c>
      <c r="C350" s="2" t="s">
        <v>215</v>
      </c>
      <c r="D350" s="3">
        <v>0</v>
      </c>
      <c r="F350" s="2"/>
      <c r="H350" s="1" t="s">
        <v>1456</v>
      </c>
      <c r="I350" s="33" t="s">
        <v>5724</v>
      </c>
    </row>
    <row r="351" spans="1:9" ht="15.75" thickBot="1" x14ac:dyDescent="0.3">
      <c r="A351" s="26">
        <v>31</v>
      </c>
      <c r="B351" s="27">
        <v>184</v>
      </c>
      <c r="C351" s="27" t="s">
        <v>221</v>
      </c>
      <c r="D351" s="28">
        <v>0</v>
      </c>
      <c r="E351" s="30"/>
      <c r="F351" s="27"/>
      <c r="G351" s="30"/>
      <c r="H351" s="29" t="s">
        <v>1456</v>
      </c>
      <c r="I351" s="34" t="s">
        <v>5295</v>
      </c>
    </row>
    <row r="352" spans="1:9" x14ac:dyDescent="0.25">
      <c r="A352" s="18">
        <v>32</v>
      </c>
      <c r="B352" s="19">
        <v>188</v>
      </c>
      <c r="C352" s="19" t="s">
        <v>186</v>
      </c>
      <c r="D352" s="20">
        <v>2</v>
      </c>
      <c r="E352" t="s">
        <v>5831</v>
      </c>
      <c r="F352" s="19" t="s">
        <v>5814</v>
      </c>
      <c r="G352" s="22" t="s">
        <v>5818</v>
      </c>
      <c r="H352" s="21" t="s">
        <v>1456</v>
      </c>
      <c r="I352" s="32" t="s">
        <v>5817</v>
      </c>
    </row>
    <row r="353" spans="1:9" x14ac:dyDescent="0.25">
      <c r="A353" s="24">
        <v>32</v>
      </c>
      <c r="B353" s="2">
        <v>188</v>
      </c>
      <c r="C353" s="2" t="s">
        <v>192</v>
      </c>
      <c r="D353" s="3">
        <v>2</v>
      </c>
      <c r="E353" t="s">
        <v>5832</v>
      </c>
      <c r="F353" s="2" t="s">
        <v>5810</v>
      </c>
      <c r="G353" t="s">
        <v>5820</v>
      </c>
      <c r="H353" s="1" t="s">
        <v>1456</v>
      </c>
      <c r="I353" s="33" t="s">
        <v>5819</v>
      </c>
    </row>
    <row r="354" spans="1:9" x14ac:dyDescent="0.25">
      <c r="A354" s="24">
        <v>32</v>
      </c>
      <c r="B354" s="2">
        <v>188</v>
      </c>
      <c r="C354" s="2" t="s">
        <v>198</v>
      </c>
      <c r="D354" s="3">
        <v>2</v>
      </c>
      <c r="E354" t="s">
        <v>5833</v>
      </c>
      <c r="F354" s="2" t="s">
        <v>5815</v>
      </c>
      <c r="G354" t="s">
        <v>5822</v>
      </c>
      <c r="H354" s="1" t="s">
        <v>1456</v>
      </c>
      <c r="I354" s="33" t="s">
        <v>5821</v>
      </c>
    </row>
    <row r="355" spans="1:9" x14ac:dyDescent="0.25">
      <c r="A355" s="24">
        <v>32</v>
      </c>
      <c r="B355" s="2">
        <v>188</v>
      </c>
      <c r="C355" s="2" t="s">
        <v>204</v>
      </c>
      <c r="D355" s="3">
        <v>2</v>
      </c>
      <c r="E355" t="s">
        <v>5834</v>
      </c>
      <c r="F355" s="2" t="s">
        <v>5811</v>
      </c>
      <c r="G355" t="s">
        <v>5824</v>
      </c>
      <c r="H355" s="1" t="s">
        <v>1457</v>
      </c>
      <c r="I355" s="33" t="s">
        <v>5823</v>
      </c>
    </row>
    <row r="356" spans="1:9" x14ac:dyDescent="0.25">
      <c r="A356" s="24">
        <v>32</v>
      </c>
      <c r="B356" s="2">
        <v>188</v>
      </c>
      <c r="C356" s="2" t="s">
        <v>210</v>
      </c>
      <c r="D356" s="3">
        <v>2</v>
      </c>
      <c r="E356" t="s">
        <v>5835</v>
      </c>
      <c r="F356" s="2" t="s">
        <v>5812</v>
      </c>
      <c r="G356" t="s">
        <v>5826</v>
      </c>
      <c r="H356" s="1" t="s">
        <v>1456</v>
      </c>
      <c r="I356" s="33" t="s">
        <v>5825</v>
      </c>
    </row>
    <row r="357" spans="1:9" x14ac:dyDescent="0.25">
      <c r="A357" s="24">
        <v>32</v>
      </c>
      <c r="B357" s="2">
        <v>188</v>
      </c>
      <c r="C357" s="2" t="s">
        <v>215</v>
      </c>
      <c r="D357" s="3">
        <v>2</v>
      </c>
      <c r="E357" t="s">
        <v>5836</v>
      </c>
      <c r="F357" s="2" t="s">
        <v>5813</v>
      </c>
      <c r="G357" t="s">
        <v>5828</v>
      </c>
      <c r="H357" s="1" t="s">
        <v>1456</v>
      </c>
      <c r="I357" s="33" t="s">
        <v>5827</v>
      </c>
    </row>
    <row r="358" spans="1:9" ht="15.75" thickBot="1" x14ac:dyDescent="0.3">
      <c r="A358" s="24">
        <v>32</v>
      </c>
      <c r="B358" s="2">
        <v>188</v>
      </c>
      <c r="C358" s="2" t="s">
        <v>221</v>
      </c>
      <c r="D358" s="3">
        <v>2</v>
      </c>
      <c r="E358" t="s">
        <v>5837</v>
      </c>
      <c r="F358" s="2" t="s">
        <v>5816</v>
      </c>
      <c r="G358" t="s">
        <v>5830</v>
      </c>
      <c r="H358" s="1" t="s">
        <v>1457</v>
      </c>
      <c r="I358" s="33" t="s">
        <v>5829</v>
      </c>
    </row>
    <row r="359" spans="1:9" x14ac:dyDescent="0.25">
      <c r="A359" s="18">
        <v>32</v>
      </c>
      <c r="B359" s="19">
        <v>189</v>
      </c>
      <c r="C359" s="19" t="s">
        <v>186</v>
      </c>
      <c r="D359" s="20">
        <v>2</v>
      </c>
      <c r="E359" t="s">
        <v>5913</v>
      </c>
      <c r="F359" s="19" t="s">
        <v>3135</v>
      </c>
      <c r="G359" s="22" t="s">
        <v>5910</v>
      </c>
      <c r="H359" s="21" t="s">
        <v>1456</v>
      </c>
      <c r="I359" s="32" t="s">
        <v>5903</v>
      </c>
    </row>
    <row r="360" spans="1:9" x14ac:dyDescent="0.25">
      <c r="A360" s="24">
        <v>32</v>
      </c>
      <c r="B360" s="2">
        <v>189</v>
      </c>
      <c r="C360" s="2" t="s">
        <v>192</v>
      </c>
      <c r="D360" s="3">
        <v>2</v>
      </c>
      <c r="E360" t="s">
        <v>5915</v>
      </c>
      <c r="F360" s="2" t="s">
        <v>5899</v>
      </c>
      <c r="G360" t="s">
        <v>5909</v>
      </c>
      <c r="H360" s="1" t="s">
        <v>1456</v>
      </c>
      <c r="I360" s="33" t="s">
        <v>5904</v>
      </c>
    </row>
    <row r="361" spans="1:9" x14ac:dyDescent="0.25">
      <c r="A361" s="24">
        <v>32</v>
      </c>
      <c r="B361" s="2">
        <v>189</v>
      </c>
      <c r="C361" s="2" t="s">
        <v>198</v>
      </c>
      <c r="D361" s="3">
        <v>2</v>
      </c>
      <c r="E361" t="s">
        <v>5916</v>
      </c>
      <c r="F361" s="2" t="s">
        <v>5900</v>
      </c>
      <c r="G361" t="s">
        <v>5908</v>
      </c>
      <c r="H361" s="1" t="s">
        <v>1456</v>
      </c>
      <c r="I361" s="33" t="s">
        <v>5905</v>
      </c>
    </row>
    <row r="362" spans="1:9" x14ac:dyDescent="0.25">
      <c r="A362" s="24">
        <v>32</v>
      </c>
      <c r="B362" s="2">
        <v>189</v>
      </c>
      <c r="C362" s="2" t="s">
        <v>204</v>
      </c>
      <c r="D362" s="3">
        <v>1</v>
      </c>
      <c r="E362" t="s">
        <v>5914</v>
      </c>
      <c r="F362" s="2" t="s">
        <v>2833</v>
      </c>
      <c r="G362" t="s">
        <v>5907</v>
      </c>
      <c r="H362" s="1" t="s">
        <v>1457</v>
      </c>
      <c r="I362" s="33" t="s">
        <v>5906</v>
      </c>
    </row>
    <row r="363" spans="1:9" x14ac:dyDescent="0.25">
      <c r="A363" s="24">
        <v>32</v>
      </c>
      <c r="B363" s="2">
        <v>189</v>
      </c>
      <c r="C363" s="2" t="s">
        <v>210</v>
      </c>
      <c r="D363" s="3">
        <v>0</v>
      </c>
      <c r="F363" s="2"/>
      <c r="H363" s="1" t="s">
        <v>1457</v>
      </c>
      <c r="I363" s="33" t="s">
        <v>5901</v>
      </c>
    </row>
    <row r="364" spans="1:9" x14ac:dyDescent="0.25">
      <c r="A364" s="24">
        <v>32</v>
      </c>
      <c r="B364" s="2">
        <v>189</v>
      </c>
      <c r="C364" s="2" t="s">
        <v>215</v>
      </c>
      <c r="D364" s="3">
        <v>2</v>
      </c>
      <c r="E364" t="s">
        <v>5917</v>
      </c>
      <c r="F364" s="2" t="s">
        <v>1400</v>
      </c>
      <c r="G364" t="s">
        <v>5912</v>
      </c>
      <c r="H364" s="1" t="s">
        <v>1456</v>
      </c>
      <c r="I364" s="33" t="s">
        <v>5911</v>
      </c>
    </row>
    <row r="365" spans="1:9" ht="15.75" thickBot="1" x14ac:dyDescent="0.3">
      <c r="A365" s="26">
        <v>32</v>
      </c>
      <c r="B365" s="27">
        <v>189</v>
      </c>
      <c r="C365" s="27" t="s">
        <v>221</v>
      </c>
      <c r="D365" s="28">
        <v>0</v>
      </c>
      <c r="E365" s="30"/>
      <c r="F365" s="27"/>
      <c r="G365" s="30"/>
      <c r="H365" s="29" t="s">
        <v>1457</v>
      </c>
      <c r="I365" s="34" t="s">
        <v>5902</v>
      </c>
    </row>
    <row r="366" spans="1:9" x14ac:dyDescent="0.25">
      <c r="A366" s="18">
        <v>32</v>
      </c>
      <c r="B366" s="19">
        <v>190</v>
      </c>
      <c r="C366" s="19" t="s">
        <v>186</v>
      </c>
      <c r="D366" s="20">
        <v>0</v>
      </c>
      <c r="E366" s="22"/>
      <c r="F366" s="19"/>
      <c r="G366" s="22"/>
      <c r="H366" s="21" t="s">
        <v>1457</v>
      </c>
      <c r="I366" s="32" t="s">
        <v>5958</v>
      </c>
    </row>
    <row r="367" spans="1:9" x14ac:dyDescent="0.25">
      <c r="A367" s="24">
        <v>32</v>
      </c>
      <c r="B367" s="2">
        <v>190</v>
      </c>
      <c r="C367" s="2" t="s">
        <v>192</v>
      </c>
      <c r="D367" s="3">
        <v>0</v>
      </c>
      <c r="F367" s="2"/>
      <c r="H367" s="1" t="s">
        <v>1457</v>
      </c>
      <c r="I367" s="33" t="s">
        <v>5959</v>
      </c>
    </row>
    <row r="368" spans="1:9" x14ac:dyDescent="0.25">
      <c r="A368" s="24">
        <v>32</v>
      </c>
      <c r="B368" s="2">
        <v>190</v>
      </c>
      <c r="C368" s="2" t="s">
        <v>198</v>
      </c>
      <c r="D368" s="3">
        <v>0</v>
      </c>
      <c r="F368" s="2"/>
      <c r="H368" s="1" t="s">
        <v>1456</v>
      </c>
      <c r="I368" s="33" t="s">
        <v>5960</v>
      </c>
    </row>
    <row r="369" spans="1:9" x14ac:dyDescent="0.25">
      <c r="A369" s="24">
        <v>32</v>
      </c>
      <c r="B369" s="2">
        <v>190</v>
      </c>
      <c r="C369" s="2" t="s">
        <v>204</v>
      </c>
      <c r="D369" s="3">
        <v>0</v>
      </c>
      <c r="F369" s="2"/>
      <c r="H369" s="1" t="s">
        <v>1456</v>
      </c>
      <c r="I369" s="33" t="s">
        <v>5961</v>
      </c>
    </row>
    <row r="370" spans="1:9" x14ac:dyDescent="0.25">
      <c r="A370" s="24">
        <v>32</v>
      </c>
      <c r="B370" s="2">
        <v>190</v>
      </c>
      <c r="C370" s="2" t="s">
        <v>210</v>
      </c>
      <c r="D370" s="3">
        <v>0</v>
      </c>
      <c r="F370" s="2"/>
      <c r="H370" s="1" t="s">
        <v>1457</v>
      </c>
      <c r="I370" s="33" t="s">
        <v>5962</v>
      </c>
    </row>
    <row r="371" spans="1:9" x14ac:dyDescent="0.25">
      <c r="A371" s="24">
        <v>32</v>
      </c>
      <c r="B371" s="2">
        <v>190</v>
      </c>
      <c r="C371" s="2" t="s">
        <v>215</v>
      </c>
      <c r="D371" s="3">
        <v>0</v>
      </c>
      <c r="F371" s="2"/>
      <c r="H371" s="1" t="s">
        <v>1457</v>
      </c>
      <c r="I371" s="33" t="s">
        <v>5963</v>
      </c>
    </row>
    <row r="372" spans="1:9" ht="15.75" thickBot="1" x14ac:dyDescent="0.3">
      <c r="A372" s="26">
        <v>32</v>
      </c>
      <c r="B372" s="27">
        <v>190</v>
      </c>
      <c r="C372" s="27" t="s">
        <v>221</v>
      </c>
      <c r="D372" s="28">
        <v>0</v>
      </c>
      <c r="E372" s="30"/>
      <c r="F372" s="27"/>
      <c r="G372" s="30"/>
      <c r="H372" s="29" t="s">
        <v>1456</v>
      </c>
      <c r="I372" s="34" t="s">
        <v>5964</v>
      </c>
    </row>
    <row r="373" spans="1:9" x14ac:dyDescent="0.25">
      <c r="A373" s="18">
        <v>32</v>
      </c>
      <c r="B373" s="19">
        <v>194</v>
      </c>
      <c r="C373" s="19" t="s">
        <v>186</v>
      </c>
      <c r="D373" s="20">
        <v>2</v>
      </c>
      <c r="E373" t="s">
        <v>6043</v>
      </c>
      <c r="F373" s="19" t="s">
        <v>1387</v>
      </c>
      <c r="G373" s="22" t="s">
        <v>5910</v>
      </c>
      <c r="H373" s="21" t="s">
        <v>1456</v>
      </c>
      <c r="I373" s="32" t="s">
        <v>6032</v>
      </c>
    </row>
    <row r="374" spans="1:9" x14ac:dyDescent="0.25">
      <c r="A374" s="24">
        <v>32</v>
      </c>
      <c r="B374" s="2">
        <v>194</v>
      </c>
      <c r="C374" s="2" t="s">
        <v>192</v>
      </c>
      <c r="D374" s="3">
        <v>2</v>
      </c>
      <c r="E374" t="s">
        <v>6044</v>
      </c>
      <c r="F374" s="2" t="s">
        <v>6027</v>
      </c>
      <c r="G374" t="s">
        <v>6040</v>
      </c>
      <c r="H374" s="1" t="s">
        <v>1456</v>
      </c>
      <c r="I374" s="33" t="s">
        <v>6033</v>
      </c>
    </row>
    <row r="375" spans="1:9" x14ac:dyDescent="0.25">
      <c r="A375" s="24">
        <v>32</v>
      </c>
      <c r="B375" s="2">
        <v>194</v>
      </c>
      <c r="C375" s="2" t="s">
        <v>198</v>
      </c>
      <c r="D375" s="3">
        <v>2</v>
      </c>
      <c r="E375" t="s">
        <v>6045</v>
      </c>
      <c r="F375" s="2" t="s">
        <v>6028</v>
      </c>
      <c r="G375" t="s">
        <v>6039</v>
      </c>
      <c r="H375" s="1" t="s">
        <v>1456</v>
      </c>
      <c r="I375" s="33" t="s">
        <v>6034</v>
      </c>
    </row>
    <row r="376" spans="1:9" x14ac:dyDescent="0.25">
      <c r="A376" s="24">
        <v>32</v>
      </c>
      <c r="B376" s="2">
        <v>194</v>
      </c>
      <c r="C376" s="2" t="s">
        <v>204</v>
      </c>
      <c r="D376" s="3">
        <v>1</v>
      </c>
      <c r="E376" t="s">
        <v>6041</v>
      </c>
      <c r="F376" s="2" t="s">
        <v>3135</v>
      </c>
      <c r="G376" t="s">
        <v>6036</v>
      </c>
      <c r="H376" s="1" t="s">
        <v>1457</v>
      </c>
      <c r="I376" s="33" t="s">
        <v>6035</v>
      </c>
    </row>
    <row r="377" spans="1:9" x14ac:dyDescent="0.25">
      <c r="A377" s="24">
        <v>32</v>
      </c>
      <c r="B377" s="2">
        <v>194</v>
      </c>
      <c r="C377" s="2" t="s">
        <v>210</v>
      </c>
      <c r="D377" s="3">
        <v>1</v>
      </c>
      <c r="E377" t="s">
        <v>6042</v>
      </c>
      <c r="F377" s="2" t="s">
        <v>6029</v>
      </c>
      <c r="G377" t="s">
        <v>6038</v>
      </c>
      <c r="H377" s="1" t="s">
        <v>1456</v>
      </c>
      <c r="I377" s="33" t="s">
        <v>6037</v>
      </c>
    </row>
    <row r="378" spans="1:9" x14ac:dyDescent="0.25">
      <c r="A378" s="24">
        <v>32</v>
      </c>
      <c r="B378" s="2">
        <v>194</v>
      </c>
      <c r="C378" s="2" t="s">
        <v>215</v>
      </c>
      <c r="D378" s="3">
        <v>0</v>
      </c>
      <c r="F378" s="2"/>
      <c r="H378" s="1" t="s">
        <v>1456</v>
      </c>
      <c r="I378" s="33" t="s">
        <v>6030</v>
      </c>
    </row>
    <row r="379" spans="1:9" ht="15.75" thickBot="1" x14ac:dyDescent="0.3">
      <c r="A379" s="26">
        <v>32</v>
      </c>
      <c r="B379" s="27">
        <v>194</v>
      </c>
      <c r="C379" s="27" t="s">
        <v>221</v>
      </c>
      <c r="D379" s="28">
        <v>0</v>
      </c>
      <c r="E379" s="30"/>
      <c r="F379" s="27"/>
      <c r="G379" s="30"/>
      <c r="H379" s="29" t="s">
        <v>1456</v>
      </c>
      <c r="I379" s="34" t="s">
        <v>6031</v>
      </c>
    </row>
    <row r="380" spans="1:9" x14ac:dyDescent="0.25">
      <c r="A380" s="18">
        <v>34</v>
      </c>
      <c r="B380" s="19">
        <v>201</v>
      </c>
      <c r="C380" s="19" t="s">
        <v>186</v>
      </c>
      <c r="D380" s="20">
        <v>2</v>
      </c>
      <c r="E380" t="s">
        <v>6117</v>
      </c>
      <c r="F380" s="19" t="s">
        <v>4614</v>
      </c>
      <c r="G380" s="22" t="s">
        <v>6122</v>
      </c>
      <c r="H380" s="21" t="s">
        <v>1456</v>
      </c>
      <c r="I380" s="32" t="s">
        <v>6121</v>
      </c>
    </row>
    <row r="381" spans="1:9" x14ac:dyDescent="0.25">
      <c r="A381" s="24">
        <v>34</v>
      </c>
      <c r="B381" s="2">
        <v>201</v>
      </c>
      <c r="C381" s="2" t="s">
        <v>192</v>
      </c>
      <c r="D381" s="3">
        <v>2</v>
      </c>
      <c r="E381" t="s">
        <v>6118</v>
      </c>
      <c r="F381" s="2" t="s">
        <v>6076</v>
      </c>
      <c r="G381" t="s">
        <v>6124</v>
      </c>
      <c r="H381" s="1" t="s">
        <v>1456</v>
      </c>
      <c r="I381" s="33" t="s">
        <v>6123</v>
      </c>
    </row>
    <row r="382" spans="1:9" x14ac:dyDescent="0.25">
      <c r="A382" s="24">
        <v>34</v>
      </c>
      <c r="B382" s="2">
        <v>201</v>
      </c>
      <c r="C382" s="2" t="s">
        <v>198</v>
      </c>
      <c r="D382" s="3">
        <v>2</v>
      </c>
      <c r="E382" t="s">
        <v>6119</v>
      </c>
      <c r="F382" s="2" t="s">
        <v>6066</v>
      </c>
      <c r="G382" t="s">
        <v>6039</v>
      </c>
      <c r="H382" s="1" t="s">
        <v>1456</v>
      </c>
      <c r="I382" s="33" t="s">
        <v>6112</v>
      </c>
    </row>
    <row r="383" spans="1:9" x14ac:dyDescent="0.25">
      <c r="A383" s="24">
        <v>34</v>
      </c>
      <c r="B383" s="2">
        <v>201</v>
      </c>
      <c r="C383" s="2" t="s">
        <v>204</v>
      </c>
      <c r="D383" s="3">
        <v>1</v>
      </c>
      <c r="E383" t="s">
        <v>6120</v>
      </c>
      <c r="F383" s="2" t="s">
        <v>6113</v>
      </c>
      <c r="G383" t="s">
        <v>6126</v>
      </c>
      <c r="H383" s="1" t="s">
        <v>1456</v>
      </c>
      <c r="I383" s="33" t="s">
        <v>6125</v>
      </c>
    </row>
    <row r="384" spans="1:9" x14ac:dyDescent="0.25">
      <c r="A384" s="24">
        <v>34</v>
      </c>
      <c r="B384" s="2">
        <v>201</v>
      </c>
      <c r="C384" s="2" t="s">
        <v>210</v>
      </c>
      <c r="D384" s="3">
        <v>1</v>
      </c>
      <c r="E384" t="s">
        <v>6116</v>
      </c>
      <c r="F384" s="2" t="s">
        <v>6063</v>
      </c>
      <c r="G384" t="s">
        <v>6128</v>
      </c>
      <c r="H384" s="1" t="s">
        <v>1456</v>
      </c>
      <c r="I384" s="33" t="s">
        <v>6127</v>
      </c>
    </row>
    <row r="385" spans="1:9" x14ac:dyDescent="0.25">
      <c r="A385" s="24">
        <v>34</v>
      </c>
      <c r="B385" s="2">
        <v>201</v>
      </c>
      <c r="C385" s="2" t="s">
        <v>215</v>
      </c>
      <c r="D385" s="3">
        <v>0</v>
      </c>
      <c r="F385" s="2"/>
      <c r="H385" s="1" t="s">
        <v>1456</v>
      </c>
      <c r="I385" s="33" t="s">
        <v>6114</v>
      </c>
    </row>
    <row r="386" spans="1:9" ht="15.75" thickBot="1" x14ac:dyDescent="0.3">
      <c r="A386" s="26">
        <v>34</v>
      </c>
      <c r="B386" s="27">
        <v>201</v>
      </c>
      <c r="C386" s="27" t="s">
        <v>221</v>
      </c>
      <c r="D386" s="28">
        <v>0</v>
      </c>
      <c r="E386" s="30"/>
      <c r="F386" s="27"/>
      <c r="G386" s="30"/>
      <c r="H386" s="29" t="s">
        <v>1456</v>
      </c>
      <c r="I386" s="34" t="s">
        <v>6115</v>
      </c>
    </row>
    <row r="387" spans="1:9" x14ac:dyDescent="0.25">
      <c r="A387" s="18">
        <v>36</v>
      </c>
      <c r="B387" s="19">
        <v>221</v>
      </c>
      <c r="C387" s="19" t="s">
        <v>186</v>
      </c>
      <c r="D387" s="20">
        <v>0</v>
      </c>
      <c r="F387" s="19"/>
      <c r="G387" s="22"/>
      <c r="H387" s="21" t="s">
        <v>1457</v>
      </c>
      <c r="I387" s="32" t="s">
        <v>6192</v>
      </c>
    </row>
    <row r="388" spans="1:9" x14ac:dyDescent="0.25">
      <c r="A388" s="24">
        <v>36</v>
      </c>
      <c r="B388" s="2">
        <v>221</v>
      </c>
      <c r="C388" s="2" t="s">
        <v>192</v>
      </c>
      <c r="D388" s="3">
        <v>2</v>
      </c>
      <c r="E388" t="s">
        <v>6204</v>
      </c>
      <c r="F388" s="2" t="s">
        <v>6193</v>
      </c>
      <c r="G388" t="s">
        <v>6198</v>
      </c>
      <c r="H388" s="1" t="s">
        <v>1456</v>
      </c>
      <c r="I388" s="33" t="s">
        <v>6197</v>
      </c>
    </row>
    <row r="389" spans="1:9" x14ac:dyDescent="0.25">
      <c r="A389" s="24">
        <v>36</v>
      </c>
      <c r="B389" s="2">
        <v>221</v>
      </c>
      <c r="C389" s="2" t="s">
        <v>198</v>
      </c>
      <c r="D389" s="3">
        <v>2</v>
      </c>
      <c r="E389" t="s">
        <v>6205</v>
      </c>
      <c r="F389" s="2" t="s">
        <v>6203</v>
      </c>
      <c r="G389" t="s">
        <v>6200</v>
      </c>
      <c r="H389" s="1" t="s">
        <v>1456</v>
      </c>
      <c r="I389" s="33" t="s">
        <v>6199</v>
      </c>
    </row>
    <row r="390" spans="1:9" x14ac:dyDescent="0.25">
      <c r="A390" s="24">
        <v>36</v>
      </c>
      <c r="B390" s="2">
        <v>221</v>
      </c>
      <c r="C390" s="2" t="s">
        <v>204</v>
      </c>
      <c r="D390" s="3">
        <v>1</v>
      </c>
      <c r="E390" t="s">
        <v>6171</v>
      </c>
      <c r="F390" s="2" t="s">
        <v>1404</v>
      </c>
      <c r="G390" t="s">
        <v>6202</v>
      </c>
      <c r="H390" s="1" t="s">
        <v>1457</v>
      </c>
      <c r="I390" s="33" t="s">
        <v>6201</v>
      </c>
    </row>
    <row r="391" spans="1:9" x14ac:dyDescent="0.25">
      <c r="A391" s="24">
        <v>36</v>
      </c>
      <c r="B391" s="2">
        <v>221</v>
      </c>
      <c r="C391" s="2" t="s">
        <v>210</v>
      </c>
      <c r="D391" s="3">
        <v>0</v>
      </c>
      <c r="F391" s="2"/>
      <c r="H391" s="1" t="s">
        <v>1457</v>
      </c>
      <c r="I391" s="33" t="s">
        <v>6194</v>
      </c>
    </row>
    <row r="392" spans="1:9" x14ac:dyDescent="0.25">
      <c r="A392" s="24">
        <v>36</v>
      </c>
      <c r="B392" s="2">
        <v>221</v>
      </c>
      <c r="C392" s="2" t="s">
        <v>215</v>
      </c>
      <c r="D392" s="3">
        <v>0</v>
      </c>
      <c r="F392" s="2"/>
      <c r="H392" s="1" t="s">
        <v>1456</v>
      </c>
      <c r="I392" s="33" t="s">
        <v>6195</v>
      </c>
    </row>
    <row r="393" spans="1:9" ht="15.75" thickBot="1" x14ac:dyDescent="0.3">
      <c r="A393" s="26">
        <v>36</v>
      </c>
      <c r="B393" s="27">
        <v>221</v>
      </c>
      <c r="C393" s="27" t="s">
        <v>221</v>
      </c>
      <c r="D393" s="28">
        <v>0</v>
      </c>
      <c r="E393" s="30"/>
      <c r="F393" s="27"/>
      <c r="G393" s="30"/>
      <c r="H393" s="29" t="s">
        <v>1456</v>
      </c>
      <c r="I393" s="34" t="s">
        <v>6196</v>
      </c>
    </row>
    <row r="394" spans="1:9" x14ac:dyDescent="0.25">
      <c r="A394" s="18">
        <v>38</v>
      </c>
      <c r="B394" s="19">
        <v>227</v>
      </c>
      <c r="C394" s="19" t="s">
        <v>186</v>
      </c>
      <c r="D394" s="20">
        <v>0</v>
      </c>
      <c r="E394" s="22"/>
      <c r="F394" s="19"/>
      <c r="G394" s="22"/>
      <c r="H394" s="21" t="s">
        <v>1456</v>
      </c>
      <c r="I394" s="32" t="s">
        <v>6256</v>
      </c>
    </row>
    <row r="395" spans="1:9" x14ac:dyDescent="0.25">
      <c r="A395" s="24">
        <v>38</v>
      </c>
      <c r="B395" s="2">
        <v>227</v>
      </c>
      <c r="C395" s="2" t="s">
        <v>192</v>
      </c>
      <c r="D395" s="3">
        <v>0</v>
      </c>
      <c r="F395" s="2"/>
      <c r="H395" s="1" t="s">
        <v>1457</v>
      </c>
      <c r="I395" s="33" t="s">
        <v>6257</v>
      </c>
    </row>
    <row r="396" spans="1:9" x14ac:dyDescent="0.25">
      <c r="A396" s="24">
        <v>38</v>
      </c>
      <c r="B396" s="2">
        <v>227</v>
      </c>
      <c r="C396" s="2" t="s">
        <v>198</v>
      </c>
      <c r="D396" s="3">
        <v>0</v>
      </c>
      <c r="F396" s="2"/>
      <c r="H396" s="1" t="s">
        <v>1457</v>
      </c>
      <c r="I396" s="33" t="s">
        <v>6258</v>
      </c>
    </row>
    <row r="397" spans="1:9" x14ac:dyDescent="0.25">
      <c r="A397" s="24">
        <v>38</v>
      </c>
      <c r="B397" s="2">
        <v>227</v>
      </c>
      <c r="C397" s="2" t="s">
        <v>204</v>
      </c>
      <c r="D397" s="3">
        <v>0</v>
      </c>
      <c r="F397" s="2"/>
      <c r="H397" s="1" t="s">
        <v>1456</v>
      </c>
      <c r="I397" s="33" t="s">
        <v>6259</v>
      </c>
    </row>
    <row r="398" spans="1:9" x14ac:dyDescent="0.25">
      <c r="A398" s="24">
        <v>38</v>
      </c>
      <c r="B398" s="2">
        <v>227</v>
      </c>
      <c r="C398" s="2" t="s">
        <v>210</v>
      </c>
      <c r="D398" s="3">
        <v>0</v>
      </c>
      <c r="F398" s="2"/>
      <c r="H398" s="1" t="s">
        <v>1456</v>
      </c>
      <c r="I398" s="33" t="s">
        <v>6260</v>
      </c>
    </row>
    <row r="399" spans="1:9" x14ac:dyDescent="0.25">
      <c r="A399" s="24">
        <v>38</v>
      </c>
      <c r="B399" s="2">
        <v>227</v>
      </c>
      <c r="C399" s="2" t="s">
        <v>215</v>
      </c>
      <c r="D399" s="3">
        <v>0</v>
      </c>
      <c r="F399" s="2"/>
      <c r="H399" s="1" t="s">
        <v>1457</v>
      </c>
      <c r="I399" s="33" t="s">
        <v>6261</v>
      </c>
    </row>
    <row r="400" spans="1:9" ht="15.75" thickBot="1" x14ac:dyDescent="0.3">
      <c r="A400" s="26">
        <v>38</v>
      </c>
      <c r="B400" s="27">
        <v>227</v>
      </c>
      <c r="C400" s="27" t="s">
        <v>221</v>
      </c>
      <c r="D400" s="28">
        <v>0</v>
      </c>
      <c r="E400" s="30"/>
      <c r="F400" s="27"/>
      <c r="G400" s="30"/>
      <c r="H400" s="29" t="s">
        <v>1456</v>
      </c>
      <c r="I400" s="34" t="s">
        <v>6262</v>
      </c>
    </row>
    <row r="401" spans="1:9" x14ac:dyDescent="0.25">
      <c r="A401" s="18">
        <v>40</v>
      </c>
      <c r="B401" s="19">
        <v>239</v>
      </c>
      <c r="C401" s="19" t="s">
        <v>186</v>
      </c>
      <c r="D401" s="20">
        <v>2</v>
      </c>
      <c r="E401" t="s">
        <v>6348</v>
      </c>
      <c r="F401" s="19" t="s">
        <v>6330</v>
      </c>
      <c r="G401" s="22" t="s">
        <v>6338</v>
      </c>
      <c r="H401" s="21" t="s">
        <v>1456</v>
      </c>
      <c r="I401" s="32" t="s">
        <v>6337</v>
      </c>
    </row>
    <row r="402" spans="1:9" x14ac:dyDescent="0.25">
      <c r="A402" s="24">
        <v>40</v>
      </c>
      <c r="B402" s="2">
        <v>239</v>
      </c>
      <c r="C402" s="2" t="s">
        <v>192</v>
      </c>
      <c r="D402" s="3">
        <v>2</v>
      </c>
      <c r="E402" t="s">
        <v>6349</v>
      </c>
      <c r="F402" s="2" t="s">
        <v>6336</v>
      </c>
      <c r="G402" t="s">
        <v>6340</v>
      </c>
      <c r="H402" s="1" t="s">
        <v>1456</v>
      </c>
      <c r="I402" s="33" t="s">
        <v>6339</v>
      </c>
    </row>
    <row r="403" spans="1:9" x14ac:dyDescent="0.25">
      <c r="A403" s="24">
        <v>40</v>
      </c>
      <c r="B403" s="2">
        <v>239</v>
      </c>
      <c r="C403" s="2" t="s">
        <v>198</v>
      </c>
      <c r="D403" s="3">
        <v>2</v>
      </c>
      <c r="E403" t="s">
        <v>6350</v>
      </c>
      <c r="F403" s="2" t="s">
        <v>6331</v>
      </c>
      <c r="G403" t="s">
        <v>6342</v>
      </c>
      <c r="H403" s="1" t="s">
        <v>1456</v>
      </c>
      <c r="I403" s="33" t="s">
        <v>6341</v>
      </c>
    </row>
    <row r="404" spans="1:9" x14ac:dyDescent="0.25">
      <c r="A404" s="24">
        <v>40</v>
      </c>
      <c r="B404" s="2">
        <v>239</v>
      </c>
      <c r="C404" s="2" t="s">
        <v>204</v>
      </c>
      <c r="D404" s="3">
        <v>2</v>
      </c>
      <c r="E404" t="s">
        <v>6347</v>
      </c>
      <c r="F404" s="2" t="s">
        <v>6332</v>
      </c>
      <c r="G404" t="s">
        <v>6344</v>
      </c>
      <c r="H404" s="1" t="s">
        <v>1456</v>
      </c>
      <c r="I404" s="33" t="s">
        <v>6343</v>
      </c>
    </row>
    <row r="405" spans="1:9" x14ac:dyDescent="0.25">
      <c r="A405" s="24">
        <v>40</v>
      </c>
      <c r="B405" s="2">
        <v>239</v>
      </c>
      <c r="C405" s="2" t="s">
        <v>210</v>
      </c>
      <c r="D405" s="3">
        <v>2</v>
      </c>
      <c r="E405" t="s">
        <v>6351</v>
      </c>
      <c r="F405" s="2" t="s">
        <v>6333</v>
      </c>
      <c r="G405" t="s">
        <v>6346</v>
      </c>
      <c r="H405" s="1" t="s">
        <v>1456</v>
      </c>
      <c r="I405" s="33" t="s">
        <v>6345</v>
      </c>
    </row>
    <row r="406" spans="1:9" x14ac:dyDescent="0.25">
      <c r="A406" s="24">
        <v>40</v>
      </c>
      <c r="B406" s="2">
        <v>239</v>
      </c>
      <c r="C406" s="2" t="s">
        <v>215</v>
      </c>
      <c r="D406" s="3">
        <v>0</v>
      </c>
      <c r="F406" s="2"/>
      <c r="H406" s="1" t="s">
        <v>1457</v>
      </c>
      <c r="I406" s="33" t="s">
        <v>6334</v>
      </c>
    </row>
    <row r="407" spans="1:9" ht="15.75" thickBot="1" x14ac:dyDescent="0.3">
      <c r="A407" s="26">
        <v>40</v>
      </c>
      <c r="B407" s="27">
        <v>239</v>
      </c>
      <c r="C407" s="27" t="s">
        <v>221</v>
      </c>
      <c r="D407" s="28">
        <v>0</v>
      </c>
      <c r="E407" s="30"/>
      <c r="F407" s="27"/>
      <c r="G407" s="30"/>
      <c r="H407" s="29" t="s">
        <v>1457</v>
      </c>
      <c r="I407" s="34" t="s">
        <v>6335</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4318044F-257E-4046-A292-ACFE7E40DCB4}">
          <x14:formula1>
            <xm:f>'99_Lookups'!$Q$2:$Q$5</xm:f>
          </x14:formula1>
          <xm:sqref>D2:D99 D107:D210</xm:sqref>
        </x14:dataValidation>
        <x14:dataValidation type="list" showErrorMessage="1" xr:uid="{38C9CCAC-A8FD-4817-A813-A1EBF4030D40}">
          <x14:formula1>
            <xm:f>'99_Lookups'!$K$2:$K$4</xm:f>
          </x14:formula1>
          <xm:sqref>H2:H407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67104-0AEF-4CFC-97AE-E6D64B036E78}">
  <sheetPr>
    <tabColor theme="6"/>
  </sheetPr>
  <dimension ref="A1:J370"/>
  <sheetViews>
    <sheetView topLeftCell="A362" workbookViewId="0">
      <selection sqref="A1:J370"/>
    </sheetView>
  </sheetViews>
  <sheetFormatPr baseColWidth="10" defaultRowHeight="15" x14ac:dyDescent="0.25"/>
  <cols>
    <col min="3" max="3" width="13.85546875" customWidth="1"/>
    <col min="5" max="5" width="30.5703125" hidden="1" customWidth="1"/>
    <col min="6" max="6" width="23.28515625" customWidth="1"/>
    <col min="7" max="7" width="21.42578125" customWidth="1"/>
    <col min="9" max="9" width="25.140625" customWidth="1"/>
    <col min="10" max="10" width="19.140625" customWidth="1"/>
  </cols>
  <sheetData>
    <row r="1" spans="1:10" ht="15.75" thickBot="1" x14ac:dyDescent="0.3">
      <c r="A1" t="s">
        <v>283</v>
      </c>
      <c r="B1" t="s">
        <v>284</v>
      </c>
      <c r="C1" t="s">
        <v>0</v>
      </c>
      <c r="D1" t="s">
        <v>8</v>
      </c>
      <c r="E1" t="s">
        <v>285</v>
      </c>
      <c r="F1" t="s">
        <v>286</v>
      </c>
      <c r="G1" t="s">
        <v>287</v>
      </c>
      <c r="H1" t="s">
        <v>288</v>
      </c>
      <c r="I1" t="s">
        <v>289</v>
      </c>
      <c r="J1" t="s">
        <v>290</v>
      </c>
    </row>
    <row r="2" spans="1:10" x14ac:dyDescent="0.25">
      <c r="A2" s="40" t="s">
        <v>1416</v>
      </c>
      <c r="B2" s="41" t="s">
        <v>1421</v>
      </c>
      <c r="C2" s="41">
        <v>3</v>
      </c>
      <c r="D2" s="41">
        <v>16</v>
      </c>
      <c r="E2" s="41"/>
      <c r="F2" s="41" t="s">
        <v>1423</v>
      </c>
      <c r="G2" s="41" t="s">
        <v>1425</v>
      </c>
      <c r="H2" s="41" t="s">
        <v>1434</v>
      </c>
      <c r="I2" s="41" t="s">
        <v>1431</v>
      </c>
      <c r="J2" s="42" t="s">
        <v>1433</v>
      </c>
    </row>
    <row r="3" spans="1:10" x14ac:dyDescent="0.25">
      <c r="A3" s="43" t="s">
        <v>1417</v>
      </c>
      <c r="B3" s="39" t="s">
        <v>1421</v>
      </c>
      <c r="C3" s="39">
        <v>3</v>
      </c>
      <c r="D3" s="39">
        <v>16</v>
      </c>
      <c r="E3" s="39"/>
      <c r="F3" s="39" t="s">
        <v>112</v>
      </c>
      <c r="G3" s="39" t="s">
        <v>1426</v>
      </c>
      <c r="H3" s="39" t="s">
        <v>1435</v>
      </c>
      <c r="I3" s="39" t="s">
        <v>1432</v>
      </c>
      <c r="J3" s="44" t="s">
        <v>1433</v>
      </c>
    </row>
    <row r="4" spans="1:10" x14ac:dyDescent="0.25">
      <c r="A4" s="43" t="s">
        <v>1418</v>
      </c>
      <c r="B4" s="39" t="s">
        <v>1421</v>
      </c>
      <c r="C4" s="39">
        <v>3</v>
      </c>
      <c r="D4" s="39">
        <v>16</v>
      </c>
      <c r="E4" s="39"/>
      <c r="F4" s="39" t="s">
        <v>192</v>
      </c>
      <c r="G4" s="39" t="s">
        <v>1427</v>
      </c>
      <c r="H4" s="39" t="s">
        <v>1436</v>
      </c>
      <c r="I4" s="39" t="s">
        <v>1432</v>
      </c>
      <c r="J4" s="44" t="s">
        <v>1433</v>
      </c>
    </row>
    <row r="5" spans="1:10" x14ac:dyDescent="0.25">
      <c r="A5" s="43" t="s">
        <v>1419</v>
      </c>
      <c r="B5" s="39" t="s">
        <v>1421</v>
      </c>
      <c r="C5" s="39">
        <v>3</v>
      </c>
      <c r="D5" s="39">
        <v>16</v>
      </c>
      <c r="E5" s="39"/>
      <c r="F5" s="39" t="s">
        <v>221</v>
      </c>
      <c r="G5" s="39" t="s">
        <v>1428</v>
      </c>
      <c r="H5" s="39" t="s">
        <v>1437</v>
      </c>
      <c r="I5" s="39" t="s">
        <v>1431</v>
      </c>
      <c r="J5" s="44" t="s">
        <v>1433</v>
      </c>
    </row>
    <row r="6" spans="1:10" x14ac:dyDescent="0.25">
      <c r="A6" s="43" t="s">
        <v>1420</v>
      </c>
      <c r="B6" s="39" t="s">
        <v>1421</v>
      </c>
      <c r="C6" s="39">
        <v>3</v>
      </c>
      <c r="D6" s="39">
        <v>16</v>
      </c>
      <c r="E6" s="39"/>
      <c r="F6" s="39" t="s">
        <v>154</v>
      </c>
      <c r="G6" s="39" t="s">
        <v>1429</v>
      </c>
      <c r="H6" s="39" t="s">
        <v>1438</v>
      </c>
      <c r="I6" s="39" t="s">
        <v>1432</v>
      </c>
      <c r="J6" s="44" t="s">
        <v>1433</v>
      </c>
    </row>
    <row r="7" spans="1:10" ht="15.75" thickBot="1" x14ac:dyDescent="0.3">
      <c r="A7" s="45" t="s">
        <v>1422</v>
      </c>
      <c r="B7" s="46" t="s">
        <v>1421</v>
      </c>
      <c r="C7" s="46">
        <v>3</v>
      </c>
      <c r="D7" s="46">
        <v>16</v>
      </c>
      <c r="E7" s="46"/>
      <c r="F7" s="46" t="s">
        <v>1424</v>
      </c>
      <c r="G7" s="46" t="s">
        <v>1430</v>
      </c>
      <c r="H7" s="46" t="s">
        <v>1439</v>
      </c>
      <c r="I7" s="46" t="s">
        <v>1432</v>
      </c>
      <c r="J7" s="47" t="s">
        <v>1433</v>
      </c>
    </row>
    <row r="8" spans="1:10" x14ac:dyDescent="0.25">
      <c r="A8" s="40" t="s">
        <v>1501</v>
      </c>
      <c r="B8" s="41" t="s">
        <v>1421</v>
      </c>
      <c r="C8" s="41">
        <v>4</v>
      </c>
      <c r="D8" s="41">
        <v>22</v>
      </c>
      <c r="E8" s="41"/>
      <c r="F8" s="41" t="s">
        <v>1507</v>
      </c>
      <c r="G8" s="41" t="s">
        <v>1508</v>
      </c>
      <c r="H8" s="41" t="s">
        <v>1509</v>
      </c>
      <c r="I8" s="41" t="s">
        <v>1432</v>
      </c>
      <c r="J8" s="42" t="s">
        <v>1433</v>
      </c>
    </row>
    <row r="9" spans="1:10" x14ac:dyDescent="0.25">
      <c r="A9" s="43" t="s">
        <v>1502</v>
      </c>
      <c r="B9" s="39" t="s">
        <v>1421</v>
      </c>
      <c r="C9" s="39">
        <v>4</v>
      </c>
      <c r="D9" s="39">
        <v>22</v>
      </c>
      <c r="E9" s="39"/>
      <c r="F9" s="39" t="s">
        <v>1510</v>
      </c>
      <c r="G9" s="39" t="s">
        <v>1511</v>
      </c>
      <c r="H9" s="39" t="s">
        <v>1512</v>
      </c>
      <c r="I9" s="39" t="s">
        <v>1432</v>
      </c>
      <c r="J9" s="44" t="s">
        <v>1433</v>
      </c>
    </row>
    <row r="10" spans="1:10" x14ac:dyDescent="0.25">
      <c r="A10" s="43" t="s">
        <v>1503</v>
      </c>
      <c r="B10" s="39" t="s">
        <v>1421</v>
      </c>
      <c r="C10" s="39">
        <v>4</v>
      </c>
      <c r="D10" s="39">
        <v>22</v>
      </c>
      <c r="E10" s="39"/>
      <c r="F10" s="39" t="s">
        <v>1513</v>
      </c>
      <c r="G10" s="39" t="s">
        <v>1514</v>
      </c>
      <c r="H10" s="39" t="s">
        <v>1515</v>
      </c>
      <c r="I10" s="39" t="s">
        <v>1432</v>
      </c>
      <c r="J10" s="44" t="s">
        <v>1433</v>
      </c>
    </row>
    <row r="11" spans="1:10" x14ac:dyDescent="0.25">
      <c r="A11" s="43" t="s">
        <v>1504</v>
      </c>
      <c r="B11" s="39" t="s">
        <v>1421</v>
      </c>
      <c r="C11" s="39">
        <v>4</v>
      </c>
      <c r="D11" s="39">
        <v>22</v>
      </c>
      <c r="E11" s="39"/>
      <c r="F11" s="39" t="s">
        <v>161</v>
      </c>
      <c r="G11" s="39" t="s">
        <v>1516</v>
      </c>
      <c r="H11" s="39" t="s">
        <v>1517</v>
      </c>
      <c r="I11" s="39" t="s">
        <v>1432</v>
      </c>
      <c r="J11" s="44" t="s">
        <v>1433</v>
      </c>
    </row>
    <row r="12" spans="1:10" x14ac:dyDescent="0.25">
      <c r="A12" s="43" t="s">
        <v>1505</v>
      </c>
      <c r="B12" s="39" t="s">
        <v>1421</v>
      </c>
      <c r="C12" s="39">
        <v>4</v>
      </c>
      <c r="D12" s="39">
        <v>22</v>
      </c>
      <c r="E12" s="39"/>
      <c r="F12" s="39" t="s">
        <v>106</v>
      </c>
      <c r="G12" s="39" t="s">
        <v>1518</v>
      </c>
      <c r="H12" s="39" t="s">
        <v>1519</v>
      </c>
      <c r="I12" s="39" t="s">
        <v>1432</v>
      </c>
      <c r="J12" s="44" t="s">
        <v>1433</v>
      </c>
    </row>
    <row r="13" spans="1:10" ht="15.75" thickBot="1" x14ac:dyDescent="0.3">
      <c r="A13" s="45" t="s">
        <v>1506</v>
      </c>
      <c r="B13" s="46" t="s">
        <v>1421</v>
      </c>
      <c r="C13" s="46">
        <v>4</v>
      </c>
      <c r="D13" s="46">
        <v>22</v>
      </c>
      <c r="E13" s="46"/>
      <c r="F13" s="46" t="s">
        <v>174</v>
      </c>
      <c r="G13" s="46" t="s">
        <v>1520</v>
      </c>
      <c r="H13" s="46" t="s">
        <v>1521</v>
      </c>
      <c r="I13" s="46" t="s">
        <v>1431</v>
      </c>
      <c r="J13" s="47" t="s">
        <v>1433</v>
      </c>
    </row>
    <row r="14" spans="1:10" x14ac:dyDescent="0.25">
      <c r="A14" s="40" t="s">
        <v>1574</v>
      </c>
      <c r="B14" s="41" t="s">
        <v>1421</v>
      </c>
      <c r="C14" s="41">
        <v>5</v>
      </c>
      <c r="D14" s="41">
        <v>27</v>
      </c>
      <c r="E14" s="41"/>
      <c r="F14" s="41" t="s">
        <v>198</v>
      </c>
      <c r="G14" s="41" t="s">
        <v>1561</v>
      </c>
      <c r="H14" s="41" t="s">
        <v>1562</v>
      </c>
      <c r="I14" s="41" t="s">
        <v>1432</v>
      </c>
      <c r="J14" s="42" t="s">
        <v>1433</v>
      </c>
    </row>
    <row r="15" spans="1:10" x14ac:dyDescent="0.25">
      <c r="A15" s="43" t="s">
        <v>1575</v>
      </c>
      <c r="B15" s="39" t="s">
        <v>1421</v>
      </c>
      <c r="C15" s="39">
        <v>5</v>
      </c>
      <c r="D15" s="39">
        <v>27</v>
      </c>
      <c r="E15" s="39"/>
      <c r="F15" s="39" t="s">
        <v>204</v>
      </c>
      <c r="G15" s="39" t="s">
        <v>1563</v>
      </c>
      <c r="H15" s="39" t="s">
        <v>1564</v>
      </c>
      <c r="I15" s="39" t="s">
        <v>1432</v>
      </c>
      <c r="J15" s="44" t="s">
        <v>1433</v>
      </c>
    </row>
    <row r="16" spans="1:10" x14ac:dyDescent="0.25">
      <c r="A16" s="43" t="s">
        <v>1576</v>
      </c>
      <c r="B16" s="39" t="s">
        <v>1421</v>
      </c>
      <c r="C16" s="39">
        <v>5</v>
      </c>
      <c r="D16" s="39">
        <v>27</v>
      </c>
      <c r="E16" s="39"/>
      <c r="F16" s="39" t="s">
        <v>186</v>
      </c>
      <c r="G16" s="39" t="s">
        <v>1565</v>
      </c>
      <c r="H16" s="39" t="s">
        <v>1566</v>
      </c>
      <c r="I16" s="39" t="s">
        <v>1432</v>
      </c>
      <c r="J16" s="44" t="s">
        <v>1433</v>
      </c>
    </row>
    <row r="17" spans="1:10" x14ac:dyDescent="0.25">
      <c r="A17" s="43" t="s">
        <v>1577</v>
      </c>
      <c r="B17" s="39" t="s">
        <v>1421</v>
      </c>
      <c r="C17" s="39">
        <v>5</v>
      </c>
      <c r="D17" s="39">
        <v>27</v>
      </c>
      <c r="E17" s="39"/>
      <c r="F17" s="39" t="s">
        <v>1567</v>
      </c>
      <c r="G17" s="39" t="s">
        <v>1568</v>
      </c>
      <c r="H17" s="39" t="s">
        <v>1569</v>
      </c>
      <c r="I17" s="39" t="s">
        <v>1432</v>
      </c>
      <c r="J17" s="44" t="s">
        <v>1433</v>
      </c>
    </row>
    <row r="18" spans="1:10" x14ac:dyDescent="0.25">
      <c r="A18" s="43" t="s">
        <v>1578</v>
      </c>
      <c r="B18" s="39" t="s">
        <v>1421</v>
      </c>
      <c r="C18" s="39">
        <v>5</v>
      </c>
      <c r="D18" s="39">
        <v>27</v>
      </c>
      <c r="E18" s="39"/>
      <c r="F18" s="39" t="s">
        <v>112</v>
      </c>
      <c r="G18" s="39" t="s">
        <v>1570</v>
      </c>
      <c r="H18" s="39" t="s">
        <v>1571</v>
      </c>
      <c r="I18" s="39" t="s">
        <v>1432</v>
      </c>
      <c r="J18" s="44" t="s">
        <v>1433</v>
      </c>
    </row>
    <row r="19" spans="1:10" ht="15.75" thickBot="1" x14ac:dyDescent="0.3">
      <c r="A19" s="45" t="s">
        <v>1579</v>
      </c>
      <c r="B19" s="46" t="s">
        <v>1421</v>
      </c>
      <c r="C19" s="46">
        <v>5</v>
      </c>
      <c r="D19" s="46">
        <v>27</v>
      </c>
      <c r="E19" s="46"/>
      <c r="F19" s="46" t="s">
        <v>1510</v>
      </c>
      <c r="G19" s="46" t="s">
        <v>1572</v>
      </c>
      <c r="H19" s="46" t="s">
        <v>1573</v>
      </c>
      <c r="I19" s="46" t="s">
        <v>1431</v>
      </c>
      <c r="J19" s="47" t="s">
        <v>1433</v>
      </c>
    </row>
    <row r="20" spans="1:10" x14ac:dyDescent="0.25">
      <c r="A20" s="40" t="s">
        <v>1613</v>
      </c>
      <c r="B20" s="41" t="s">
        <v>1421</v>
      </c>
      <c r="C20" s="41">
        <v>6</v>
      </c>
      <c r="D20" s="41">
        <v>32</v>
      </c>
      <c r="E20" s="41"/>
      <c r="F20" s="41" t="s">
        <v>90</v>
      </c>
      <c r="G20" s="41" t="s">
        <v>1600</v>
      </c>
      <c r="H20" s="41" t="s">
        <v>1601</v>
      </c>
      <c r="I20" s="41" t="s">
        <v>1432</v>
      </c>
      <c r="J20" s="42" t="s">
        <v>1433</v>
      </c>
    </row>
    <row r="21" spans="1:10" x14ac:dyDescent="0.25">
      <c r="A21" s="43" t="s">
        <v>1614</v>
      </c>
      <c r="B21" s="39" t="s">
        <v>1421</v>
      </c>
      <c r="C21" s="39">
        <v>6</v>
      </c>
      <c r="D21" s="39">
        <v>32</v>
      </c>
      <c r="E21" s="39"/>
      <c r="F21" s="39" t="s">
        <v>83</v>
      </c>
      <c r="G21" s="39" t="s">
        <v>1602</v>
      </c>
      <c r="H21" s="39" t="s">
        <v>1603</v>
      </c>
      <c r="I21" s="39" t="s">
        <v>1432</v>
      </c>
      <c r="J21" s="44" t="s">
        <v>1433</v>
      </c>
    </row>
    <row r="22" spans="1:10" x14ac:dyDescent="0.25">
      <c r="A22" s="43" t="s">
        <v>1615</v>
      </c>
      <c r="B22" s="39" t="s">
        <v>1421</v>
      </c>
      <c r="C22" s="39">
        <v>6</v>
      </c>
      <c r="D22" s="39">
        <v>32</v>
      </c>
      <c r="E22" s="39"/>
      <c r="F22" s="39" t="s">
        <v>186</v>
      </c>
      <c r="G22" s="39" t="s">
        <v>1604</v>
      </c>
      <c r="H22" s="39" t="s">
        <v>1605</v>
      </c>
      <c r="I22" s="39" t="s">
        <v>1432</v>
      </c>
      <c r="J22" s="44" t="s">
        <v>1433</v>
      </c>
    </row>
    <row r="23" spans="1:10" x14ac:dyDescent="0.25">
      <c r="A23" s="43" t="s">
        <v>1616</v>
      </c>
      <c r="B23" s="39" t="s">
        <v>1421</v>
      </c>
      <c r="C23" s="39">
        <v>6</v>
      </c>
      <c r="D23" s="39">
        <v>32</v>
      </c>
      <c r="E23" s="39"/>
      <c r="F23" s="39" t="s">
        <v>204</v>
      </c>
      <c r="G23" s="39" t="s">
        <v>1606</v>
      </c>
      <c r="H23" s="39" t="s">
        <v>1607</v>
      </c>
      <c r="I23" s="39" t="s">
        <v>1432</v>
      </c>
      <c r="J23" s="44" t="s">
        <v>1433</v>
      </c>
    </row>
    <row r="24" spans="1:10" x14ac:dyDescent="0.25">
      <c r="A24" s="43" t="s">
        <v>1617</v>
      </c>
      <c r="B24" s="39" t="s">
        <v>1421</v>
      </c>
      <c r="C24" s="39">
        <v>6</v>
      </c>
      <c r="D24" s="39">
        <v>32</v>
      </c>
      <c r="E24" s="39"/>
      <c r="F24" s="39" t="s">
        <v>215</v>
      </c>
      <c r="G24" s="39" t="s">
        <v>1608</v>
      </c>
      <c r="H24" s="39" t="s">
        <v>1609</v>
      </c>
      <c r="I24" s="39" t="s">
        <v>1432</v>
      </c>
      <c r="J24" s="44" t="s">
        <v>1433</v>
      </c>
    </row>
    <row r="25" spans="1:10" ht="15.75" thickBot="1" x14ac:dyDescent="0.3">
      <c r="A25" s="45" t="s">
        <v>1618</v>
      </c>
      <c r="B25" s="46" t="s">
        <v>1421</v>
      </c>
      <c r="C25" s="46">
        <v>6</v>
      </c>
      <c r="D25" s="46">
        <v>32</v>
      </c>
      <c r="E25" s="46"/>
      <c r="F25" s="46" t="s">
        <v>1610</v>
      </c>
      <c r="G25" s="46" t="s">
        <v>1611</v>
      </c>
      <c r="H25" s="46" t="s">
        <v>1612</v>
      </c>
      <c r="I25" s="46" t="s">
        <v>1432</v>
      </c>
      <c r="J25" s="47" t="s">
        <v>1433</v>
      </c>
    </row>
    <row r="26" spans="1:10" x14ac:dyDescent="0.25">
      <c r="A26" s="40" t="s">
        <v>1698</v>
      </c>
      <c r="B26" s="41" t="s">
        <v>1421</v>
      </c>
      <c r="C26" s="41">
        <v>7</v>
      </c>
      <c r="D26" s="41">
        <v>37</v>
      </c>
      <c r="E26" s="41"/>
      <c r="F26" s="41" t="s">
        <v>1685</v>
      </c>
      <c r="G26" s="41" t="s">
        <v>1686</v>
      </c>
      <c r="H26" s="41" t="s">
        <v>1687</v>
      </c>
      <c r="I26" s="41" t="s">
        <v>1432</v>
      </c>
      <c r="J26" s="42" t="s">
        <v>1433</v>
      </c>
    </row>
    <row r="27" spans="1:10" x14ac:dyDescent="0.25">
      <c r="A27" s="43" t="s">
        <v>1699</v>
      </c>
      <c r="B27" s="39" t="s">
        <v>1421</v>
      </c>
      <c r="C27" s="39">
        <v>7</v>
      </c>
      <c r="D27" s="39">
        <v>37</v>
      </c>
      <c r="E27" s="39"/>
      <c r="F27" s="39" t="s">
        <v>147</v>
      </c>
      <c r="G27" s="39" t="s">
        <v>1688</v>
      </c>
      <c r="H27" s="39" t="s">
        <v>1689</v>
      </c>
      <c r="I27" s="39" t="s">
        <v>1432</v>
      </c>
      <c r="J27" s="44" t="s">
        <v>1433</v>
      </c>
    </row>
    <row r="28" spans="1:10" x14ac:dyDescent="0.25">
      <c r="A28" s="43" t="s">
        <v>1700</v>
      </c>
      <c r="B28" s="39" t="s">
        <v>1421</v>
      </c>
      <c r="C28" s="39">
        <v>7</v>
      </c>
      <c r="D28" s="39">
        <v>37</v>
      </c>
      <c r="E28" s="39"/>
      <c r="F28" s="39" t="s">
        <v>69</v>
      </c>
      <c r="G28" s="39" t="s">
        <v>1690</v>
      </c>
      <c r="H28" s="39" t="s">
        <v>1691</v>
      </c>
      <c r="I28" s="39" t="s">
        <v>1432</v>
      </c>
      <c r="J28" s="44" t="s">
        <v>1433</v>
      </c>
    </row>
    <row r="29" spans="1:10" x14ac:dyDescent="0.25">
      <c r="A29" s="43" t="s">
        <v>1701</v>
      </c>
      <c r="B29" s="39" t="s">
        <v>1421</v>
      </c>
      <c r="C29" s="39">
        <v>7</v>
      </c>
      <c r="D29" s="39">
        <v>37</v>
      </c>
      <c r="E29" s="39"/>
      <c r="F29" s="39" t="s">
        <v>198</v>
      </c>
      <c r="G29" s="39" t="s">
        <v>1692</v>
      </c>
      <c r="H29" s="39" t="s">
        <v>1693</v>
      </c>
      <c r="I29" s="39" t="s">
        <v>1432</v>
      </c>
      <c r="J29" s="44" t="s">
        <v>1433</v>
      </c>
    </row>
    <row r="30" spans="1:10" x14ac:dyDescent="0.25">
      <c r="A30" s="43" t="s">
        <v>1702</v>
      </c>
      <c r="B30" s="39" t="s">
        <v>1421</v>
      </c>
      <c r="C30" s="39">
        <v>7</v>
      </c>
      <c r="D30" s="39">
        <v>37</v>
      </c>
      <c r="E30" s="39"/>
      <c r="F30" s="39" t="s">
        <v>210</v>
      </c>
      <c r="G30" s="39" t="s">
        <v>1694</v>
      </c>
      <c r="H30" s="39" t="s">
        <v>1695</v>
      </c>
      <c r="I30" s="39" t="s">
        <v>1432</v>
      </c>
      <c r="J30" s="44" t="s">
        <v>1433</v>
      </c>
    </row>
    <row r="31" spans="1:10" ht="15.75" thickBot="1" x14ac:dyDescent="0.3">
      <c r="A31" s="45" t="s">
        <v>1703</v>
      </c>
      <c r="B31" s="46" t="s">
        <v>1421</v>
      </c>
      <c r="C31" s="46">
        <v>7</v>
      </c>
      <c r="D31" s="46">
        <v>37</v>
      </c>
      <c r="E31" s="46"/>
      <c r="F31" s="46" t="s">
        <v>221</v>
      </c>
      <c r="G31" s="46" t="s">
        <v>1696</v>
      </c>
      <c r="H31" s="46" t="s">
        <v>1697</v>
      </c>
      <c r="I31" s="46" t="s">
        <v>1431</v>
      </c>
      <c r="J31" s="47" t="s">
        <v>1433</v>
      </c>
    </row>
    <row r="32" spans="1:10" x14ac:dyDescent="0.25">
      <c r="A32" s="40" t="s">
        <v>1769</v>
      </c>
      <c r="B32" s="41" t="s">
        <v>1421</v>
      </c>
      <c r="C32" s="41">
        <v>12</v>
      </c>
      <c r="D32" s="41">
        <v>62</v>
      </c>
      <c r="E32" s="41"/>
      <c r="F32" s="41" t="s">
        <v>1758</v>
      </c>
      <c r="G32" s="41" t="s">
        <v>1759</v>
      </c>
      <c r="H32" s="41" t="s">
        <v>1760</v>
      </c>
      <c r="I32" s="41" t="s">
        <v>1432</v>
      </c>
      <c r="J32" s="42" t="s">
        <v>1433</v>
      </c>
    </row>
    <row r="33" spans="1:10" x14ac:dyDescent="0.25">
      <c r="A33" s="43" t="s">
        <v>1770</v>
      </c>
      <c r="B33" s="39" t="s">
        <v>1421</v>
      </c>
      <c r="C33" s="39">
        <v>12</v>
      </c>
      <c r="D33" s="39">
        <v>62</v>
      </c>
      <c r="E33" s="39"/>
      <c r="F33" s="39" t="s">
        <v>125</v>
      </c>
      <c r="G33" s="39" t="s">
        <v>1761</v>
      </c>
      <c r="H33" s="39" t="s">
        <v>1762</v>
      </c>
      <c r="I33" s="39" t="s">
        <v>1432</v>
      </c>
      <c r="J33" s="44" t="s">
        <v>1433</v>
      </c>
    </row>
    <row r="34" spans="1:10" x14ac:dyDescent="0.25">
      <c r="A34" s="43" t="s">
        <v>1771</v>
      </c>
      <c r="B34" s="39" t="s">
        <v>1421</v>
      </c>
      <c r="C34" s="39">
        <v>12</v>
      </c>
      <c r="D34" s="39">
        <v>62</v>
      </c>
      <c r="E34" s="39"/>
      <c r="F34" s="39" t="s">
        <v>198</v>
      </c>
      <c r="G34" s="39" t="s">
        <v>1763</v>
      </c>
      <c r="H34" s="39" t="s">
        <v>1764</v>
      </c>
      <c r="I34" s="39" t="s">
        <v>1432</v>
      </c>
      <c r="J34" s="44" t="s">
        <v>1433</v>
      </c>
    </row>
    <row r="35" spans="1:10" x14ac:dyDescent="0.25">
      <c r="A35" s="43" t="s">
        <v>1772</v>
      </c>
      <c r="B35" s="39" t="s">
        <v>1421</v>
      </c>
      <c r="C35" s="39">
        <v>12</v>
      </c>
      <c r="D35" s="39">
        <v>62</v>
      </c>
      <c r="E35" s="39"/>
      <c r="F35" s="39" t="s">
        <v>186</v>
      </c>
      <c r="G35" s="39" t="s">
        <v>1765</v>
      </c>
      <c r="H35" s="39" t="s">
        <v>1766</v>
      </c>
      <c r="I35" s="39" t="s">
        <v>1432</v>
      </c>
      <c r="J35" s="44" t="s">
        <v>1433</v>
      </c>
    </row>
    <row r="36" spans="1:10" ht="15.75" thickBot="1" x14ac:dyDescent="0.3">
      <c r="A36" s="45" t="s">
        <v>1773</v>
      </c>
      <c r="B36" s="46" t="s">
        <v>1421</v>
      </c>
      <c r="C36" s="46">
        <v>12</v>
      </c>
      <c r="D36" s="46">
        <v>62</v>
      </c>
      <c r="E36" s="46"/>
      <c r="F36" s="46" t="s">
        <v>1685</v>
      </c>
      <c r="G36" s="46" t="s">
        <v>1767</v>
      </c>
      <c r="H36" s="46" t="s">
        <v>1768</v>
      </c>
      <c r="I36" s="46" t="s">
        <v>1432</v>
      </c>
      <c r="J36" s="47" t="s">
        <v>1433</v>
      </c>
    </row>
    <row r="37" spans="1:10" x14ac:dyDescent="0.25">
      <c r="A37" s="40" t="s">
        <v>1774</v>
      </c>
      <c r="B37" s="41" t="s">
        <v>1421</v>
      </c>
      <c r="C37" s="41">
        <v>15</v>
      </c>
      <c r="D37" s="41">
        <v>86</v>
      </c>
      <c r="E37" s="41"/>
      <c r="F37" s="41" t="s">
        <v>76</v>
      </c>
      <c r="G37" s="41" t="s">
        <v>1847</v>
      </c>
      <c r="H37" s="41" t="s">
        <v>1848</v>
      </c>
      <c r="I37" s="41" t="s">
        <v>1432</v>
      </c>
      <c r="J37" s="42" t="s">
        <v>1433</v>
      </c>
    </row>
    <row r="38" spans="1:10" x14ac:dyDescent="0.25">
      <c r="A38" s="43" t="s">
        <v>1775</v>
      </c>
      <c r="B38" s="39" t="s">
        <v>1421</v>
      </c>
      <c r="C38" s="39">
        <v>15</v>
      </c>
      <c r="D38" s="39">
        <v>86</v>
      </c>
      <c r="E38" s="39"/>
      <c r="F38" s="39" t="s">
        <v>204</v>
      </c>
      <c r="G38" s="39" t="s">
        <v>1849</v>
      </c>
      <c r="H38" s="39" t="s">
        <v>1850</v>
      </c>
      <c r="I38" s="39" t="s">
        <v>1432</v>
      </c>
      <c r="J38" s="44" t="s">
        <v>1433</v>
      </c>
    </row>
    <row r="39" spans="1:10" x14ac:dyDescent="0.25">
      <c r="A39" s="43" t="s">
        <v>1776</v>
      </c>
      <c r="B39" s="39" t="s">
        <v>1421</v>
      </c>
      <c r="C39" s="39">
        <v>15</v>
      </c>
      <c r="D39" s="39">
        <v>86</v>
      </c>
      <c r="E39" s="39"/>
      <c r="F39" s="39" t="s">
        <v>1851</v>
      </c>
      <c r="G39" s="39" t="s">
        <v>1852</v>
      </c>
      <c r="H39" s="39" t="s">
        <v>1853</v>
      </c>
      <c r="I39" s="39" t="s">
        <v>1432</v>
      </c>
      <c r="J39" s="44" t="s">
        <v>1433</v>
      </c>
    </row>
    <row r="40" spans="1:10" x14ac:dyDescent="0.25">
      <c r="A40" s="43" t="s">
        <v>1777</v>
      </c>
      <c r="B40" s="39" t="s">
        <v>1421</v>
      </c>
      <c r="C40" s="39">
        <v>15</v>
      </c>
      <c r="D40" s="39">
        <v>86</v>
      </c>
      <c r="E40" s="39"/>
      <c r="F40" s="39" t="s">
        <v>53</v>
      </c>
      <c r="G40" s="39" t="s">
        <v>1854</v>
      </c>
      <c r="H40" s="39" t="s">
        <v>1855</v>
      </c>
      <c r="I40" s="39" t="s">
        <v>1432</v>
      </c>
      <c r="J40" s="44" t="s">
        <v>1433</v>
      </c>
    </row>
    <row r="41" spans="1:10" x14ac:dyDescent="0.25">
      <c r="A41" s="43" t="s">
        <v>1778</v>
      </c>
      <c r="B41" s="39" t="s">
        <v>1421</v>
      </c>
      <c r="C41" s="39">
        <v>15</v>
      </c>
      <c r="D41" s="39">
        <v>86</v>
      </c>
      <c r="E41" s="39"/>
      <c r="F41" s="39" t="s">
        <v>140</v>
      </c>
      <c r="G41" s="39" t="s">
        <v>1856</v>
      </c>
      <c r="H41" s="39" t="s">
        <v>1857</v>
      </c>
      <c r="I41" s="39" t="s">
        <v>1432</v>
      </c>
      <c r="J41" s="44" t="s">
        <v>1433</v>
      </c>
    </row>
    <row r="42" spans="1:10" ht="15.75" thickBot="1" x14ac:dyDescent="0.3">
      <c r="A42" s="45" t="s">
        <v>1846</v>
      </c>
      <c r="B42" s="46" t="s">
        <v>1421</v>
      </c>
      <c r="C42" s="46">
        <v>15</v>
      </c>
      <c r="D42" s="46">
        <v>86</v>
      </c>
      <c r="E42" s="46"/>
      <c r="F42" s="46" t="s">
        <v>192</v>
      </c>
      <c r="G42" s="46" t="s">
        <v>1858</v>
      </c>
      <c r="H42" s="46" t="s">
        <v>1859</v>
      </c>
      <c r="I42" s="46" t="s">
        <v>1431</v>
      </c>
      <c r="J42" s="47" t="s">
        <v>1433</v>
      </c>
    </row>
    <row r="43" spans="1:10" x14ac:dyDescent="0.25">
      <c r="A43" s="40" t="s">
        <v>1860</v>
      </c>
      <c r="B43" s="41" t="s">
        <v>1421</v>
      </c>
      <c r="C43" s="41">
        <v>32</v>
      </c>
      <c r="D43" s="41">
        <v>188</v>
      </c>
      <c r="E43" s="41"/>
      <c r="F43" s="41" t="s">
        <v>198</v>
      </c>
      <c r="G43" s="41" t="s">
        <v>1950</v>
      </c>
      <c r="H43" s="41" t="s">
        <v>1951</v>
      </c>
      <c r="I43" s="41" t="s">
        <v>1432</v>
      </c>
      <c r="J43" s="42" t="s">
        <v>1433</v>
      </c>
    </row>
    <row r="44" spans="1:10" x14ac:dyDescent="0.25">
      <c r="A44" s="43" t="s">
        <v>1861</v>
      </c>
      <c r="B44" s="39" t="s">
        <v>1421</v>
      </c>
      <c r="C44" s="39">
        <v>32</v>
      </c>
      <c r="D44" s="39">
        <v>188</v>
      </c>
      <c r="E44" s="39"/>
      <c r="F44" s="39" t="s">
        <v>204</v>
      </c>
      <c r="G44" s="39" t="s">
        <v>1952</v>
      </c>
      <c r="H44" s="39" t="s">
        <v>1953</v>
      </c>
      <c r="I44" s="39" t="s">
        <v>1431</v>
      </c>
      <c r="J44" s="44" t="s">
        <v>1433</v>
      </c>
    </row>
    <row r="45" spans="1:10" x14ac:dyDescent="0.25">
      <c r="A45" s="43" t="s">
        <v>1862</v>
      </c>
      <c r="B45" s="39" t="s">
        <v>1421</v>
      </c>
      <c r="C45" s="39">
        <v>32</v>
      </c>
      <c r="D45" s="39">
        <v>188</v>
      </c>
      <c r="E45" s="39"/>
      <c r="F45" s="39" t="s">
        <v>118</v>
      </c>
      <c r="G45" s="39" t="s">
        <v>1954</v>
      </c>
      <c r="H45" s="39" t="s">
        <v>1955</v>
      </c>
      <c r="I45" s="39" t="s">
        <v>1432</v>
      </c>
      <c r="J45" s="44" t="s">
        <v>1433</v>
      </c>
    </row>
    <row r="46" spans="1:10" x14ac:dyDescent="0.25">
      <c r="A46" s="43" t="s">
        <v>1863</v>
      </c>
      <c r="B46" s="39" t="s">
        <v>1421</v>
      </c>
      <c r="C46" s="39">
        <v>32</v>
      </c>
      <c r="D46" s="39">
        <v>188</v>
      </c>
      <c r="E46" s="39"/>
      <c r="F46" s="39" t="s">
        <v>140</v>
      </c>
      <c r="G46" s="39" t="s">
        <v>1956</v>
      </c>
      <c r="H46" s="39" t="s">
        <v>1957</v>
      </c>
      <c r="I46" s="39" t="s">
        <v>1432</v>
      </c>
      <c r="J46" s="44" t="s">
        <v>1433</v>
      </c>
    </row>
    <row r="47" spans="1:10" x14ac:dyDescent="0.25">
      <c r="A47" s="43" t="s">
        <v>1864</v>
      </c>
      <c r="B47" s="39" t="s">
        <v>1421</v>
      </c>
      <c r="C47" s="39">
        <v>32</v>
      </c>
      <c r="D47" s="39">
        <v>188</v>
      </c>
      <c r="E47" s="39"/>
      <c r="F47" s="39" t="s">
        <v>112</v>
      </c>
      <c r="G47" s="39" t="s">
        <v>1958</v>
      </c>
      <c r="H47" s="39" t="s">
        <v>1959</v>
      </c>
      <c r="I47" s="39" t="s">
        <v>1431</v>
      </c>
      <c r="J47" s="44" t="s">
        <v>1433</v>
      </c>
    </row>
    <row r="48" spans="1:10" ht="15.75" thickBot="1" x14ac:dyDescent="0.3">
      <c r="A48" s="45" t="s">
        <v>1865</v>
      </c>
      <c r="B48" s="46" t="s">
        <v>1421</v>
      </c>
      <c r="C48" s="46">
        <v>32</v>
      </c>
      <c r="D48" s="46">
        <v>188</v>
      </c>
      <c r="E48" s="46"/>
      <c r="F48" s="46" t="s">
        <v>161</v>
      </c>
      <c r="G48" s="46" t="s">
        <v>1960</v>
      </c>
      <c r="H48" s="46" t="s">
        <v>1961</v>
      </c>
      <c r="I48" s="46" t="s">
        <v>1432</v>
      </c>
      <c r="J48" s="47" t="s">
        <v>1433</v>
      </c>
    </row>
    <row r="49" spans="1:10" x14ac:dyDescent="0.25">
      <c r="A49" s="35" t="s">
        <v>2212</v>
      </c>
      <c r="B49" s="22" t="s">
        <v>1963</v>
      </c>
      <c r="C49" s="22">
        <v>2</v>
      </c>
      <c r="D49" s="22">
        <v>8</v>
      </c>
      <c r="E49" s="22"/>
      <c r="F49" s="22" t="s">
        <v>2200</v>
      </c>
      <c r="G49" s="22" t="s">
        <v>2201</v>
      </c>
      <c r="H49" s="22" t="s">
        <v>2202</v>
      </c>
      <c r="I49" s="22" t="s">
        <v>1431</v>
      </c>
      <c r="J49" s="32" t="s">
        <v>2216</v>
      </c>
    </row>
    <row r="50" spans="1:10" x14ac:dyDescent="0.25">
      <c r="A50" s="36" t="s">
        <v>2213</v>
      </c>
      <c r="B50" t="s">
        <v>1963</v>
      </c>
      <c r="C50">
        <v>2</v>
      </c>
      <c r="D50">
        <v>8</v>
      </c>
      <c r="F50" t="s">
        <v>2203</v>
      </c>
      <c r="G50" t="s">
        <v>2204</v>
      </c>
      <c r="H50" t="s">
        <v>2205</v>
      </c>
      <c r="I50" t="s">
        <v>1431</v>
      </c>
      <c r="J50" s="33" t="s">
        <v>2216</v>
      </c>
    </row>
    <row r="51" spans="1:10" x14ac:dyDescent="0.25">
      <c r="A51" s="36" t="s">
        <v>2214</v>
      </c>
      <c r="B51" t="s">
        <v>1963</v>
      </c>
      <c r="C51">
        <v>2</v>
      </c>
      <c r="D51">
        <v>8</v>
      </c>
      <c r="F51" t="s">
        <v>2206</v>
      </c>
      <c r="G51" t="s">
        <v>2207</v>
      </c>
      <c r="H51" t="s">
        <v>2208</v>
      </c>
      <c r="I51" t="s">
        <v>1431</v>
      </c>
      <c r="J51" s="33" t="s">
        <v>2216</v>
      </c>
    </row>
    <row r="52" spans="1:10" ht="15.75" thickBot="1" x14ac:dyDescent="0.3">
      <c r="A52" s="37" t="s">
        <v>2215</v>
      </c>
      <c r="B52" s="30" t="s">
        <v>1963</v>
      </c>
      <c r="C52" s="30">
        <v>2</v>
      </c>
      <c r="D52" s="30">
        <v>8</v>
      </c>
      <c r="E52" s="30"/>
      <c r="F52" s="30" t="s">
        <v>2209</v>
      </c>
      <c r="G52" s="30" t="s">
        <v>2210</v>
      </c>
      <c r="H52" s="30" t="s">
        <v>2211</v>
      </c>
      <c r="I52" s="30" t="s">
        <v>1431</v>
      </c>
      <c r="J52" s="34" t="s">
        <v>2216</v>
      </c>
    </row>
    <row r="53" spans="1:10" x14ac:dyDescent="0.25">
      <c r="A53" s="35" t="s">
        <v>2271</v>
      </c>
      <c r="B53" s="22" t="s">
        <v>1963</v>
      </c>
      <c r="C53" s="22">
        <v>2</v>
      </c>
      <c r="D53" s="22">
        <v>9</v>
      </c>
      <c r="E53" s="22"/>
      <c r="F53" s="22" t="s">
        <v>53</v>
      </c>
      <c r="G53" s="22" t="s">
        <v>2260</v>
      </c>
      <c r="H53" s="22" t="s">
        <v>2261</v>
      </c>
      <c r="I53" s="22" t="s">
        <v>1431</v>
      </c>
      <c r="J53" s="32" t="s">
        <v>2216</v>
      </c>
    </row>
    <row r="54" spans="1:10" x14ac:dyDescent="0.25">
      <c r="A54" s="36" t="s">
        <v>2272</v>
      </c>
      <c r="B54" t="s">
        <v>1963</v>
      </c>
      <c r="C54">
        <v>2</v>
      </c>
      <c r="D54">
        <v>9</v>
      </c>
      <c r="F54" t="s">
        <v>2262</v>
      </c>
      <c r="G54" t="s">
        <v>2263</v>
      </c>
      <c r="H54" t="s">
        <v>2264</v>
      </c>
      <c r="I54" t="s">
        <v>1431</v>
      </c>
      <c r="J54" s="33" t="s">
        <v>2216</v>
      </c>
    </row>
    <row r="55" spans="1:10" x14ac:dyDescent="0.25">
      <c r="A55" s="36" t="s">
        <v>2273</v>
      </c>
      <c r="B55" t="s">
        <v>1963</v>
      </c>
      <c r="C55">
        <v>2</v>
      </c>
      <c r="D55">
        <v>9</v>
      </c>
      <c r="F55" t="s">
        <v>2265</v>
      </c>
      <c r="G55" t="s">
        <v>2266</v>
      </c>
      <c r="H55" t="s">
        <v>2267</v>
      </c>
      <c r="I55" t="s">
        <v>1431</v>
      </c>
      <c r="J55" s="33" t="s">
        <v>2216</v>
      </c>
    </row>
    <row r="56" spans="1:10" ht="15.75" thickBot="1" x14ac:dyDescent="0.3">
      <c r="A56" s="37" t="s">
        <v>2274</v>
      </c>
      <c r="B56" s="30" t="s">
        <v>1963</v>
      </c>
      <c r="C56" s="30">
        <v>2</v>
      </c>
      <c r="D56" s="30">
        <v>9</v>
      </c>
      <c r="E56" s="30"/>
      <c r="F56" s="30" t="s">
        <v>2268</v>
      </c>
      <c r="G56" s="30" t="s">
        <v>2269</v>
      </c>
      <c r="H56" s="30" t="s">
        <v>2270</v>
      </c>
      <c r="I56" s="30" t="s">
        <v>1431</v>
      </c>
      <c r="J56" s="34" t="s">
        <v>2216</v>
      </c>
    </row>
    <row r="57" spans="1:10" x14ac:dyDescent="0.25">
      <c r="A57" s="35" t="s">
        <v>2275</v>
      </c>
      <c r="B57" s="22" t="s">
        <v>1963</v>
      </c>
      <c r="C57" s="22">
        <v>3</v>
      </c>
      <c r="D57" s="22">
        <v>16</v>
      </c>
      <c r="E57" s="22"/>
      <c r="F57" s="22" t="s">
        <v>2477</v>
      </c>
      <c r="G57" s="22" t="s">
        <v>2478</v>
      </c>
      <c r="H57" s="22" t="s">
        <v>2479</v>
      </c>
      <c r="I57" s="22" t="s">
        <v>1431</v>
      </c>
      <c r="J57" s="32" t="s">
        <v>2216</v>
      </c>
    </row>
    <row r="58" spans="1:10" x14ac:dyDescent="0.25">
      <c r="A58" s="36" t="s">
        <v>2276</v>
      </c>
      <c r="B58" t="s">
        <v>1963</v>
      </c>
      <c r="C58">
        <v>3</v>
      </c>
      <c r="D58">
        <v>16</v>
      </c>
      <c r="F58" t="s">
        <v>174</v>
      </c>
      <c r="G58" t="s">
        <v>2480</v>
      </c>
      <c r="H58" t="s">
        <v>2481</v>
      </c>
      <c r="I58" t="s">
        <v>1431</v>
      </c>
      <c r="J58" s="33" t="s">
        <v>2216</v>
      </c>
    </row>
    <row r="59" spans="1:10" x14ac:dyDescent="0.25">
      <c r="A59" s="36" t="s">
        <v>2277</v>
      </c>
      <c r="B59" t="s">
        <v>1963</v>
      </c>
      <c r="C59">
        <v>3</v>
      </c>
      <c r="D59">
        <v>16</v>
      </c>
      <c r="F59" t="s">
        <v>2482</v>
      </c>
      <c r="G59" t="s">
        <v>2483</v>
      </c>
      <c r="H59" t="s">
        <v>2484</v>
      </c>
      <c r="I59" t="s">
        <v>1431</v>
      </c>
      <c r="J59" s="33" t="s">
        <v>2216</v>
      </c>
    </row>
    <row r="60" spans="1:10" x14ac:dyDescent="0.25">
      <c r="A60" s="36" t="s">
        <v>2278</v>
      </c>
      <c r="B60" t="s">
        <v>1963</v>
      </c>
      <c r="C60">
        <v>3</v>
      </c>
      <c r="D60">
        <v>16</v>
      </c>
      <c r="F60" t="s">
        <v>210</v>
      </c>
      <c r="G60" t="s">
        <v>2485</v>
      </c>
      <c r="H60" t="s">
        <v>2486</v>
      </c>
      <c r="I60" t="s">
        <v>1431</v>
      </c>
      <c r="J60" s="33" t="s">
        <v>2216</v>
      </c>
    </row>
    <row r="61" spans="1:10" ht="15.75" thickBot="1" x14ac:dyDescent="0.3">
      <c r="A61" s="37" t="s">
        <v>2279</v>
      </c>
      <c r="B61" s="30" t="s">
        <v>1963</v>
      </c>
      <c r="C61" s="30">
        <v>3</v>
      </c>
      <c r="D61" s="30">
        <v>16</v>
      </c>
      <c r="E61" s="30"/>
      <c r="F61" s="30" t="s">
        <v>125</v>
      </c>
      <c r="G61" s="30" t="s">
        <v>2487</v>
      </c>
      <c r="H61" s="30" t="s">
        <v>2488</v>
      </c>
      <c r="I61" s="30" t="s">
        <v>1431</v>
      </c>
      <c r="J61" s="34" t="s">
        <v>2216</v>
      </c>
    </row>
    <row r="62" spans="1:10" x14ac:dyDescent="0.25">
      <c r="A62" s="35" t="s">
        <v>2280</v>
      </c>
      <c r="B62" s="22" t="s">
        <v>1963</v>
      </c>
      <c r="C62" s="22">
        <v>3</v>
      </c>
      <c r="D62" s="22">
        <v>17</v>
      </c>
      <c r="E62" s="22"/>
      <c r="F62" s="22" t="s">
        <v>2520</v>
      </c>
      <c r="G62" s="22" t="s">
        <v>2521</v>
      </c>
      <c r="H62" s="22" t="s">
        <v>2522</v>
      </c>
      <c r="I62" s="22" t="s">
        <v>1431</v>
      </c>
      <c r="J62" s="32" t="s">
        <v>2216</v>
      </c>
    </row>
    <row r="63" spans="1:10" x14ac:dyDescent="0.25">
      <c r="A63" s="36" t="s">
        <v>2281</v>
      </c>
      <c r="B63" t="s">
        <v>1963</v>
      </c>
      <c r="C63">
        <v>3</v>
      </c>
      <c r="D63">
        <v>17</v>
      </c>
      <c r="F63" t="s">
        <v>112</v>
      </c>
      <c r="G63" t="s">
        <v>2523</v>
      </c>
      <c r="H63" t="s">
        <v>2524</v>
      </c>
      <c r="I63" t="s">
        <v>1431</v>
      </c>
      <c r="J63" s="33" t="s">
        <v>2216</v>
      </c>
    </row>
    <row r="64" spans="1:10" x14ac:dyDescent="0.25">
      <c r="A64" s="36" t="s">
        <v>2282</v>
      </c>
      <c r="B64" t="s">
        <v>1963</v>
      </c>
      <c r="C64">
        <v>3</v>
      </c>
      <c r="D64">
        <v>17</v>
      </c>
      <c r="F64" t="s">
        <v>198</v>
      </c>
      <c r="G64" t="s">
        <v>2525</v>
      </c>
      <c r="H64" t="s">
        <v>2526</v>
      </c>
      <c r="I64" t="s">
        <v>1431</v>
      </c>
      <c r="J64" s="33" t="s">
        <v>2216</v>
      </c>
    </row>
    <row r="65" spans="1:10" ht="15.75" thickBot="1" x14ac:dyDescent="0.3">
      <c r="A65" s="37" t="s">
        <v>2283</v>
      </c>
      <c r="B65" s="30" t="s">
        <v>1963</v>
      </c>
      <c r="C65" s="30">
        <v>3</v>
      </c>
      <c r="D65" s="30">
        <v>17</v>
      </c>
      <c r="E65" s="30"/>
      <c r="F65" s="30" t="s">
        <v>2527</v>
      </c>
      <c r="G65" s="30" t="s">
        <v>2528</v>
      </c>
      <c r="H65" s="30" t="s">
        <v>2529</v>
      </c>
      <c r="I65" s="30" t="s">
        <v>1431</v>
      </c>
      <c r="J65" s="34" t="s">
        <v>2216</v>
      </c>
    </row>
    <row r="66" spans="1:10" x14ac:dyDescent="0.25">
      <c r="A66" s="35" t="s">
        <v>2284</v>
      </c>
      <c r="B66" s="22" t="s">
        <v>1963</v>
      </c>
      <c r="C66" s="22">
        <v>3</v>
      </c>
      <c r="D66" s="22">
        <v>18</v>
      </c>
      <c r="E66" s="22"/>
      <c r="F66" s="22" t="s">
        <v>186</v>
      </c>
      <c r="G66" s="22" t="s">
        <v>2579</v>
      </c>
      <c r="H66" s="22" t="s">
        <v>2580</v>
      </c>
      <c r="I66" s="22" t="s">
        <v>1431</v>
      </c>
      <c r="J66" s="32" t="s">
        <v>2216</v>
      </c>
    </row>
    <row r="67" spans="1:10" x14ac:dyDescent="0.25">
      <c r="A67" s="36" t="s">
        <v>2285</v>
      </c>
      <c r="B67" t="s">
        <v>1963</v>
      </c>
      <c r="C67">
        <v>3</v>
      </c>
      <c r="D67">
        <v>18</v>
      </c>
      <c r="F67" t="s">
        <v>2581</v>
      </c>
      <c r="G67" t="s">
        <v>2582</v>
      </c>
      <c r="H67" t="s">
        <v>2583</v>
      </c>
      <c r="I67" t="s">
        <v>1431</v>
      </c>
      <c r="J67" s="33" t="s">
        <v>2216</v>
      </c>
    </row>
    <row r="68" spans="1:10" x14ac:dyDescent="0.25">
      <c r="A68" s="36" t="s">
        <v>2286</v>
      </c>
      <c r="B68" t="s">
        <v>1963</v>
      </c>
      <c r="C68">
        <v>3</v>
      </c>
      <c r="D68">
        <v>18</v>
      </c>
      <c r="F68" t="s">
        <v>2584</v>
      </c>
      <c r="G68" t="s">
        <v>2585</v>
      </c>
      <c r="H68" t="s">
        <v>2586</v>
      </c>
      <c r="I68" t="s">
        <v>1431</v>
      </c>
      <c r="J68" s="33" t="s">
        <v>2216</v>
      </c>
    </row>
    <row r="69" spans="1:10" ht="15.75" thickBot="1" x14ac:dyDescent="0.3">
      <c r="A69" s="37" t="s">
        <v>2287</v>
      </c>
      <c r="B69" s="30" t="s">
        <v>1963</v>
      </c>
      <c r="C69" s="30">
        <v>3</v>
      </c>
      <c r="D69" s="30">
        <v>18</v>
      </c>
      <c r="E69" s="30"/>
      <c r="F69" s="30" t="s">
        <v>2587</v>
      </c>
      <c r="G69" s="30" t="s">
        <v>2588</v>
      </c>
      <c r="H69" s="30" t="s">
        <v>2589</v>
      </c>
      <c r="I69" s="30" t="s">
        <v>1431</v>
      </c>
      <c r="J69" s="34" t="s">
        <v>2216</v>
      </c>
    </row>
    <row r="70" spans="1:10" x14ac:dyDescent="0.25">
      <c r="A70" s="35" t="s">
        <v>2288</v>
      </c>
      <c r="B70" s="22" t="s">
        <v>1963</v>
      </c>
      <c r="C70" s="22">
        <v>3</v>
      </c>
      <c r="D70" s="22">
        <v>21</v>
      </c>
      <c r="E70" s="22"/>
      <c r="F70" s="22" t="s">
        <v>186</v>
      </c>
      <c r="G70" s="22" t="s">
        <v>2664</v>
      </c>
      <c r="H70" s="22" t="s">
        <v>2665</v>
      </c>
      <c r="I70" s="22" t="s">
        <v>1431</v>
      </c>
      <c r="J70" s="32" t="s">
        <v>2216</v>
      </c>
    </row>
    <row r="71" spans="1:10" x14ac:dyDescent="0.25">
      <c r="A71" s="36" t="s">
        <v>2289</v>
      </c>
      <c r="B71" t="s">
        <v>1963</v>
      </c>
      <c r="C71">
        <v>3</v>
      </c>
      <c r="D71">
        <v>21</v>
      </c>
      <c r="F71" t="s">
        <v>2666</v>
      </c>
      <c r="G71" t="s">
        <v>2667</v>
      </c>
      <c r="H71" t="s">
        <v>2668</v>
      </c>
      <c r="I71" t="s">
        <v>1431</v>
      </c>
      <c r="J71" s="33" t="s">
        <v>2216</v>
      </c>
    </row>
    <row r="72" spans="1:10" x14ac:dyDescent="0.25">
      <c r="A72" s="36" t="s">
        <v>2290</v>
      </c>
      <c r="B72" t="s">
        <v>1963</v>
      </c>
      <c r="C72">
        <v>3</v>
      </c>
      <c r="D72">
        <v>21</v>
      </c>
      <c r="F72" t="s">
        <v>2669</v>
      </c>
      <c r="G72" t="s">
        <v>2670</v>
      </c>
      <c r="H72" t="s">
        <v>2671</v>
      </c>
      <c r="I72" t="s">
        <v>1431</v>
      </c>
      <c r="J72" s="33" t="s">
        <v>2216</v>
      </c>
    </row>
    <row r="73" spans="1:10" x14ac:dyDescent="0.25">
      <c r="A73" s="36" t="s">
        <v>2291</v>
      </c>
      <c r="B73" t="s">
        <v>1963</v>
      </c>
      <c r="C73">
        <v>3</v>
      </c>
      <c r="D73">
        <v>21</v>
      </c>
      <c r="F73" t="s">
        <v>125</v>
      </c>
      <c r="G73" t="s">
        <v>2672</v>
      </c>
      <c r="H73" t="s">
        <v>2673</v>
      </c>
      <c r="I73" t="s">
        <v>1431</v>
      </c>
      <c r="J73" s="33" t="s">
        <v>2216</v>
      </c>
    </row>
    <row r="74" spans="1:10" ht="15.75" thickBot="1" x14ac:dyDescent="0.3">
      <c r="A74" s="37" t="s">
        <v>2292</v>
      </c>
      <c r="B74" s="30" t="s">
        <v>1963</v>
      </c>
      <c r="C74" s="30">
        <v>3</v>
      </c>
      <c r="D74" s="30">
        <v>21</v>
      </c>
      <c r="E74" s="30"/>
      <c r="F74" s="30" t="s">
        <v>161</v>
      </c>
      <c r="G74" s="30" t="s">
        <v>2674</v>
      </c>
      <c r="H74" s="30" t="s">
        <v>2675</v>
      </c>
      <c r="I74" s="30" t="s">
        <v>1431</v>
      </c>
      <c r="J74" s="34" t="s">
        <v>2216</v>
      </c>
    </row>
    <row r="75" spans="1:10" x14ac:dyDescent="0.25">
      <c r="A75" s="35" t="s">
        <v>2293</v>
      </c>
      <c r="B75" s="22" t="s">
        <v>1963</v>
      </c>
      <c r="C75" s="22">
        <v>4</v>
      </c>
      <c r="D75" s="22">
        <v>22</v>
      </c>
      <c r="E75" s="22"/>
      <c r="F75" s="22" t="s">
        <v>76</v>
      </c>
      <c r="G75" s="22" t="s">
        <v>2739</v>
      </c>
      <c r="H75" s="22" t="s">
        <v>2740</v>
      </c>
      <c r="I75" s="22" t="s">
        <v>1431</v>
      </c>
      <c r="J75" s="32" t="s">
        <v>2216</v>
      </c>
    </row>
    <row r="76" spans="1:10" x14ac:dyDescent="0.25">
      <c r="A76" s="36" t="s">
        <v>2294</v>
      </c>
      <c r="B76" t="s">
        <v>1963</v>
      </c>
      <c r="C76">
        <v>4</v>
      </c>
      <c r="D76">
        <v>22</v>
      </c>
      <c r="F76" t="s">
        <v>161</v>
      </c>
      <c r="G76" t="s">
        <v>2741</v>
      </c>
      <c r="H76" t="s">
        <v>2742</v>
      </c>
      <c r="I76" t="s">
        <v>1431</v>
      </c>
      <c r="J76" s="33" t="s">
        <v>2216</v>
      </c>
    </row>
    <row r="77" spans="1:10" x14ac:dyDescent="0.25">
      <c r="A77" s="36" t="s">
        <v>2295</v>
      </c>
      <c r="B77" t="s">
        <v>1963</v>
      </c>
      <c r="C77">
        <v>4</v>
      </c>
      <c r="D77">
        <v>22</v>
      </c>
      <c r="F77" t="s">
        <v>166</v>
      </c>
      <c r="G77" t="s">
        <v>2743</v>
      </c>
      <c r="H77" t="s">
        <v>2744</v>
      </c>
      <c r="I77" t="s">
        <v>1431</v>
      </c>
      <c r="J77" s="33" t="s">
        <v>2216</v>
      </c>
    </row>
    <row r="78" spans="1:10" x14ac:dyDescent="0.25">
      <c r="A78" s="36" t="s">
        <v>2296</v>
      </c>
      <c r="B78" t="s">
        <v>1963</v>
      </c>
      <c r="C78">
        <v>4</v>
      </c>
      <c r="D78">
        <v>22</v>
      </c>
      <c r="F78" t="s">
        <v>2745</v>
      </c>
      <c r="G78" t="s">
        <v>2746</v>
      </c>
      <c r="H78" t="s">
        <v>2747</v>
      </c>
      <c r="I78" t="s">
        <v>1431</v>
      </c>
      <c r="J78" s="33" t="s">
        <v>2216</v>
      </c>
    </row>
    <row r="79" spans="1:10" ht="15.75" thickBot="1" x14ac:dyDescent="0.3">
      <c r="A79" s="37" t="s">
        <v>2297</v>
      </c>
      <c r="B79" s="30" t="s">
        <v>1963</v>
      </c>
      <c r="C79" s="30">
        <v>4</v>
      </c>
      <c r="D79" s="30">
        <v>22</v>
      </c>
      <c r="E79" s="30"/>
      <c r="F79" s="30" t="s">
        <v>186</v>
      </c>
      <c r="G79" s="30" t="s">
        <v>2748</v>
      </c>
      <c r="H79" s="30" t="s">
        <v>2749</v>
      </c>
      <c r="I79" s="30" t="s">
        <v>1431</v>
      </c>
      <c r="J79" s="34" t="s">
        <v>2216</v>
      </c>
    </row>
    <row r="80" spans="1:10" x14ac:dyDescent="0.25">
      <c r="A80" s="35" t="s">
        <v>2298</v>
      </c>
      <c r="B80" s="22" t="s">
        <v>1963</v>
      </c>
      <c r="C80" s="22">
        <v>4</v>
      </c>
      <c r="D80" s="22">
        <v>23</v>
      </c>
      <c r="E80" s="22"/>
      <c r="F80" s="22" t="s">
        <v>2783</v>
      </c>
      <c r="G80" s="22" t="s">
        <v>2784</v>
      </c>
      <c r="H80" s="22" t="s">
        <v>2785</v>
      </c>
      <c r="I80" s="22" t="s">
        <v>1431</v>
      </c>
      <c r="J80" s="32" t="s">
        <v>2216</v>
      </c>
    </row>
    <row r="81" spans="1:10" x14ac:dyDescent="0.25">
      <c r="A81" s="36" t="s">
        <v>2299</v>
      </c>
      <c r="B81" t="s">
        <v>1963</v>
      </c>
      <c r="C81">
        <v>4</v>
      </c>
      <c r="D81">
        <v>23</v>
      </c>
      <c r="F81" t="s">
        <v>2003</v>
      </c>
      <c r="G81" t="s">
        <v>2786</v>
      </c>
      <c r="H81" t="s">
        <v>2787</v>
      </c>
      <c r="I81" t="s">
        <v>1431</v>
      </c>
      <c r="J81" s="33" t="s">
        <v>2216</v>
      </c>
    </row>
    <row r="82" spans="1:10" x14ac:dyDescent="0.25">
      <c r="A82" s="36" t="s">
        <v>2300</v>
      </c>
      <c r="B82" t="s">
        <v>1963</v>
      </c>
      <c r="C82">
        <v>4</v>
      </c>
      <c r="D82">
        <v>23</v>
      </c>
      <c r="F82" t="s">
        <v>2788</v>
      </c>
      <c r="G82" t="s">
        <v>2789</v>
      </c>
      <c r="H82" t="s">
        <v>2790</v>
      </c>
      <c r="I82" t="s">
        <v>1431</v>
      </c>
      <c r="J82" s="33" t="s">
        <v>2216</v>
      </c>
    </row>
    <row r="83" spans="1:10" x14ac:dyDescent="0.25">
      <c r="A83" s="36" t="s">
        <v>2301</v>
      </c>
      <c r="B83" t="s">
        <v>1963</v>
      </c>
      <c r="C83">
        <v>4</v>
      </c>
      <c r="D83">
        <v>23</v>
      </c>
      <c r="F83" t="s">
        <v>2791</v>
      </c>
      <c r="G83" t="s">
        <v>2792</v>
      </c>
      <c r="H83" t="s">
        <v>2793</v>
      </c>
      <c r="I83" t="s">
        <v>1431</v>
      </c>
      <c r="J83" s="33" t="s">
        <v>2216</v>
      </c>
    </row>
    <row r="84" spans="1:10" ht="15.75" thickBot="1" x14ac:dyDescent="0.3">
      <c r="A84" s="37" t="s">
        <v>2302</v>
      </c>
      <c r="B84" s="30" t="s">
        <v>1963</v>
      </c>
      <c r="C84" s="30">
        <v>4</v>
      </c>
      <c r="D84" s="30">
        <v>23</v>
      </c>
      <c r="E84" s="30"/>
      <c r="F84" s="30" t="s">
        <v>2794</v>
      </c>
      <c r="G84" s="30" t="s">
        <v>2795</v>
      </c>
      <c r="H84" s="30" t="s">
        <v>2796</v>
      </c>
      <c r="I84" s="30" t="s">
        <v>1431</v>
      </c>
      <c r="J84" s="34" t="s">
        <v>2216</v>
      </c>
    </row>
    <row r="85" spans="1:10" x14ac:dyDescent="0.25">
      <c r="A85" s="35" t="s">
        <v>2303</v>
      </c>
      <c r="B85" s="22" t="s">
        <v>1963</v>
      </c>
      <c r="C85" s="22">
        <v>4</v>
      </c>
      <c r="D85" s="22">
        <v>24</v>
      </c>
      <c r="E85" s="22"/>
      <c r="F85" s="22" t="s">
        <v>2823</v>
      </c>
      <c r="G85" s="22" t="s">
        <v>2824</v>
      </c>
      <c r="H85" s="22" t="s">
        <v>2825</v>
      </c>
      <c r="I85" s="22" t="s">
        <v>1431</v>
      </c>
      <c r="J85" s="32" t="s">
        <v>2216</v>
      </c>
    </row>
    <row r="86" spans="1:10" x14ac:dyDescent="0.25">
      <c r="A86" s="36" t="s">
        <v>2304</v>
      </c>
      <c r="B86" t="s">
        <v>1963</v>
      </c>
      <c r="C86">
        <v>4</v>
      </c>
      <c r="D86">
        <v>24</v>
      </c>
      <c r="F86" t="s">
        <v>186</v>
      </c>
      <c r="G86" t="s">
        <v>2826</v>
      </c>
      <c r="H86" t="s">
        <v>2827</v>
      </c>
      <c r="I86" t="s">
        <v>1431</v>
      </c>
      <c r="J86" s="33" t="s">
        <v>2216</v>
      </c>
    </row>
    <row r="87" spans="1:10" x14ac:dyDescent="0.25">
      <c r="A87" s="36" t="s">
        <v>2305</v>
      </c>
      <c r="B87" t="s">
        <v>1963</v>
      </c>
      <c r="C87">
        <v>4</v>
      </c>
      <c r="D87">
        <v>24</v>
      </c>
      <c r="F87" t="s">
        <v>2584</v>
      </c>
      <c r="G87" t="s">
        <v>2828</v>
      </c>
      <c r="H87" t="s">
        <v>2829</v>
      </c>
      <c r="I87" t="s">
        <v>1431</v>
      </c>
      <c r="J87" s="33" t="s">
        <v>2216</v>
      </c>
    </row>
    <row r="88" spans="1:10" ht="15.75" thickBot="1" x14ac:dyDescent="0.3">
      <c r="A88" s="37" t="s">
        <v>2306</v>
      </c>
      <c r="B88" s="30" t="s">
        <v>1963</v>
      </c>
      <c r="C88" s="30">
        <v>4</v>
      </c>
      <c r="D88" s="30">
        <v>24</v>
      </c>
      <c r="E88" s="30"/>
      <c r="F88" s="30" t="s">
        <v>192</v>
      </c>
      <c r="G88" s="30" t="s">
        <v>2830</v>
      </c>
      <c r="H88" s="30" t="s">
        <v>2831</v>
      </c>
      <c r="I88" s="30" t="s">
        <v>1431</v>
      </c>
      <c r="J88" s="34" t="s">
        <v>2216</v>
      </c>
    </row>
    <row r="89" spans="1:10" x14ac:dyDescent="0.25">
      <c r="A89" s="35" t="s">
        <v>2307</v>
      </c>
      <c r="B89" s="22" t="s">
        <v>2832</v>
      </c>
      <c r="C89" s="22">
        <v>5</v>
      </c>
      <c r="D89" s="22">
        <v>27</v>
      </c>
      <c r="E89" s="22"/>
      <c r="F89" s="22" t="s">
        <v>1999</v>
      </c>
      <c r="G89" s="22" t="s">
        <v>2882</v>
      </c>
      <c r="H89" s="22" t="s">
        <v>2883</v>
      </c>
      <c r="I89" s="22" t="s">
        <v>1431</v>
      </c>
      <c r="J89" s="32" t="s">
        <v>2216</v>
      </c>
    </row>
    <row r="90" spans="1:10" x14ac:dyDescent="0.25">
      <c r="A90" s="36" t="s">
        <v>2308</v>
      </c>
      <c r="B90" t="s">
        <v>2832</v>
      </c>
      <c r="C90">
        <v>5</v>
      </c>
      <c r="D90">
        <v>27</v>
      </c>
      <c r="F90" t="s">
        <v>154</v>
      </c>
      <c r="G90" t="s">
        <v>2884</v>
      </c>
      <c r="H90" t="s">
        <v>2885</v>
      </c>
      <c r="I90" t="s">
        <v>1431</v>
      </c>
      <c r="J90" s="33" t="s">
        <v>2216</v>
      </c>
    </row>
    <row r="91" spans="1:10" x14ac:dyDescent="0.25">
      <c r="A91" s="36" t="s">
        <v>2309</v>
      </c>
      <c r="B91" t="s">
        <v>2832</v>
      </c>
      <c r="C91">
        <v>5</v>
      </c>
      <c r="D91">
        <v>27</v>
      </c>
      <c r="F91" t="s">
        <v>2886</v>
      </c>
      <c r="G91" t="s">
        <v>2887</v>
      </c>
      <c r="H91" t="s">
        <v>2888</v>
      </c>
      <c r="I91" t="s">
        <v>1431</v>
      </c>
      <c r="J91" s="33" t="s">
        <v>2216</v>
      </c>
    </row>
    <row r="92" spans="1:10" ht="15.75" thickBot="1" x14ac:dyDescent="0.3">
      <c r="A92" s="37" t="s">
        <v>2310</v>
      </c>
      <c r="B92" s="30" t="s">
        <v>2832</v>
      </c>
      <c r="C92" s="30">
        <v>5</v>
      </c>
      <c r="D92" s="30">
        <v>27</v>
      </c>
      <c r="E92" s="30"/>
      <c r="F92" s="30" t="s">
        <v>2889</v>
      </c>
      <c r="G92" s="30" t="s">
        <v>2890</v>
      </c>
      <c r="H92" s="30" t="s">
        <v>2891</v>
      </c>
      <c r="I92" s="30" t="s">
        <v>1431</v>
      </c>
      <c r="J92" s="34" t="s">
        <v>2216</v>
      </c>
    </row>
    <row r="93" spans="1:10" x14ac:dyDescent="0.25">
      <c r="A93" s="35" t="s">
        <v>2311</v>
      </c>
      <c r="B93" s="22" t="s">
        <v>2832</v>
      </c>
      <c r="C93" s="22">
        <v>5</v>
      </c>
      <c r="D93" s="22">
        <v>28</v>
      </c>
      <c r="E93" s="22"/>
      <c r="F93" s="22" t="s">
        <v>2967</v>
      </c>
      <c r="G93" s="22" t="s">
        <v>2968</v>
      </c>
      <c r="H93" s="22" t="s">
        <v>2969</v>
      </c>
      <c r="I93" s="22" t="s">
        <v>1431</v>
      </c>
      <c r="J93" s="32" t="s">
        <v>2216</v>
      </c>
    </row>
    <row r="94" spans="1:10" x14ac:dyDescent="0.25">
      <c r="A94" s="36" t="s">
        <v>2312</v>
      </c>
      <c r="B94" t="s">
        <v>2832</v>
      </c>
      <c r="C94">
        <v>5</v>
      </c>
      <c r="D94">
        <v>28</v>
      </c>
      <c r="F94" t="s">
        <v>2970</v>
      </c>
      <c r="G94" t="s">
        <v>2971</v>
      </c>
      <c r="H94" t="s">
        <v>2972</v>
      </c>
      <c r="I94" t="s">
        <v>1431</v>
      </c>
      <c r="J94" s="33" t="s">
        <v>2216</v>
      </c>
    </row>
    <row r="95" spans="1:10" x14ac:dyDescent="0.25">
      <c r="A95" s="36" t="s">
        <v>2313</v>
      </c>
      <c r="B95" t="s">
        <v>2832</v>
      </c>
      <c r="C95">
        <v>5</v>
      </c>
      <c r="D95">
        <v>28</v>
      </c>
      <c r="F95" t="s">
        <v>2973</v>
      </c>
      <c r="G95" t="s">
        <v>2974</v>
      </c>
      <c r="H95" t="s">
        <v>2975</v>
      </c>
      <c r="I95" t="s">
        <v>1431</v>
      </c>
      <c r="J95" s="33" t="s">
        <v>2216</v>
      </c>
    </row>
    <row r="96" spans="1:10" x14ac:dyDescent="0.25">
      <c r="A96" s="36" t="s">
        <v>2314</v>
      </c>
      <c r="B96" t="s">
        <v>2832</v>
      </c>
      <c r="C96">
        <v>5</v>
      </c>
      <c r="D96">
        <v>28</v>
      </c>
      <c r="F96" t="s">
        <v>2976</v>
      </c>
      <c r="G96" t="s">
        <v>2977</v>
      </c>
      <c r="H96" t="s">
        <v>2978</v>
      </c>
      <c r="I96" t="s">
        <v>1431</v>
      </c>
      <c r="J96" s="33" t="s">
        <v>2216</v>
      </c>
    </row>
    <row r="97" spans="1:10" ht="15.75" thickBot="1" x14ac:dyDescent="0.3">
      <c r="A97" s="37" t="s">
        <v>2315</v>
      </c>
      <c r="B97" s="30" t="s">
        <v>2832</v>
      </c>
      <c r="C97" s="30">
        <v>5</v>
      </c>
      <c r="D97" s="30">
        <v>28</v>
      </c>
      <c r="E97" s="30"/>
      <c r="F97" s="30" t="s">
        <v>2979</v>
      </c>
      <c r="G97" s="30" t="s">
        <v>2980</v>
      </c>
      <c r="H97" s="30" t="s">
        <v>2981</v>
      </c>
      <c r="I97" s="30" t="s">
        <v>1431</v>
      </c>
      <c r="J97" s="34" t="s">
        <v>2216</v>
      </c>
    </row>
    <row r="98" spans="1:10" x14ac:dyDescent="0.25">
      <c r="A98" s="35" t="s">
        <v>2316</v>
      </c>
      <c r="B98" s="22" t="s">
        <v>2832</v>
      </c>
      <c r="C98" s="22">
        <v>5</v>
      </c>
      <c r="D98" s="22">
        <v>30</v>
      </c>
      <c r="E98" s="22"/>
      <c r="F98" s="22" t="s">
        <v>125</v>
      </c>
      <c r="G98" s="22" t="s">
        <v>3030</v>
      </c>
      <c r="H98" s="22" t="s">
        <v>3031</v>
      </c>
      <c r="I98" s="22" t="s">
        <v>1431</v>
      </c>
      <c r="J98" s="32" t="s">
        <v>2216</v>
      </c>
    </row>
    <row r="99" spans="1:10" x14ac:dyDescent="0.25">
      <c r="A99" s="36" t="s">
        <v>2317</v>
      </c>
      <c r="B99" t="s">
        <v>2832</v>
      </c>
      <c r="C99">
        <v>5</v>
      </c>
      <c r="D99">
        <v>30</v>
      </c>
      <c r="F99" t="s">
        <v>154</v>
      </c>
      <c r="G99" t="s">
        <v>3032</v>
      </c>
      <c r="H99" t="s">
        <v>3033</v>
      </c>
      <c r="I99" t="s">
        <v>1431</v>
      </c>
      <c r="J99" s="33" t="s">
        <v>2216</v>
      </c>
    </row>
    <row r="100" spans="1:10" x14ac:dyDescent="0.25">
      <c r="A100" s="36" t="s">
        <v>2318</v>
      </c>
      <c r="B100" t="s">
        <v>2832</v>
      </c>
      <c r="C100">
        <v>5</v>
      </c>
      <c r="D100">
        <v>30</v>
      </c>
      <c r="F100" t="s">
        <v>98</v>
      </c>
      <c r="G100" t="s">
        <v>3034</v>
      </c>
      <c r="H100" t="s">
        <v>3035</v>
      </c>
      <c r="I100" t="s">
        <v>1431</v>
      </c>
      <c r="J100" s="33" t="s">
        <v>2216</v>
      </c>
    </row>
    <row r="101" spans="1:10" x14ac:dyDescent="0.25">
      <c r="A101" s="36" t="s">
        <v>2319</v>
      </c>
      <c r="B101" t="s">
        <v>2832</v>
      </c>
      <c r="C101">
        <v>5</v>
      </c>
      <c r="D101">
        <v>30</v>
      </c>
      <c r="F101" t="s">
        <v>3036</v>
      </c>
      <c r="G101" t="s">
        <v>3037</v>
      </c>
      <c r="H101" t="s">
        <v>3038</v>
      </c>
      <c r="I101" t="s">
        <v>1431</v>
      </c>
      <c r="J101" s="33" t="s">
        <v>2216</v>
      </c>
    </row>
    <row r="102" spans="1:10" ht="15.75" thickBot="1" x14ac:dyDescent="0.3">
      <c r="A102" s="37" t="s">
        <v>2320</v>
      </c>
      <c r="B102" s="30" t="s">
        <v>2832</v>
      </c>
      <c r="C102" s="30">
        <v>5</v>
      </c>
      <c r="D102" s="30">
        <v>30</v>
      </c>
      <c r="E102" s="30"/>
      <c r="F102" s="30" t="s">
        <v>147</v>
      </c>
      <c r="G102" s="30" t="s">
        <v>3039</v>
      </c>
      <c r="H102" s="30" t="s">
        <v>3040</v>
      </c>
      <c r="I102" s="30" t="s">
        <v>1431</v>
      </c>
      <c r="J102" s="34" t="s">
        <v>2216</v>
      </c>
    </row>
    <row r="103" spans="1:10" x14ac:dyDescent="0.25">
      <c r="A103" s="35" t="s">
        <v>2321</v>
      </c>
      <c r="B103" s="22" t="s">
        <v>2832</v>
      </c>
      <c r="C103" s="22">
        <v>5</v>
      </c>
      <c r="D103" s="22">
        <v>31</v>
      </c>
      <c r="E103" s="22"/>
      <c r="F103" s="22" t="s">
        <v>3103</v>
      </c>
      <c r="G103" s="22" t="s">
        <v>3104</v>
      </c>
      <c r="H103" s="22" t="s">
        <v>3105</v>
      </c>
      <c r="I103" s="22" t="s">
        <v>1431</v>
      </c>
      <c r="J103" s="32" t="s">
        <v>2216</v>
      </c>
    </row>
    <row r="104" spans="1:10" x14ac:dyDescent="0.25">
      <c r="A104" s="36" t="s">
        <v>2322</v>
      </c>
      <c r="B104" t="s">
        <v>2832</v>
      </c>
      <c r="C104">
        <v>5</v>
      </c>
      <c r="D104">
        <v>31</v>
      </c>
      <c r="F104" t="s">
        <v>2206</v>
      </c>
      <c r="G104" t="s">
        <v>3106</v>
      </c>
      <c r="H104" t="s">
        <v>3107</v>
      </c>
      <c r="I104" t="s">
        <v>1431</v>
      </c>
      <c r="J104" s="33" t="s">
        <v>2216</v>
      </c>
    </row>
    <row r="105" spans="1:10" x14ac:dyDescent="0.25">
      <c r="A105" s="36" t="s">
        <v>2323</v>
      </c>
      <c r="B105" t="s">
        <v>2832</v>
      </c>
      <c r="C105">
        <v>5</v>
      </c>
      <c r="D105">
        <v>31</v>
      </c>
      <c r="F105" t="s">
        <v>2823</v>
      </c>
      <c r="G105" t="s">
        <v>3108</v>
      </c>
      <c r="H105" t="s">
        <v>3109</v>
      </c>
      <c r="I105" t="s">
        <v>1431</v>
      </c>
      <c r="J105" s="33" t="s">
        <v>2216</v>
      </c>
    </row>
    <row r="106" spans="1:10" x14ac:dyDescent="0.25">
      <c r="A106" s="36" t="s">
        <v>2324</v>
      </c>
      <c r="B106" t="s">
        <v>2832</v>
      </c>
      <c r="C106">
        <v>5</v>
      </c>
      <c r="D106">
        <v>31</v>
      </c>
      <c r="F106" t="s">
        <v>3110</v>
      </c>
      <c r="G106" t="s">
        <v>3111</v>
      </c>
      <c r="H106" t="s">
        <v>3112</v>
      </c>
      <c r="I106" t="s">
        <v>1431</v>
      </c>
      <c r="J106" s="33" t="s">
        <v>2216</v>
      </c>
    </row>
    <row r="107" spans="1:10" x14ac:dyDescent="0.25">
      <c r="A107" s="36" t="s">
        <v>2325</v>
      </c>
      <c r="B107" t="s">
        <v>2832</v>
      </c>
      <c r="C107">
        <v>5</v>
      </c>
      <c r="D107">
        <v>31</v>
      </c>
      <c r="F107" t="s">
        <v>3113</v>
      </c>
      <c r="G107" t="s">
        <v>3114</v>
      </c>
      <c r="H107" t="s">
        <v>3115</v>
      </c>
      <c r="I107" t="s">
        <v>1431</v>
      </c>
      <c r="J107" s="33" t="s">
        <v>2216</v>
      </c>
    </row>
    <row r="108" spans="1:10" ht="15.75" thickBot="1" x14ac:dyDescent="0.3">
      <c r="A108" s="37" t="s">
        <v>2326</v>
      </c>
      <c r="B108" s="30" t="s">
        <v>2832</v>
      </c>
      <c r="C108" s="30">
        <v>5</v>
      </c>
      <c r="D108" s="30">
        <v>31</v>
      </c>
      <c r="E108" s="30"/>
      <c r="F108" s="30" t="s">
        <v>3116</v>
      </c>
      <c r="G108" s="30" t="s">
        <v>3117</v>
      </c>
      <c r="H108" s="30" t="s">
        <v>3118</v>
      </c>
      <c r="I108" s="30" t="s">
        <v>1431</v>
      </c>
      <c r="J108" s="34" t="s">
        <v>2216</v>
      </c>
    </row>
    <row r="109" spans="1:10" x14ac:dyDescent="0.25">
      <c r="A109" s="35" t="s">
        <v>2327</v>
      </c>
      <c r="B109" s="22" t="s">
        <v>2832</v>
      </c>
      <c r="C109" s="22">
        <v>6</v>
      </c>
      <c r="D109" s="22">
        <v>34</v>
      </c>
      <c r="E109" s="22"/>
      <c r="F109" s="22" t="s">
        <v>3172</v>
      </c>
      <c r="G109" s="22" t="s">
        <v>3173</v>
      </c>
      <c r="H109" s="22" t="s">
        <v>3174</v>
      </c>
      <c r="I109" s="22" t="s">
        <v>1431</v>
      </c>
      <c r="J109" s="32" t="s">
        <v>2216</v>
      </c>
    </row>
    <row r="110" spans="1:10" x14ac:dyDescent="0.25">
      <c r="A110" s="36" t="s">
        <v>2328</v>
      </c>
      <c r="B110" t="s">
        <v>2832</v>
      </c>
      <c r="C110">
        <v>6</v>
      </c>
      <c r="D110">
        <v>34</v>
      </c>
      <c r="F110" t="s">
        <v>3175</v>
      </c>
      <c r="G110" t="s">
        <v>3176</v>
      </c>
      <c r="H110" t="s">
        <v>3177</v>
      </c>
      <c r="I110" t="s">
        <v>1431</v>
      </c>
      <c r="J110" s="33" t="s">
        <v>2216</v>
      </c>
    </row>
    <row r="111" spans="1:10" x14ac:dyDescent="0.25">
      <c r="A111" s="36" t="s">
        <v>2329</v>
      </c>
      <c r="B111" t="s">
        <v>2832</v>
      </c>
      <c r="C111">
        <v>6</v>
      </c>
      <c r="D111">
        <v>34</v>
      </c>
      <c r="F111" t="s">
        <v>3178</v>
      </c>
      <c r="G111" t="s">
        <v>3179</v>
      </c>
      <c r="H111" t="s">
        <v>3180</v>
      </c>
      <c r="I111" t="s">
        <v>1431</v>
      </c>
      <c r="J111" s="33" t="s">
        <v>2216</v>
      </c>
    </row>
    <row r="112" spans="1:10" x14ac:dyDescent="0.25">
      <c r="A112" s="36" t="s">
        <v>2330</v>
      </c>
      <c r="B112" t="s">
        <v>2832</v>
      </c>
      <c r="C112">
        <v>6</v>
      </c>
      <c r="D112">
        <v>34</v>
      </c>
      <c r="F112" t="s">
        <v>3181</v>
      </c>
      <c r="G112" t="s">
        <v>3182</v>
      </c>
      <c r="H112" t="s">
        <v>3183</v>
      </c>
      <c r="I112" t="s">
        <v>1431</v>
      </c>
      <c r="J112" s="33" t="s">
        <v>2216</v>
      </c>
    </row>
    <row r="113" spans="1:10" x14ac:dyDescent="0.25">
      <c r="A113" s="36" t="s">
        <v>2331</v>
      </c>
      <c r="B113" t="s">
        <v>2832</v>
      </c>
      <c r="C113">
        <v>6</v>
      </c>
      <c r="D113">
        <v>34</v>
      </c>
      <c r="F113" t="s">
        <v>186</v>
      </c>
      <c r="G113" t="s">
        <v>3184</v>
      </c>
      <c r="H113" t="s">
        <v>3185</v>
      </c>
      <c r="I113" t="s">
        <v>1431</v>
      </c>
      <c r="J113" s="33" t="s">
        <v>2216</v>
      </c>
    </row>
    <row r="114" spans="1:10" ht="15.75" thickBot="1" x14ac:dyDescent="0.3">
      <c r="A114" s="37" t="s">
        <v>2332</v>
      </c>
      <c r="B114" s="30" t="s">
        <v>2832</v>
      </c>
      <c r="C114" s="30">
        <v>6</v>
      </c>
      <c r="D114" s="30">
        <v>34</v>
      </c>
      <c r="E114" s="30"/>
      <c r="F114" s="30" t="s">
        <v>3186</v>
      </c>
      <c r="G114" s="30" t="s">
        <v>3187</v>
      </c>
      <c r="H114" s="30" t="s">
        <v>3188</v>
      </c>
      <c r="I114" s="30" t="s">
        <v>1431</v>
      </c>
      <c r="J114" s="34" t="s">
        <v>2216</v>
      </c>
    </row>
    <row r="115" spans="1:10" x14ac:dyDescent="0.25">
      <c r="A115" s="35" t="s">
        <v>2333</v>
      </c>
      <c r="B115" s="22" t="s">
        <v>2832</v>
      </c>
      <c r="C115" s="22">
        <v>6</v>
      </c>
      <c r="D115" s="22">
        <v>36</v>
      </c>
      <c r="E115" s="22"/>
      <c r="F115" s="22" t="s">
        <v>154</v>
      </c>
      <c r="G115" s="22" t="s">
        <v>3227</v>
      </c>
      <c r="H115" s="22" t="s">
        <v>3228</v>
      </c>
      <c r="I115" s="22" t="s">
        <v>1431</v>
      </c>
      <c r="J115" s="32" t="s">
        <v>2216</v>
      </c>
    </row>
    <row r="116" spans="1:10" x14ac:dyDescent="0.25">
      <c r="A116" s="36" t="s">
        <v>2334</v>
      </c>
      <c r="B116" t="s">
        <v>2832</v>
      </c>
      <c r="C116">
        <v>6</v>
      </c>
      <c r="D116">
        <v>36</v>
      </c>
      <c r="F116" t="s">
        <v>3229</v>
      </c>
      <c r="G116" t="s">
        <v>3230</v>
      </c>
      <c r="H116" t="s">
        <v>3231</v>
      </c>
      <c r="I116" t="s">
        <v>1431</v>
      </c>
      <c r="J116" s="33" t="s">
        <v>2216</v>
      </c>
    </row>
    <row r="117" spans="1:10" x14ac:dyDescent="0.25">
      <c r="A117" s="36" t="s">
        <v>2335</v>
      </c>
      <c r="B117" t="s">
        <v>2832</v>
      </c>
      <c r="C117">
        <v>6</v>
      </c>
      <c r="D117">
        <v>36</v>
      </c>
      <c r="F117" t="s">
        <v>186</v>
      </c>
      <c r="G117" t="s">
        <v>3232</v>
      </c>
      <c r="H117" t="s">
        <v>3233</v>
      </c>
      <c r="I117" t="s">
        <v>1431</v>
      </c>
      <c r="J117" s="33" t="s">
        <v>2216</v>
      </c>
    </row>
    <row r="118" spans="1:10" x14ac:dyDescent="0.25">
      <c r="A118" s="36" t="s">
        <v>2336</v>
      </c>
      <c r="B118" t="s">
        <v>2832</v>
      </c>
      <c r="C118">
        <v>6</v>
      </c>
      <c r="D118">
        <v>36</v>
      </c>
      <c r="F118" t="s">
        <v>198</v>
      </c>
      <c r="G118" t="s">
        <v>3234</v>
      </c>
      <c r="H118" t="s">
        <v>3235</v>
      </c>
      <c r="I118" t="s">
        <v>1431</v>
      </c>
      <c r="J118" s="33" t="s">
        <v>2216</v>
      </c>
    </row>
    <row r="119" spans="1:10" ht="15.75" thickBot="1" x14ac:dyDescent="0.3">
      <c r="A119" s="37" t="s">
        <v>2337</v>
      </c>
      <c r="B119" s="30" t="s">
        <v>2832</v>
      </c>
      <c r="C119" s="30">
        <v>6</v>
      </c>
      <c r="D119" s="30">
        <v>36</v>
      </c>
      <c r="E119" s="30"/>
      <c r="F119" s="30" t="s">
        <v>3236</v>
      </c>
      <c r="G119" s="30" t="s">
        <v>3237</v>
      </c>
      <c r="H119" s="30" t="s">
        <v>3238</v>
      </c>
      <c r="I119" s="30" t="s">
        <v>1431</v>
      </c>
      <c r="J119" s="34" t="s">
        <v>2216</v>
      </c>
    </row>
    <row r="120" spans="1:10" x14ac:dyDescent="0.25">
      <c r="A120" s="35" t="s">
        <v>2338</v>
      </c>
      <c r="B120" s="22" t="s">
        <v>2832</v>
      </c>
      <c r="C120" s="22">
        <v>7</v>
      </c>
      <c r="D120" s="22">
        <v>37</v>
      </c>
      <c r="E120" s="22"/>
      <c r="F120" s="22" t="s">
        <v>1989</v>
      </c>
      <c r="G120" s="22" t="s">
        <v>3309</v>
      </c>
      <c r="H120" s="22" t="s">
        <v>3310</v>
      </c>
      <c r="I120" s="22" t="s">
        <v>1431</v>
      </c>
      <c r="J120" s="32" t="s">
        <v>2216</v>
      </c>
    </row>
    <row r="121" spans="1:10" x14ac:dyDescent="0.25">
      <c r="A121" s="36" t="s">
        <v>2339</v>
      </c>
      <c r="B121" t="s">
        <v>2832</v>
      </c>
      <c r="C121">
        <v>7</v>
      </c>
      <c r="D121">
        <v>37</v>
      </c>
      <c r="F121" t="s">
        <v>3311</v>
      </c>
      <c r="G121" t="s">
        <v>3312</v>
      </c>
      <c r="H121" t="s">
        <v>3313</v>
      </c>
      <c r="I121" t="s">
        <v>1431</v>
      </c>
      <c r="J121" s="33" t="s">
        <v>2216</v>
      </c>
    </row>
    <row r="122" spans="1:10" x14ac:dyDescent="0.25">
      <c r="A122" s="36" t="s">
        <v>2340</v>
      </c>
      <c r="B122" t="s">
        <v>2832</v>
      </c>
      <c r="C122">
        <v>7</v>
      </c>
      <c r="D122">
        <v>37</v>
      </c>
      <c r="F122" t="s">
        <v>3314</v>
      </c>
      <c r="G122" t="s">
        <v>3315</v>
      </c>
      <c r="H122" t="s">
        <v>3316</v>
      </c>
      <c r="I122" t="s">
        <v>1431</v>
      </c>
      <c r="J122" s="33" t="s">
        <v>2216</v>
      </c>
    </row>
    <row r="123" spans="1:10" x14ac:dyDescent="0.25">
      <c r="A123" s="36" t="s">
        <v>2341</v>
      </c>
      <c r="B123" t="s">
        <v>2832</v>
      </c>
      <c r="C123">
        <v>7</v>
      </c>
      <c r="D123">
        <v>37</v>
      </c>
      <c r="F123" t="s">
        <v>3317</v>
      </c>
      <c r="G123" t="s">
        <v>3318</v>
      </c>
      <c r="H123" t="s">
        <v>3319</v>
      </c>
      <c r="I123" t="s">
        <v>1431</v>
      </c>
      <c r="J123" s="33" t="s">
        <v>2216</v>
      </c>
    </row>
    <row r="124" spans="1:10" x14ac:dyDescent="0.25">
      <c r="A124" s="36" t="s">
        <v>2342</v>
      </c>
      <c r="B124" t="s">
        <v>2832</v>
      </c>
      <c r="C124">
        <v>7</v>
      </c>
      <c r="D124">
        <v>37</v>
      </c>
      <c r="F124" t="s">
        <v>3320</v>
      </c>
      <c r="G124" t="s">
        <v>3321</v>
      </c>
      <c r="H124" t="s">
        <v>3322</v>
      </c>
      <c r="I124" t="s">
        <v>1431</v>
      </c>
      <c r="J124" s="33" t="s">
        <v>2216</v>
      </c>
    </row>
    <row r="125" spans="1:10" ht="15.75" thickBot="1" x14ac:dyDescent="0.3">
      <c r="A125" s="37" t="s">
        <v>2343</v>
      </c>
      <c r="B125" s="30" t="s">
        <v>2832</v>
      </c>
      <c r="C125" s="30">
        <v>7</v>
      </c>
      <c r="D125" s="30">
        <v>37</v>
      </c>
      <c r="E125" s="30"/>
      <c r="F125" s="30" t="s">
        <v>3323</v>
      </c>
      <c r="G125" s="30" t="s">
        <v>3324</v>
      </c>
      <c r="H125" s="30" t="s">
        <v>3325</v>
      </c>
      <c r="I125" s="30" t="s">
        <v>1431</v>
      </c>
      <c r="J125" s="34" t="s">
        <v>2216</v>
      </c>
    </row>
    <row r="126" spans="1:10" x14ac:dyDescent="0.25">
      <c r="A126" s="35" t="s">
        <v>2344</v>
      </c>
      <c r="B126" s="22" t="s">
        <v>2832</v>
      </c>
      <c r="C126" s="22">
        <v>7</v>
      </c>
      <c r="D126" s="22">
        <v>38</v>
      </c>
      <c r="E126" s="22"/>
      <c r="F126" s="22" t="s">
        <v>3358</v>
      </c>
      <c r="G126" s="22" t="s">
        <v>3359</v>
      </c>
      <c r="H126" s="22" t="s">
        <v>3360</v>
      </c>
      <c r="I126" s="22" t="s">
        <v>1431</v>
      </c>
      <c r="J126" s="32" t="s">
        <v>2216</v>
      </c>
    </row>
    <row r="127" spans="1:10" x14ac:dyDescent="0.25">
      <c r="A127" s="36" t="s">
        <v>2345</v>
      </c>
      <c r="B127" t="s">
        <v>2832</v>
      </c>
      <c r="C127">
        <v>7</v>
      </c>
      <c r="D127">
        <v>38</v>
      </c>
      <c r="F127" t="s">
        <v>76</v>
      </c>
      <c r="G127" t="s">
        <v>3361</v>
      </c>
      <c r="H127" t="s">
        <v>3362</v>
      </c>
      <c r="I127" t="s">
        <v>1431</v>
      </c>
      <c r="J127" s="33" t="s">
        <v>2216</v>
      </c>
    </row>
    <row r="128" spans="1:10" x14ac:dyDescent="0.25">
      <c r="A128" s="36" t="s">
        <v>2346</v>
      </c>
      <c r="B128" t="s">
        <v>2832</v>
      </c>
      <c r="C128">
        <v>7</v>
      </c>
      <c r="D128">
        <v>38</v>
      </c>
      <c r="F128" t="s">
        <v>3363</v>
      </c>
      <c r="G128" t="s">
        <v>3364</v>
      </c>
      <c r="H128" t="s">
        <v>3365</v>
      </c>
      <c r="I128" t="s">
        <v>1431</v>
      </c>
      <c r="J128" s="33" t="s">
        <v>2216</v>
      </c>
    </row>
    <row r="129" spans="1:10" x14ac:dyDescent="0.25">
      <c r="A129" s="36" t="s">
        <v>2347</v>
      </c>
      <c r="B129" t="s">
        <v>2832</v>
      </c>
      <c r="C129">
        <v>7</v>
      </c>
      <c r="D129">
        <v>38</v>
      </c>
      <c r="F129" t="s">
        <v>3311</v>
      </c>
      <c r="G129" t="s">
        <v>3366</v>
      </c>
      <c r="H129" t="s">
        <v>3367</v>
      </c>
      <c r="I129" t="s">
        <v>1431</v>
      </c>
      <c r="J129" s="33" t="s">
        <v>2216</v>
      </c>
    </row>
    <row r="130" spans="1:10" ht="15.75" thickBot="1" x14ac:dyDescent="0.3">
      <c r="A130" s="37" t="s">
        <v>2348</v>
      </c>
      <c r="B130" s="30" t="s">
        <v>2832</v>
      </c>
      <c r="C130" s="30">
        <v>7</v>
      </c>
      <c r="D130" s="30">
        <v>38</v>
      </c>
      <c r="E130" s="30"/>
      <c r="F130" s="30" t="s">
        <v>125</v>
      </c>
      <c r="G130" s="30" t="s">
        <v>3368</v>
      </c>
      <c r="H130" s="30" t="s">
        <v>3369</v>
      </c>
      <c r="I130" s="30" t="s">
        <v>1431</v>
      </c>
      <c r="J130" s="34" t="s">
        <v>2216</v>
      </c>
    </row>
    <row r="131" spans="1:10" x14ac:dyDescent="0.25">
      <c r="A131" s="35" t="s">
        <v>2349</v>
      </c>
      <c r="B131" s="22" t="s">
        <v>2832</v>
      </c>
      <c r="C131" s="22">
        <v>9</v>
      </c>
      <c r="D131" s="22">
        <v>46</v>
      </c>
      <c r="E131" s="22"/>
      <c r="F131" s="22" t="s">
        <v>2979</v>
      </c>
      <c r="G131" s="22" t="s">
        <v>3423</v>
      </c>
      <c r="H131" s="22" t="s">
        <v>3424</v>
      </c>
      <c r="I131" s="22" t="s">
        <v>1431</v>
      </c>
      <c r="J131" s="32" t="s">
        <v>2216</v>
      </c>
    </row>
    <row r="132" spans="1:10" x14ac:dyDescent="0.25">
      <c r="A132" s="36" t="s">
        <v>2350</v>
      </c>
      <c r="B132" t="s">
        <v>2832</v>
      </c>
      <c r="C132">
        <v>9</v>
      </c>
      <c r="D132">
        <v>46</v>
      </c>
      <c r="F132" t="s">
        <v>1989</v>
      </c>
      <c r="G132" t="s">
        <v>3425</v>
      </c>
      <c r="H132" t="s">
        <v>3426</v>
      </c>
      <c r="I132" t="s">
        <v>1431</v>
      </c>
      <c r="J132" s="33" t="s">
        <v>2216</v>
      </c>
    </row>
    <row r="133" spans="1:10" x14ac:dyDescent="0.25">
      <c r="A133" s="36" t="s">
        <v>2351</v>
      </c>
      <c r="B133" t="s">
        <v>2832</v>
      </c>
      <c r="C133">
        <v>9</v>
      </c>
      <c r="D133">
        <v>46</v>
      </c>
      <c r="F133" t="s">
        <v>3427</v>
      </c>
      <c r="G133" t="s">
        <v>3428</v>
      </c>
      <c r="H133" t="s">
        <v>3429</v>
      </c>
      <c r="I133" t="s">
        <v>1431</v>
      </c>
      <c r="J133" s="33" t="s">
        <v>2216</v>
      </c>
    </row>
    <row r="134" spans="1:10" x14ac:dyDescent="0.25">
      <c r="A134" s="36" t="s">
        <v>2352</v>
      </c>
      <c r="B134" t="s">
        <v>2832</v>
      </c>
      <c r="C134">
        <v>9</v>
      </c>
      <c r="D134">
        <v>46</v>
      </c>
      <c r="F134" t="s">
        <v>3430</v>
      </c>
      <c r="G134" t="s">
        <v>3431</v>
      </c>
      <c r="H134" t="s">
        <v>3432</v>
      </c>
      <c r="I134" t="s">
        <v>1431</v>
      </c>
      <c r="J134" s="33" t="s">
        <v>2216</v>
      </c>
    </row>
    <row r="135" spans="1:10" x14ac:dyDescent="0.25">
      <c r="A135" s="36" t="s">
        <v>2353</v>
      </c>
      <c r="B135" t="s">
        <v>2832</v>
      </c>
      <c r="C135">
        <v>9</v>
      </c>
      <c r="D135">
        <v>46</v>
      </c>
      <c r="F135" t="s">
        <v>3433</v>
      </c>
      <c r="G135" t="s">
        <v>3434</v>
      </c>
      <c r="H135" t="s">
        <v>3435</v>
      </c>
      <c r="I135" t="s">
        <v>1431</v>
      </c>
      <c r="J135" s="33" t="s">
        <v>2216</v>
      </c>
    </row>
    <row r="136" spans="1:10" ht="15.75" thickBot="1" x14ac:dyDescent="0.3">
      <c r="A136" s="37" t="s">
        <v>2354</v>
      </c>
      <c r="B136" s="30" t="s">
        <v>2832</v>
      </c>
      <c r="C136" s="30">
        <v>9</v>
      </c>
      <c r="D136" s="30">
        <v>46</v>
      </c>
      <c r="E136" s="30"/>
      <c r="F136" s="30" t="s">
        <v>3436</v>
      </c>
      <c r="G136" s="30" t="s">
        <v>3437</v>
      </c>
      <c r="H136" s="30" t="s">
        <v>3438</v>
      </c>
      <c r="I136" s="30" t="s">
        <v>1431</v>
      </c>
      <c r="J136" s="34" t="s">
        <v>2216</v>
      </c>
    </row>
    <row r="137" spans="1:10" x14ac:dyDescent="0.25">
      <c r="A137" s="35" t="s">
        <v>2355</v>
      </c>
      <c r="B137" s="22" t="s">
        <v>2832</v>
      </c>
      <c r="C137" s="22">
        <v>9</v>
      </c>
      <c r="D137" s="22">
        <v>48</v>
      </c>
      <c r="E137" s="22"/>
      <c r="F137" s="22" t="s">
        <v>3358</v>
      </c>
      <c r="G137" s="22" t="s">
        <v>3498</v>
      </c>
      <c r="H137" s="22" t="s">
        <v>3499</v>
      </c>
      <c r="I137" s="22" t="s">
        <v>1431</v>
      </c>
      <c r="J137" s="32" t="s">
        <v>2216</v>
      </c>
    </row>
    <row r="138" spans="1:10" x14ac:dyDescent="0.25">
      <c r="A138" s="36" t="s">
        <v>2356</v>
      </c>
      <c r="B138" t="s">
        <v>2832</v>
      </c>
      <c r="C138">
        <v>9</v>
      </c>
      <c r="D138">
        <v>48</v>
      </c>
      <c r="F138" t="s">
        <v>53</v>
      </c>
      <c r="G138" t="s">
        <v>3500</v>
      </c>
      <c r="H138" t="s">
        <v>3501</v>
      </c>
      <c r="I138" t="s">
        <v>1431</v>
      </c>
      <c r="J138" s="33" t="s">
        <v>2216</v>
      </c>
    </row>
    <row r="139" spans="1:10" x14ac:dyDescent="0.25">
      <c r="A139" s="36" t="s">
        <v>2357</v>
      </c>
      <c r="B139" t="s">
        <v>2832</v>
      </c>
      <c r="C139">
        <v>9</v>
      </c>
      <c r="D139">
        <v>48</v>
      </c>
      <c r="F139" t="s">
        <v>3502</v>
      </c>
      <c r="G139" t="s">
        <v>3503</v>
      </c>
      <c r="H139" t="s">
        <v>3504</v>
      </c>
      <c r="I139" t="s">
        <v>1431</v>
      </c>
      <c r="J139" s="33" t="s">
        <v>2216</v>
      </c>
    </row>
    <row r="140" spans="1:10" x14ac:dyDescent="0.25">
      <c r="A140" s="36" t="s">
        <v>2358</v>
      </c>
      <c r="B140" t="s">
        <v>2832</v>
      </c>
      <c r="C140">
        <v>9</v>
      </c>
      <c r="D140">
        <v>48</v>
      </c>
      <c r="F140" t="s">
        <v>198</v>
      </c>
      <c r="G140" t="s">
        <v>3505</v>
      </c>
      <c r="H140" t="s">
        <v>3506</v>
      </c>
      <c r="I140" t="s">
        <v>1431</v>
      </c>
      <c r="J140" s="33" t="s">
        <v>2216</v>
      </c>
    </row>
    <row r="141" spans="1:10" x14ac:dyDescent="0.25">
      <c r="A141" s="36" t="s">
        <v>2359</v>
      </c>
      <c r="B141" t="s">
        <v>2832</v>
      </c>
      <c r="C141">
        <v>9</v>
      </c>
      <c r="D141">
        <v>48</v>
      </c>
      <c r="F141" t="s">
        <v>2979</v>
      </c>
      <c r="G141" t="s">
        <v>3507</v>
      </c>
      <c r="H141" t="s">
        <v>3508</v>
      </c>
      <c r="I141" t="s">
        <v>1431</v>
      </c>
      <c r="J141" s="33" t="s">
        <v>2216</v>
      </c>
    </row>
    <row r="142" spans="1:10" ht="15.75" thickBot="1" x14ac:dyDescent="0.3">
      <c r="A142" s="37" t="s">
        <v>2360</v>
      </c>
      <c r="B142" s="30" t="s">
        <v>2832</v>
      </c>
      <c r="C142" s="30">
        <v>9</v>
      </c>
      <c r="D142" s="30">
        <v>48</v>
      </c>
      <c r="E142" s="30"/>
      <c r="F142" s="30" t="s">
        <v>3509</v>
      </c>
      <c r="G142" s="30" t="s">
        <v>3510</v>
      </c>
      <c r="H142" s="30" t="s">
        <v>3511</v>
      </c>
      <c r="I142" s="30" t="s">
        <v>1431</v>
      </c>
      <c r="J142" s="34" t="s">
        <v>2216</v>
      </c>
    </row>
    <row r="143" spans="1:10" x14ac:dyDescent="0.25">
      <c r="A143" s="35" t="s">
        <v>2361</v>
      </c>
      <c r="B143" s="22" t="s">
        <v>2832</v>
      </c>
      <c r="C143" s="22">
        <v>10</v>
      </c>
      <c r="D143" s="22">
        <v>52</v>
      </c>
      <c r="E143" s="22"/>
      <c r="F143" s="22" t="s">
        <v>3549</v>
      </c>
      <c r="G143" s="22" t="s">
        <v>3550</v>
      </c>
      <c r="H143" s="22" t="s">
        <v>3551</v>
      </c>
      <c r="I143" s="22" t="s">
        <v>1431</v>
      </c>
      <c r="J143" s="32" t="s">
        <v>2216</v>
      </c>
    </row>
    <row r="144" spans="1:10" x14ac:dyDescent="0.25">
      <c r="A144" s="36" t="s">
        <v>2362</v>
      </c>
      <c r="B144" t="s">
        <v>2832</v>
      </c>
      <c r="C144">
        <v>10</v>
      </c>
      <c r="D144">
        <v>52</v>
      </c>
      <c r="F144" t="s">
        <v>154</v>
      </c>
      <c r="G144" t="s">
        <v>3552</v>
      </c>
      <c r="H144" t="s">
        <v>3553</v>
      </c>
      <c r="I144" t="s">
        <v>1431</v>
      </c>
      <c r="J144" s="33" t="s">
        <v>2216</v>
      </c>
    </row>
    <row r="145" spans="1:10" x14ac:dyDescent="0.25">
      <c r="A145" s="36" t="s">
        <v>2363</v>
      </c>
      <c r="B145" t="s">
        <v>2832</v>
      </c>
      <c r="C145">
        <v>10</v>
      </c>
      <c r="D145">
        <v>52</v>
      </c>
      <c r="F145" t="s">
        <v>3554</v>
      </c>
      <c r="G145" t="s">
        <v>3555</v>
      </c>
      <c r="H145" t="s">
        <v>3556</v>
      </c>
      <c r="I145" t="s">
        <v>1431</v>
      </c>
      <c r="J145" s="33" t="s">
        <v>2216</v>
      </c>
    </row>
    <row r="146" spans="1:10" x14ac:dyDescent="0.25">
      <c r="A146" s="36" t="s">
        <v>2364</v>
      </c>
      <c r="B146" t="s">
        <v>2832</v>
      </c>
      <c r="C146">
        <v>10</v>
      </c>
      <c r="D146">
        <v>52</v>
      </c>
      <c r="F146" t="s">
        <v>3557</v>
      </c>
      <c r="G146" t="s">
        <v>3558</v>
      </c>
      <c r="H146" t="s">
        <v>3559</v>
      </c>
      <c r="I146" t="s">
        <v>1431</v>
      </c>
      <c r="J146" s="33" t="s">
        <v>2216</v>
      </c>
    </row>
    <row r="147" spans="1:10" x14ac:dyDescent="0.25">
      <c r="A147" s="36" t="s">
        <v>2365</v>
      </c>
      <c r="B147" t="s">
        <v>2832</v>
      </c>
      <c r="C147">
        <v>10</v>
      </c>
      <c r="D147">
        <v>52</v>
      </c>
      <c r="F147" t="s">
        <v>3560</v>
      </c>
      <c r="G147" t="s">
        <v>3561</v>
      </c>
      <c r="H147" t="s">
        <v>3562</v>
      </c>
      <c r="I147" t="s">
        <v>1431</v>
      </c>
      <c r="J147" s="33" t="s">
        <v>2216</v>
      </c>
    </row>
    <row r="148" spans="1:10" ht="15.75" thickBot="1" x14ac:dyDescent="0.3">
      <c r="A148" s="37" t="s">
        <v>2366</v>
      </c>
      <c r="B148" s="30" t="s">
        <v>2832</v>
      </c>
      <c r="C148" s="30">
        <v>10</v>
      </c>
      <c r="D148" s="30">
        <v>52</v>
      </c>
      <c r="E148" s="30"/>
      <c r="F148" s="30" t="s">
        <v>3563</v>
      </c>
      <c r="G148" s="30" t="s">
        <v>3564</v>
      </c>
      <c r="H148" s="30" t="s">
        <v>3565</v>
      </c>
      <c r="I148" s="30" t="s">
        <v>1431</v>
      </c>
      <c r="J148" s="34" t="s">
        <v>2216</v>
      </c>
    </row>
    <row r="149" spans="1:10" x14ac:dyDescent="0.25">
      <c r="A149" s="35" t="s">
        <v>2367</v>
      </c>
      <c r="B149" s="22" t="s">
        <v>2832</v>
      </c>
      <c r="C149" s="22">
        <v>10</v>
      </c>
      <c r="D149" s="22">
        <v>53</v>
      </c>
      <c r="E149" s="22"/>
      <c r="F149" s="22" t="s">
        <v>53</v>
      </c>
      <c r="G149" s="22" t="s">
        <v>3597</v>
      </c>
      <c r="H149" s="22" t="s">
        <v>3598</v>
      </c>
      <c r="I149" s="22" t="s">
        <v>1431</v>
      </c>
      <c r="J149" s="32" t="s">
        <v>2216</v>
      </c>
    </row>
    <row r="150" spans="1:10" x14ac:dyDescent="0.25">
      <c r="A150" s="36" t="s">
        <v>2368</v>
      </c>
      <c r="B150" t="s">
        <v>2832</v>
      </c>
      <c r="C150">
        <v>10</v>
      </c>
      <c r="D150">
        <v>53</v>
      </c>
      <c r="F150" t="s">
        <v>3599</v>
      </c>
      <c r="G150" t="s">
        <v>3600</v>
      </c>
      <c r="H150" t="s">
        <v>3601</v>
      </c>
      <c r="I150" t="s">
        <v>1431</v>
      </c>
      <c r="J150" s="33" t="s">
        <v>2216</v>
      </c>
    </row>
    <row r="151" spans="1:10" x14ac:dyDescent="0.25">
      <c r="A151" s="36" t="s">
        <v>2369</v>
      </c>
      <c r="B151" t="s">
        <v>2832</v>
      </c>
      <c r="C151">
        <v>10</v>
      </c>
      <c r="D151">
        <v>53</v>
      </c>
      <c r="F151" t="s">
        <v>204</v>
      </c>
      <c r="G151" t="s">
        <v>3602</v>
      </c>
      <c r="H151" t="s">
        <v>3603</v>
      </c>
      <c r="I151" t="s">
        <v>1431</v>
      </c>
      <c r="J151" s="33" t="s">
        <v>2216</v>
      </c>
    </row>
    <row r="152" spans="1:10" x14ac:dyDescent="0.25">
      <c r="A152" s="36" t="s">
        <v>2370</v>
      </c>
      <c r="B152" t="s">
        <v>2832</v>
      </c>
      <c r="C152">
        <v>10</v>
      </c>
      <c r="D152">
        <v>53</v>
      </c>
      <c r="F152" t="s">
        <v>210</v>
      </c>
      <c r="G152" t="s">
        <v>3604</v>
      </c>
      <c r="H152" t="s">
        <v>3605</v>
      </c>
      <c r="I152" t="s">
        <v>1431</v>
      </c>
      <c r="J152" s="33" t="s">
        <v>2216</v>
      </c>
    </row>
    <row r="153" spans="1:10" x14ac:dyDescent="0.25">
      <c r="A153" s="36" t="s">
        <v>2371</v>
      </c>
      <c r="B153" t="s">
        <v>2832</v>
      </c>
      <c r="C153">
        <v>10</v>
      </c>
      <c r="D153">
        <v>53</v>
      </c>
      <c r="F153" t="s">
        <v>215</v>
      </c>
      <c r="G153" t="s">
        <v>3606</v>
      </c>
      <c r="H153" t="s">
        <v>3607</v>
      </c>
      <c r="I153" t="s">
        <v>1431</v>
      </c>
      <c r="J153" s="33" t="s">
        <v>2216</v>
      </c>
    </row>
    <row r="154" spans="1:10" ht="15.75" thickBot="1" x14ac:dyDescent="0.3">
      <c r="A154" s="37" t="s">
        <v>2372</v>
      </c>
      <c r="B154" s="30" t="s">
        <v>2832</v>
      </c>
      <c r="C154" s="30">
        <v>10</v>
      </c>
      <c r="D154" s="30">
        <v>53</v>
      </c>
      <c r="E154" s="30"/>
      <c r="F154" s="30" t="s">
        <v>3608</v>
      </c>
      <c r="G154" s="30" t="s">
        <v>3609</v>
      </c>
      <c r="H154" s="30" t="s">
        <v>3610</v>
      </c>
      <c r="I154" s="30" t="s">
        <v>1431</v>
      </c>
      <c r="J154" s="34" t="s">
        <v>2216</v>
      </c>
    </row>
    <row r="155" spans="1:10" x14ac:dyDescent="0.25">
      <c r="A155" s="35" t="s">
        <v>2373</v>
      </c>
      <c r="B155" s="22" t="s">
        <v>2832</v>
      </c>
      <c r="C155" s="22">
        <v>11</v>
      </c>
      <c r="D155" s="22">
        <v>56</v>
      </c>
      <c r="E155" s="22"/>
      <c r="F155" s="22" t="s">
        <v>69</v>
      </c>
      <c r="G155" s="22" t="s">
        <v>3647</v>
      </c>
      <c r="H155" s="22" t="s">
        <v>3648</v>
      </c>
      <c r="I155" s="22" t="s">
        <v>1431</v>
      </c>
      <c r="J155" s="32" t="s">
        <v>2216</v>
      </c>
    </row>
    <row r="156" spans="1:10" x14ac:dyDescent="0.25">
      <c r="A156" s="36" t="s">
        <v>2374</v>
      </c>
      <c r="B156" t="s">
        <v>2832</v>
      </c>
      <c r="C156">
        <v>11</v>
      </c>
      <c r="D156">
        <v>56</v>
      </c>
      <c r="F156" t="s">
        <v>2206</v>
      </c>
      <c r="G156" t="s">
        <v>3649</v>
      </c>
      <c r="H156" t="s">
        <v>3650</v>
      </c>
      <c r="I156" t="s">
        <v>1431</v>
      </c>
      <c r="J156" s="33" t="s">
        <v>2216</v>
      </c>
    </row>
    <row r="157" spans="1:10" x14ac:dyDescent="0.25">
      <c r="A157" s="36" t="s">
        <v>2375</v>
      </c>
      <c r="B157" t="s">
        <v>2832</v>
      </c>
      <c r="C157">
        <v>11</v>
      </c>
      <c r="D157">
        <v>56</v>
      </c>
      <c r="F157" t="s">
        <v>3651</v>
      </c>
      <c r="G157" t="s">
        <v>3652</v>
      </c>
      <c r="H157" t="s">
        <v>3653</v>
      </c>
      <c r="I157" t="s">
        <v>1431</v>
      </c>
      <c r="J157" s="33" t="s">
        <v>2216</v>
      </c>
    </row>
    <row r="158" spans="1:10" x14ac:dyDescent="0.25">
      <c r="A158" s="36" t="s">
        <v>2376</v>
      </c>
      <c r="B158" t="s">
        <v>2832</v>
      </c>
      <c r="C158">
        <v>11</v>
      </c>
      <c r="D158">
        <v>56</v>
      </c>
      <c r="F158" t="s">
        <v>215</v>
      </c>
      <c r="G158" t="s">
        <v>3654</v>
      </c>
      <c r="H158" t="s">
        <v>3655</v>
      </c>
      <c r="I158" t="s">
        <v>1431</v>
      </c>
      <c r="J158" s="33" t="s">
        <v>2216</v>
      </c>
    </row>
    <row r="159" spans="1:10" x14ac:dyDescent="0.25">
      <c r="A159" s="36" t="s">
        <v>2377</v>
      </c>
      <c r="B159" t="s">
        <v>2832</v>
      </c>
      <c r="C159">
        <v>11</v>
      </c>
      <c r="D159">
        <v>56</v>
      </c>
      <c r="F159" t="s">
        <v>210</v>
      </c>
      <c r="G159" t="s">
        <v>3656</v>
      </c>
      <c r="H159" t="s">
        <v>3657</v>
      </c>
      <c r="I159" t="s">
        <v>1431</v>
      </c>
      <c r="J159" s="33" t="s">
        <v>2216</v>
      </c>
    </row>
    <row r="160" spans="1:10" ht="15.75" thickBot="1" x14ac:dyDescent="0.3">
      <c r="A160" s="37" t="s">
        <v>2378</v>
      </c>
      <c r="B160" s="30" t="s">
        <v>2832</v>
      </c>
      <c r="C160" s="30">
        <v>11</v>
      </c>
      <c r="D160" s="30">
        <v>56</v>
      </c>
      <c r="E160" s="30"/>
      <c r="F160" s="30" t="s">
        <v>174</v>
      </c>
      <c r="G160" s="30" t="s">
        <v>3658</v>
      </c>
      <c r="H160" s="30" t="s">
        <v>3659</v>
      </c>
      <c r="I160" s="30" t="s">
        <v>1431</v>
      </c>
      <c r="J160" s="34" t="s">
        <v>2216</v>
      </c>
    </row>
    <row r="161" spans="1:10" x14ac:dyDescent="0.25">
      <c r="A161" s="35" t="s">
        <v>2379</v>
      </c>
      <c r="B161" s="22" t="s">
        <v>2832</v>
      </c>
      <c r="C161" s="22">
        <v>11</v>
      </c>
      <c r="D161" s="22">
        <v>57</v>
      </c>
      <c r="E161" s="22"/>
      <c r="F161" s="22" t="s">
        <v>2012</v>
      </c>
      <c r="G161" s="22" t="s">
        <v>3686</v>
      </c>
      <c r="H161" s="22" t="s">
        <v>3687</v>
      </c>
      <c r="I161" s="22" t="s">
        <v>1431</v>
      </c>
      <c r="J161" s="32" t="s">
        <v>2216</v>
      </c>
    </row>
    <row r="162" spans="1:10" x14ac:dyDescent="0.25">
      <c r="A162" s="36" t="s">
        <v>2380</v>
      </c>
      <c r="B162" t="s">
        <v>2832</v>
      </c>
      <c r="C162">
        <v>11</v>
      </c>
      <c r="D162">
        <v>57</v>
      </c>
      <c r="F162" t="s">
        <v>192</v>
      </c>
      <c r="G162" t="s">
        <v>3688</v>
      </c>
      <c r="H162" t="s">
        <v>3689</v>
      </c>
      <c r="I162" t="s">
        <v>1431</v>
      </c>
      <c r="J162" s="33" t="s">
        <v>2216</v>
      </c>
    </row>
    <row r="163" spans="1:10" x14ac:dyDescent="0.25">
      <c r="A163" s="36" t="s">
        <v>2381</v>
      </c>
      <c r="B163" t="s">
        <v>2832</v>
      </c>
      <c r="C163">
        <v>11</v>
      </c>
      <c r="D163">
        <v>57</v>
      </c>
      <c r="F163" t="s">
        <v>147</v>
      </c>
      <c r="G163" t="s">
        <v>3690</v>
      </c>
      <c r="H163" t="s">
        <v>3691</v>
      </c>
      <c r="I163" t="s">
        <v>1431</v>
      </c>
      <c r="J163" s="33" t="s">
        <v>2216</v>
      </c>
    </row>
    <row r="164" spans="1:10" x14ac:dyDescent="0.25">
      <c r="A164" s="36" t="s">
        <v>2382</v>
      </c>
      <c r="B164" t="s">
        <v>2832</v>
      </c>
      <c r="C164">
        <v>11</v>
      </c>
      <c r="D164">
        <v>57</v>
      </c>
      <c r="F164" t="s">
        <v>215</v>
      </c>
      <c r="G164" t="s">
        <v>3692</v>
      </c>
      <c r="H164" t="s">
        <v>3693</v>
      </c>
      <c r="I164" t="s">
        <v>1431</v>
      </c>
      <c r="J164" s="33" t="s">
        <v>2216</v>
      </c>
    </row>
    <row r="165" spans="1:10" x14ac:dyDescent="0.25">
      <c r="A165" s="36" t="s">
        <v>2383</v>
      </c>
      <c r="B165" t="s">
        <v>2832</v>
      </c>
      <c r="C165">
        <v>11</v>
      </c>
      <c r="D165">
        <v>57</v>
      </c>
      <c r="F165" t="s">
        <v>210</v>
      </c>
      <c r="G165" t="s">
        <v>3694</v>
      </c>
      <c r="H165" t="s">
        <v>3657</v>
      </c>
      <c r="I165" t="s">
        <v>1431</v>
      </c>
      <c r="J165" s="33" t="s">
        <v>2216</v>
      </c>
    </row>
    <row r="166" spans="1:10" ht="15.75" thickBot="1" x14ac:dyDescent="0.3">
      <c r="A166" s="37" t="s">
        <v>2384</v>
      </c>
      <c r="B166" s="30" t="s">
        <v>2832</v>
      </c>
      <c r="C166" s="30">
        <v>11</v>
      </c>
      <c r="D166" s="30">
        <v>57</v>
      </c>
      <c r="E166" s="30"/>
      <c r="F166" s="30" t="s">
        <v>166</v>
      </c>
      <c r="G166" s="30" t="s">
        <v>3695</v>
      </c>
      <c r="H166" s="30" t="s">
        <v>3696</v>
      </c>
      <c r="I166" s="30" t="s">
        <v>1431</v>
      </c>
      <c r="J166" s="34" t="s">
        <v>2216</v>
      </c>
    </row>
    <row r="167" spans="1:10" x14ac:dyDescent="0.25">
      <c r="A167" s="35" t="s">
        <v>2385</v>
      </c>
      <c r="B167" s="22" t="s">
        <v>3697</v>
      </c>
      <c r="C167" s="22">
        <v>12</v>
      </c>
      <c r="D167" s="22">
        <v>62</v>
      </c>
      <c r="E167" s="22"/>
      <c r="F167" s="22" t="s">
        <v>3862</v>
      </c>
      <c r="G167" s="22" t="s">
        <v>3863</v>
      </c>
      <c r="H167" s="22" t="s">
        <v>3864</v>
      </c>
      <c r="I167" s="22" t="s">
        <v>1431</v>
      </c>
      <c r="J167" s="32" t="s">
        <v>2216</v>
      </c>
    </row>
    <row r="168" spans="1:10" x14ac:dyDescent="0.25">
      <c r="A168" s="36" t="s">
        <v>2386</v>
      </c>
      <c r="B168" t="s">
        <v>3697</v>
      </c>
      <c r="C168">
        <v>12</v>
      </c>
      <c r="D168">
        <v>62</v>
      </c>
      <c r="F168" t="s">
        <v>3865</v>
      </c>
      <c r="G168" t="s">
        <v>3866</v>
      </c>
      <c r="H168" t="s">
        <v>3867</v>
      </c>
      <c r="I168" t="s">
        <v>1431</v>
      </c>
      <c r="J168" s="33" t="s">
        <v>2216</v>
      </c>
    </row>
    <row r="169" spans="1:10" x14ac:dyDescent="0.25">
      <c r="A169" s="36" t="s">
        <v>2387</v>
      </c>
      <c r="B169" t="s">
        <v>3697</v>
      </c>
      <c r="C169">
        <v>12</v>
      </c>
      <c r="D169">
        <v>62</v>
      </c>
      <c r="F169" t="s">
        <v>3868</v>
      </c>
      <c r="G169" t="s">
        <v>3869</v>
      </c>
      <c r="H169" t="s">
        <v>3870</v>
      </c>
      <c r="I169" t="s">
        <v>1431</v>
      </c>
      <c r="J169" s="33" t="s">
        <v>2216</v>
      </c>
    </row>
    <row r="170" spans="1:10" x14ac:dyDescent="0.25">
      <c r="A170" s="36" t="s">
        <v>2388</v>
      </c>
      <c r="B170" t="s">
        <v>3697</v>
      </c>
      <c r="C170">
        <v>12</v>
      </c>
      <c r="D170">
        <v>62</v>
      </c>
      <c r="F170" t="s">
        <v>198</v>
      </c>
      <c r="G170" t="s">
        <v>3871</v>
      </c>
      <c r="H170" t="s">
        <v>3872</v>
      </c>
      <c r="I170" t="s">
        <v>1431</v>
      </c>
      <c r="J170" s="33" t="s">
        <v>2216</v>
      </c>
    </row>
    <row r="171" spans="1:10" x14ac:dyDescent="0.25">
      <c r="A171" s="36" t="s">
        <v>2389</v>
      </c>
      <c r="B171" t="s">
        <v>3697</v>
      </c>
      <c r="C171">
        <v>12</v>
      </c>
      <c r="D171">
        <v>62</v>
      </c>
      <c r="F171" t="s">
        <v>3873</v>
      </c>
      <c r="G171" t="s">
        <v>3874</v>
      </c>
      <c r="H171" t="s">
        <v>3875</v>
      </c>
      <c r="I171" t="s">
        <v>1431</v>
      </c>
      <c r="J171" s="33" t="s">
        <v>2216</v>
      </c>
    </row>
    <row r="172" spans="1:10" x14ac:dyDescent="0.25">
      <c r="A172" s="36" t="s">
        <v>2390</v>
      </c>
      <c r="B172" t="s">
        <v>3697</v>
      </c>
      <c r="C172">
        <v>12</v>
      </c>
      <c r="D172">
        <v>62</v>
      </c>
      <c r="F172" t="s">
        <v>140</v>
      </c>
      <c r="G172" t="s">
        <v>3876</v>
      </c>
      <c r="H172" t="s">
        <v>3877</v>
      </c>
      <c r="I172" t="s">
        <v>1431</v>
      </c>
      <c r="J172" s="33" t="s">
        <v>2216</v>
      </c>
    </row>
    <row r="173" spans="1:10" ht="15.75" thickBot="1" x14ac:dyDescent="0.3">
      <c r="A173" s="37" t="s">
        <v>2391</v>
      </c>
      <c r="B173" s="30" t="s">
        <v>3697</v>
      </c>
      <c r="C173" s="30">
        <v>12</v>
      </c>
      <c r="D173" s="30">
        <v>62</v>
      </c>
      <c r="E173" s="30"/>
      <c r="F173" s="30" t="s">
        <v>161</v>
      </c>
      <c r="G173" s="30" t="s">
        <v>3878</v>
      </c>
      <c r="H173" s="30" t="s">
        <v>3879</v>
      </c>
      <c r="I173" s="30" t="s">
        <v>1431</v>
      </c>
      <c r="J173" s="34" t="s">
        <v>2216</v>
      </c>
    </row>
    <row r="174" spans="1:10" x14ac:dyDescent="0.25">
      <c r="A174" s="35" t="s">
        <v>2392</v>
      </c>
      <c r="B174" s="22" t="s">
        <v>3697</v>
      </c>
      <c r="C174" s="22">
        <v>12</v>
      </c>
      <c r="D174" s="22">
        <v>64</v>
      </c>
      <c r="E174" s="22"/>
      <c r="F174" s="22" t="s">
        <v>3922</v>
      </c>
      <c r="G174" s="22" t="s">
        <v>3923</v>
      </c>
      <c r="H174" s="22" t="s">
        <v>3924</v>
      </c>
      <c r="I174" s="22" t="s">
        <v>1431</v>
      </c>
      <c r="J174" s="32" t="s">
        <v>2216</v>
      </c>
    </row>
    <row r="175" spans="1:10" x14ac:dyDescent="0.25">
      <c r="A175" s="36" t="s">
        <v>2393</v>
      </c>
      <c r="B175" t="s">
        <v>3697</v>
      </c>
      <c r="C175">
        <v>12</v>
      </c>
      <c r="D175">
        <v>64</v>
      </c>
      <c r="F175" t="s">
        <v>198</v>
      </c>
      <c r="G175" t="s">
        <v>3925</v>
      </c>
      <c r="H175" t="s">
        <v>3926</v>
      </c>
      <c r="I175" t="s">
        <v>1431</v>
      </c>
      <c r="J175" s="33" t="s">
        <v>2216</v>
      </c>
    </row>
    <row r="176" spans="1:10" x14ac:dyDescent="0.25">
      <c r="A176" s="36" t="s">
        <v>2394</v>
      </c>
      <c r="B176" t="s">
        <v>3697</v>
      </c>
      <c r="C176">
        <v>12</v>
      </c>
      <c r="D176">
        <v>64</v>
      </c>
      <c r="F176" t="s">
        <v>210</v>
      </c>
      <c r="G176" t="s">
        <v>3927</v>
      </c>
      <c r="H176" t="s">
        <v>3928</v>
      </c>
      <c r="I176" t="s">
        <v>1431</v>
      </c>
      <c r="J176" s="33" t="s">
        <v>2216</v>
      </c>
    </row>
    <row r="177" spans="1:10" x14ac:dyDescent="0.25">
      <c r="A177" s="36" t="s">
        <v>2395</v>
      </c>
      <c r="B177" t="s">
        <v>3697</v>
      </c>
      <c r="C177">
        <v>12</v>
      </c>
      <c r="D177">
        <v>64</v>
      </c>
      <c r="F177" t="s">
        <v>147</v>
      </c>
      <c r="G177" t="s">
        <v>3929</v>
      </c>
      <c r="H177" t="s">
        <v>3930</v>
      </c>
      <c r="I177" t="s">
        <v>1431</v>
      </c>
      <c r="J177" s="33" t="s">
        <v>2216</v>
      </c>
    </row>
    <row r="178" spans="1:10" ht="15.75" thickBot="1" x14ac:dyDescent="0.3">
      <c r="A178" s="37" t="s">
        <v>2396</v>
      </c>
      <c r="B178" s="30" t="s">
        <v>3697</v>
      </c>
      <c r="C178" s="30">
        <v>12</v>
      </c>
      <c r="D178" s="30">
        <v>64</v>
      </c>
      <c r="E178" s="30"/>
      <c r="F178" s="30" t="s">
        <v>2823</v>
      </c>
      <c r="G178" s="30" t="s">
        <v>3931</v>
      </c>
      <c r="H178" s="30" t="s">
        <v>3932</v>
      </c>
      <c r="I178" s="30" t="s">
        <v>1431</v>
      </c>
      <c r="J178" s="34" t="s">
        <v>2216</v>
      </c>
    </row>
    <row r="179" spans="1:10" x14ac:dyDescent="0.25">
      <c r="A179" s="35" t="s">
        <v>2397</v>
      </c>
      <c r="B179" s="22" t="s">
        <v>3697</v>
      </c>
      <c r="C179" s="22">
        <v>12</v>
      </c>
      <c r="D179" s="22">
        <v>69</v>
      </c>
      <c r="E179" s="22"/>
      <c r="F179" s="22" t="s">
        <v>4007</v>
      </c>
      <c r="G179" s="22" t="s">
        <v>4008</v>
      </c>
      <c r="H179" s="22" t="s">
        <v>4009</v>
      </c>
      <c r="I179" s="22" t="s">
        <v>1431</v>
      </c>
      <c r="J179" s="32" t="s">
        <v>2216</v>
      </c>
    </row>
    <row r="180" spans="1:10" x14ac:dyDescent="0.25">
      <c r="A180" s="36" t="s">
        <v>2398</v>
      </c>
      <c r="B180" t="s">
        <v>3697</v>
      </c>
      <c r="C180">
        <v>12</v>
      </c>
      <c r="D180">
        <v>69</v>
      </c>
      <c r="F180" t="s">
        <v>147</v>
      </c>
      <c r="G180" t="s">
        <v>4010</v>
      </c>
      <c r="H180" t="s">
        <v>4011</v>
      </c>
      <c r="I180" t="s">
        <v>1431</v>
      </c>
      <c r="J180" s="33" t="s">
        <v>2216</v>
      </c>
    </row>
    <row r="181" spans="1:10" x14ac:dyDescent="0.25">
      <c r="A181" s="36" t="s">
        <v>2399</v>
      </c>
      <c r="B181" t="s">
        <v>3697</v>
      </c>
      <c r="C181">
        <v>12</v>
      </c>
      <c r="D181">
        <v>69</v>
      </c>
      <c r="F181" t="s">
        <v>186</v>
      </c>
      <c r="G181" t="s">
        <v>4012</v>
      </c>
      <c r="H181" t="s">
        <v>4013</v>
      </c>
      <c r="I181" t="s">
        <v>1431</v>
      </c>
      <c r="J181" s="33" t="s">
        <v>2216</v>
      </c>
    </row>
    <row r="182" spans="1:10" x14ac:dyDescent="0.25">
      <c r="A182" s="36" t="s">
        <v>2400</v>
      </c>
      <c r="B182" t="s">
        <v>3697</v>
      </c>
      <c r="C182">
        <v>12</v>
      </c>
      <c r="D182">
        <v>69</v>
      </c>
      <c r="F182" t="s">
        <v>204</v>
      </c>
      <c r="G182" t="s">
        <v>4014</v>
      </c>
      <c r="H182" t="s">
        <v>4015</v>
      </c>
      <c r="I182" t="s">
        <v>1431</v>
      </c>
      <c r="J182" s="33" t="s">
        <v>2216</v>
      </c>
    </row>
    <row r="183" spans="1:10" x14ac:dyDescent="0.25">
      <c r="A183" s="36" t="s">
        <v>2401</v>
      </c>
      <c r="B183" t="s">
        <v>3697</v>
      </c>
      <c r="C183">
        <v>12</v>
      </c>
      <c r="D183">
        <v>69</v>
      </c>
      <c r="F183" t="s">
        <v>3178</v>
      </c>
      <c r="G183" t="s">
        <v>4016</v>
      </c>
      <c r="H183" t="s">
        <v>4017</v>
      </c>
      <c r="I183" t="s">
        <v>1431</v>
      </c>
      <c r="J183" s="33" t="s">
        <v>2216</v>
      </c>
    </row>
    <row r="184" spans="1:10" ht="15.75" thickBot="1" x14ac:dyDescent="0.3">
      <c r="A184" s="37" t="s">
        <v>2402</v>
      </c>
      <c r="B184" s="30" t="s">
        <v>3697</v>
      </c>
      <c r="C184" s="30">
        <v>12</v>
      </c>
      <c r="D184" s="30">
        <v>69</v>
      </c>
      <c r="E184" s="30"/>
      <c r="F184" s="30" t="s">
        <v>221</v>
      </c>
      <c r="G184" s="30" t="s">
        <v>4018</v>
      </c>
      <c r="H184" s="30" t="s">
        <v>4019</v>
      </c>
      <c r="I184" s="30" t="s">
        <v>1431</v>
      </c>
      <c r="J184" s="34" t="s">
        <v>2216</v>
      </c>
    </row>
    <row r="185" spans="1:10" x14ac:dyDescent="0.25">
      <c r="A185" s="35" t="s">
        <v>2403</v>
      </c>
      <c r="B185" s="22" t="s">
        <v>3697</v>
      </c>
      <c r="C185" s="22">
        <v>12</v>
      </c>
      <c r="D185" s="22">
        <v>70</v>
      </c>
      <c r="E185" s="22"/>
      <c r="F185" s="22" t="s">
        <v>3862</v>
      </c>
      <c r="G185" s="22" t="s">
        <v>4089</v>
      </c>
      <c r="H185" s="22" t="s">
        <v>4090</v>
      </c>
      <c r="I185" s="22" t="s">
        <v>1431</v>
      </c>
      <c r="J185" s="32" t="s">
        <v>2216</v>
      </c>
    </row>
    <row r="186" spans="1:10" x14ac:dyDescent="0.25">
      <c r="A186" s="36" t="s">
        <v>2404</v>
      </c>
      <c r="B186" t="s">
        <v>3697</v>
      </c>
      <c r="C186">
        <v>12</v>
      </c>
      <c r="D186">
        <v>70</v>
      </c>
      <c r="F186" t="s">
        <v>4091</v>
      </c>
      <c r="G186" t="s">
        <v>4092</v>
      </c>
      <c r="H186" t="s">
        <v>4093</v>
      </c>
      <c r="I186" t="s">
        <v>1431</v>
      </c>
      <c r="J186" s="33" t="s">
        <v>2216</v>
      </c>
    </row>
    <row r="187" spans="1:10" x14ac:dyDescent="0.25">
      <c r="A187" s="36" t="s">
        <v>2405</v>
      </c>
      <c r="B187" t="s">
        <v>3697</v>
      </c>
      <c r="C187">
        <v>12</v>
      </c>
      <c r="D187">
        <v>70</v>
      </c>
      <c r="F187" t="s">
        <v>186</v>
      </c>
      <c r="G187" t="s">
        <v>4094</v>
      </c>
      <c r="H187" t="s">
        <v>4095</v>
      </c>
      <c r="I187" t="s">
        <v>1431</v>
      </c>
      <c r="J187" s="33" t="s">
        <v>2216</v>
      </c>
    </row>
    <row r="188" spans="1:10" x14ac:dyDescent="0.25">
      <c r="A188" s="36" t="s">
        <v>2406</v>
      </c>
      <c r="B188" t="s">
        <v>3697</v>
      </c>
      <c r="C188">
        <v>12</v>
      </c>
      <c r="D188">
        <v>70</v>
      </c>
      <c r="F188" t="s">
        <v>192</v>
      </c>
      <c r="G188" t="s">
        <v>4096</v>
      </c>
      <c r="H188" t="s">
        <v>4097</v>
      </c>
      <c r="I188" t="s">
        <v>1431</v>
      </c>
      <c r="J188" s="33" t="s">
        <v>2216</v>
      </c>
    </row>
    <row r="189" spans="1:10" x14ac:dyDescent="0.25">
      <c r="A189" s="36" t="s">
        <v>2407</v>
      </c>
      <c r="B189" t="s">
        <v>3697</v>
      </c>
      <c r="C189">
        <v>12</v>
      </c>
      <c r="D189">
        <v>70</v>
      </c>
      <c r="F189" t="s">
        <v>125</v>
      </c>
      <c r="G189" t="s">
        <v>4098</v>
      </c>
      <c r="H189" t="s">
        <v>4099</v>
      </c>
      <c r="I189" t="s">
        <v>1431</v>
      </c>
      <c r="J189" s="33" t="s">
        <v>2216</v>
      </c>
    </row>
    <row r="190" spans="1:10" x14ac:dyDescent="0.25">
      <c r="A190" s="36" t="s">
        <v>2408</v>
      </c>
      <c r="B190" t="s">
        <v>3697</v>
      </c>
      <c r="C190">
        <v>12</v>
      </c>
      <c r="D190">
        <v>70</v>
      </c>
      <c r="F190" t="s">
        <v>132</v>
      </c>
      <c r="G190" t="s">
        <v>4100</v>
      </c>
      <c r="H190" t="s">
        <v>4101</v>
      </c>
      <c r="I190" t="s">
        <v>1431</v>
      </c>
      <c r="J190" s="33" t="s">
        <v>2216</v>
      </c>
    </row>
    <row r="191" spans="1:10" ht="15.75" thickBot="1" x14ac:dyDescent="0.3">
      <c r="A191" s="37" t="s">
        <v>3698</v>
      </c>
      <c r="B191" s="30" t="s">
        <v>3697</v>
      </c>
      <c r="C191" s="30">
        <v>12</v>
      </c>
      <c r="D191" s="30">
        <v>70</v>
      </c>
      <c r="E191" s="30"/>
      <c r="F191" s="30" t="s">
        <v>140</v>
      </c>
      <c r="G191" s="30" t="s">
        <v>4102</v>
      </c>
      <c r="H191" s="30" t="s">
        <v>4103</v>
      </c>
      <c r="I191" s="30" t="s">
        <v>1431</v>
      </c>
      <c r="J191" s="34" t="s">
        <v>2216</v>
      </c>
    </row>
    <row r="192" spans="1:10" x14ac:dyDescent="0.25">
      <c r="A192" s="35" t="s">
        <v>3699</v>
      </c>
      <c r="B192" s="22" t="s">
        <v>3697</v>
      </c>
      <c r="C192" s="22">
        <v>13</v>
      </c>
      <c r="D192" s="22">
        <v>73</v>
      </c>
      <c r="E192" s="22"/>
      <c r="F192" s="22" t="s">
        <v>147</v>
      </c>
      <c r="G192" s="22" t="s">
        <v>4155</v>
      </c>
      <c r="H192" s="22" t="s">
        <v>4156</v>
      </c>
      <c r="I192" s="22" t="s">
        <v>1431</v>
      </c>
      <c r="J192" s="32" t="s">
        <v>2216</v>
      </c>
    </row>
    <row r="193" spans="1:10" x14ac:dyDescent="0.25">
      <c r="A193" s="36" t="s">
        <v>3700</v>
      </c>
      <c r="B193" t="s">
        <v>3697</v>
      </c>
      <c r="C193">
        <v>13</v>
      </c>
      <c r="D193">
        <v>73</v>
      </c>
      <c r="F193" t="s">
        <v>198</v>
      </c>
      <c r="G193" t="s">
        <v>4157</v>
      </c>
      <c r="H193" t="s">
        <v>4158</v>
      </c>
      <c r="I193" t="s">
        <v>1431</v>
      </c>
      <c r="J193" s="33" t="s">
        <v>2216</v>
      </c>
    </row>
    <row r="194" spans="1:10" x14ac:dyDescent="0.25">
      <c r="A194" s="36" t="s">
        <v>3701</v>
      </c>
      <c r="B194" t="s">
        <v>3697</v>
      </c>
      <c r="C194">
        <v>13</v>
      </c>
      <c r="D194">
        <v>73</v>
      </c>
      <c r="F194" t="s">
        <v>4159</v>
      </c>
      <c r="G194" t="s">
        <v>4160</v>
      </c>
      <c r="H194" t="s">
        <v>4161</v>
      </c>
      <c r="I194" t="s">
        <v>1431</v>
      </c>
      <c r="J194" s="33" t="s">
        <v>2216</v>
      </c>
    </row>
    <row r="195" spans="1:10" x14ac:dyDescent="0.25">
      <c r="A195" s="36" t="s">
        <v>3702</v>
      </c>
      <c r="B195" t="s">
        <v>3697</v>
      </c>
      <c r="C195">
        <v>13</v>
      </c>
      <c r="D195">
        <v>73</v>
      </c>
      <c r="F195" t="s">
        <v>140</v>
      </c>
      <c r="G195" t="s">
        <v>4162</v>
      </c>
      <c r="H195" t="s">
        <v>4163</v>
      </c>
      <c r="I195" t="s">
        <v>1431</v>
      </c>
      <c r="J195" s="33" t="s">
        <v>2216</v>
      </c>
    </row>
    <row r="196" spans="1:10" ht="15.75" thickBot="1" x14ac:dyDescent="0.3">
      <c r="A196" s="37" t="s">
        <v>3703</v>
      </c>
      <c r="B196" s="30" t="s">
        <v>3697</v>
      </c>
      <c r="C196" s="30">
        <v>13</v>
      </c>
      <c r="D196" s="30">
        <v>73</v>
      </c>
      <c r="E196" s="30"/>
      <c r="F196" s="30" t="s">
        <v>186</v>
      </c>
      <c r="G196" s="30" t="s">
        <v>4164</v>
      </c>
      <c r="H196" s="30" t="s">
        <v>4165</v>
      </c>
      <c r="I196" s="30" t="s">
        <v>1431</v>
      </c>
      <c r="J196" s="34" t="s">
        <v>2216</v>
      </c>
    </row>
    <row r="197" spans="1:10" x14ac:dyDescent="0.25">
      <c r="A197" s="35" t="s">
        <v>3704</v>
      </c>
      <c r="B197" s="22" t="s">
        <v>3697</v>
      </c>
      <c r="C197" s="22">
        <v>13</v>
      </c>
      <c r="D197" s="22">
        <v>74</v>
      </c>
      <c r="E197" s="22"/>
      <c r="F197" s="22" t="s">
        <v>1510</v>
      </c>
      <c r="G197" s="22" t="s">
        <v>4194</v>
      </c>
      <c r="H197" s="22" t="s">
        <v>4195</v>
      </c>
      <c r="I197" s="22" t="s">
        <v>1431</v>
      </c>
      <c r="J197" s="32" t="s">
        <v>2216</v>
      </c>
    </row>
    <row r="198" spans="1:10" x14ac:dyDescent="0.25">
      <c r="A198" s="36" t="s">
        <v>3705</v>
      </c>
      <c r="B198" t="s">
        <v>3697</v>
      </c>
      <c r="C198">
        <v>13</v>
      </c>
      <c r="D198">
        <v>74</v>
      </c>
      <c r="F198" t="s">
        <v>2823</v>
      </c>
      <c r="G198" t="s">
        <v>4196</v>
      </c>
      <c r="H198" t="s">
        <v>4197</v>
      </c>
      <c r="I198" t="s">
        <v>1431</v>
      </c>
      <c r="J198" s="33" t="s">
        <v>2216</v>
      </c>
    </row>
    <row r="199" spans="1:10" x14ac:dyDescent="0.25">
      <c r="A199" s="36" t="s">
        <v>3706</v>
      </c>
      <c r="B199" t="s">
        <v>3697</v>
      </c>
      <c r="C199">
        <v>13</v>
      </c>
      <c r="D199">
        <v>74</v>
      </c>
      <c r="F199" t="s">
        <v>192</v>
      </c>
      <c r="G199" t="s">
        <v>4198</v>
      </c>
      <c r="H199" t="s">
        <v>4199</v>
      </c>
      <c r="I199" t="s">
        <v>1431</v>
      </c>
      <c r="J199" s="33" t="s">
        <v>2216</v>
      </c>
    </row>
    <row r="200" spans="1:10" x14ac:dyDescent="0.25">
      <c r="A200" s="36" t="s">
        <v>3707</v>
      </c>
      <c r="B200" t="s">
        <v>3697</v>
      </c>
      <c r="C200">
        <v>13</v>
      </c>
      <c r="D200">
        <v>74</v>
      </c>
      <c r="F200" t="s">
        <v>215</v>
      </c>
      <c r="G200" t="s">
        <v>4200</v>
      </c>
      <c r="H200" t="s">
        <v>4201</v>
      </c>
      <c r="I200" t="s">
        <v>1431</v>
      </c>
      <c r="J200" s="33" t="s">
        <v>2216</v>
      </c>
    </row>
    <row r="201" spans="1:10" x14ac:dyDescent="0.25">
      <c r="A201" s="36" t="s">
        <v>3708</v>
      </c>
      <c r="B201" t="s">
        <v>3697</v>
      </c>
      <c r="C201">
        <v>13</v>
      </c>
      <c r="D201">
        <v>74</v>
      </c>
      <c r="F201" t="s">
        <v>166</v>
      </c>
      <c r="G201" t="s">
        <v>4202</v>
      </c>
      <c r="H201" t="s">
        <v>4203</v>
      </c>
      <c r="I201" t="s">
        <v>1431</v>
      </c>
      <c r="J201" s="33" t="s">
        <v>2216</v>
      </c>
    </row>
    <row r="202" spans="1:10" ht="15.75" thickBot="1" x14ac:dyDescent="0.3">
      <c r="A202" s="37" t="s">
        <v>3709</v>
      </c>
      <c r="B202" s="30" t="s">
        <v>3697</v>
      </c>
      <c r="C202" s="30">
        <v>13</v>
      </c>
      <c r="D202" s="30">
        <v>74</v>
      </c>
      <c r="E202" s="30"/>
      <c r="F202" s="30" t="s">
        <v>4204</v>
      </c>
      <c r="G202" s="30" t="s">
        <v>4205</v>
      </c>
      <c r="H202" s="30" t="s">
        <v>4206</v>
      </c>
      <c r="I202" s="30" t="s">
        <v>1431</v>
      </c>
      <c r="J202" s="34" t="s">
        <v>2216</v>
      </c>
    </row>
    <row r="203" spans="1:10" x14ac:dyDescent="0.25">
      <c r="A203" s="35" t="s">
        <v>3710</v>
      </c>
      <c r="B203" s="22" t="s">
        <v>3697</v>
      </c>
      <c r="C203" s="22">
        <v>15</v>
      </c>
      <c r="D203" s="22">
        <v>86</v>
      </c>
      <c r="E203" s="22"/>
      <c r="F203" s="22" t="s">
        <v>204</v>
      </c>
      <c r="G203" s="22" t="s">
        <v>4272</v>
      </c>
      <c r="H203" s="22" t="s">
        <v>4273</v>
      </c>
      <c r="I203" s="22" t="s">
        <v>1431</v>
      </c>
      <c r="J203" s="32" t="s">
        <v>2216</v>
      </c>
    </row>
    <row r="204" spans="1:10" x14ac:dyDescent="0.25">
      <c r="A204" s="36" t="s">
        <v>3711</v>
      </c>
      <c r="B204" t="s">
        <v>3697</v>
      </c>
      <c r="C204">
        <v>15</v>
      </c>
      <c r="D204">
        <v>86</v>
      </c>
      <c r="F204" t="s">
        <v>4274</v>
      </c>
      <c r="G204" t="s">
        <v>4275</v>
      </c>
      <c r="H204" t="s">
        <v>4276</v>
      </c>
      <c r="I204" t="s">
        <v>1431</v>
      </c>
      <c r="J204" s="33" t="s">
        <v>2216</v>
      </c>
    </row>
    <row r="205" spans="1:10" x14ac:dyDescent="0.25">
      <c r="A205" s="36" t="s">
        <v>3712</v>
      </c>
      <c r="B205" t="s">
        <v>3697</v>
      </c>
      <c r="C205">
        <v>15</v>
      </c>
      <c r="D205">
        <v>86</v>
      </c>
      <c r="F205" t="s">
        <v>4277</v>
      </c>
      <c r="G205" t="s">
        <v>4278</v>
      </c>
      <c r="H205" t="s">
        <v>4279</v>
      </c>
      <c r="I205" t="s">
        <v>1431</v>
      </c>
      <c r="J205" s="33" t="s">
        <v>2216</v>
      </c>
    </row>
    <row r="206" spans="1:10" x14ac:dyDescent="0.25">
      <c r="A206" s="36" t="s">
        <v>3713</v>
      </c>
      <c r="B206" t="s">
        <v>3697</v>
      </c>
      <c r="C206">
        <v>15</v>
      </c>
      <c r="D206">
        <v>86</v>
      </c>
      <c r="F206" t="s">
        <v>140</v>
      </c>
      <c r="G206" t="s">
        <v>4280</v>
      </c>
      <c r="H206" t="s">
        <v>4281</v>
      </c>
      <c r="I206" t="s">
        <v>1431</v>
      </c>
      <c r="J206" s="33" t="s">
        <v>2216</v>
      </c>
    </row>
    <row r="207" spans="1:10" x14ac:dyDescent="0.25">
      <c r="A207" s="36" t="s">
        <v>3714</v>
      </c>
      <c r="B207" t="s">
        <v>3697</v>
      </c>
      <c r="C207">
        <v>15</v>
      </c>
      <c r="D207">
        <v>86</v>
      </c>
      <c r="F207" t="s">
        <v>4282</v>
      </c>
      <c r="G207" t="s">
        <v>4283</v>
      </c>
      <c r="H207" t="s">
        <v>4284</v>
      </c>
      <c r="I207" t="s">
        <v>1431</v>
      </c>
      <c r="J207" s="33" t="s">
        <v>2216</v>
      </c>
    </row>
    <row r="208" spans="1:10" ht="15.75" thickBot="1" x14ac:dyDescent="0.3">
      <c r="A208" s="37" t="s">
        <v>3715</v>
      </c>
      <c r="B208" s="30" t="s">
        <v>3697</v>
      </c>
      <c r="C208" s="30">
        <v>15</v>
      </c>
      <c r="D208" s="30">
        <v>86</v>
      </c>
      <c r="E208" s="30"/>
      <c r="F208" s="30" t="s">
        <v>192</v>
      </c>
      <c r="G208" s="30" t="s">
        <v>4285</v>
      </c>
      <c r="H208" s="30" t="s">
        <v>4286</v>
      </c>
      <c r="I208" s="30" t="s">
        <v>1431</v>
      </c>
      <c r="J208" s="34" t="s">
        <v>2216</v>
      </c>
    </row>
    <row r="209" spans="1:10" x14ac:dyDescent="0.25">
      <c r="A209" s="35" t="s">
        <v>3716</v>
      </c>
      <c r="B209" s="22" t="s">
        <v>3697</v>
      </c>
      <c r="C209" s="22">
        <v>15</v>
      </c>
      <c r="D209" s="22">
        <v>88</v>
      </c>
      <c r="E209" s="22"/>
      <c r="F209" s="22" t="s">
        <v>4317</v>
      </c>
      <c r="G209" s="22" t="s">
        <v>4318</v>
      </c>
      <c r="H209" s="22" t="s">
        <v>4319</v>
      </c>
      <c r="I209" s="22" t="s">
        <v>1431</v>
      </c>
      <c r="J209" s="32" t="s">
        <v>2216</v>
      </c>
    </row>
    <row r="210" spans="1:10" x14ac:dyDescent="0.25">
      <c r="A210" s="36" t="s">
        <v>3717</v>
      </c>
      <c r="B210" t="s">
        <v>3697</v>
      </c>
      <c r="C210">
        <v>15</v>
      </c>
      <c r="D210">
        <v>88</v>
      </c>
      <c r="F210" t="s">
        <v>4320</v>
      </c>
      <c r="G210" t="s">
        <v>4321</v>
      </c>
      <c r="H210" t="s">
        <v>4322</v>
      </c>
      <c r="I210" t="s">
        <v>1431</v>
      </c>
      <c r="J210" s="33" t="s">
        <v>2216</v>
      </c>
    </row>
    <row r="211" spans="1:10" x14ac:dyDescent="0.25">
      <c r="A211" s="36" t="s">
        <v>3718</v>
      </c>
      <c r="B211" t="s">
        <v>3697</v>
      </c>
      <c r="C211">
        <v>15</v>
      </c>
      <c r="D211">
        <v>88</v>
      </c>
      <c r="F211" t="s">
        <v>198</v>
      </c>
      <c r="G211" t="s">
        <v>4323</v>
      </c>
      <c r="H211" t="s">
        <v>4324</v>
      </c>
      <c r="I211" t="s">
        <v>1431</v>
      </c>
      <c r="J211" s="33" t="s">
        <v>2216</v>
      </c>
    </row>
    <row r="212" spans="1:10" x14ac:dyDescent="0.25">
      <c r="A212" s="36" t="s">
        <v>3719</v>
      </c>
      <c r="B212" t="s">
        <v>3697</v>
      </c>
      <c r="C212">
        <v>15</v>
      </c>
      <c r="D212">
        <v>88</v>
      </c>
      <c r="F212" t="s">
        <v>192</v>
      </c>
      <c r="G212" t="s">
        <v>4325</v>
      </c>
      <c r="H212" t="s">
        <v>4326</v>
      </c>
      <c r="I212" t="s">
        <v>1431</v>
      </c>
      <c r="J212" s="33" t="s">
        <v>2216</v>
      </c>
    </row>
    <row r="213" spans="1:10" x14ac:dyDescent="0.25">
      <c r="A213" s="36" t="s">
        <v>3720</v>
      </c>
      <c r="B213" t="s">
        <v>3697</v>
      </c>
      <c r="C213">
        <v>15</v>
      </c>
      <c r="D213">
        <v>88</v>
      </c>
      <c r="F213" t="s">
        <v>4327</v>
      </c>
      <c r="G213" t="s">
        <v>4328</v>
      </c>
      <c r="H213" t="s">
        <v>4329</v>
      </c>
      <c r="I213" t="s">
        <v>1431</v>
      </c>
      <c r="J213" s="33" t="s">
        <v>2216</v>
      </c>
    </row>
    <row r="214" spans="1:10" ht="15.75" thickBot="1" x14ac:dyDescent="0.3">
      <c r="A214" s="37" t="s">
        <v>3721</v>
      </c>
      <c r="B214" s="30" t="s">
        <v>3697</v>
      </c>
      <c r="C214" s="30">
        <v>15</v>
      </c>
      <c r="D214" s="30">
        <v>88</v>
      </c>
      <c r="E214" s="30"/>
      <c r="F214" s="30" t="s">
        <v>112</v>
      </c>
      <c r="G214" s="30" t="s">
        <v>4330</v>
      </c>
      <c r="H214" s="30" t="s">
        <v>4331</v>
      </c>
      <c r="I214" s="30" t="s">
        <v>1431</v>
      </c>
      <c r="J214" s="34" t="s">
        <v>2216</v>
      </c>
    </row>
    <row r="215" spans="1:10" x14ac:dyDescent="0.25">
      <c r="A215" s="35" t="s">
        <v>3722</v>
      </c>
      <c r="B215" s="22" t="s">
        <v>3697</v>
      </c>
      <c r="C215" s="22">
        <v>15</v>
      </c>
      <c r="D215" s="22">
        <v>90</v>
      </c>
      <c r="E215" s="22"/>
      <c r="F215" s="22" t="s">
        <v>4274</v>
      </c>
      <c r="G215" s="22" t="s">
        <v>4385</v>
      </c>
      <c r="H215" s="22" t="s">
        <v>4386</v>
      </c>
      <c r="I215" s="22" t="s">
        <v>1431</v>
      </c>
      <c r="J215" s="32" t="s">
        <v>2216</v>
      </c>
    </row>
    <row r="216" spans="1:10" x14ac:dyDescent="0.25">
      <c r="A216" s="36" t="s">
        <v>3723</v>
      </c>
      <c r="B216" t="s">
        <v>3697</v>
      </c>
      <c r="C216">
        <v>15</v>
      </c>
      <c r="D216">
        <v>90</v>
      </c>
      <c r="F216" t="s">
        <v>161</v>
      </c>
      <c r="G216" t="s">
        <v>4387</v>
      </c>
      <c r="H216" t="s">
        <v>4388</v>
      </c>
      <c r="I216" t="s">
        <v>1431</v>
      </c>
      <c r="J216" s="33" t="s">
        <v>2216</v>
      </c>
    </row>
    <row r="217" spans="1:10" x14ac:dyDescent="0.25">
      <c r="A217" s="36" t="s">
        <v>3724</v>
      </c>
      <c r="B217" t="s">
        <v>3697</v>
      </c>
      <c r="C217">
        <v>15</v>
      </c>
      <c r="D217">
        <v>90</v>
      </c>
      <c r="F217" t="s">
        <v>4389</v>
      </c>
      <c r="G217" t="s">
        <v>4390</v>
      </c>
      <c r="H217" t="s">
        <v>4391</v>
      </c>
      <c r="I217" t="s">
        <v>1431</v>
      </c>
      <c r="J217" s="33" t="s">
        <v>2216</v>
      </c>
    </row>
    <row r="218" spans="1:10" x14ac:dyDescent="0.25">
      <c r="A218" s="36" t="s">
        <v>3725</v>
      </c>
      <c r="B218" t="s">
        <v>3697</v>
      </c>
      <c r="C218">
        <v>15</v>
      </c>
      <c r="D218">
        <v>90</v>
      </c>
      <c r="F218" t="s">
        <v>4392</v>
      </c>
      <c r="G218" t="s">
        <v>4393</v>
      </c>
      <c r="H218" t="s">
        <v>4394</v>
      </c>
      <c r="I218" t="s">
        <v>1431</v>
      </c>
      <c r="J218" s="33" t="s">
        <v>2216</v>
      </c>
    </row>
    <row r="219" spans="1:10" x14ac:dyDescent="0.25">
      <c r="A219" s="36" t="s">
        <v>3726</v>
      </c>
      <c r="B219" t="s">
        <v>3697</v>
      </c>
      <c r="C219">
        <v>15</v>
      </c>
      <c r="D219">
        <v>90</v>
      </c>
      <c r="F219" t="s">
        <v>4395</v>
      </c>
      <c r="G219" t="s">
        <v>4396</v>
      </c>
      <c r="H219" t="s">
        <v>4397</v>
      </c>
      <c r="I219" t="s">
        <v>1431</v>
      </c>
      <c r="J219" s="33" t="s">
        <v>2216</v>
      </c>
    </row>
    <row r="220" spans="1:10" ht="15.75" thickBot="1" x14ac:dyDescent="0.3">
      <c r="A220" s="37" t="s">
        <v>3727</v>
      </c>
      <c r="B220" s="30" t="s">
        <v>3697</v>
      </c>
      <c r="C220" s="30">
        <v>15</v>
      </c>
      <c r="D220" s="30">
        <v>90</v>
      </c>
      <c r="E220" s="30"/>
      <c r="F220" s="30" t="s">
        <v>221</v>
      </c>
      <c r="G220" s="30" t="s">
        <v>4398</v>
      </c>
      <c r="H220" s="30" t="s">
        <v>4399</v>
      </c>
      <c r="I220" s="30" t="s">
        <v>1431</v>
      </c>
      <c r="J220" s="34" t="s">
        <v>2216</v>
      </c>
    </row>
    <row r="221" spans="1:10" x14ac:dyDescent="0.25">
      <c r="A221" s="35" t="s">
        <v>3728</v>
      </c>
      <c r="B221" s="22" t="s">
        <v>3697</v>
      </c>
      <c r="C221" s="22">
        <v>15</v>
      </c>
      <c r="D221" s="22">
        <v>91</v>
      </c>
      <c r="E221" s="22"/>
      <c r="F221" s="22" t="s">
        <v>4400</v>
      </c>
      <c r="G221" s="22" t="s">
        <v>4401</v>
      </c>
      <c r="H221" s="22" t="s">
        <v>4402</v>
      </c>
      <c r="I221" s="22" t="s">
        <v>1431</v>
      </c>
      <c r="J221" s="32" t="s">
        <v>2216</v>
      </c>
    </row>
    <row r="222" spans="1:10" x14ac:dyDescent="0.25">
      <c r="A222" s="36" t="s">
        <v>3729</v>
      </c>
      <c r="B222" t="s">
        <v>3697</v>
      </c>
      <c r="C222">
        <v>15</v>
      </c>
      <c r="D222">
        <v>91</v>
      </c>
      <c r="F222" t="s">
        <v>4317</v>
      </c>
      <c r="G222" t="s">
        <v>4403</v>
      </c>
      <c r="H222" t="s">
        <v>4404</v>
      </c>
      <c r="I222" t="s">
        <v>1431</v>
      </c>
      <c r="J222" s="33" t="s">
        <v>2216</v>
      </c>
    </row>
    <row r="223" spans="1:10" x14ac:dyDescent="0.25">
      <c r="A223" s="36" t="s">
        <v>3730</v>
      </c>
      <c r="B223" t="s">
        <v>3697</v>
      </c>
      <c r="C223">
        <v>15</v>
      </c>
      <c r="D223">
        <v>91</v>
      </c>
      <c r="F223" t="s">
        <v>198</v>
      </c>
      <c r="G223" t="s">
        <v>4405</v>
      </c>
      <c r="H223" t="s">
        <v>4406</v>
      </c>
      <c r="I223" t="s">
        <v>1431</v>
      </c>
      <c r="J223" s="33" t="s">
        <v>2216</v>
      </c>
    </row>
    <row r="224" spans="1:10" x14ac:dyDescent="0.25">
      <c r="A224" s="36" t="s">
        <v>3731</v>
      </c>
      <c r="B224" t="s">
        <v>3697</v>
      </c>
      <c r="C224">
        <v>15</v>
      </c>
      <c r="D224">
        <v>91</v>
      </c>
      <c r="F224" t="s">
        <v>210</v>
      </c>
      <c r="G224" t="s">
        <v>4407</v>
      </c>
      <c r="H224" t="s">
        <v>4408</v>
      </c>
      <c r="I224" t="s">
        <v>1431</v>
      </c>
      <c r="J224" s="33" t="s">
        <v>2216</v>
      </c>
    </row>
    <row r="225" spans="1:10" x14ac:dyDescent="0.25">
      <c r="A225" s="36" t="s">
        <v>3732</v>
      </c>
      <c r="B225" t="s">
        <v>3697</v>
      </c>
      <c r="C225">
        <v>15</v>
      </c>
      <c r="D225">
        <v>91</v>
      </c>
      <c r="F225" t="s">
        <v>4409</v>
      </c>
      <c r="G225" t="s">
        <v>4410</v>
      </c>
      <c r="H225" t="s">
        <v>4411</v>
      </c>
      <c r="I225" t="s">
        <v>1431</v>
      </c>
      <c r="J225" s="33" t="s">
        <v>2216</v>
      </c>
    </row>
    <row r="226" spans="1:10" ht="15.75" thickBot="1" x14ac:dyDescent="0.3">
      <c r="A226" s="37" t="s">
        <v>3733</v>
      </c>
      <c r="B226" s="30" t="s">
        <v>3697</v>
      </c>
      <c r="C226" s="30">
        <v>15</v>
      </c>
      <c r="D226" s="30">
        <v>91</v>
      </c>
      <c r="E226" s="30"/>
      <c r="F226" s="30" t="s">
        <v>4412</v>
      </c>
      <c r="G226" s="30" t="s">
        <v>4413</v>
      </c>
      <c r="H226" s="30" t="s">
        <v>4414</v>
      </c>
      <c r="I226" s="30" t="s">
        <v>1431</v>
      </c>
      <c r="J226" s="34" t="s">
        <v>2216</v>
      </c>
    </row>
    <row r="227" spans="1:10" x14ac:dyDescent="0.25">
      <c r="A227" s="35" t="s">
        <v>3734</v>
      </c>
      <c r="B227" s="22" t="s">
        <v>3697</v>
      </c>
      <c r="C227" s="22">
        <v>15</v>
      </c>
      <c r="D227" s="22">
        <v>92</v>
      </c>
      <c r="E227" s="22"/>
      <c r="F227" s="22" t="s">
        <v>4457</v>
      </c>
      <c r="G227" s="22" t="s">
        <v>4458</v>
      </c>
      <c r="H227" s="22" t="s">
        <v>4459</v>
      </c>
      <c r="I227" s="22" t="s">
        <v>1431</v>
      </c>
      <c r="J227" s="32" t="s">
        <v>2216</v>
      </c>
    </row>
    <row r="228" spans="1:10" x14ac:dyDescent="0.25">
      <c r="A228" s="36" t="s">
        <v>3735</v>
      </c>
      <c r="B228" t="s">
        <v>3697</v>
      </c>
      <c r="C228">
        <v>15</v>
      </c>
      <c r="D228">
        <v>92</v>
      </c>
      <c r="F228" t="s">
        <v>4460</v>
      </c>
      <c r="G228" t="s">
        <v>4461</v>
      </c>
      <c r="H228" t="s">
        <v>4462</v>
      </c>
      <c r="I228" t="s">
        <v>1431</v>
      </c>
      <c r="J228" s="33" t="s">
        <v>2216</v>
      </c>
    </row>
    <row r="229" spans="1:10" x14ac:dyDescent="0.25">
      <c r="A229" s="36" t="s">
        <v>3736</v>
      </c>
      <c r="B229" t="s">
        <v>3697</v>
      </c>
      <c r="C229">
        <v>15</v>
      </c>
      <c r="D229">
        <v>92</v>
      </c>
      <c r="F229" t="s">
        <v>204</v>
      </c>
      <c r="G229" t="s">
        <v>4463</v>
      </c>
      <c r="H229" t="s">
        <v>4464</v>
      </c>
      <c r="I229" t="s">
        <v>1431</v>
      </c>
      <c r="J229" s="33" t="s">
        <v>2216</v>
      </c>
    </row>
    <row r="230" spans="1:10" x14ac:dyDescent="0.25">
      <c r="A230" s="36" t="s">
        <v>3737</v>
      </c>
      <c r="B230" t="s">
        <v>3697</v>
      </c>
      <c r="C230">
        <v>15</v>
      </c>
      <c r="D230">
        <v>92</v>
      </c>
      <c r="F230" t="s">
        <v>210</v>
      </c>
      <c r="G230" t="s">
        <v>4465</v>
      </c>
      <c r="H230" t="s">
        <v>4466</v>
      </c>
      <c r="I230" t="s">
        <v>1431</v>
      </c>
      <c r="J230" s="33" t="s">
        <v>2216</v>
      </c>
    </row>
    <row r="231" spans="1:10" x14ac:dyDescent="0.25">
      <c r="A231" s="36" t="s">
        <v>3738</v>
      </c>
      <c r="B231" t="s">
        <v>3697</v>
      </c>
      <c r="C231">
        <v>15</v>
      </c>
      <c r="D231">
        <v>92</v>
      </c>
      <c r="F231" t="s">
        <v>4467</v>
      </c>
      <c r="G231" t="s">
        <v>4468</v>
      </c>
      <c r="H231" t="s">
        <v>4469</v>
      </c>
      <c r="I231" t="s">
        <v>1431</v>
      </c>
      <c r="J231" s="33" t="s">
        <v>2216</v>
      </c>
    </row>
    <row r="232" spans="1:10" ht="15.75" thickBot="1" x14ac:dyDescent="0.3">
      <c r="A232" s="37" t="s">
        <v>3739</v>
      </c>
      <c r="B232" s="30" t="s">
        <v>3697</v>
      </c>
      <c r="C232" s="30">
        <v>15</v>
      </c>
      <c r="D232" s="30">
        <v>92</v>
      </c>
      <c r="E232" s="30"/>
      <c r="F232" s="30" t="s">
        <v>174</v>
      </c>
      <c r="G232" s="30" t="s">
        <v>4470</v>
      </c>
      <c r="H232" s="30" t="s">
        <v>4471</v>
      </c>
      <c r="I232" s="30" t="s">
        <v>1431</v>
      </c>
      <c r="J232" s="34" t="s">
        <v>2216</v>
      </c>
    </row>
    <row r="233" spans="1:10" x14ac:dyDescent="0.25">
      <c r="A233" s="35" t="s">
        <v>3740</v>
      </c>
      <c r="B233" s="22" t="s">
        <v>3697</v>
      </c>
      <c r="C233" s="22">
        <v>15</v>
      </c>
      <c r="D233" s="22">
        <v>93</v>
      </c>
      <c r="E233" s="22"/>
      <c r="F233" s="22" t="s">
        <v>4580</v>
      </c>
      <c r="G233" s="22" t="s">
        <v>4581</v>
      </c>
      <c r="H233" s="22" t="s">
        <v>4582</v>
      </c>
      <c r="I233" s="22" t="s">
        <v>1431</v>
      </c>
      <c r="J233" s="32" t="s">
        <v>2216</v>
      </c>
    </row>
    <row r="234" spans="1:10" x14ac:dyDescent="0.25">
      <c r="A234" s="36" t="s">
        <v>3741</v>
      </c>
      <c r="B234" t="s">
        <v>3697</v>
      </c>
      <c r="C234">
        <v>15</v>
      </c>
      <c r="D234">
        <v>93</v>
      </c>
      <c r="F234" t="s">
        <v>4583</v>
      </c>
      <c r="G234" t="s">
        <v>4584</v>
      </c>
      <c r="H234" t="s">
        <v>4585</v>
      </c>
      <c r="I234" t="s">
        <v>1431</v>
      </c>
      <c r="J234" s="33" t="s">
        <v>2216</v>
      </c>
    </row>
    <row r="235" spans="1:10" x14ac:dyDescent="0.25">
      <c r="A235" s="36" t="s">
        <v>3742</v>
      </c>
      <c r="B235" t="s">
        <v>3697</v>
      </c>
      <c r="C235">
        <v>15</v>
      </c>
      <c r="D235">
        <v>93</v>
      </c>
      <c r="F235" t="s">
        <v>4586</v>
      </c>
      <c r="G235" t="s">
        <v>4587</v>
      </c>
      <c r="H235" t="s">
        <v>4588</v>
      </c>
      <c r="I235" t="s">
        <v>1431</v>
      </c>
      <c r="J235" s="33" t="s">
        <v>2216</v>
      </c>
    </row>
    <row r="236" spans="1:10" x14ac:dyDescent="0.25">
      <c r="A236" s="36" t="s">
        <v>3743</v>
      </c>
      <c r="B236" t="s">
        <v>3697</v>
      </c>
      <c r="C236">
        <v>15</v>
      </c>
      <c r="D236">
        <v>93</v>
      </c>
      <c r="F236" t="s">
        <v>186</v>
      </c>
      <c r="G236" t="s">
        <v>4589</v>
      </c>
      <c r="H236" t="s">
        <v>4590</v>
      </c>
      <c r="I236" t="s">
        <v>1431</v>
      </c>
      <c r="J236" s="33" t="s">
        <v>2216</v>
      </c>
    </row>
    <row r="237" spans="1:10" x14ac:dyDescent="0.25">
      <c r="A237" s="36" t="s">
        <v>3744</v>
      </c>
      <c r="B237" t="s">
        <v>3697</v>
      </c>
      <c r="C237">
        <v>15</v>
      </c>
      <c r="D237">
        <v>93</v>
      </c>
      <c r="F237" t="s">
        <v>4591</v>
      </c>
      <c r="G237" t="s">
        <v>4592</v>
      </c>
      <c r="H237" t="s">
        <v>4593</v>
      </c>
      <c r="I237" t="s">
        <v>1431</v>
      </c>
      <c r="J237" s="33" t="s">
        <v>2216</v>
      </c>
    </row>
    <row r="238" spans="1:10" ht="15.75" thickBot="1" x14ac:dyDescent="0.3">
      <c r="A238" s="37" t="s">
        <v>3745</v>
      </c>
      <c r="B238" s="30" t="s">
        <v>3697</v>
      </c>
      <c r="C238" s="30">
        <v>15</v>
      </c>
      <c r="D238" s="30">
        <v>93</v>
      </c>
      <c r="E238" s="30"/>
      <c r="F238" s="30" t="s">
        <v>112</v>
      </c>
      <c r="G238" s="30" t="s">
        <v>4594</v>
      </c>
      <c r="H238" s="30" t="s">
        <v>4595</v>
      </c>
      <c r="I238" s="30" t="s">
        <v>1431</v>
      </c>
      <c r="J238" s="34" t="s">
        <v>2216</v>
      </c>
    </row>
    <row r="239" spans="1:10" x14ac:dyDescent="0.25">
      <c r="A239" s="35" t="s">
        <v>3746</v>
      </c>
      <c r="B239" s="22" t="s">
        <v>3697</v>
      </c>
      <c r="C239" s="22">
        <v>15</v>
      </c>
      <c r="D239" s="22">
        <v>94</v>
      </c>
      <c r="E239" s="22"/>
      <c r="F239" s="22" t="s">
        <v>4690</v>
      </c>
      <c r="G239" s="22" t="s">
        <v>4691</v>
      </c>
      <c r="H239" s="22" t="s">
        <v>4692</v>
      </c>
      <c r="I239" s="22" t="s">
        <v>1431</v>
      </c>
      <c r="J239" s="32" t="s">
        <v>2216</v>
      </c>
    </row>
    <row r="240" spans="1:10" x14ac:dyDescent="0.25">
      <c r="A240" s="36" t="s">
        <v>3747</v>
      </c>
      <c r="B240" t="s">
        <v>3697</v>
      </c>
      <c r="C240">
        <v>15</v>
      </c>
      <c r="D240">
        <v>94</v>
      </c>
      <c r="F240" t="s">
        <v>132</v>
      </c>
      <c r="G240" t="s">
        <v>4693</v>
      </c>
      <c r="H240" t="s">
        <v>4694</v>
      </c>
      <c r="I240" t="s">
        <v>1431</v>
      </c>
      <c r="J240" s="33" t="s">
        <v>2216</v>
      </c>
    </row>
    <row r="241" spans="1:10" x14ac:dyDescent="0.25">
      <c r="A241" s="36" t="s">
        <v>3748</v>
      </c>
      <c r="B241" t="s">
        <v>3697</v>
      </c>
      <c r="C241">
        <v>15</v>
      </c>
      <c r="D241">
        <v>94</v>
      </c>
      <c r="F241" t="s">
        <v>4695</v>
      </c>
      <c r="G241" t="s">
        <v>4696</v>
      </c>
      <c r="H241" t="s">
        <v>4697</v>
      </c>
      <c r="I241" t="s">
        <v>1431</v>
      </c>
      <c r="J241" s="33" t="s">
        <v>2216</v>
      </c>
    </row>
    <row r="242" spans="1:10" x14ac:dyDescent="0.25">
      <c r="A242" s="36" t="s">
        <v>3749</v>
      </c>
      <c r="B242" t="s">
        <v>3697</v>
      </c>
      <c r="C242">
        <v>15</v>
      </c>
      <c r="D242">
        <v>94</v>
      </c>
      <c r="F242" t="s">
        <v>4698</v>
      </c>
      <c r="G242" t="s">
        <v>4699</v>
      </c>
      <c r="H242" t="s">
        <v>4700</v>
      </c>
      <c r="I242" t="s">
        <v>1431</v>
      </c>
      <c r="J242" s="33" t="s">
        <v>2216</v>
      </c>
    </row>
    <row r="243" spans="1:10" x14ac:dyDescent="0.25">
      <c r="A243" s="36" t="s">
        <v>3750</v>
      </c>
      <c r="B243" t="s">
        <v>3697</v>
      </c>
      <c r="C243">
        <v>15</v>
      </c>
      <c r="D243">
        <v>94</v>
      </c>
      <c r="F243" t="s">
        <v>4701</v>
      </c>
      <c r="G243" t="s">
        <v>4702</v>
      </c>
      <c r="H243" t="s">
        <v>4703</v>
      </c>
      <c r="I243" t="s">
        <v>1431</v>
      </c>
      <c r="J243" s="33" t="s">
        <v>2216</v>
      </c>
    </row>
    <row r="244" spans="1:10" x14ac:dyDescent="0.25">
      <c r="A244" s="36" t="s">
        <v>3751</v>
      </c>
      <c r="B244" t="s">
        <v>3697</v>
      </c>
      <c r="C244">
        <v>15</v>
      </c>
      <c r="D244">
        <v>94</v>
      </c>
      <c r="F244" t="s">
        <v>4704</v>
      </c>
      <c r="G244" t="s">
        <v>4705</v>
      </c>
      <c r="H244" t="s">
        <v>4706</v>
      </c>
      <c r="I244" t="s">
        <v>1431</v>
      </c>
      <c r="J244" s="33" t="s">
        <v>2216</v>
      </c>
    </row>
    <row r="245" spans="1:10" ht="15.75" thickBot="1" x14ac:dyDescent="0.3">
      <c r="A245" s="37" t="s">
        <v>3752</v>
      </c>
      <c r="B245" s="30" t="s">
        <v>3697</v>
      </c>
      <c r="C245" s="30">
        <v>15</v>
      </c>
      <c r="D245" s="30">
        <v>94</v>
      </c>
      <c r="E245" s="30"/>
      <c r="F245" s="30" t="s">
        <v>4707</v>
      </c>
      <c r="G245" s="30" t="s">
        <v>4708</v>
      </c>
      <c r="H245" s="30" t="s">
        <v>4709</v>
      </c>
      <c r="I245" s="30" t="s">
        <v>1431</v>
      </c>
      <c r="J245" s="34" t="s">
        <v>2216</v>
      </c>
    </row>
    <row r="246" spans="1:10" x14ac:dyDescent="0.25">
      <c r="A246" s="35" t="s">
        <v>3753</v>
      </c>
      <c r="B246" s="22" t="s">
        <v>3697</v>
      </c>
      <c r="C246" s="22">
        <v>15</v>
      </c>
      <c r="D246" s="22">
        <v>96</v>
      </c>
      <c r="E246" s="22"/>
      <c r="F246" s="22" t="s">
        <v>53</v>
      </c>
      <c r="G246" s="22" t="s">
        <v>4713</v>
      </c>
      <c r="H246" s="22" t="s">
        <v>4714</v>
      </c>
      <c r="I246" s="22" t="s">
        <v>1431</v>
      </c>
      <c r="J246" s="32" t="s">
        <v>2216</v>
      </c>
    </row>
    <row r="247" spans="1:10" x14ac:dyDescent="0.25">
      <c r="A247" s="36" t="s">
        <v>3754</v>
      </c>
      <c r="B247" t="s">
        <v>3697</v>
      </c>
      <c r="C247">
        <v>15</v>
      </c>
      <c r="D247">
        <v>96</v>
      </c>
      <c r="F247" t="s">
        <v>4715</v>
      </c>
      <c r="G247" t="s">
        <v>4716</v>
      </c>
      <c r="H247" t="s">
        <v>4717</v>
      </c>
      <c r="I247" t="s">
        <v>1431</v>
      </c>
      <c r="J247" s="33" t="s">
        <v>2216</v>
      </c>
    </row>
    <row r="248" spans="1:10" x14ac:dyDescent="0.25">
      <c r="A248" s="36" t="s">
        <v>3755</v>
      </c>
      <c r="B248" t="s">
        <v>3697</v>
      </c>
      <c r="C248">
        <v>15</v>
      </c>
      <c r="D248">
        <v>96</v>
      </c>
      <c r="F248" t="s">
        <v>154</v>
      </c>
      <c r="G248" t="s">
        <v>4719</v>
      </c>
      <c r="H248" t="s">
        <v>4720</v>
      </c>
      <c r="I248" t="s">
        <v>1431</v>
      </c>
      <c r="J248" s="33" t="s">
        <v>2216</v>
      </c>
    </row>
    <row r="249" spans="1:10" x14ac:dyDescent="0.25">
      <c r="A249" s="36" t="s">
        <v>3756</v>
      </c>
      <c r="B249" t="s">
        <v>3697</v>
      </c>
      <c r="C249">
        <v>15</v>
      </c>
      <c r="D249">
        <v>96</v>
      </c>
      <c r="F249" t="s">
        <v>1513</v>
      </c>
      <c r="G249" t="s">
        <v>4721</v>
      </c>
      <c r="H249" t="s">
        <v>4722</v>
      </c>
      <c r="I249" t="s">
        <v>1431</v>
      </c>
      <c r="J249" s="33" t="s">
        <v>2216</v>
      </c>
    </row>
    <row r="250" spans="1:10" x14ac:dyDescent="0.25">
      <c r="A250" s="36" t="s">
        <v>3757</v>
      </c>
      <c r="B250" t="s">
        <v>3697</v>
      </c>
      <c r="C250">
        <v>15</v>
      </c>
      <c r="D250">
        <v>96</v>
      </c>
      <c r="F250" t="s">
        <v>140</v>
      </c>
      <c r="G250" t="s">
        <v>4723</v>
      </c>
      <c r="H250" t="s">
        <v>4724</v>
      </c>
      <c r="I250" t="s">
        <v>1431</v>
      </c>
      <c r="J250" s="33" t="s">
        <v>2216</v>
      </c>
    </row>
    <row r="251" spans="1:10" ht="15.75" thickBot="1" x14ac:dyDescent="0.3">
      <c r="A251" s="37" t="s">
        <v>3758</v>
      </c>
      <c r="B251" s="30" t="s">
        <v>3697</v>
      </c>
      <c r="C251" s="30">
        <v>15</v>
      </c>
      <c r="D251" s="30">
        <v>96</v>
      </c>
      <c r="E251" s="30"/>
      <c r="F251" s="30" t="s">
        <v>4707</v>
      </c>
      <c r="G251" s="30" t="s">
        <v>4725</v>
      </c>
      <c r="H251" s="30" t="s">
        <v>4726</v>
      </c>
      <c r="I251" s="30" t="s">
        <v>1431</v>
      </c>
      <c r="J251" s="34" t="s">
        <v>2216</v>
      </c>
    </row>
    <row r="252" spans="1:10" x14ac:dyDescent="0.25">
      <c r="A252" s="35" t="s">
        <v>3759</v>
      </c>
      <c r="B252" s="22" t="s">
        <v>3697</v>
      </c>
      <c r="C252" s="22">
        <v>15</v>
      </c>
      <c r="D252" s="22">
        <v>97</v>
      </c>
      <c r="E252" s="22"/>
      <c r="F252" s="22" t="s">
        <v>69</v>
      </c>
      <c r="G252" s="22" t="s">
        <v>4767</v>
      </c>
      <c r="H252" s="22" t="s">
        <v>4768</v>
      </c>
      <c r="I252" s="22" t="s">
        <v>1431</v>
      </c>
      <c r="J252" s="32" t="s">
        <v>2216</v>
      </c>
    </row>
    <row r="253" spans="1:10" x14ac:dyDescent="0.25">
      <c r="A253" s="36" t="s">
        <v>3760</v>
      </c>
      <c r="B253" t="s">
        <v>3697</v>
      </c>
      <c r="C253">
        <v>15</v>
      </c>
      <c r="D253">
        <v>97</v>
      </c>
      <c r="F253" t="s">
        <v>4769</v>
      </c>
      <c r="G253" t="s">
        <v>4770</v>
      </c>
      <c r="H253" t="s">
        <v>4771</v>
      </c>
      <c r="I253" t="s">
        <v>1431</v>
      </c>
      <c r="J253" s="33" t="s">
        <v>2216</v>
      </c>
    </row>
    <row r="254" spans="1:10" x14ac:dyDescent="0.25">
      <c r="A254" s="36" t="s">
        <v>3761</v>
      </c>
      <c r="B254" t="s">
        <v>3697</v>
      </c>
      <c r="C254">
        <v>15</v>
      </c>
      <c r="D254">
        <v>97</v>
      </c>
      <c r="F254" t="s">
        <v>4772</v>
      </c>
      <c r="G254" t="s">
        <v>4773</v>
      </c>
      <c r="H254" t="s">
        <v>4774</v>
      </c>
      <c r="I254" t="s">
        <v>1431</v>
      </c>
      <c r="J254" s="33" t="s">
        <v>2216</v>
      </c>
    </row>
    <row r="255" spans="1:10" x14ac:dyDescent="0.25">
      <c r="A255" s="36" t="s">
        <v>3762</v>
      </c>
      <c r="B255" t="s">
        <v>3697</v>
      </c>
      <c r="C255">
        <v>15</v>
      </c>
      <c r="D255">
        <v>97</v>
      </c>
      <c r="F255" t="s">
        <v>210</v>
      </c>
      <c r="G255" t="s">
        <v>4775</v>
      </c>
      <c r="H255" t="s">
        <v>4776</v>
      </c>
      <c r="I255" t="s">
        <v>1431</v>
      </c>
      <c r="J255" s="33" t="s">
        <v>2216</v>
      </c>
    </row>
    <row r="256" spans="1:10" ht="15.75" thickBot="1" x14ac:dyDescent="0.3">
      <c r="A256" s="37" t="s">
        <v>3763</v>
      </c>
      <c r="B256" s="30" t="s">
        <v>3697</v>
      </c>
      <c r="C256" s="30">
        <v>15</v>
      </c>
      <c r="D256" s="30">
        <v>97</v>
      </c>
      <c r="E256" s="30"/>
      <c r="F256" s="30" t="s">
        <v>4777</v>
      </c>
      <c r="G256" s="30" t="s">
        <v>4778</v>
      </c>
      <c r="H256" s="30" t="s">
        <v>4779</v>
      </c>
      <c r="I256" s="30" t="s">
        <v>1431</v>
      </c>
      <c r="J256" s="34" t="s">
        <v>2216</v>
      </c>
    </row>
    <row r="257" spans="1:10" x14ac:dyDescent="0.25">
      <c r="A257" s="35" t="s">
        <v>3764</v>
      </c>
      <c r="B257" s="22" t="s">
        <v>3697</v>
      </c>
      <c r="C257" s="22">
        <v>17</v>
      </c>
      <c r="D257" s="22">
        <v>102</v>
      </c>
      <c r="E257" s="22"/>
      <c r="F257" s="22" t="s">
        <v>4822</v>
      </c>
      <c r="G257" s="22" t="s">
        <v>4823</v>
      </c>
      <c r="H257" s="22" t="s">
        <v>4824</v>
      </c>
      <c r="I257" s="22" t="s">
        <v>1431</v>
      </c>
      <c r="J257" s="32" t="s">
        <v>2216</v>
      </c>
    </row>
    <row r="258" spans="1:10" x14ac:dyDescent="0.25">
      <c r="A258" s="36" t="s">
        <v>3765</v>
      </c>
      <c r="B258" t="s">
        <v>3697</v>
      </c>
      <c r="C258">
        <v>17</v>
      </c>
      <c r="D258">
        <v>102</v>
      </c>
      <c r="F258" t="s">
        <v>125</v>
      </c>
      <c r="G258" t="s">
        <v>4826</v>
      </c>
      <c r="H258" t="s">
        <v>4827</v>
      </c>
      <c r="I258" t="s">
        <v>1431</v>
      </c>
      <c r="J258" s="33" t="s">
        <v>2216</v>
      </c>
    </row>
    <row r="259" spans="1:10" x14ac:dyDescent="0.25">
      <c r="A259" s="36" t="s">
        <v>3766</v>
      </c>
      <c r="B259" t="s">
        <v>3697</v>
      </c>
      <c r="C259">
        <v>17</v>
      </c>
      <c r="D259">
        <v>102</v>
      </c>
      <c r="F259" t="s">
        <v>4828</v>
      </c>
      <c r="G259" t="s">
        <v>4829</v>
      </c>
      <c r="H259" t="s">
        <v>4830</v>
      </c>
      <c r="I259" t="s">
        <v>1431</v>
      </c>
      <c r="J259" s="33" t="s">
        <v>2216</v>
      </c>
    </row>
    <row r="260" spans="1:10" x14ac:dyDescent="0.25">
      <c r="A260" s="36" t="s">
        <v>3767</v>
      </c>
      <c r="B260" t="s">
        <v>3697</v>
      </c>
      <c r="C260">
        <v>17</v>
      </c>
      <c r="D260">
        <v>102</v>
      </c>
      <c r="F260" t="s">
        <v>4832</v>
      </c>
      <c r="G260" t="s">
        <v>4833</v>
      </c>
      <c r="H260" t="s">
        <v>4834</v>
      </c>
      <c r="I260" t="s">
        <v>1431</v>
      </c>
      <c r="J260" s="33" t="s">
        <v>2216</v>
      </c>
    </row>
    <row r="261" spans="1:10" x14ac:dyDescent="0.25">
      <c r="A261" s="36" t="s">
        <v>3768</v>
      </c>
      <c r="B261" t="s">
        <v>3697</v>
      </c>
      <c r="C261">
        <v>17</v>
      </c>
      <c r="D261">
        <v>102</v>
      </c>
      <c r="F261" t="s">
        <v>174</v>
      </c>
      <c r="G261" t="s">
        <v>4836</v>
      </c>
      <c r="H261" t="s">
        <v>4837</v>
      </c>
      <c r="I261" t="s">
        <v>1431</v>
      </c>
      <c r="J261" s="33" t="s">
        <v>2216</v>
      </c>
    </row>
    <row r="262" spans="1:10" ht="15.75" thickBot="1" x14ac:dyDescent="0.3">
      <c r="A262" s="37" t="s">
        <v>3769</v>
      </c>
      <c r="B262" s="30" t="s">
        <v>3697</v>
      </c>
      <c r="C262" s="30">
        <v>17</v>
      </c>
      <c r="D262" s="30">
        <v>102</v>
      </c>
      <c r="E262" s="30"/>
      <c r="F262" s="30" t="s">
        <v>198</v>
      </c>
      <c r="G262" s="30" t="s">
        <v>4838</v>
      </c>
      <c r="H262" s="30" t="s">
        <v>4839</v>
      </c>
      <c r="I262" s="30" t="s">
        <v>1431</v>
      </c>
      <c r="J262" s="34" t="s">
        <v>2216</v>
      </c>
    </row>
    <row r="263" spans="1:10" x14ac:dyDescent="0.25">
      <c r="A263" s="35" t="s">
        <v>3770</v>
      </c>
      <c r="B263" s="22" t="s">
        <v>3697</v>
      </c>
      <c r="C263" s="22">
        <v>19</v>
      </c>
      <c r="D263" s="22">
        <v>113</v>
      </c>
      <c r="E263" s="22"/>
      <c r="F263" s="22" t="s">
        <v>161</v>
      </c>
      <c r="G263" s="22" t="s">
        <v>4989</v>
      </c>
      <c r="H263" s="22" t="s">
        <v>4990</v>
      </c>
      <c r="I263" s="22" t="s">
        <v>1431</v>
      </c>
      <c r="J263" s="32" t="s">
        <v>2216</v>
      </c>
    </row>
    <row r="264" spans="1:10" x14ac:dyDescent="0.25">
      <c r="A264" s="36" t="s">
        <v>3771</v>
      </c>
      <c r="B264" t="s">
        <v>3697</v>
      </c>
      <c r="C264">
        <v>19</v>
      </c>
      <c r="D264">
        <v>113</v>
      </c>
      <c r="F264" t="s">
        <v>166</v>
      </c>
      <c r="G264" t="s">
        <v>4991</v>
      </c>
      <c r="H264" t="s">
        <v>4992</v>
      </c>
      <c r="I264" t="s">
        <v>1431</v>
      </c>
      <c r="J264" s="33" t="s">
        <v>2216</v>
      </c>
    </row>
    <row r="265" spans="1:10" x14ac:dyDescent="0.25">
      <c r="A265" s="36" t="s">
        <v>3772</v>
      </c>
      <c r="B265" t="s">
        <v>3697</v>
      </c>
      <c r="C265">
        <v>19</v>
      </c>
      <c r="D265">
        <v>113</v>
      </c>
      <c r="F265" t="s">
        <v>106</v>
      </c>
      <c r="G265" t="s">
        <v>4993</v>
      </c>
      <c r="H265" t="s">
        <v>4994</v>
      </c>
      <c r="I265" t="s">
        <v>1431</v>
      </c>
      <c r="J265" s="33" t="s">
        <v>2216</v>
      </c>
    </row>
    <row r="266" spans="1:10" x14ac:dyDescent="0.25">
      <c r="A266" s="36" t="s">
        <v>3773</v>
      </c>
      <c r="B266" t="s">
        <v>3697</v>
      </c>
      <c r="C266">
        <v>19</v>
      </c>
      <c r="D266">
        <v>113</v>
      </c>
      <c r="F266" t="s">
        <v>125</v>
      </c>
      <c r="G266" t="s">
        <v>4995</v>
      </c>
      <c r="H266" t="s">
        <v>4996</v>
      </c>
      <c r="I266" t="s">
        <v>1431</v>
      </c>
      <c r="J266" s="33" t="s">
        <v>2216</v>
      </c>
    </row>
    <row r="267" spans="1:10" x14ac:dyDescent="0.25">
      <c r="A267" s="36" t="s">
        <v>3774</v>
      </c>
      <c r="B267" t="s">
        <v>3697</v>
      </c>
      <c r="C267">
        <v>19</v>
      </c>
      <c r="D267">
        <v>113</v>
      </c>
      <c r="F267" t="s">
        <v>174</v>
      </c>
      <c r="G267" t="s">
        <v>4997</v>
      </c>
      <c r="H267" t="s">
        <v>4998</v>
      </c>
      <c r="I267" t="s">
        <v>1431</v>
      </c>
      <c r="J267" s="33" t="s">
        <v>2216</v>
      </c>
    </row>
    <row r="268" spans="1:10" ht="15.75" thickBot="1" x14ac:dyDescent="0.3">
      <c r="A268" s="37" t="s">
        <v>3775</v>
      </c>
      <c r="B268" s="30" t="s">
        <v>3697</v>
      </c>
      <c r="C268" s="30">
        <v>19</v>
      </c>
      <c r="D268" s="30">
        <v>113</v>
      </c>
      <c r="E268" s="30"/>
      <c r="F268" s="30" t="s">
        <v>215</v>
      </c>
      <c r="G268" s="30" t="s">
        <v>4999</v>
      </c>
      <c r="H268" s="30" t="s">
        <v>5000</v>
      </c>
      <c r="I268" s="30" t="s">
        <v>1431</v>
      </c>
      <c r="J268" s="34" t="s">
        <v>2216</v>
      </c>
    </row>
    <row r="269" spans="1:10" x14ac:dyDescent="0.25">
      <c r="A269" s="35" t="s">
        <v>3776</v>
      </c>
      <c r="B269" s="22" t="s">
        <v>3697</v>
      </c>
      <c r="C269" s="22">
        <v>20</v>
      </c>
      <c r="D269" s="22">
        <v>122</v>
      </c>
      <c r="E269" s="22"/>
      <c r="F269" s="22" t="s">
        <v>5026</v>
      </c>
      <c r="G269" s="22" t="s">
        <v>5027</v>
      </c>
      <c r="H269" s="22" t="s">
        <v>5028</v>
      </c>
      <c r="I269" s="22" t="s">
        <v>1431</v>
      </c>
      <c r="J269" s="32" t="s">
        <v>2216</v>
      </c>
    </row>
    <row r="270" spans="1:10" x14ac:dyDescent="0.25">
      <c r="A270" s="36" t="s">
        <v>3777</v>
      </c>
      <c r="B270" t="s">
        <v>3697</v>
      </c>
      <c r="C270">
        <v>20</v>
      </c>
      <c r="D270">
        <v>122</v>
      </c>
      <c r="F270" t="s">
        <v>5029</v>
      </c>
      <c r="G270" t="s">
        <v>5030</v>
      </c>
      <c r="H270" t="s">
        <v>5031</v>
      </c>
      <c r="I270" t="s">
        <v>1431</v>
      </c>
      <c r="J270" s="33" t="s">
        <v>2216</v>
      </c>
    </row>
    <row r="271" spans="1:10" x14ac:dyDescent="0.25">
      <c r="A271" s="36" t="s">
        <v>3778</v>
      </c>
      <c r="B271" t="s">
        <v>3697</v>
      </c>
      <c r="C271">
        <v>20</v>
      </c>
      <c r="D271">
        <v>122</v>
      </c>
      <c r="F271" t="s">
        <v>198</v>
      </c>
      <c r="G271" t="s">
        <v>5032</v>
      </c>
      <c r="H271" t="s">
        <v>5033</v>
      </c>
      <c r="I271" t="s">
        <v>1431</v>
      </c>
      <c r="J271" s="33" t="s">
        <v>2216</v>
      </c>
    </row>
    <row r="272" spans="1:10" x14ac:dyDescent="0.25">
      <c r="A272" s="36" t="s">
        <v>3779</v>
      </c>
      <c r="B272" t="s">
        <v>3697</v>
      </c>
      <c r="C272">
        <v>20</v>
      </c>
      <c r="D272">
        <v>122</v>
      </c>
      <c r="F272" t="s">
        <v>5034</v>
      </c>
      <c r="G272" t="s">
        <v>5035</v>
      </c>
      <c r="H272" t="s">
        <v>5036</v>
      </c>
      <c r="I272" t="s">
        <v>1431</v>
      </c>
      <c r="J272" s="33" t="s">
        <v>2216</v>
      </c>
    </row>
    <row r="273" spans="1:10" x14ac:dyDescent="0.25">
      <c r="A273" s="36" t="s">
        <v>3780</v>
      </c>
      <c r="B273" t="s">
        <v>3697</v>
      </c>
      <c r="C273">
        <v>20</v>
      </c>
      <c r="D273">
        <v>122</v>
      </c>
      <c r="F273" t="s">
        <v>140</v>
      </c>
      <c r="G273" t="s">
        <v>5037</v>
      </c>
      <c r="H273" t="s">
        <v>5038</v>
      </c>
      <c r="I273" t="s">
        <v>1431</v>
      </c>
      <c r="J273" s="33" t="s">
        <v>2216</v>
      </c>
    </row>
    <row r="274" spans="1:10" ht="15.75" thickBot="1" x14ac:dyDescent="0.3">
      <c r="A274" s="37" t="s">
        <v>3781</v>
      </c>
      <c r="B274" s="30" t="s">
        <v>3697</v>
      </c>
      <c r="C274" s="30">
        <v>20</v>
      </c>
      <c r="D274" s="30">
        <v>122</v>
      </c>
      <c r="E274" s="30"/>
      <c r="F274" s="30" t="s">
        <v>215</v>
      </c>
      <c r="G274" s="30" t="s">
        <v>5039</v>
      </c>
      <c r="H274" s="30" t="s">
        <v>5040</v>
      </c>
      <c r="I274" s="30" t="s">
        <v>1431</v>
      </c>
      <c r="J274" s="34" t="s">
        <v>2216</v>
      </c>
    </row>
    <row r="275" spans="1:10" x14ac:dyDescent="0.25">
      <c r="A275" s="35" t="s">
        <v>3782</v>
      </c>
      <c r="B275" s="22" t="s">
        <v>3697</v>
      </c>
      <c r="C275" s="22">
        <v>22</v>
      </c>
      <c r="D275" s="22">
        <v>132</v>
      </c>
      <c r="E275" s="22"/>
      <c r="F275" s="22" t="s">
        <v>5041</v>
      </c>
      <c r="G275" s="22" t="s">
        <v>5042</v>
      </c>
      <c r="H275" s="22" t="s">
        <v>5043</v>
      </c>
      <c r="I275" s="22" t="s">
        <v>1431</v>
      </c>
      <c r="J275" s="32" t="s">
        <v>2216</v>
      </c>
    </row>
    <row r="276" spans="1:10" x14ac:dyDescent="0.25">
      <c r="A276" s="36" t="s">
        <v>3783</v>
      </c>
      <c r="B276" t="s">
        <v>3697</v>
      </c>
      <c r="C276">
        <v>22</v>
      </c>
      <c r="D276">
        <v>132</v>
      </c>
      <c r="F276" t="s">
        <v>5044</v>
      </c>
      <c r="G276" t="s">
        <v>5045</v>
      </c>
      <c r="H276" t="s">
        <v>5046</v>
      </c>
      <c r="I276" t="s">
        <v>1431</v>
      </c>
      <c r="J276" s="33" t="s">
        <v>2216</v>
      </c>
    </row>
    <row r="277" spans="1:10" x14ac:dyDescent="0.25">
      <c r="A277" s="36" t="s">
        <v>3784</v>
      </c>
      <c r="B277" t="s">
        <v>3697</v>
      </c>
      <c r="C277">
        <v>22</v>
      </c>
      <c r="D277">
        <v>132</v>
      </c>
      <c r="F277" t="s">
        <v>5047</v>
      </c>
      <c r="G277" t="s">
        <v>5048</v>
      </c>
      <c r="H277" t="s">
        <v>5049</v>
      </c>
      <c r="I277" t="s">
        <v>1431</v>
      </c>
      <c r="J277" s="33" t="s">
        <v>2216</v>
      </c>
    </row>
    <row r="278" spans="1:10" x14ac:dyDescent="0.25">
      <c r="A278" s="36" t="s">
        <v>3785</v>
      </c>
      <c r="B278" t="s">
        <v>3697</v>
      </c>
      <c r="C278">
        <v>22</v>
      </c>
      <c r="D278">
        <v>132</v>
      </c>
      <c r="F278" t="s">
        <v>1513</v>
      </c>
      <c r="G278" t="s">
        <v>5050</v>
      </c>
      <c r="H278" t="s">
        <v>5051</v>
      </c>
      <c r="I278" t="s">
        <v>1431</v>
      </c>
      <c r="J278" s="33" t="s">
        <v>2216</v>
      </c>
    </row>
    <row r="279" spans="1:10" x14ac:dyDescent="0.25">
      <c r="A279" s="36" t="s">
        <v>3786</v>
      </c>
      <c r="B279" t="s">
        <v>3697</v>
      </c>
      <c r="C279">
        <v>22</v>
      </c>
      <c r="D279">
        <v>132</v>
      </c>
      <c r="F279" t="s">
        <v>106</v>
      </c>
      <c r="G279" t="s">
        <v>5052</v>
      </c>
      <c r="H279" t="s">
        <v>5053</v>
      </c>
      <c r="I279" t="s">
        <v>1431</v>
      </c>
      <c r="J279" s="33" t="s">
        <v>2216</v>
      </c>
    </row>
    <row r="280" spans="1:10" ht="15.75" thickBot="1" x14ac:dyDescent="0.3">
      <c r="A280" s="37" t="s">
        <v>3787</v>
      </c>
      <c r="B280" s="30" t="s">
        <v>3697</v>
      </c>
      <c r="C280" s="30">
        <v>22</v>
      </c>
      <c r="D280" s="30">
        <v>132</v>
      </c>
      <c r="E280" s="30"/>
      <c r="F280" s="30" t="s">
        <v>4698</v>
      </c>
      <c r="G280" s="30" t="s">
        <v>5054</v>
      </c>
      <c r="H280" s="30" t="s">
        <v>5055</v>
      </c>
      <c r="I280" s="30" t="s">
        <v>1431</v>
      </c>
      <c r="J280" s="34" t="s">
        <v>2216</v>
      </c>
    </row>
    <row r="281" spans="1:10" x14ac:dyDescent="0.25">
      <c r="A281" s="35" t="s">
        <v>3788</v>
      </c>
      <c r="B281" s="22" t="s">
        <v>5088</v>
      </c>
      <c r="C281" s="22">
        <v>23</v>
      </c>
      <c r="D281" s="22">
        <v>142</v>
      </c>
      <c r="E281" s="22"/>
      <c r="F281" s="22" t="s">
        <v>4580</v>
      </c>
      <c r="G281" s="22" t="s">
        <v>5236</v>
      </c>
      <c r="H281" s="22" t="s">
        <v>5237</v>
      </c>
      <c r="I281" s="22" t="s">
        <v>1431</v>
      </c>
      <c r="J281" s="32" t="s">
        <v>2216</v>
      </c>
    </row>
    <row r="282" spans="1:10" x14ac:dyDescent="0.25">
      <c r="A282" s="36" t="s">
        <v>3789</v>
      </c>
      <c r="B282" t="s">
        <v>608</v>
      </c>
      <c r="C282">
        <v>23</v>
      </c>
      <c r="D282">
        <v>142</v>
      </c>
      <c r="F282" t="s">
        <v>5238</v>
      </c>
      <c r="G282" t="s">
        <v>5239</v>
      </c>
      <c r="H282" t="s">
        <v>5240</v>
      </c>
      <c r="I282" t="s">
        <v>1431</v>
      </c>
      <c r="J282" s="33" t="s">
        <v>2216</v>
      </c>
    </row>
    <row r="283" spans="1:10" x14ac:dyDescent="0.25">
      <c r="A283" s="36" t="s">
        <v>3790</v>
      </c>
      <c r="B283" t="s">
        <v>608</v>
      </c>
      <c r="C283">
        <v>23</v>
      </c>
      <c r="D283">
        <v>142</v>
      </c>
      <c r="F283" t="s">
        <v>204</v>
      </c>
      <c r="G283" t="s">
        <v>5241</v>
      </c>
      <c r="H283" t="s">
        <v>5242</v>
      </c>
      <c r="I283" t="s">
        <v>1431</v>
      </c>
      <c r="J283" s="33" t="s">
        <v>2216</v>
      </c>
    </row>
    <row r="284" spans="1:10" ht="15.75" thickBot="1" x14ac:dyDescent="0.3">
      <c r="A284" s="37" t="s">
        <v>3791</v>
      </c>
      <c r="B284" s="30" t="s">
        <v>608</v>
      </c>
      <c r="C284" s="30">
        <v>23</v>
      </c>
      <c r="D284" s="30">
        <v>142</v>
      </c>
      <c r="E284" s="30"/>
      <c r="F284" s="30" t="s">
        <v>5243</v>
      </c>
      <c r="G284" s="30" t="s">
        <v>5244</v>
      </c>
      <c r="H284" s="30" t="s">
        <v>5245</v>
      </c>
      <c r="I284" s="30" t="s">
        <v>1431</v>
      </c>
      <c r="J284" s="34" t="s">
        <v>2216</v>
      </c>
    </row>
    <row r="285" spans="1:10" x14ac:dyDescent="0.25">
      <c r="A285" s="35" t="s">
        <v>3792</v>
      </c>
      <c r="B285" s="22" t="s">
        <v>608</v>
      </c>
      <c r="C285" s="22">
        <v>24</v>
      </c>
      <c r="D285" s="22">
        <v>148</v>
      </c>
      <c r="E285" s="22"/>
      <c r="F285" s="22" t="s">
        <v>4777</v>
      </c>
      <c r="G285" s="22" t="s">
        <v>5303</v>
      </c>
      <c r="H285" s="22" t="s">
        <v>5304</v>
      </c>
      <c r="I285" s="22" t="s">
        <v>1431</v>
      </c>
      <c r="J285" s="32" t="s">
        <v>2216</v>
      </c>
    </row>
    <row r="286" spans="1:10" x14ac:dyDescent="0.25">
      <c r="A286" s="36" t="s">
        <v>3793</v>
      </c>
      <c r="B286" t="s">
        <v>608</v>
      </c>
      <c r="C286">
        <v>24</v>
      </c>
      <c r="D286">
        <v>148</v>
      </c>
      <c r="F286" t="s">
        <v>192</v>
      </c>
      <c r="G286" t="s">
        <v>5305</v>
      </c>
      <c r="H286" t="s">
        <v>5306</v>
      </c>
      <c r="I286" t="s">
        <v>1431</v>
      </c>
      <c r="J286" s="33" t="s">
        <v>2216</v>
      </c>
    </row>
    <row r="287" spans="1:10" x14ac:dyDescent="0.25">
      <c r="A287" s="36" t="s">
        <v>3794</v>
      </c>
      <c r="B287" t="s">
        <v>608</v>
      </c>
      <c r="C287">
        <v>24</v>
      </c>
      <c r="D287">
        <v>148</v>
      </c>
      <c r="F287" t="s">
        <v>5238</v>
      </c>
      <c r="G287" t="s">
        <v>5307</v>
      </c>
      <c r="H287" t="s">
        <v>5308</v>
      </c>
      <c r="I287" t="s">
        <v>1431</v>
      </c>
      <c r="J287" s="33" t="s">
        <v>2216</v>
      </c>
    </row>
    <row r="288" spans="1:10" x14ac:dyDescent="0.25">
      <c r="A288" s="36" t="s">
        <v>3795</v>
      </c>
      <c r="B288" t="s">
        <v>608</v>
      </c>
      <c r="C288">
        <v>24</v>
      </c>
      <c r="D288">
        <v>148</v>
      </c>
      <c r="F288" t="s">
        <v>5309</v>
      </c>
      <c r="G288" t="s">
        <v>5310</v>
      </c>
      <c r="H288" t="s">
        <v>5311</v>
      </c>
      <c r="I288" t="s">
        <v>1431</v>
      </c>
      <c r="J288" s="33" t="s">
        <v>2216</v>
      </c>
    </row>
    <row r="289" spans="1:10" ht="15.75" thickBot="1" x14ac:dyDescent="0.3">
      <c r="A289" s="37" t="s">
        <v>3796</v>
      </c>
      <c r="B289" s="30" t="s">
        <v>608</v>
      </c>
      <c r="C289" s="30">
        <v>24</v>
      </c>
      <c r="D289" s="30">
        <v>148</v>
      </c>
      <c r="E289" s="30"/>
      <c r="F289" s="30" t="s">
        <v>98</v>
      </c>
      <c r="G289" s="30" t="s">
        <v>5312</v>
      </c>
      <c r="H289" s="30" t="s">
        <v>5313</v>
      </c>
      <c r="I289" s="30" t="s">
        <v>1431</v>
      </c>
      <c r="J289" s="34" t="s">
        <v>2216</v>
      </c>
    </row>
    <row r="290" spans="1:10" x14ac:dyDescent="0.25">
      <c r="A290" s="35" t="s">
        <v>3797</v>
      </c>
      <c r="B290" s="22" t="s">
        <v>608</v>
      </c>
      <c r="C290" s="22">
        <v>24</v>
      </c>
      <c r="D290" s="22">
        <v>149</v>
      </c>
      <c r="E290" s="22"/>
      <c r="F290" s="22" t="s">
        <v>5351</v>
      </c>
      <c r="G290" s="22" t="s">
        <v>5352</v>
      </c>
      <c r="H290" s="22" t="s">
        <v>5353</v>
      </c>
      <c r="I290" s="22" t="s">
        <v>1431</v>
      </c>
      <c r="J290" s="32" t="s">
        <v>2216</v>
      </c>
    </row>
    <row r="291" spans="1:10" x14ac:dyDescent="0.25">
      <c r="A291" s="36" t="s">
        <v>3798</v>
      </c>
      <c r="B291" t="s">
        <v>608</v>
      </c>
      <c r="C291">
        <v>24</v>
      </c>
      <c r="D291">
        <v>149</v>
      </c>
      <c r="F291" t="s">
        <v>5354</v>
      </c>
      <c r="G291" t="s">
        <v>5355</v>
      </c>
      <c r="H291" t="s">
        <v>5356</v>
      </c>
      <c r="I291" t="s">
        <v>1431</v>
      </c>
      <c r="J291" s="33" t="s">
        <v>2216</v>
      </c>
    </row>
    <row r="292" spans="1:10" x14ac:dyDescent="0.25">
      <c r="A292" s="36" t="s">
        <v>3799</v>
      </c>
      <c r="B292" t="s">
        <v>608</v>
      </c>
      <c r="C292">
        <v>24</v>
      </c>
      <c r="D292">
        <v>149</v>
      </c>
      <c r="F292" t="s">
        <v>1510</v>
      </c>
      <c r="G292" t="s">
        <v>5357</v>
      </c>
      <c r="H292" t="s">
        <v>5358</v>
      </c>
      <c r="I292" t="s">
        <v>1431</v>
      </c>
      <c r="J292" s="33" t="s">
        <v>2216</v>
      </c>
    </row>
    <row r="293" spans="1:10" ht="15.75" thickBot="1" x14ac:dyDescent="0.3">
      <c r="A293" s="37" t="s">
        <v>3800</v>
      </c>
      <c r="B293" s="30" t="s">
        <v>608</v>
      </c>
      <c r="C293" s="30">
        <v>24</v>
      </c>
      <c r="D293" s="30">
        <v>149</v>
      </c>
      <c r="E293" s="30"/>
      <c r="F293" s="30" t="s">
        <v>5359</v>
      </c>
      <c r="G293" s="30" t="s">
        <v>5360</v>
      </c>
      <c r="H293" s="30" t="s">
        <v>5361</v>
      </c>
      <c r="I293" s="30" t="s">
        <v>1431</v>
      </c>
      <c r="J293" s="34" t="s">
        <v>2216</v>
      </c>
    </row>
    <row r="294" spans="1:10" x14ac:dyDescent="0.25">
      <c r="A294" s="35" t="s">
        <v>3801</v>
      </c>
      <c r="B294" s="22" t="s">
        <v>608</v>
      </c>
      <c r="C294" s="22">
        <v>25</v>
      </c>
      <c r="D294" s="22">
        <v>153</v>
      </c>
      <c r="E294" s="22"/>
      <c r="F294" s="22" t="s">
        <v>83</v>
      </c>
      <c r="G294" s="22" t="s">
        <v>5422</v>
      </c>
      <c r="H294" s="22" t="s">
        <v>5423</v>
      </c>
      <c r="I294" s="22" t="s">
        <v>1431</v>
      </c>
      <c r="J294" s="32" t="s">
        <v>2216</v>
      </c>
    </row>
    <row r="295" spans="1:10" x14ac:dyDescent="0.25">
      <c r="A295" s="36" t="s">
        <v>3802</v>
      </c>
      <c r="B295" t="s">
        <v>608</v>
      </c>
      <c r="C295">
        <v>25</v>
      </c>
      <c r="D295">
        <v>153</v>
      </c>
      <c r="F295" t="s">
        <v>106</v>
      </c>
      <c r="G295" t="s">
        <v>5424</v>
      </c>
      <c r="H295" t="s">
        <v>5425</v>
      </c>
      <c r="I295" t="s">
        <v>1431</v>
      </c>
      <c r="J295" s="33" t="s">
        <v>2216</v>
      </c>
    </row>
    <row r="296" spans="1:10" x14ac:dyDescent="0.25">
      <c r="A296" s="36" t="s">
        <v>3803</v>
      </c>
      <c r="B296" t="s">
        <v>608</v>
      </c>
      <c r="C296">
        <v>25</v>
      </c>
      <c r="D296">
        <v>153</v>
      </c>
      <c r="F296" t="s">
        <v>53</v>
      </c>
      <c r="G296" t="s">
        <v>5426</v>
      </c>
      <c r="H296" t="s">
        <v>5427</v>
      </c>
      <c r="I296" t="s">
        <v>1431</v>
      </c>
      <c r="J296" s="33" t="s">
        <v>2216</v>
      </c>
    </row>
    <row r="297" spans="1:10" x14ac:dyDescent="0.25">
      <c r="A297" s="36" t="s">
        <v>3804</v>
      </c>
      <c r="B297" t="s">
        <v>608</v>
      </c>
      <c r="C297">
        <v>25</v>
      </c>
      <c r="D297">
        <v>153</v>
      </c>
      <c r="F297" t="s">
        <v>204</v>
      </c>
      <c r="G297" t="s">
        <v>5428</v>
      </c>
      <c r="H297" t="s">
        <v>5429</v>
      </c>
      <c r="I297" t="s">
        <v>1431</v>
      </c>
      <c r="J297" s="33" t="s">
        <v>2216</v>
      </c>
    </row>
    <row r="298" spans="1:10" x14ac:dyDescent="0.25">
      <c r="A298" s="36" t="s">
        <v>3805</v>
      </c>
      <c r="B298" t="s">
        <v>608</v>
      </c>
      <c r="C298">
        <v>25</v>
      </c>
      <c r="D298">
        <v>153</v>
      </c>
      <c r="F298" t="s">
        <v>210</v>
      </c>
      <c r="G298" t="s">
        <v>5430</v>
      </c>
      <c r="H298" t="s">
        <v>5431</v>
      </c>
      <c r="I298" t="s">
        <v>1431</v>
      </c>
      <c r="J298" s="33" t="s">
        <v>2216</v>
      </c>
    </row>
    <row r="299" spans="1:10" ht="15.75" thickBot="1" x14ac:dyDescent="0.3">
      <c r="A299" s="37" t="s">
        <v>5089</v>
      </c>
      <c r="B299" s="30" t="s">
        <v>608</v>
      </c>
      <c r="C299" s="30">
        <v>25</v>
      </c>
      <c r="D299" s="30">
        <v>153</v>
      </c>
      <c r="E299" s="30"/>
      <c r="F299" s="30" t="s">
        <v>5432</v>
      </c>
      <c r="G299" s="30" t="s">
        <v>5433</v>
      </c>
      <c r="H299" s="30" t="s">
        <v>5434</v>
      </c>
      <c r="I299" s="30" t="s">
        <v>1431</v>
      </c>
      <c r="J299" s="34" t="s">
        <v>2216</v>
      </c>
    </row>
    <row r="300" spans="1:10" x14ac:dyDescent="0.25">
      <c r="A300" s="35" t="s">
        <v>5090</v>
      </c>
      <c r="B300" s="22" t="s">
        <v>608</v>
      </c>
      <c r="C300" s="22">
        <v>25</v>
      </c>
      <c r="D300" s="22">
        <v>154</v>
      </c>
      <c r="E300" s="22"/>
      <c r="F300" s="22" t="s">
        <v>5525</v>
      </c>
      <c r="G300" s="22" t="s">
        <v>5526</v>
      </c>
      <c r="H300" s="22" t="s">
        <v>5527</v>
      </c>
      <c r="I300" s="22" t="s">
        <v>1431</v>
      </c>
      <c r="J300" s="32" t="s">
        <v>2216</v>
      </c>
    </row>
    <row r="301" spans="1:10" x14ac:dyDescent="0.25">
      <c r="A301" s="36" t="s">
        <v>5091</v>
      </c>
      <c r="B301" t="s">
        <v>608</v>
      </c>
      <c r="C301">
        <v>25</v>
      </c>
      <c r="D301">
        <v>154</v>
      </c>
      <c r="F301" t="s">
        <v>125</v>
      </c>
      <c r="G301" t="s">
        <v>5528</v>
      </c>
      <c r="H301" t="s">
        <v>5529</v>
      </c>
      <c r="I301" t="s">
        <v>1431</v>
      </c>
      <c r="J301" s="33" t="s">
        <v>2216</v>
      </c>
    </row>
    <row r="302" spans="1:10" x14ac:dyDescent="0.25">
      <c r="A302" s="36" t="s">
        <v>5092</v>
      </c>
      <c r="B302" t="s">
        <v>608</v>
      </c>
      <c r="C302">
        <v>25</v>
      </c>
      <c r="D302">
        <v>154</v>
      </c>
      <c r="F302" t="s">
        <v>5530</v>
      </c>
      <c r="G302" t="s">
        <v>5531</v>
      </c>
      <c r="H302" t="s">
        <v>5532</v>
      </c>
      <c r="I302" t="s">
        <v>1431</v>
      </c>
      <c r="J302" s="33" t="s">
        <v>2216</v>
      </c>
    </row>
    <row r="303" spans="1:10" x14ac:dyDescent="0.25">
      <c r="A303" s="36" t="s">
        <v>5093</v>
      </c>
      <c r="B303" t="s">
        <v>608</v>
      </c>
      <c r="C303">
        <v>25</v>
      </c>
      <c r="D303">
        <v>154</v>
      </c>
      <c r="F303" t="s">
        <v>4701</v>
      </c>
      <c r="G303" t="s">
        <v>5533</v>
      </c>
      <c r="H303" t="s">
        <v>5534</v>
      </c>
      <c r="I303" t="s">
        <v>1431</v>
      </c>
      <c r="J303" s="33" t="s">
        <v>2216</v>
      </c>
    </row>
    <row r="304" spans="1:10" ht="15.75" thickBot="1" x14ac:dyDescent="0.3">
      <c r="A304" s="37" t="s">
        <v>5094</v>
      </c>
      <c r="B304" s="30" t="s">
        <v>608</v>
      </c>
      <c r="C304" s="30">
        <v>25</v>
      </c>
      <c r="D304" s="30">
        <v>154</v>
      </c>
      <c r="E304" s="30"/>
      <c r="F304" s="30" t="s">
        <v>5535</v>
      </c>
      <c r="G304" s="30" t="s">
        <v>5536</v>
      </c>
      <c r="H304" s="30" t="s">
        <v>5537</v>
      </c>
      <c r="I304" s="30" t="s">
        <v>1431</v>
      </c>
      <c r="J304" s="34" t="s">
        <v>2216</v>
      </c>
    </row>
    <row r="305" spans="1:10" x14ac:dyDescent="0.25">
      <c r="A305" s="35" t="s">
        <v>5095</v>
      </c>
      <c r="B305" s="22" t="s">
        <v>608</v>
      </c>
      <c r="C305" s="22">
        <v>27</v>
      </c>
      <c r="D305" s="22">
        <v>162</v>
      </c>
      <c r="E305" s="22"/>
      <c r="F305" s="22" t="s">
        <v>1513</v>
      </c>
      <c r="G305" s="22" t="s">
        <v>5538</v>
      </c>
      <c r="H305" s="22" t="s">
        <v>5539</v>
      </c>
      <c r="I305" s="22" t="s">
        <v>1431</v>
      </c>
      <c r="J305" s="32" t="s">
        <v>2216</v>
      </c>
    </row>
    <row r="306" spans="1:10" x14ac:dyDescent="0.25">
      <c r="A306" s="36" t="s">
        <v>5096</v>
      </c>
      <c r="B306" t="s">
        <v>608</v>
      </c>
      <c r="C306">
        <v>27</v>
      </c>
      <c r="D306">
        <v>162</v>
      </c>
      <c r="F306" t="s">
        <v>5540</v>
      </c>
      <c r="G306" t="s">
        <v>5541</v>
      </c>
      <c r="H306" t="s">
        <v>5542</v>
      </c>
      <c r="I306" t="s">
        <v>1431</v>
      </c>
      <c r="J306" s="33" t="s">
        <v>2216</v>
      </c>
    </row>
    <row r="307" spans="1:10" x14ac:dyDescent="0.25">
      <c r="A307" s="36" t="s">
        <v>5097</v>
      </c>
      <c r="B307" t="s">
        <v>608</v>
      </c>
      <c r="C307">
        <v>27</v>
      </c>
      <c r="D307">
        <v>162</v>
      </c>
      <c r="F307" t="s">
        <v>5543</v>
      </c>
      <c r="G307" t="s">
        <v>5544</v>
      </c>
      <c r="H307" t="s">
        <v>5545</v>
      </c>
      <c r="I307" t="s">
        <v>1431</v>
      </c>
      <c r="J307" s="33" t="s">
        <v>2216</v>
      </c>
    </row>
    <row r="308" spans="1:10" x14ac:dyDescent="0.25">
      <c r="A308" s="36" t="s">
        <v>5098</v>
      </c>
      <c r="B308" t="s">
        <v>608</v>
      </c>
      <c r="C308">
        <v>27</v>
      </c>
      <c r="D308">
        <v>162</v>
      </c>
      <c r="F308" t="s">
        <v>5546</v>
      </c>
      <c r="G308" t="s">
        <v>5547</v>
      </c>
      <c r="H308" t="s">
        <v>5548</v>
      </c>
      <c r="I308" t="s">
        <v>1431</v>
      </c>
      <c r="J308" s="33" t="s">
        <v>2216</v>
      </c>
    </row>
    <row r="309" spans="1:10" ht="15.75" thickBot="1" x14ac:dyDescent="0.3">
      <c r="A309" s="37" t="s">
        <v>5099</v>
      </c>
      <c r="B309" s="30" t="s">
        <v>608</v>
      </c>
      <c r="C309" s="30">
        <v>27</v>
      </c>
      <c r="D309" s="30">
        <v>162</v>
      </c>
      <c r="E309" s="30"/>
      <c r="F309" s="30" t="s">
        <v>154</v>
      </c>
      <c r="G309" s="30" t="s">
        <v>5549</v>
      </c>
      <c r="H309" s="30" t="s">
        <v>5550</v>
      </c>
      <c r="I309" s="30" t="s">
        <v>1431</v>
      </c>
      <c r="J309" s="34" t="s">
        <v>2216</v>
      </c>
    </row>
    <row r="310" spans="1:10" x14ac:dyDescent="0.25">
      <c r="A310" s="35" t="s">
        <v>5100</v>
      </c>
      <c r="B310" s="22" t="s">
        <v>608</v>
      </c>
      <c r="C310" s="22">
        <v>27</v>
      </c>
      <c r="D310" s="22">
        <v>163</v>
      </c>
      <c r="E310" s="22"/>
      <c r="F310" s="22" t="s">
        <v>5588</v>
      </c>
      <c r="G310" s="22" t="s">
        <v>5589</v>
      </c>
      <c r="H310" s="22" t="s">
        <v>5590</v>
      </c>
      <c r="I310" s="22" t="s">
        <v>1431</v>
      </c>
      <c r="J310" s="32" t="s">
        <v>2216</v>
      </c>
    </row>
    <row r="311" spans="1:10" x14ac:dyDescent="0.25">
      <c r="A311" s="36" t="s">
        <v>5101</v>
      </c>
      <c r="B311" t="s">
        <v>608</v>
      </c>
      <c r="C311">
        <v>27</v>
      </c>
      <c r="D311">
        <v>163</v>
      </c>
      <c r="F311" t="s">
        <v>1513</v>
      </c>
      <c r="G311" t="s">
        <v>5591</v>
      </c>
      <c r="H311" t="s">
        <v>5592</v>
      </c>
      <c r="I311" t="s">
        <v>1431</v>
      </c>
      <c r="J311" s="33" t="s">
        <v>2216</v>
      </c>
    </row>
    <row r="312" spans="1:10" x14ac:dyDescent="0.25">
      <c r="A312" s="36" t="s">
        <v>5102</v>
      </c>
      <c r="B312" t="s">
        <v>608</v>
      </c>
      <c r="C312">
        <v>27</v>
      </c>
      <c r="D312">
        <v>163</v>
      </c>
      <c r="F312" t="s">
        <v>221</v>
      </c>
      <c r="G312" t="s">
        <v>5593</v>
      </c>
      <c r="H312" t="s">
        <v>5594</v>
      </c>
      <c r="I312" t="s">
        <v>1431</v>
      </c>
      <c r="J312" s="33" t="s">
        <v>2216</v>
      </c>
    </row>
    <row r="313" spans="1:10" x14ac:dyDescent="0.25">
      <c r="A313" s="36" t="s">
        <v>5103</v>
      </c>
      <c r="B313" t="s">
        <v>608</v>
      </c>
      <c r="C313">
        <v>27</v>
      </c>
      <c r="D313">
        <v>163</v>
      </c>
      <c r="F313" t="s">
        <v>5595</v>
      </c>
      <c r="G313" t="s">
        <v>5596</v>
      </c>
      <c r="H313" t="s">
        <v>5597</v>
      </c>
      <c r="I313" t="s">
        <v>1431</v>
      </c>
      <c r="J313" s="33" t="s">
        <v>2216</v>
      </c>
    </row>
    <row r="314" spans="1:10" x14ac:dyDescent="0.25">
      <c r="A314" s="36" t="s">
        <v>5104</v>
      </c>
      <c r="B314" t="s">
        <v>608</v>
      </c>
      <c r="C314">
        <v>27</v>
      </c>
      <c r="D314">
        <v>163</v>
      </c>
      <c r="F314" t="s">
        <v>4580</v>
      </c>
      <c r="G314" t="s">
        <v>5598</v>
      </c>
      <c r="H314" t="s">
        <v>5599</v>
      </c>
      <c r="I314" t="s">
        <v>1431</v>
      </c>
      <c r="J314" s="33" t="s">
        <v>2216</v>
      </c>
    </row>
    <row r="315" spans="1:10" ht="15.75" thickBot="1" x14ac:dyDescent="0.3">
      <c r="A315" s="37" t="s">
        <v>5105</v>
      </c>
      <c r="B315" s="30" t="s">
        <v>608</v>
      </c>
      <c r="C315" s="30">
        <v>27</v>
      </c>
      <c r="D315" s="30">
        <v>163</v>
      </c>
      <c r="E315" s="30"/>
      <c r="F315" s="30" t="s">
        <v>5600</v>
      </c>
      <c r="G315" s="30" t="s">
        <v>5601</v>
      </c>
      <c r="H315" s="30" t="s">
        <v>5602</v>
      </c>
      <c r="I315" s="30" t="s">
        <v>1431</v>
      </c>
      <c r="J315" s="34" t="s">
        <v>2216</v>
      </c>
    </row>
    <row r="316" spans="1:10" x14ac:dyDescent="0.25">
      <c r="A316" s="35" t="s">
        <v>5106</v>
      </c>
      <c r="B316" s="22" t="s">
        <v>608</v>
      </c>
      <c r="C316" s="22">
        <v>31</v>
      </c>
      <c r="D316" s="22">
        <v>184</v>
      </c>
      <c r="E316" s="22"/>
      <c r="F316" s="22" t="s">
        <v>154</v>
      </c>
      <c r="G316" s="22" t="s">
        <v>5655</v>
      </c>
      <c r="H316" s="22" t="s">
        <v>5656</v>
      </c>
      <c r="I316" s="22" t="s">
        <v>1431</v>
      </c>
      <c r="J316" s="32" t="s">
        <v>2216</v>
      </c>
    </row>
    <row r="317" spans="1:10" x14ac:dyDescent="0.25">
      <c r="A317" s="36" t="s">
        <v>5107</v>
      </c>
      <c r="B317" t="s">
        <v>608</v>
      </c>
      <c r="C317">
        <v>31</v>
      </c>
      <c r="D317">
        <v>184</v>
      </c>
      <c r="F317" t="s">
        <v>5238</v>
      </c>
      <c r="G317" t="s">
        <v>5657</v>
      </c>
      <c r="H317" t="s">
        <v>5658</v>
      </c>
      <c r="I317" t="s">
        <v>1431</v>
      </c>
      <c r="J317" s="33" t="s">
        <v>2216</v>
      </c>
    </row>
    <row r="318" spans="1:10" x14ac:dyDescent="0.25">
      <c r="A318" s="36" t="s">
        <v>5108</v>
      </c>
      <c r="B318" t="s">
        <v>608</v>
      </c>
      <c r="C318">
        <v>31</v>
      </c>
      <c r="D318">
        <v>184</v>
      </c>
      <c r="F318" t="s">
        <v>5659</v>
      </c>
      <c r="G318" t="s">
        <v>5660</v>
      </c>
      <c r="H318" t="s">
        <v>5661</v>
      </c>
      <c r="I318" t="s">
        <v>1431</v>
      </c>
      <c r="J318" s="33" t="s">
        <v>2216</v>
      </c>
    </row>
    <row r="319" spans="1:10" x14ac:dyDescent="0.25">
      <c r="A319" s="36" t="s">
        <v>5109</v>
      </c>
      <c r="B319" t="s">
        <v>608</v>
      </c>
      <c r="C319">
        <v>31</v>
      </c>
      <c r="D319">
        <v>184</v>
      </c>
      <c r="F319" t="s">
        <v>192</v>
      </c>
      <c r="G319" t="s">
        <v>5662</v>
      </c>
      <c r="H319" t="s">
        <v>5663</v>
      </c>
      <c r="I319" t="s">
        <v>1431</v>
      </c>
      <c r="J319" s="33" t="s">
        <v>2216</v>
      </c>
    </row>
    <row r="320" spans="1:10" ht="15.75" thickBot="1" x14ac:dyDescent="0.3">
      <c r="A320" s="37" t="s">
        <v>5110</v>
      </c>
      <c r="B320" s="30" t="s">
        <v>608</v>
      </c>
      <c r="C320" s="30">
        <v>31</v>
      </c>
      <c r="D320" s="30">
        <v>184</v>
      </c>
      <c r="E320" s="30"/>
      <c r="F320" s="30" t="s">
        <v>210</v>
      </c>
      <c r="G320" s="30" t="s">
        <v>5664</v>
      </c>
      <c r="H320" s="30" t="s">
        <v>5665</v>
      </c>
      <c r="I320" s="30" t="s">
        <v>1431</v>
      </c>
      <c r="J320" s="34" t="s">
        <v>2216</v>
      </c>
    </row>
    <row r="321" spans="1:10" x14ac:dyDescent="0.25">
      <c r="A321" s="35" t="s">
        <v>5111</v>
      </c>
      <c r="B321" s="22" t="s">
        <v>608</v>
      </c>
      <c r="C321" s="22">
        <v>32</v>
      </c>
      <c r="D321" s="22">
        <v>188</v>
      </c>
      <c r="E321" s="22"/>
      <c r="F321" s="22" t="s">
        <v>5729</v>
      </c>
      <c r="G321" s="22" t="s">
        <v>5730</v>
      </c>
      <c r="H321" s="22" t="s">
        <v>5731</v>
      </c>
      <c r="I321" s="22" t="s">
        <v>1431</v>
      </c>
      <c r="J321" s="32" t="s">
        <v>2216</v>
      </c>
    </row>
    <row r="322" spans="1:10" x14ac:dyDescent="0.25">
      <c r="A322" s="36" t="s">
        <v>5112</v>
      </c>
      <c r="B322" t="s">
        <v>608</v>
      </c>
      <c r="C322">
        <v>32</v>
      </c>
      <c r="D322">
        <v>188</v>
      </c>
      <c r="F322" t="s">
        <v>5525</v>
      </c>
      <c r="G322" t="s">
        <v>5732</v>
      </c>
      <c r="H322" t="s">
        <v>5733</v>
      </c>
      <c r="I322" t="s">
        <v>1431</v>
      </c>
      <c r="J322" s="33" t="s">
        <v>2216</v>
      </c>
    </row>
    <row r="323" spans="1:10" x14ac:dyDescent="0.25">
      <c r="A323" s="36" t="s">
        <v>5113</v>
      </c>
      <c r="B323" t="s">
        <v>608</v>
      </c>
      <c r="C323">
        <v>32</v>
      </c>
      <c r="D323">
        <v>188</v>
      </c>
      <c r="F323" t="s">
        <v>5734</v>
      </c>
      <c r="G323" t="s">
        <v>5735</v>
      </c>
      <c r="H323" t="s">
        <v>5736</v>
      </c>
      <c r="I323" t="s">
        <v>1431</v>
      </c>
      <c r="J323" s="33" t="s">
        <v>2216</v>
      </c>
    </row>
    <row r="324" spans="1:10" x14ac:dyDescent="0.25">
      <c r="A324" s="36" t="s">
        <v>5114</v>
      </c>
      <c r="B324" t="s">
        <v>608</v>
      </c>
      <c r="C324">
        <v>32</v>
      </c>
      <c r="D324">
        <v>188</v>
      </c>
      <c r="F324" t="s">
        <v>5737</v>
      </c>
      <c r="G324" t="s">
        <v>5738</v>
      </c>
      <c r="H324" t="s">
        <v>5739</v>
      </c>
      <c r="I324" t="s">
        <v>1431</v>
      </c>
      <c r="J324" s="33" t="s">
        <v>2216</v>
      </c>
    </row>
    <row r="325" spans="1:10" x14ac:dyDescent="0.25">
      <c r="A325" s="36" t="s">
        <v>5115</v>
      </c>
      <c r="B325" t="s">
        <v>608</v>
      </c>
      <c r="C325">
        <v>32</v>
      </c>
      <c r="D325">
        <v>188</v>
      </c>
      <c r="F325" t="s">
        <v>140</v>
      </c>
      <c r="G325" t="s">
        <v>5740</v>
      </c>
      <c r="H325" t="s">
        <v>5741</v>
      </c>
      <c r="I325" t="s">
        <v>1431</v>
      </c>
      <c r="J325" s="33" t="s">
        <v>2216</v>
      </c>
    </row>
    <row r="326" spans="1:10" ht="15.75" thickBot="1" x14ac:dyDescent="0.3">
      <c r="A326" s="37" t="s">
        <v>5116</v>
      </c>
      <c r="B326" s="30" t="s">
        <v>608</v>
      </c>
      <c r="C326" s="30">
        <v>32</v>
      </c>
      <c r="D326" s="30">
        <v>188</v>
      </c>
      <c r="E326" s="30"/>
      <c r="F326" s="30" t="s">
        <v>5742</v>
      </c>
      <c r="G326" s="30" t="s">
        <v>5743</v>
      </c>
      <c r="H326" s="30" t="s">
        <v>5744</v>
      </c>
      <c r="I326" s="30" t="s">
        <v>1431</v>
      </c>
      <c r="J326" s="34" t="s">
        <v>2216</v>
      </c>
    </row>
    <row r="327" spans="1:10" x14ac:dyDescent="0.25">
      <c r="A327" s="35" t="s">
        <v>5117</v>
      </c>
      <c r="B327" s="22" t="s">
        <v>5838</v>
      </c>
      <c r="C327" s="22">
        <v>32</v>
      </c>
      <c r="D327" s="22">
        <v>189</v>
      </c>
      <c r="E327" s="22"/>
      <c r="F327" s="22" t="s">
        <v>2979</v>
      </c>
      <c r="G327" s="22" t="s">
        <v>5918</v>
      </c>
      <c r="H327" s="22" t="s">
        <v>5919</v>
      </c>
      <c r="I327" s="22" t="s">
        <v>1431</v>
      </c>
      <c r="J327" s="32" t="s">
        <v>2216</v>
      </c>
    </row>
    <row r="328" spans="1:10" x14ac:dyDescent="0.25">
      <c r="A328" s="36" t="s">
        <v>5118</v>
      </c>
      <c r="B328" t="s">
        <v>5838</v>
      </c>
      <c r="C328">
        <v>32</v>
      </c>
      <c r="D328">
        <v>189</v>
      </c>
      <c r="F328" t="s">
        <v>132</v>
      </c>
      <c r="G328" t="s">
        <v>5920</v>
      </c>
      <c r="H328" t="s">
        <v>5921</v>
      </c>
      <c r="I328" t="s">
        <v>1431</v>
      </c>
      <c r="J328" s="33" t="s">
        <v>2216</v>
      </c>
    </row>
    <row r="329" spans="1:10" x14ac:dyDescent="0.25">
      <c r="A329" s="36" t="s">
        <v>5119</v>
      </c>
      <c r="B329" t="s">
        <v>5838</v>
      </c>
      <c r="C329">
        <v>32</v>
      </c>
      <c r="D329">
        <v>189</v>
      </c>
      <c r="F329" t="s">
        <v>204</v>
      </c>
      <c r="G329" t="s">
        <v>5922</v>
      </c>
      <c r="H329" t="s">
        <v>5923</v>
      </c>
      <c r="I329" t="s">
        <v>1431</v>
      </c>
      <c r="J329" s="33" t="s">
        <v>2216</v>
      </c>
    </row>
    <row r="330" spans="1:10" x14ac:dyDescent="0.25">
      <c r="A330" s="36" t="s">
        <v>5120</v>
      </c>
      <c r="B330" t="s">
        <v>5838</v>
      </c>
      <c r="C330">
        <v>32</v>
      </c>
      <c r="D330">
        <v>189</v>
      </c>
      <c r="F330" t="s">
        <v>210</v>
      </c>
      <c r="G330" t="s">
        <v>5924</v>
      </c>
      <c r="H330" t="s">
        <v>5925</v>
      </c>
      <c r="I330" t="s">
        <v>1431</v>
      </c>
      <c r="J330" s="33" t="s">
        <v>2216</v>
      </c>
    </row>
    <row r="331" spans="1:10" x14ac:dyDescent="0.25">
      <c r="A331" s="36" t="s">
        <v>5121</v>
      </c>
      <c r="B331" t="s">
        <v>5838</v>
      </c>
      <c r="C331">
        <v>32</v>
      </c>
      <c r="D331">
        <v>189</v>
      </c>
      <c r="F331" t="s">
        <v>221</v>
      </c>
      <c r="G331" t="s">
        <v>5926</v>
      </c>
      <c r="H331" t="s">
        <v>5927</v>
      </c>
      <c r="I331" t="s">
        <v>1431</v>
      </c>
      <c r="J331" s="33" t="s">
        <v>2216</v>
      </c>
    </row>
    <row r="332" spans="1:10" ht="15.75" thickBot="1" x14ac:dyDescent="0.3">
      <c r="A332" s="37" t="s">
        <v>5122</v>
      </c>
      <c r="B332" s="30" t="s">
        <v>5838</v>
      </c>
      <c r="C332" s="30">
        <v>32</v>
      </c>
      <c r="D332" s="30">
        <v>189</v>
      </c>
      <c r="E332" s="30"/>
      <c r="F332" s="30" t="s">
        <v>5928</v>
      </c>
      <c r="G332" s="30" t="s">
        <v>5929</v>
      </c>
      <c r="H332" s="30" t="s">
        <v>5930</v>
      </c>
      <c r="I332" s="30" t="s">
        <v>1431</v>
      </c>
      <c r="J332" s="34" t="s">
        <v>2216</v>
      </c>
    </row>
    <row r="333" spans="1:10" x14ac:dyDescent="0.25">
      <c r="A333" s="35" t="s">
        <v>5123</v>
      </c>
      <c r="B333" s="22" t="s">
        <v>5838</v>
      </c>
      <c r="C333" s="22">
        <v>32</v>
      </c>
      <c r="D333" s="22">
        <v>190</v>
      </c>
      <c r="E333" s="22"/>
      <c r="F333" s="22" t="s">
        <v>2979</v>
      </c>
      <c r="G333" s="22" t="s">
        <v>5965</v>
      </c>
      <c r="H333" s="22" t="s">
        <v>5966</v>
      </c>
      <c r="I333" s="22" t="s">
        <v>1431</v>
      </c>
      <c r="J333" s="32" t="s">
        <v>2216</v>
      </c>
    </row>
    <row r="334" spans="1:10" x14ac:dyDescent="0.25">
      <c r="A334" s="36" t="s">
        <v>5124</v>
      </c>
      <c r="B334" t="s">
        <v>5838</v>
      </c>
      <c r="C334">
        <v>32</v>
      </c>
      <c r="D334">
        <v>190</v>
      </c>
      <c r="F334" t="s">
        <v>192</v>
      </c>
      <c r="G334" t="s">
        <v>5967</v>
      </c>
      <c r="H334" t="s">
        <v>5968</v>
      </c>
      <c r="I334" t="s">
        <v>1431</v>
      </c>
      <c r="J334" s="33" t="s">
        <v>2216</v>
      </c>
    </row>
    <row r="335" spans="1:10" x14ac:dyDescent="0.25">
      <c r="A335" s="36" t="s">
        <v>5125</v>
      </c>
      <c r="B335" t="s">
        <v>5838</v>
      </c>
      <c r="C335">
        <v>32</v>
      </c>
      <c r="D335">
        <v>190</v>
      </c>
      <c r="F335" t="s">
        <v>147</v>
      </c>
      <c r="G335" t="s">
        <v>5969</v>
      </c>
      <c r="H335" t="s">
        <v>5970</v>
      </c>
      <c r="I335" t="s">
        <v>1431</v>
      </c>
      <c r="J335" s="33" t="s">
        <v>2216</v>
      </c>
    </row>
    <row r="336" spans="1:10" x14ac:dyDescent="0.25">
      <c r="A336" s="36" t="s">
        <v>5126</v>
      </c>
      <c r="B336" t="s">
        <v>5838</v>
      </c>
      <c r="C336">
        <v>32</v>
      </c>
      <c r="D336">
        <v>190</v>
      </c>
      <c r="F336" t="s">
        <v>106</v>
      </c>
      <c r="G336" t="s">
        <v>5971</v>
      </c>
      <c r="H336" t="s">
        <v>5972</v>
      </c>
      <c r="I336" t="s">
        <v>1431</v>
      </c>
      <c r="J336" s="33" t="s">
        <v>2216</v>
      </c>
    </row>
    <row r="337" spans="1:10" x14ac:dyDescent="0.25">
      <c r="A337" s="36" t="s">
        <v>5127</v>
      </c>
      <c r="B337" t="s">
        <v>5838</v>
      </c>
      <c r="C337">
        <v>32</v>
      </c>
      <c r="D337">
        <v>190</v>
      </c>
      <c r="F337" t="s">
        <v>3113</v>
      </c>
      <c r="G337" t="s">
        <v>5973</v>
      </c>
      <c r="H337" t="s">
        <v>5974</v>
      </c>
      <c r="I337" t="s">
        <v>1431</v>
      </c>
      <c r="J337" s="33" t="s">
        <v>2216</v>
      </c>
    </row>
    <row r="338" spans="1:10" ht="15.75" thickBot="1" x14ac:dyDescent="0.3">
      <c r="A338" s="37" t="s">
        <v>5128</v>
      </c>
      <c r="B338" s="30" t="s">
        <v>5838</v>
      </c>
      <c r="C338" s="30">
        <v>32</v>
      </c>
      <c r="D338" s="30">
        <v>190</v>
      </c>
      <c r="E338" s="30"/>
      <c r="F338" s="30" t="s">
        <v>174</v>
      </c>
      <c r="G338" s="30" t="s">
        <v>5975</v>
      </c>
      <c r="H338" s="30" t="s">
        <v>5976</v>
      </c>
      <c r="I338" s="30" t="s">
        <v>1431</v>
      </c>
      <c r="J338" s="34" t="s">
        <v>2216</v>
      </c>
    </row>
    <row r="339" spans="1:10" x14ac:dyDescent="0.25">
      <c r="A339" s="35" t="s">
        <v>5129</v>
      </c>
      <c r="B339" s="22" t="s">
        <v>5838</v>
      </c>
      <c r="C339" s="22">
        <v>32</v>
      </c>
      <c r="D339" s="22">
        <v>194</v>
      </c>
      <c r="E339" s="22"/>
      <c r="F339" s="22" t="s">
        <v>6046</v>
      </c>
      <c r="G339" s="22" t="s">
        <v>6047</v>
      </c>
      <c r="H339" s="22" t="s">
        <v>6048</v>
      </c>
      <c r="I339" s="22" t="s">
        <v>1431</v>
      </c>
      <c r="J339" s="32" t="s">
        <v>2216</v>
      </c>
    </row>
    <row r="340" spans="1:10" x14ac:dyDescent="0.25">
      <c r="A340" s="36" t="s">
        <v>5130</v>
      </c>
      <c r="B340" t="s">
        <v>5838</v>
      </c>
      <c r="C340">
        <v>32</v>
      </c>
      <c r="D340">
        <v>194</v>
      </c>
      <c r="F340" t="s">
        <v>4317</v>
      </c>
      <c r="G340" t="s">
        <v>6049</v>
      </c>
      <c r="H340" t="s">
        <v>6050</v>
      </c>
      <c r="I340" t="s">
        <v>1431</v>
      </c>
      <c r="J340" s="33" t="s">
        <v>2216</v>
      </c>
    </row>
    <row r="341" spans="1:10" x14ac:dyDescent="0.25">
      <c r="A341" s="36" t="s">
        <v>5131</v>
      </c>
      <c r="B341" t="s">
        <v>5838</v>
      </c>
      <c r="C341">
        <v>32</v>
      </c>
      <c r="D341">
        <v>194</v>
      </c>
      <c r="F341" t="s">
        <v>4580</v>
      </c>
      <c r="G341" t="s">
        <v>6051</v>
      </c>
      <c r="H341" t="s">
        <v>6052</v>
      </c>
      <c r="I341" t="s">
        <v>1431</v>
      </c>
      <c r="J341" s="33" t="s">
        <v>2216</v>
      </c>
    </row>
    <row r="342" spans="1:10" x14ac:dyDescent="0.25">
      <c r="A342" s="36" t="s">
        <v>5132</v>
      </c>
      <c r="B342" t="s">
        <v>5838</v>
      </c>
      <c r="C342">
        <v>32</v>
      </c>
      <c r="D342">
        <v>194</v>
      </c>
      <c r="F342" t="s">
        <v>132</v>
      </c>
      <c r="G342" t="s">
        <v>6053</v>
      </c>
      <c r="H342" t="s">
        <v>6054</v>
      </c>
      <c r="I342" t="s">
        <v>1431</v>
      </c>
      <c r="J342" s="33" t="s">
        <v>2216</v>
      </c>
    </row>
    <row r="343" spans="1:10" x14ac:dyDescent="0.25">
      <c r="A343" s="36" t="s">
        <v>5133</v>
      </c>
      <c r="B343" t="s">
        <v>5838</v>
      </c>
      <c r="C343">
        <v>32</v>
      </c>
      <c r="D343">
        <v>194</v>
      </c>
      <c r="F343" t="s">
        <v>154</v>
      </c>
      <c r="G343" t="s">
        <v>6055</v>
      </c>
      <c r="H343" t="s">
        <v>6056</v>
      </c>
      <c r="I343" t="s">
        <v>1431</v>
      </c>
      <c r="J343" s="33" t="s">
        <v>2216</v>
      </c>
    </row>
    <row r="344" spans="1:10" ht="15.75" thickBot="1" x14ac:dyDescent="0.3">
      <c r="A344" s="37" t="s">
        <v>5134</v>
      </c>
      <c r="B344" s="30" t="s">
        <v>5838</v>
      </c>
      <c r="C344" s="30">
        <v>32</v>
      </c>
      <c r="D344" s="30">
        <v>194</v>
      </c>
      <c r="E344" s="30"/>
      <c r="F344" s="30" t="s">
        <v>210</v>
      </c>
      <c r="G344" s="30" t="s">
        <v>6057</v>
      </c>
      <c r="H344" s="30" t="s">
        <v>6058</v>
      </c>
      <c r="I344" s="30" t="s">
        <v>1431</v>
      </c>
      <c r="J344" s="34" t="s">
        <v>2216</v>
      </c>
    </row>
    <row r="345" spans="1:10" x14ac:dyDescent="0.25">
      <c r="A345" s="35" t="s">
        <v>5135</v>
      </c>
      <c r="B345" s="22" t="s">
        <v>5838</v>
      </c>
      <c r="C345" s="22">
        <v>34</v>
      </c>
      <c r="D345" s="22">
        <v>201</v>
      </c>
      <c r="E345" s="22"/>
      <c r="F345" s="22" t="s">
        <v>4580</v>
      </c>
      <c r="G345" s="22" t="s">
        <v>6129</v>
      </c>
      <c r="H345" s="22" t="s">
        <v>6130</v>
      </c>
      <c r="I345" s="22" t="s">
        <v>1431</v>
      </c>
      <c r="J345" s="32" t="s">
        <v>2216</v>
      </c>
    </row>
    <row r="346" spans="1:10" x14ac:dyDescent="0.25">
      <c r="A346" s="36" t="s">
        <v>5136</v>
      </c>
      <c r="B346" t="s">
        <v>5838</v>
      </c>
      <c r="C346">
        <v>34</v>
      </c>
      <c r="D346">
        <v>201</v>
      </c>
      <c r="F346" t="s">
        <v>5238</v>
      </c>
      <c r="G346" t="s">
        <v>6131</v>
      </c>
      <c r="H346" t="s">
        <v>6132</v>
      </c>
      <c r="I346" t="s">
        <v>1431</v>
      </c>
      <c r="J346" s="33" t="s">
        <v>2216</v>
      </c>
    </row>
    <row r="347" spans="1:10" x14ac:dyDescent="0.25">
      <c r="A347" s="36" t="s">
        <v>5137</v>
      </c>
      <c r="B347" t="s">
        <v>5838</v>
      </c>
      <c r="C347">
        <v>34</v>
      </c>
      <c r="D347">
        <v>201</v>
      </c>
      <c r="F347" t="s">
        <v>6133</v>
      </c>
      <c r="G347" t="s">
        <v>6134</v>
      </c>
      <c r="H347" t="s">
        <v>6135</v>
      </c>
      <c r="I347" t="s">
        <v>1431</v>
      </c>
      <c r="J347" s="33" t="s">
        <v>2216</v>
      </c>
    </row>
    <row r="348" spans="1:10" x14ac:dyDescent="0.25">
      <c r="A348" s="36" t="s">
        <v>5138</v>
      </c>
      <c r="B348" t="s">
        <v>5838</v>
      </c>
      <c r="C348">
        <v>34</v>
      </c>
      <c r="D348">
        <v>201</v>
      </c>
      <c r="F348" t="s">
        <v>6136</v>
      </c>
      <c r="G348" t="s">
        <v>6137</v>
      </c>
      <c r="H348" t="s">
        <v>6138</v>
      </c>
      <c r="I348" t="s">
        <v>1431</v>
      </c>
      <c r="J348" s="33" t="s">
        <v>2216</v>
      </c>
    </row>
    <row r="349" spans="1:10" x14ac:dyDescent="0.25">
      <c r="A349" s="36" t="s">
        <v>5139</v>
      </c>
      <c r="B349" t="s">
        <v>5838</v>
      </c>
      <c r="C349">
        <v>34</v>
      </c>
      <c r="D349">
        <v>201</v>
      </c>
      <c r="F349" t="s">
        <v>6139</v>
      </c>
      <c r="G349" t="s">
        <v>6140</v>
      </c>
      <c r="H349" t="s">
        <v>6141</v>
      </c>
      <c r="I349" t="s">
        <v>1431</v>
      </c>
      <c r="J349" s="33" t="s">
        <v>2216</v>
      </c>
    </row>
    <row r="350" spans="1:10" ht="15.75" thickBot="1" x14ac:dyDescent="0.3">
      <c r="A350" s="37" t="s">
        <v>5140</v>
      </c>
      <c r="B350" s="30" t="s">
        <v>5838</v>
      </c>
      <c r="C350" s="30">
        <v>34</v>
      </c>
      <c r="D350" s="30">
        <v>201</v>
      </c>
      <c r="E350" s="30"/>
      <c r="F350" s="30" t="s">
        <v>4822</v>
      </c>
      <c r="G350" s="30" t="s">
        <v>6142</v>
      </c>
      <c r="H350" s="30" t="s">
        <v>6143</v>
      </c>
      <c r="I350" s="30" t="s">
        <v>1431</v>
      </c>
      <c r="J350" s="34" t="s">
        <v>2216</v>
      </c>
    </row>
    <row r="351" spans="1:10" x14ac:dyDescent="0.25">
      <c r="A351" s="35" t="s">
        <v>5141</v>
      </c>
      <c r="B351" s="22" t="s">
        <v>5838</v>
      </c>
      <c r="C351" s="22">
        <v>36</v>
      </c>
      <c r="D351" s="22">
        <v>221</v>
      </c>
      <c r="E351" s="22"/>
      <c r="F351" s="22" t="s">
        <v>53</v>
      </c>
      <c r="G351" s="22" t="s">
        <v>6206</v>
      </c>
      <c r="H351" s="22" t="s">
        <v>6207</v>
      </c>
      <c r="I351" s="22" t="s">
        <v>1431</v>
      </c>
      <c r="J351" s="32" t="s">
        <v>2216</v>
      </c>
    </row>
    <row r="352" spans="1:10" x14ac:dyDescent="0.25">
      <c r="A352" s="36" t="s">
        <v>5142</v>
      </c>
      <c r="B352" t="s">
        <v>5838</v>
      </c>
      <c r="C352">
        <v>36</v>
      </c>
      <c r="D352">
        <v>221</v>
      </c>
      <c r="F352" t="s">
        <v>83</v>
      </c>
      <c r="G352" t="s">
        <v>6208</v>
      </c>
      <c r="H352" t="s">
        <v>6209</v>
      </c>
      <c r="I352" t="s">
        <v>1431</v>
      </c>
      <c r="J352" s="33" t="s">
        <v>2216</v>
      </c>
    </row>
    <row r="353" spans="1:10" x14ac:dyDescent="0.25">
      <c r="A353" s="36" t="s">
        <v>5143</v>
      </c>
      <c r="B353" t="s">
        <v>5838</v>
      </c>
      <c r="C353">
        <v>36</v>
      </c>
      <c r="D353">
        <v>221</v>
      </c>
      <c r="F353" t="s">
        <v>132</v>
      </c>
      <c r="G353" t="s">
        <v>6210</v>
      </c>
      <c r="H353" t="s">
        <v>6211</v>
      </c>
      <c r="I353" t="s">
        <v>1431</v>
      </c>
      <c r="J353" s="33" t="s">
        <v>2216</v>
      </c>
    </row>
    <row r="354" spans="1:10" x14ac:dyDescent="0.25">
      <c r="A354" s="36" t="s">
        <v>5144</v>
      </c>
      <c r="B354" t="s">
        <v>5838</v>
      </c>
      <c r="C354">
        <v>36</v>
      </c>
      <c r="D354">
        <v>221</v>
      </c>
      <c r="F354" t="s">
        <v>6212</v>
      </c>
      <c r="G354" t="s">
        <v>6213</v>
      </c>
      <c r="H354" t="s">
        <v>6214</v>
      </c>
      <c r="I354" t="s">
        <v>1431</v>
      </c>
      <c r="J354" s="33" t="s">
        <v>2216</v>
      </c>
    </row>
    <row r="355" spans="1:10" x14ac:dyDescent="0.25">
      <c r="A355" s="36" t="s">
        <v>5145</v>
      </c>
      <c r="B355" t="s">
        <v>5838</v>
      </c>
      <c r="C355">
        <v>36</v>
      </c>
      <c r="D355">
        <v>221</v>
      </c>
      <c r="F355" t="s">
        <v>210</v>
      </c>
      <c r="G355" t="s">
        <v>6215</v>
      </c>
      <c r="H355" t="s">
        <v>6216</v>
      </c>
      <c r="I355" t="s">
        <v>1431</v>
      </c>
      <c r="J355" s="33" t="s">
        <v>2216</v>
      </c>
    </row>
    <row r="356" spans="1:10" x14ac:dyDescent="0.25">
      <c r="A356" s="36" t="s">
        <v>5146</v>
      </c>
      <c r="B356" t="s">
        <v>5838</v>
      </c>
      <c r="C356">
        <v>36</v>
      </c>
      <c r="D356">
        <v>221</v>
      </c>
      <c r="F356" t="s">
        <v>204</v>
      </c>
      <c r="G356" t="s">
        <v>6217</v>
      </c>
      <c r="H356" t="s">
        <v>6218</v>
      </c>
      <c r="I356" t="s">
        <v>1431</v>
      </c>
      <c r="J356" s="33" t="s">
        <v>2216</v>
      </c>
    </row>
    <row r="357" spans="1:10" ht="15.75" thickBot="1" x14ac:dyDescent="0.3">
      <c r="A357" s="37" t="s">
        <v>5147</v>
      </c>
      <c r="B357" s="30" t="s">
        <v>5838</v>
      </c>
      <c r="C357" s="30">
        <v>36</v>
      </c>
      <c r="D357" s="30">
        <v>221</v>
      </c>
      <c r="E357" s="30"/>
      <c r="F357" s="30" t="s">
        <v>166</v>
      </c>
      <c r="G357" s="30" t="s">
        <v>6219</v>
      </c>
      <c r="H357" s="30" t="s">
        <v>6220</v>
      </c>
      <c r="I357" s="30" t="s">
        <v>1431</v>
      </c>
      <c r="J357" s="34" t="s">
        <v>2216</v>
      </c>
    </row>
    <row r="358" spans="1:10" x14ac:dyDescent="0.25">
      <c r="A358" s="35" t="s">
        <v>5148</v>
      </c>
      <c r="B358" s="22" t="s">
        <v>5838</v>
      </c>
      <c r="C358" s="22">
        <v>38</v>
      </c>
      <c r="D358" s="22">
        <v>227</v>
      </c>
      <c r="E358" s="22"/>
      <c r="F358" s="22" t="s">
        <v>6263</v>
      </c>
      <c r="G358" s="22" t="s">
        <v>6264</v>
      </c>
      <c r="H358" s="22" t="s">
        <v>6265</v>
      </c>
      <c r="I358" s="22" t="s">
        <v>1431</v>
      </c>
      <c r="J358" s="32" t="s">
        <v>2216</v>
      </c>
    </row>
    <row r="359" spans="1:10" x14ac:dyDescent="0.25">
      <c r="A359" s="36" t="s">
        <v>5149</v>
      </c>
      <c r="B359" t="s">
        <v>5838</v>
      </c>
      <c r="C359">
        <v>38</v>
      </c>
      <c r="D359">
        <v>227</v>
      </c>
      <c r="F359" t="s">
        <v>6266</v>
      </c>
      <c r="G359" t="s">
        <v>6267</v>
      </c>
      <c r="H359" t="s">
        <v>6268</v>
      </c>
      <c r="I359" t="s">
        <v>1431</v>
      </c>
      <c r="J359" s="33" t="s">
        <v>2216</v>
      </c>
    </row>
    <row r="360" spans="1:10" x14ac:dyDescent="0.25">
      <c r="A360" s="36" t="s">
        <v>5150</v>
      </c>
      <c r="B360" t="s">
        <v>5838</v>
      </c>
      <c r="C360">
        <v>38</v>
      </c>
      <c r="D360">
        <v>227</v>
      </c>
      <c r="F360" t="s">
        <v>6269</v>
      </c>
      <c r="G360" t="s">
        <v>6270</v>
      </c>
      <c r="H360" t="s">
        <v>6271</v>
      </c>
      <c r="I360" t="s">
        <v>1431</v>
      </c>
      <c r="J360" s="33" t="s">
        <v>2216</v>
      </c>
    </row>
    <row r="361" spans="1:10" x14ac:dyDescent="0.25">
      <c r="A361" s="36" t="s">
        <v>5151</v>
      </c>
      <c r="B361" t="s">
        <v>5838</v>
      </c>
      <c r="C361">
        <v>38</v>
      </c>
      <c r="D361">
        <v>227</v>
      </c>
      <c r="F361" t="s">
        <v>4580</v>
      </c>
      <c r="G361" t="s">
        <v>6272</v>
      </c>
      <c r="H361" t="s">
        <v>6273</v>
      </c>
      <c r="I361" t="s">
        <v>1431</v>
      </c>
      <c r="J361" s="33" t="s">
        <v>2216</v>
      </c>
    </row>
    <row r="362" spans="1:10" x14ac:dyDescent="0.25">
      <c r="A362" s="36" t="s">
        <v>5152</v>
      </c>
      <c r="B362" t="s">
        <v>5838</v>
      </c>
      <c r="C362">
        <v>38</v>
      </c>
      <c r="D362">
        <v>227</v>
      </c>
      <c r="F362" t="s">
        <v>6274</v>
      </c>
      <c r="G362" t="s">
        <v>6275</v>
      </c>
      <c r="H362" t="s">
        <v>6276</v>
      </c>
      <c r="I362" t="s">
        <v>1431</v>
      </c>
      <c r="J362" s="33" t="s">
        <v>2216</v>
      </c>
    </row>
    <row r="363" spans="1:10" ht="15.75" thickBot="1" x14ac:dyDescent="0.3">
      <c r="A363" s="37" t="s">
        <v>5153</v>
      </c>
      <c r="B363" s="30" t="s">
        <v>5838</v>
      </c>
      <c r="C363" s="30">
        <v>38</v>
      </c>
      <c r="D363" s="30">
        <v>227</v>
      </c>
      <c r="E363" s="30"/>
      <c r="F363" s="30" t="s">
        <v>6277</v>
      </c>
      <c r="G363" s="30" t="s">
        <v>6278</v>
      </c>
      <c r="H363" s="30" t="s">
        <v>6279</v>
      </c>
      <c r="I363" s="30" t="s">
        <v>1431</v>
      </c>
      <c r="J363" s="34" t="s">
        <v>2216</v>
      </c>
    </row>
    <row r="364" spans="1:10" x14ac:dyDescent="0.25">
      <c r="A364" s="35" t="s">
        <v>5154</v>
      </c>
      <c r="B364" s="22" t="s">
        <v>5838</v>
      </c>
      <c r="C364" s="22">
        <v>40</v>
      </c>
      <c r="D364" s="22">
        <v>239</v>
      </c>
      <c r="E364" s="22"/>
      <c r="F364" s="22" t="s">
        <v>4580</v>
      </c>
      <c r="G364" s="22" t="s">
        <v>6674</v>
      </c>
      <c r="H364" s="22" t="s">
        <v>6675</v>
      </c>
      <c r="I364" s="22" t="s">
        <v>1431</v>
      </c>
      <c r="J364" s="32" t="s">
        <v>2216</v>
      </c>
    </row>
    <row r="365" spans="1:10" x14ac:dyDescent="0.25">
      <c r="A365" s="36" t="s">
        <v>5155</v>
      </c>
      <c r="B365" t="s">
        <v>5838</v>
      </c>
      <c r="C365">
        <v>40</v>
      </c>
      <c r="D365">
        <v>239</v>
      </c>
      <c r="F365" t="s">
        <v>6676</v>
      </c>
      <c r="G365" t="s">
        <v>6677</v>
      </c>
      <c r="H365" t="s">
        <v>6678</v>
      </c>
      <c r="I365" t="s">
        <v>1431</v>
      </c>
      <c r="J365" s="33" t="s">
        <v>2216</v>
      </c>
    </row>
    <row r="366" spans="1:10" x14ac:dyDescent="0.25">
      <c r="A366" s="36" t="s">
        <v>5156</v>
      </c>
      <c r="B366" t="s">
        <v>5838</v>
      </c>
      <c r="C366">
        <v>40</v>
      </c>
      <c r="D366">
        <v>239</v>
      </c>
      <c r="F366" t="s">
        <v>204</v>
      </c>
      <c r="G366" t="s">
        <v>6679</v>
      </c>
      <c r="H366" t="s">
        <v>6680</v>
      </c>
      <c r="I366" t="s">
        <v>1431</v>
      </c>
      <c r="J366" s="33" t="s">
        <v>2216</v>
      </c>
    </row>
    <row r="367" spans="1:10" x14ac:dyDescent="0.25">
      <c r="A367" s="36" t="s">
        <v>5157</v>
      </c>
      <c r="B367" t="s">
        <v>5838</v>
      </c>
      <c r="C367">
        <v>40</v>
      </c>
      <c r="D367">
        <v>239</v>
      </c>
      <c r="F367" t="s">
        <v>210</v>
      </c>
      <c r="G367" t="s">
        <v>6681</v>
      </c>
      <c r="H367" t="s">
        <v>6682</v>
      </c>
      <c r="I367" t="s">
        <v>1431</v>
      </c>
      <c r="J367" s="33" t="s">
        <v>2216</v>
      </c>
    </row>
    <row r="368" spans="1:10" x14ac:dyDescent="0.25">
      <c r="A368" s="36" t="s">
        <v>5158</v>
      </c>
      <c r="B368" t="s">
        <v>5838</v>
      </c>
      <c r="C368">
        <v>40</v>
      </c>
      <c r="D368">
        <v>239</v>
      </c>
      <c r="F368" t="s">
        <v>6683</v>
      </c>
      <c r="G368" t="s">
        <v>6684</v>
      </c>
      <c r="H368" t="s">
        <v>6685</v>
      </c>
      <c r="I368" t="s">
        <v>1431</v>
      </c>
      <c r="J368" s="33" t="s">
        <v>2216</v>
      </c>
    </row>
    <row r="369" spans="1:10" x14ac:dyDescent="0.25">
      <c r="A369" s="36" t="s">
        <v>5159</v>
      </c>
      <c r="B369" t="s">
        <v>5838</v>
      </c>
      <c r="C369">
        <v>40</v>
      </c>
      <c r="D369">
        <v>239</v>
      </c>
      <c r="F369" t="s">
        <v>6686</v>
      </c>
      <c r="G369" t="s">
        <v>6687</v>
      </c>
      <c r="H369" t="s">
        <v>6688</v>
      </c>
      <c r="I369" t="s">
        <v>1431</v>
      </c>
      <c r="J369" s="33" t="s">
        <v>2216</v>
      </c>
    </row>
    <row r="370" spans="1:10" ht="15.75" thickBot="1" x14ac:dyDescent="0.3">
      <c r="A370" s="37" t="s">
        <v>5159</v>
      </c>
      <c r="B370" s="30" t="s">
        <v>5838</v>
      </c>
      <c r="C370" s="30">
        <v>40</v>
      </c>
      <c r="D370" s="30">
        <v>239</v>
      </c>
      <c r="E370" s="30"/>
      <c r="F370" s="30" t="s">
        <v>6689</v>
      </c>
      <c r="G370" s="30" t="s">
        <v>6690</v>
      </c>
      <c r="H370" s="30" t="s">
        <v>6691</v>
      </c>
      <c r="I370" s="30" t="s">
        <v>1431</v>
      </c>
      <c r="J370" s="34" t="s">
        <v>2216</v>
      </c>
    </row>
  </sheetData>
  <phoneticPr fontId="1" type="noConversion"/>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0853-20B2-4ADC-A023-C9D9A37F31A9}">
  <sheetPr>
    <tabColor theme="4"/>
  </sheetPr>
  <dimension ref="A1:H721"/>
  <sheetViews>
    <sheetView topLeftCell="H713" workbookViewId="0">
      <selection sqref="A1:H721"/>
    </sheetView>
  </sheetViews>
  <sheetFormatPr baseColWidth="10" defaultRowHeight="15" x14ac:dyDescent="0.25"/>
  <cols>
    <col min="1" max="1" width="13.85546875" customWidth="1"/>
    <col min="2" max="2" width="10.42578125" customWidth="1"/>
    <col min="3" max="3" width="24.28515625" customWidth="1"/>
    <col min="4" max="4" width="23.7109375" customWidth="1"/>
    <col min="5" max="5" width="23.28515625" customWidth="1"/>
    <col min="6" max="6" width="18" customWidth="1"/>
    <col min="7" max="7" width="28" customWidth="1"/>
    <col min="8" max="8" width="250.28515625" bestFit="1" customWidth="1"/>
  </cols>
  <sheetData>
    <row r="1" spans="1:8" ht="15.75" thickBot="1" x14ac:dyDescent="0.3">
      <c r="A1" t="s">
        <v>0</v>
      </c>
      <c r="B1" t="s">
        <v>21</v>
      </c>
      <c r="C1" t="s">
        <v>278</v>
      </c>
      <c r="D1" t="s">
        <v>279</v>
      </c>
      <c r="E1" t="s">
        <v>280</v>
      </c>
      <c r="F1" t="s">
        <v>281</v>
      </c>
      <c r="G1" t="s">
        <v>282</v>
      </c>
      <c r="H1" t="s">
        <v>6352</v>
      </c>
    </row>
    <row r="2" spans="1:8" x14ac:dyDescent="0.25">
      <c r="A2" s="35">
        <v>1</v>
      </c>
      <c r="B2" s="22" t="s">
        <v>53</v>
      </c>
      <c r="C2" s="48">
        <f>IF(Tabelle18[[#This Row],[binding_level_company]]&gt;=1,1,0)</f>
        <v>0</v>
      </c>
      <c r="D2" s="48">
        <f>IFERROR(_xlfn.MAXIFS(Tabelle5[binding_level],Tabelle5[company_id],Tabelle18[[#This Row],[company_id]],Tabelle5[value_id],Tabelle18[[#This Row],[value_id]],Tabelle5[value_present],1),0)</f>
        <v>0</v>
      </c>
      <c r="E2" s="48">
        <f>IFERROR(_xlfn.MAXIFS(Tabelle5[value_points],Tabelle5[company_id],Tabelle18[[#This Row],[company_id]],Tabelle5[value_id],Tabelle18[[#This Row],[value_id]]),0)</f>
        <v>0</v>
      </c>
      <c r="F2" s="22" t="str">
        <f>IF(Tabelle18[[#This Row],[value_points_company]]=0,"",IFERROR(_xlfn.MINIFS(Tabelle5[doc_id],Tabelle5[company_id],Tabelle18[[#This Row],[company_id]],Tabelle5[value_id],Tabelle18[[#This Row],[value_id]],Tabelle5[value_points],Tabelle18[[#This Row],[value_points_company]]),""))</f>
        <v/>
      </c>
      <c r="G2" s="22" t="str" cm="1">
        <f t="array" ref="G2">IF(Tabelle18[[#This Row],[doc_id_strongest]]="","",IFERROR(INDEX(Tabelle5[evidence_location],MATCH(1,(Tabelle5[company_id]=Tabelle18[[#This Row],[company_id]])*(Tabelle5[value_id]=Tabelle18[[#This Row],[value_id]])*(Tabelle5[doc_id]=Tabelle18[[#This Row],[doc_id_strongest]]),0)),""))</f>
        <v/>
      </c>
      <c r="H2" s="32" t="str" cm="1">
        <f t="array" ref="H2">IF(Tabelle18[[#This Row],[doc_id_strongest]]="","",IFERROR(INDEX(Tabelle5[evidence_quote],MATCH(1,(Tabelle5[company_id]=Tabelle18[[#This Row],[company_id]])*(Tabelle5[value_id]=Tabelle18[[#This Row],[value_id]])*(Tabelle5[doc_id]=Tabelle18[[#This Row],[doc_id_strongest]]),0)),""))</f>
        <v/>
      </c>
    </row>
    <row r="3" spans="1:8" x14ac:dyDescent="0.25">
      <c r="A3" s="36">
        <v>1</v>
      </c>
      <c r="B3" t="s">
        <v>61</v>
      </c>
      <c r="C3" s="4">
        <f>IF(Tabelle18[[#This Row],[binding_level_company]]&gt;=1,1,0)</f>
        <v>0</v>
      </c>
      <c r="D3" s="4">
        <f>IFERROR(_xlfn.MAXIFS(Tabelle5[binding_level],Tabelle5[company_id],Tabelle18[[#This Row],[company_id]],Tabelle5[value_id],Tabelle18[[#This Row],[value_id]],Tabelle5[value_present],1),0)</f>
        <v>0</v>
      </c>
      <c r="E3" s="4">
        <f>IFERROR(_xlfn.MAXIFS(Tabelle5[value_points],Tabelle5[company_id],Tabelle18[[#This Row],[company_id]],Tabelle5[value_id],Tabelle18[[#This Row],[value_id]]),0)</f>
        <v>0</v>
      </c>
      <c r="F3" t="str">
        <f>IF(Tabelle18[[#This Row],[value_points_company]]=0,"",IFERROR(_xlfn.MINIFS(Tabelle5[doc_id],Tabelle5[company_id],Tabelle18[[#This Row],[company_id]],Tabelle5[value_id],Tabelle18[[#This Row],[value_id]],Tabelle5[value_points],Tabelle18[[#This Row],[value_points_company]]),""))</f>
        <v/>
      </c>
      <c r="G3" t="str" cm="1">
        <f t="array" ref="G3">IF(Tabelle18[[#This Row],[doc_id_strongest]]="","",IFERROR(INDEX(Tabelle5[evidence_location],MATCH(1,(Tabelle5[company_id]=Tabelle18[[#This Row],[company_id]])*(Tabelle5[value_id]=Tabelle18[[#This Row],[value_id]])*(Tabelle5[doc_id]=Tabelle18[[#This Row],[doc_id_strongest]]),0)),""))</f>
        <v/>
      </c>
      <c r="H3" s="33" t="str" cm="1">
        <f t="array" ref="H3">IF(Tabelle18[[#This Row],[doc_id_strongest]]="","",IFERROR(INDEX(Tabelle5[evidence_quote],MATCH(1,(Tabelle5[company_id]=Tabelle18[[#This Row],[company_id]])*(Tabelle5[value_id]=Tabelle18[[#This Row],[value_id]])*(Tabelle5[doc_id]=Tabelle18[[#This Row],[doc_id_strongest]]),0)),""))</f>
        <v/>
      </c>
    </row>
    <row r="4" spans="1:8" x14ac:dyDescent="0.25">
      <c r="A4" s="36">
        <v>1</v>
      </c>
      <c r="B4" t="s">
        <v>69</v>
      </c>
      <c r="C4" s="4">
        <f>IF(Tabelle18[[#This Row],[binding_level_company]]&gt;=1,1,0)</f>
        <v>0</v>
      </c>
      <c r="D4" s="4">
        <f>IFERROR(_xlfn.MAXIFS(Tabelle5[binding_level],Tabelle5[company_id],Tabelle18[[#This Row],[company_id]],Tabelle5[value_id],Tabelle18[[#This Row],[value_id]],Tabelle5[value_present],1),0)</f>
        <v>0</v>
      </c>
      <c r="E4" s="4">
        <f>IFERROR(_xlfn.MAXIFS(Tabelle5[value_points],Tabelle5[company_id],Tabelle18[[#This Row],[company_id]],Tabelle5[value_id],Tabelle18[[#This Row],[value_id]]),0)</f>
        <v>0</v>
      </c>
      <c r="F4" t="str">
        <f>IF(Tabelle18[[#This Row],[value_points_company]]=0,"",IFERROR(_xlfn.MINIFS(Tabelle5[doc_id],Tabelle5[company_id],Tabelle18[[#This Row],[company_id]],Tabelle5[value_id],Tabelle18[[#This Row],[value_id]],Tabelle5[value_points],Tabelle18[[#This Row],[value_points_company]]),""))</f>
        <v/>
      </c>
      <c r="G4" t="str" cm="1">
        <f t="array" ref="G4">IF(Tabelle18[[#This Row],[doc_id_strongest]]="","",IFERROR(INDEX(Tabelle5[evidence_location],MATCH(1,(Tabelle5[company_id]=Tabelle18[[#This Row],[company_id]])*(Tabelle5[value_id]=Tabelle18[[#This Row],[value_id]])*(Tabelle5[doc_id]=Tabelle18[[#This Row],[doc_id_strongest]]),0)),""))</f>
        <v/>
      </c>
      <c r="H4" s="33" t="str" cm="1">
        <f t="array" ref="H4">IF(Tabelle18[[#This Row],[doc_id_strongest]]="","",IFERROR(INDEX(Tabelle5[evidence_quote],MATCH(1,(Tabelle5[company_id]=Tabelle18[[#This Row],[company_id]])*(Tabelle5[value_id]=Tabelle18[[#This Row],[value_id]])*(Tabelle5[doc_id]=Tabelle18[[#This Row],[doc_id_strongest]]),0)),""))</f>
        <v/>
      </c>
    </row>
    <row r="5" spans="1:8" x14ac:dyDescent="0.25">
      <c r="A5" s="36">
        <v>1</v>
      </c>
      <c r="B5" t="s">
        <v>76</v>
      </c>
      <c r="C5" s="4">
        <f>IF(Tabelle18[[#This Row],[binding_level_company]]&gt;=1,1,0)</f>
        <v>0</v>
      </c>
      <c r="D5" s="4">
        <f>IFERROR(_xlfn.MAXIFS(Tabelle5[binding_level],Tabelle5[company_id],Tabelle18[[#This Row],[company_id]],Tabelle5[value_id],Tabelle18[[#This Row],[value_id]],Tabelle5[value_present],1),0)</f>
        <v>0</v>
      </c>
      <c r="E5" s="4">
        <f>IFERROR(_xlfn.MAXIFS(Tabelle5[value_points],Tabelle5[company_id],Tabelle18[[#This Row],[company_id]],Tabelle5[value_id],Tabelle18[[#This Row],[value_id]]),0)</f>
        <v>0</v>
      </c>
      <c r="F5" t="str">
        <f>IF(Tabelle18[[#This Row],[value_points_company]]=0,"",IFERROR(_xlfn.MINIFS(Tabelle5[doc_id],Tabelle5[company_id],Tabelle18[[#This Row],[company_id]],Tabelle5[value_id],Tabelle18[[#This Row],[value_id]],Tabelle5[value_points],Tabelle18[[#This Row],[value_points_company]]),""))</f>
        <v/>
      </c>
      <c r="G5" t="str" cm="1">
        <f t="array" ref="G5">IF(Tabelle18[[#This Row],[doc_id_strongest]]="","",IFERROR(INDEX(Tabelle5[evidence_location],MATCH(1,(Tabelle5[company_id]=Tabelle18[[#This Row],[company_id]])*(Tabelle5[value_id]=Tabelle18[[#This Row],[value_id]])*(Tabelle5[doc_id]=Tabelle18[[#This Row],[doc_id_strongest]]),0)),""))</f>
        <v/>
      </c>
      <c r="H5" s="33" t="str" cm="1">
        <f t="array" ref="H5">IF(Tabelle18[[#This Row],[doc_id_strongest]]="","",IFERROR(INDEX(Tabelle5[evidence_quote],MATCH(1,(Tabelle5[company_id]=Tabelle18[[#This Row],[company_id]])*(Tabelle5[value_id]=Tabelle18[[#This Row],[value_id]])*(Tabelle5[doc_id]=Tabelle18[[#This Row],[doc_id_strongest]]),0)),""))</f>
        <v/>
      </c>
    </row>
    <row r="6" spans="1:8" x14ac:dyDescent="0.25">
      <c r="A6" s="36">
        <v>1</v>
      </c>
      <c r="B6" t="s">
        <v>83</v>
      </c>
      <c r="C6" s="4">
        <f>IF(Tabelle18[[#This Row],[binding_level_company]]&gt;=1,1,0)</f>
        <v>0</v>
      </c>
      <c r="D6" s="4">
        <f>IFERROR(_xlfn.MAXIFS(Tabelle5[binding_level],Tabelle5[company_id],Tabelle18[[#This Row],[company_id]],Tabelle5[value_id],Tabelle18[[#This Row],[value_id]],Tabelle5[value_present],1),0)</f>
        <v>0</v>
      </c>
      <c r="E6" s="4">
        <f>IFERROR(_xlfn.MAXIFS(Tabelle5[value_points],Tabelle5[company_id],Tabelle18[[#This Row],[company_id]],Tabelle5[value_id],Tabelle18[[#This Row],[value_id]]),0)</f>
        <v>0</v>
      </c>
      <c r="F6" t="str">
        <f>IF(Tabelle18[[#This Row],[value_points_company]]=0,"",IFERROR(_xlfn.MINIFS(Tabelle5[doc_id],Tabelle5[company_id],Tabelle18[[#This Row],[company_id]],Tabelle5[value_id],Tabelle18[[#This Row],[value_id]],Tabelle5[value_points],Tabelle18[[#This Row],[value_points_company]]),""))</f>
        <v/>
      </c>
      <c r="G6" t="str" cm="1">
        <f t="array" ref="G6">IF(Tabelle18[[#This Row],[doc_id_strongest]]="","",IFERROR(INDEX(Tabelle5[evidence_location],MATCH(1,(Tabelle5[company_id]=Tabelle18[[#This Row],[company_id]])*(Tabelle5[value_id]=Tabelle18[[#This Row],[value_id]])*(Tabelle5[doc_id]=Tabelle18[[#This Row],[doc_id_strongest]]),0)),""))</f>
        <v/>
      </c>
      <c r="H6" s="33" t="str" cm="1">
        <f t="array" ref="H6">IF(Tabelle18[[#This Row],[doc_id_strongest]]="","",IFERROR(INDEX(Tabelle5[evidence_quote],MATCH(1,(Tabelle5[company_id]=Tabelle18[[#This Row],[company_id]])*(Tabelle5[value_id]=Tabelle18[[#This Row],[value_id]])*(Tabelle5[doc_id]=Tabelle18[[#This Row],[doc_id_strongest]]),0)),""))</f>
        <v/>
      </c>
    </row>
    <row r="7" spans="1:8" x14ac:dyDescent="0.25">
      <c r="A7" s="36">
        <v>1</v>
      </c>
      <c r="B7" t="s">
        <v>90</v>
      </c>
      <c r="C7" s="4">
        <f>IF(Tabelle18[[#This Row],[binding_level_company]]&gt;=1,1,0)</f>
        <v>0</v>
      </c>
      <c r="D7" s="4">
        <f>IFERROR(_xlfn.MAXIFS(Tabelle5[binding_level],Tabelle5[company_id],Tabelle18[[#This Row],[company_id]],Tabelle5[value_id],Tabelle18[[#This Row],[value_id]],Tabelle5[value_present],1),0)</f>
        <v>0</v>
      </c>
      <c r="E7" s="4">
        <f>IFERROR(_xlfn.MAXIFS(Tabelle5[value_points],Tabelle5[company_id],Tabelle18[[#This Row],[company_id]],Tabelle5[value_id],Tabelle18[[#This Row],[value_id]]),0)</f>
        <v>0</v>
      </c>
      <c r="F7" t="str">
        <f>IF(Tabelle18[[#This Row],[value_points_company]]=0,"",IFERROR(_xlfn.MINIFS(Tabelle5[doc_id],Tabelle5[company_id],Tabelle18[[#This Row],[company_id]],Tabelle5[value_id],Tabelle18[[#This Row],[value_id]],Tabelle5[value_points],Tabelle18[[#This Row],[value_points_company]]),""))</f>
        <v/>
      </c>
      <c r="G7" t="str" cm="1">
        <f t="array" ref="G7">IF(Tabelle18[[#This Row],[doc_id_strongest]]="","",IFERROR(INDEX(Tabelle5[evidence_location],MATCH(1,(Tabelle5[company_id]=Tabelle18[[#This Row],[company_id]])*(Tabelle5[value_id]=Tabelle18[[#This Row],[value_id]])*(Tabelle5[doc_id]=Tabelle18[[#This Row],[doc_id_strongest]]),0)),""))</f>
        <v/>
      </c>
      <c r="H7" s="33" t="str" cm="1">
        <f t="array" ref="H7">IF(Tabelle18[[#This Row],[doc_id_strongest]]="","",IFERROR(INDEX(Tabelle5[evidence_quote],MATCH(1,(Tabelle5[company_id]=Tabelle18[[#This Row],[company_id]])*(Tabelle5[value_id]=Tabelle18[[#This Row],[value_id]])*(Tabelle5[doc_id]=Tabelle18[[#This Row],[doc_id_strongest]]),0)),""))</f>
        <v/>
      </c>
    </row>
    <row r="8" spans="1:8" x14ac:dyDescent="0.25">
      <c r="A8" s="36">
        <v>1</v>
      </c>
      <c r="B8" t="s">
        <v>98</v>
      </c>
      <c r="C8" s="4">
        <f>IF(Tabelle18[[#This Row],[binding_level_company]]&gt;=1,1,0)</f>
        <v>0</v>
      </c>
      <c r="D8" s="4">
        <f>IFERROR(_xlfn.MAXIFS(Tabelle5[binding_level],Tabelle5[company_id],Tabelle18[[#This Row],[company_id]],Tabelle5[value_id],Tabelle18[[#This Row],[value_id]],Tabelle5[value_present],1),0)</f>
        <v>0</v>
      </c>
      <c r="E8" s="4">
        <f>IFERROR(_xlfn.MAXIFS(Tabelle5[value_points],Tabelle5[company_id],Tabelle18[[#This Row],[company_id]],Tabelle5[value_id],Tabelle18[[#This Row],[value_id]]),0)</f>
        <v>0</v>
      </c>
      <c r="F8" t="str">
        <f>IF(Tabelle18[[#This Row],[value_points_company]]=0,"",IFERROR(_xlfn.MINIFS(Tabelle5[doc_id],Tabelle5[company_id],Tabelle18[[#This Row],[company_id]],Tabelle5[value_id],Tabelle18[[#This Row],[value_id]],Tabelle5[value_points],Tabelle18[[#This Row],[value_points_company]]),""))</f>
        <v/>
      </c>
      <c r="G8" t="str" cm="1">
        <f t="array" ref="G8">IF(Tabelle18[[#This Row],[doc_id_strongest]]="","",IFERROR(INDEX(Tabelle5[evidence_location],MATCH(1,(Tabelle5[company_id]=Tabelle18[[#This Row],[company_id]])*(Tabelle5[value_id]=Tabelle18[[#This Row],[value_id]])*(Tabelle5[doc_id]=Tabelle18[[#This Row],[doc_id_strongest]]),0)),""))</f>
        <v/>
      </c>
      <c r="H8" s="33" t="str" cm="1">
        <f t="array" ref="H8">IF(Tabelle18[[#This Row],[doc_id_strongest]]="","",IFERROR(INDEX(Tabelle5[evidence_quote],MATCH(1,(Tabelle5[company_id]=Tabelle18[[#This Row],[company_id]])*(Tabelle5[value_id]=Tabelle18[[#This Row],[value_id]])*(Tabelle5[doc_id]=Tabelle18[[#This Row],[doc_id_strongest]]),0)),""))</f>
        <v/>
      </c>
    </row>
    <row r="9" spans="1:8" x14ac:dyDescent="0.25">
      <c r="A9" s="36">
        <v>1</v>
      </c>
      <c r="B9" t="s">
        <v>106</v>
      </c>
      <c r="C9" s="4">
        <f>IF(Tabelle18[[#This Row],[binding_level_company]]&gt;=1,1,0)</f>
        <v>0</v>
      </c>
      <c r="D9" s="4">
        <f>IFERROR(_xlfn.MAXIFS(Tabelle5[binding_level],Tabelle5[company_id],Tabelle18[[#This Row],[company_id]],Tabelle5[value_id],Tabelle18[[#This Row],[value_id]],Tabelle5[value_present],1),0)</f>
        <v>0</v>
      </c>
      <c r="E9" s="4">
        <f>IFERROR(_xlfn.MAXIFS(Tabelle5[value_points],Tabelle5[company_id],Tabelle18[[#This Row],[company_id]],Tabelle5[value_id],Tabelle18[[#This Row],[value_id]]),0)</f>
        <v>0</v>
      </c>
      <c r="F9" t="str">
        <f>IF(Tabelle18[[#This Row],[value_points_company]]=0,"",IFERROR(_xlfn.MINIFS(Tabelle5[doc_id],Tabelle5[company_id],Tabelle18[[#This Row],[company_id]],Tabelle5[value_id],Tabelle18[[#This Row],[value_id]],Tabelle5[value_points],Tabelle18[[#This Row],[value_points_company]]),""))</f>
        <v/>
      </c>
      <c r="G9" t="str" cm="1">
        <f t="array" ref="G9">IF(Tabelle18[[#This Row],[doc_id_strongest]]="","",IFERROR(INDEX(Tabelle5[evidence_location],MATCH(1,(Tabelle5[company_id]=Tabelle18[[#This Row],[company_id]])*(Tabelle5[value_id]=Tabelle18[[#This Row],[value_id]])*(Tabelle5[doc_id]=Tabelle18[[#This Row],[doc_id_strongest]]),0)),""))</f>
        <v/>
      </c>
      <c r="H9" s="33" t="str" cm="1">
        <f t="array" ref="H9">IF(Tabelle18[[#This Row],[doc_id_strongest]]="","",IFERROR(INDEX(Tabelle5[evidence_quote],MATCH(1,(Tabelle5[company_id]=Tabelle18[[#This Row],[company_id]])*(Tabelle5[value_id]=Tabelle18[[#This Row],[value_id]])*(Tabelle5[doc_id]=Tabelle18[[#This Row],[doc_id_strongest]]),0)),""))</f>
        <v/>
      </c>
    </row>
    <row r="10" spans="1:8" x14ac:dyDescent="0.25">
      <c r="A10" s="36">
        <v>1</v>
      </c>
      <c r="B10" t="s">
        <v>112</v>
      </c>
      <c r="C10" s="4">
        <f>IF(Tabelle18[[#This Row],[binding_level_company]]&gt;=1,1,0)</f>
        <v>0</v>
      </c>
      <c r="D10" s="4">
        <f>IFERROR(_xlfn.MAXIFS(Tabelle5[binding_level],Tabelle5[company_id],Tabelle18[[#This Row],[company_id]],Tabelle5[value_id],Tabelle18[[#This Row],[value_id]],Tabelle5[value_present],1),0)</f>
        <v>0</v>
      </c>
      <c r="E10" s="4">
        <f>IFERROR(_xlfn.MAXIFS(Tabelle5[value_points],Tabelle5[company_id],Tabelle18[[#This Row],[company_id]],Tabelle5[value_id],Tabelle18[[#This Row],[value_id]]),0)</f>
        <v>0</v>
      </c>
      <c r="F10" t="str">
        <f>IF(Tabelle18[[#This Row],[value_points_company]]=0,"",IFERROR(_xlfn.MINIFS(Tabelle5[doc_id],Tabelle5[company_id],Tabelle18[[#This Row],[company_id]],Tabelle5[value_id],Tabelle18[[#This Row],[value_id]],Tabelle5[value_points],Tabelle18[[#This Row],[value_points_company]]),""))</f>
        <v/>
      </c>
      <c r="G10" t="str" cm="1">
        <f t="array" ref="G10">IF(Tabelle18[[#This Row],[doc_id_strongest]]="","",IFERROR(INDEX(Tabelle5[evidence_location],MATCH(1,(Tabelle5[company_id]=Tabelle18[[#This Row],[company_id]])*(Tabelle5[value_id]=Tabelle18[[#This Row],[value_id]])*(Tabelle5[doc_id]=Tabelle18[[#This Row],[doc_id_strongest]]),0)),""))</f>
        <v/>
      </c>
      <c r="H10" s="33" t="str" cm="1">
        <f t="array" ref="H10">IF(Tabelle18[[#This Row],[doc_id_strongest]]="","",IFERROR(INDEX(Tabelle5[evidence_quote],MATCH(1,(Tabelle5[company_id]=Tabelle18[[#This Row],[company_id]])*(Tabelle5[value_id]=Tabelle18[[#This Row],[value_id]])*(Tabelle5[doc_id]=Tabelle18[[#This Row],[doc_id_strongest]]),0)),""))</f>
        <v/>
      </c>
    </row>
    <row r="11" spans="1:8" x14ac:dyDescent="0.25">
      <c r="A11" s="36">
        <v>1</v>
      </c>
      <c r="B11" t="s">
        <v>118</v>
      </c>
      <c r="C11" s="4">
        <f>IF(Tabelle18[[#This Row],[binding_level_company]]&gt;=1,1,0)</f>
        <v>0</v>
      </c>
      <c r="D11" s="4">
        <f>IFERROR(_xlfn.MAXIFS(Tabelle5[binding_level],Tabelle5[company_id],Tabelle18[[#This Row],[company_id]],Tabelle5[value_id],Tabelle18[[#This Row],[value_id]],Tabelle5[value_present],1),0)</f>
        <v>0</v>
      </c>
      <c r="E11" s="4">
        <f>IFERROR(_xlfn.MAXIFS(Tabelle5[value_points],Tabelle5[company_id],Tabelle18[[#This Row],[company_id]],Tabelle5[value_id],Tabelle18[[#This Row],[value_id]]),0)</f>
        <v>0</v>
      </c>
      <c r="F11" t="str">
        <f>IF(Tabelle18[[#This Row],[value_points_company]]=0,"",IFERROR(_xlfn.MINIFS(Tabelle5[doc_id],Tabelle5[company_id],Tabelle18[[#This Row],[company_id]],Tabelle5[value_id],Tabelle18[[#This Row],[value_id]],Tabelle5[value_points],Tabelle18[[#This Row],[value_points_company]]),""))</f>
        <v/>
      </c>
      <c r="G11" t="str" cm="1">
        <f t="array" ref="G11">IF(Tabelle18[[#This Row],[doc_id_strongest]]="","",IFERROR(INDEX(Tabelle5[evidence_location],MATCH(1,(Tabelle5[company_id]=Tabelle18[[#This Row],[company_id]])*(Tabelle5[value_id]=Tabelle18[[#This Row],[value_id]])*(Tabelle5[doc_id]=Tabelle18[[#This Row],[doc_id_strongest]]),0)),""))</f>
        <v/>
      </c>
      <c r="H11" s="33" t="str" cm="1">
        <f t="array" ref="H11">IF(Tabelle18[[#This Row],[doc_id_strongest]]="","",IFERROR(INDEX(Tabelle5[evidence_quote],MATCH(1,(Tabelle5[company_id]=Tabelle18[[#This Row],[company_id]])*(Tabelle5[value_id]=Tabelle18[[#This Row],[value_id]])*(Tabelle5[doc_id]=Tabelle18[[#This Row],[doc_id_strongest]]),0)),""))</f>
        <v/>
      </c>
    </row>
    <row r="12" spans="1:8" x14ac:dyDescent="0.25">
      <c r="A12" s="36">
        <v>1</v>
      </c>
      <c r="B12" t="s">
        <v>125</v>
      </c>
      <c r="C12" s="4">
        <f>IF(Tabelle18[[#This Row],[binding_level_company]]&gt;=1,1,0)</f>
        <v>0</v>
      </c>
      <c r="D12" s="4">
        <f>IFERROR(_xlfn.MAXIFS(Tabelle5[binding_level],Tabelle5[company_id],Tabelle18[[#This Row],[company_id]],Tabelle5[value_id],Tabelle18[[#This Row],[value_id]],Tabelle5[value_present],1),0)</f>
        <v>0</v>
      </c>
      <c r="E12" s="4">
        <f>IFERROR(_xlfn.MAXIFS(Tabelle5[value_points],Tabelle5[company_id],Tabelle18[[#This Row],[company_id]],Tabelle5[value_id],Tabelle18[[#This Row],[value_id]]),0)</f>
        <v>0</v>
      </c>
      <c r="F12" t="str">
        <f>IF(Tabelle18[[#This Row],[value_points_company]]=0,"",IFERROR(_xlfn.MINIFS(Tabelle5[doc_id],Tabelle5[company_id],Tabelle18[[#This Row],[company_id]],Tabelle5[value_id],Tabelle18[[#This Row],[value_id]],Tabelle5[value_points],Tabelle18[[#This Row],[value_points_company]]),""))</f>
        <v/>
      </c>
      <c r="G12" t="str" cm="1">
        <f t="array" ref="G12">IF(Tabelle18[[#This Row],[doc_id_strongest]]="","",IFERROR(INDEX(Tabelle5[evidence_location],MATCH(1,(Tabelle5[company_id]=Tabelle18[[#This Row],[company_id]])*(Tabelle5[value_id]=Tabelle18[[#This Row],[value_id]])*(Tabelle5[doc_id]=Tabelle18[[#This Row],[doc_id_strongest]]),0)),""))</f>
        <v/>
      </c>
      <c r="H12" s="33" t="str" cm="1">
        <f t="array" ref="H12">IF(Tabelle18[[#This Row],[doc_id_strongest]]="","",IFERROR(INDEX(Tabelle5[evidence_quote],MATCH(1,(Tabelle5[company_id]=Tabelle18[[#This Row],[company_id]])*(Tabelle5[value_id]=Tabelle18[[#This Row],[value_id]])*(Tabelle5[doc_id]=Tabelle18[[#This Row],[doc_id_strongest]]),0)),""))</f>
        <v/>
      </c>
    </row>
    <row r="13" spans="1:8" x14ac:dyDescent="0.25">
      <c r="A13" s="36">
        <v>1</v>
      </c>
      <c r="B13" t="s">
        <v>132</v>
      </c>
      <c r="C13" s="4">
        <f>IF(Tabelle18[[#This Row],[binding_level_company]]&gt;=1,1,0)</f>
        <v>0</v>
      </c>
      <c r="D13" s="4">
        <f>IFERROR(_xlfn.MAXIFS(Tabelle5[binding_level],Tabelle5[company_id],Tabelle18[[#This Row],[company_id]],Tabelle5[value_id],Tabelle18[[#This Row],[value_id]],Tabelle5[value_present],1),0)</f>
        <v>0</v>
      </c>
      <c r="E13" s="4">
        <f>IFERROR(_xlfn.MAXIFS(Tabelle5[value_points],Tabelle5[company_id],Tabelle18[[#This Row],[company_id]],Tabelle5[value_id],Tabelle18[[#This Row],[value_id]]),0)</f>
        <v>0</v>
      </c>
      <c r="F13" t="str">
        <f>IF(Tabelle18[[#This Row],[value_points_company]]=0,"",IFERROR(_xlfn.MINIFS(Tabelle5[doc_id],Tabelle5[company_id],Tabelle18[[#This Row],[company_id]],Tabelle5[value_id],Tabelle18[[#This Row],[value_id]],Tabelle5[value_points],Tabelle18[[#This Row],[value_points_company]]),""))</f>
        <v/>
      </c>
      <c r="G13" t="str" cm="1">
        <f t="array" ref="G13">IF(Tabelle18[[#This Row],[doc_id_strongest]]="","",IFERROR(INDEX(Tabelle5[evidence_location],MATCH(1,(Tabelle5[company_id]=Tabelle18[[#This Row],[company_id]])*(Tabelle5[value_id]=Tabelle18[[#This Row],[value_id]])*(Tabelle5[doc_id]=Tabelle18[[#This Row],[doc_id_strongest]]),0)),""))</f>
        <v/>
      </c>
      <c r="H13" s="33" t="str" cm="1">
        <f t="array" ref="H13">IF(Tabelle18[[#This Row],[doc_id_strongest]]="","",IFERROR(INDEX(Tabelle5[evidence_quote],MATCH(1,(Tabelle5[company_id]=Tabelle18[[#This Row],[company_id]])*(Tabelle5[value_id]=Tabelle18[[#This Row],[value_id]])*(Tabelle5[doc_id]=Tabelle18[[#This Row],[doc_id_strongest]]),0)),""))</f>
        <v/>
      </c>
    </row>
    <row r="14" spans="1:8" x14ac:dyDescent="0.25">
      <c r="A14" s="36">
        <v>1</v>
      </c>
      <c r="B14" t="s">
        <v>140</v>
      </c>
      <c r="C14" s="4">
        <f>IF(Tabelle18[[#This Row],[binding_level_company]]&gt;=1,1,0)</f>
        <v>0</v>
      </c>
      <c r="D14" s="4">
        <f>IFERROR(_xlfn.MAXIFS(Tabelle5[binding_level],Tabelle5[company_id],Tabelle18[[#This Row],[company_id]],Tabelle5[value_id],Tabelle18[[#This Row],[value_id]],Tabelle5[value_present],1),0)</f>
        <v>0</v>
      </c>
      <c r="E14" s="4">
        <f>IFERROR(_xlfn.MAXIFS(Tabelle5[value_points],Tabelle5[company_id],Tabelle18[[#This Row],[company_id]],Tabelle5[value_id],Tabelle18[[#This Row],[value_id]]),0)</f>
        <v>0</v>
      </c>
      <c r="F14" t="str">
        <f>IF(Tabelle18[[#This Row],[value_points_company]]=0,"",IFERROR(_xlfn.MINIFS(Tabelle5[doc_id],Tabelle5[company_id],Tabelle18[[#This Row],[company_id]],Tabelle5[value_id],Tabelle18[[#This Row],[value_id]],Tabelle5[value_points],Tabelle18[[#This Row],[value_points_company]]),""))</f>
        <v/>
      </c>
      <c r="G14" t="str" cm="1">
        <f t="array" ref="G14">IF(Tabelle18[[#This Row],[doc_id_strongest]]="","",IFERROR(INDEX(Tabelle5[evidence_location],MATCH(1,(Tabelle5[company_id]=Tabelle18[[#This Row],[company_id]])*(Tabelle5[value_id]=Tabelle18[[#This Row],[value_id]])*(Tabelle5[doc_id]=Tabelle18[[#This Row],[doc_id_strongest]]),0)),""))</f>
        <v/>
      </c>
      <c r="H14" s="33" t="str" cm="1">
        <f t="array" ref="H14">IF(Tabelle18[[#This Row],[doc_id_strongest]]="","",IFERROR(INDEX(Tabelle5[evidence_quote],MATCH(1,(Tabelle5[company_id]=Tabelle18[[#This Row],[company_id]])*(Tabelle5[value_id]=Tabelle18[[#This Row],[value_id]])*(Tabelle5[doc_id]=Tabelle18[[#This Row],[doc_id_strongest]]),0)),""))</f>
        <v/>
      </c>
    </row>
    <row r="15" spans="1:8" x14ac:dyDescent="0.25">
      <c r="A15" s="36">
        <v>1</v>
      </c>
      <c r="B15" t="s">
        <v>147</v>
      </c>
      <c r="C15" s="4">
        <f>IF(Tabelle18[[#This Row],[binding_level_company]]&gt;=1,1,0)</f>
        <v>0</v>
      </c>
      <c r="D15" s="4">
        <f>IFERROR(_xlfn.MAXIFS(Tabelle5[binding_level],Tabelle5[company_id],Tabelle18[[#This Row],[company_id]],Tabelle5[value_id],Tabelle18[[#This Row],[value_id]],Tabelle5[value_present],1),0)</f>
        <v>0</v>
      </c>
      <c r="E15" s="4">
        <f>IFERROR(_xlfn.MAXIFS(Tabelle5[value_points],Tabelle5[company_id],Tabelle18[[#This Row],[company_id]],Tabelle5[value_id],Tabelle18[[#This Row],[value_id]]),0)</f>
        <v>0</v>
      </c>
      <c r="F15" t="str">
        <f>IF(Tabelle18[[#This Row],[value_points_company]]=0,"",IFERROR(_xlfn.MINIFS(Tabelle5[doc_id],Tabelle5[company_id],Tabelle18[[#This Row],[company_id]],Tabelle5[value_id],Tabelle18[[#This Row],[value_id]],Tabelle5[value_points],Tabelle18[[#This Row],[value_points_company]]),""))</f>
        <v/>
      </c>
      <c r="G15" t="str" cm="1">
        <f t="array" ref="G15">IF(Tabelle18[[#This Row],[doc_id_strongest]]="","",IFERROR(INDEX(Tabelle5[evidence_location],MATCH(1,(Tabelle5[company_id]=Tabelle18[[#This Row],[company_id]])*(Tabelle5[value_id]=Tabelle18[[#This Row],[value_id]])*(Tabelle5[doc_id]=Tabelle18[[#This Row],[doc_id_strongest]]),0)),""))</f>
        <v/>
      </c>
      <c r="H15" s="33" t="str" cm="1">
        <f t="array" ref="H15">IF(Tabelle18[[#This Row],[doc_id_strongest]]="","",IFERROR(INDEX(Tabelle5[evidence_quote],MATCH(1,(Tabelle5[company_id]=Tabelle18[[#This Row],[company_id]])*(Tabelle5[value_id]=Tabelle18[[#This Row],[value_id]])*(Tabelle5[doc_id]=Tabelle18[[#This Row],[doc_id_strongest]]),0)),""))</f>
        <v/>
      </c>
    </row>
    <row r="16" spans="1:8" x14ac:dyDescent="0.25">
      <c r="A16" s="36">
        <v>1</v>
      </c>
      <c r="B16" t="s">
        <v>154</v>
      </c>
      <c r="C16" s="4">
        <f>IF(Tabelle18[[#This Row],[binding_level_company]]&gt;=1,1,0)</f>
        <v>0</v>
      </c>
      <c r="D16" s="4">
        <f>IFERROR(_xlfn.MAXIFS(Tabelle5[binding_level],Tabelle5[company_id],Tabelle18[[#This Row],[company_id]],Tabelle5[value_id],Tabelle18[[#This Row],[value_id]],Tabelle5[value_present],1),0)</f>
        <v>0</v>
      </c>
      <c r="E16" s="4">
        <f>IFERROR(_xlfn.MAXIFS(Tabelle5[value_points],Tabelle5[company_id],Tabelle18[[#This Row],[company_id]],Tabelle5[value_id],Tabelle18[[#This Row],[value_id]]),0)</f>
        <v>0</v>
      </c>
      <c r="F16" t="str">
        <f>IF(Tabelle18[[#This Row],[value_points_company]]=0,"",IFERROR(_xlfn.MINIFS(Tabelle5[doc_id],Tabelle5[company_id],Tabelle18[[#This Row],[company_id]],Tabelle5[value_id],Tabelle18[[#This Row],[value_id]],Tabelle5[value_points],Tabelle18[[#This Row],[value_points_company]]),""))</f>
        <v/>
      </c>
      <c r="G16" t="str" cm="1">
        <f t="array" ref="G16">IF(Tabelle18[[#This Row],[doc_id_strongest]]="","",IFERROR(INDEX(Tabelle5[evidence_location],MATCH(1,(Tabelle5[company_id]=Tabelle18[[#This Row],[company_id]])*(Tabelle5[value_id]=Tabelle18[[#This Row],[value_id]])*(Tabelle5[doc_id]=Tabelle18[[#This Row],[doc_id_strongest]]),0)),""))</f>
        <v/>
      </c>
      <c r="H16" s="33" t="str" cm="1">
        <f t="array" ref="H16">IF(Tabelle18[[#This Row],[doc_id_strongest]]="","",IFERROR(INDEX(Tabelle5[evidence_quote],MATCH(1,(Tabelle5[company_id]=Tabelle18[[#This Row],[company_id]])*(Tabelle5[value_id]=Tabelle18[[#This Row],[value_id]])*(Tabelle5[doc_id]=Tabelle18[[#This Row],[doc_id_strongest]]),0)),""))</f>
        <v/>
      </c>
    </row>
    <row r="17" spans="1:8" x14ac:dyDescent="0.25">
      <c r="A17" s="36">
        <v>1</v>
      </c>
      <c r="B17" t="s">
        <v>161</v>
      </c>
      <c r="C17" s="4">
        <f>IF(Tabelle18[[#This Row],[binding_level_company]]&gt;=1,1,0)</f>
        <v>0</v>
      </c>
      <c r="D17" s="4">
        <f>IFERROR(_xlfn.MAXIFS(Tabelle5[binding_level],Tabelle5[company_id],Tabelle18[[#This Row],[company_id]],Tabelle5[value_id],Tabelle18[[#This Row],[value_id]],Tabelle5[value_present],1),0)</f>
        <v>0</v>
      </c>
      <c r="E17" s="4">
        <f>IFERROR(_xlfn.MAXIFS(Tabelle5[value_points],Tabelle5[company_id],Tabelle18[[#This Row],[company_id]],Tabelle5[value_id],Tabelle18[[#This Row],[value_id]]),0)</f>
        <v>0</v>
      </c>
      <c r="F17" t="str">
        <f>IF(Tabelle18[[#This Row],[value_points_company]]=0,"",IFERROR(_xlfn.MINIFS(Tabelle5[doc_id],Tabelle5[company_id],Tabelle18[[#This Row],[company_id]],Tabelle5[value_id],Tabelle18[[#This Row],[value_id]],Tabelle5[value_points],Tabelle18[[#This Row],[value_points_company]]),""))</f>
        <v/>
      </c>
      <c r="G17" t="str" cm="1">
        <f t="array" ref="G17">IF(Tabelle18[[#This Row],[doc_id_strongest]]="","",IFERROR(INDEX(Tabelle5[evidence_location],MATCH(1,(Tabelle5[company_id]=Tabelle18[[#This Row],[company_id]])*(Tabelle5[value_id]=Tabelle18[[#This Row],[value_id]])*(Tabelle5[doc_id]=Tabelle18[[#This Row],[doc_id_strongest]]),0)),""))</f>
        <v/>
      </c>
      <c r="H17" s="33" t="str" cm="1">
        <f t="array" ref="H17">IF(Tabelle18[[#This Row],[doc_id_strongest]]="","",IFERROR(INDEX(Tabelle5[evidence_quote],MATCH(1,(Tabelle5[company_id]=Tabelle18[[#This Row],[company_id]])*(Tabelle5[value_id]=Tabelle18[[#This Row],[value_id]])*(Tabelle5[doc_id]=Tabelle18[[#This Row],[doc_id_strongest]]),0)),""))</f>
        <v/>
      </c>
    </row>
    <row r="18" spans="1:8" x14ac:dyDescent="0.25">
      <c r="A18" s="36">
        <v>1</v>
      </c>
      <c r="B18" t="s">
        <v>166</v>
      </c>
      <c r="C18" s="4">
        <f>IF(Tabelle18[[#This Row],[binding_level_company]]&gt;=1,1,0)</f>
        <v>0</v>
      </c>
      <c r="D18" s="4">
        <f>IFERROR(_xlfn.MAXIFS(Tabelle5[binding_level],Tabelle5[company_id],Tabelle18[[#This Row],[company_id]],Tabelle5[value_id],Tabelle18[[#This Row],[value_id]],Tabelle5[value_present],1),0)</f>
        <v>0</v>
      </c>
      <c r="E18" s="4">
        <f>IFERROR(_xlfn.MAXIFS(Tabelle5[value_points],Tabelle5[company_id],Tabelle18[[#This Row],[company_id]],Tabelle5[value_id],Tabelle18[[#This Row],[value_id]]),0)</f>
        <v>0</v>
      </c>
      <c r="F18" t="str">
        <f>IF(Tabelle18[[#This Row],[value_points_company]]=0,"",IFERROR(_xlfn.MINIFS(Tabelle5[doc_id],Tabelle5[company_id],Tabelle18[[#This Row],[company_id]],Tabelle5[value_id],Tabelle18[[#This Row],[value_id]],Tabelle5[value_points],Tabelle18[[#This Row],[value_points_company]]),""))</f>
        <v/>
      </c>
      <c r="G18" t="str" cm="1">
        <f t="array" ref="G18">IF(Tabelle18[[#This Row],[doc_id_strongest]]="","",IFERROR(INDEX(Tabelle5[evidence_location],MATCH(1,(Tabelle5[company_id]=Tabelle18[[#This Row],[company_id]])*(Tabelle5[value_id]=Tabelle18[[#This Row],[value_id]])*(Tabelle5[doc_id]=Tabelle18[[#This Row],[doc_id_strongest]]),0)),""))</f>
        <v/>
      </c>
      <c r="H18" s="33" t="str" cm="1">
        <f t="array" ref="H18">IF(Tabelle18[[#This Row],[doc_id_strongest]]="","",IFERROR(INDEX(Tabelle5[evidence_quote],MATCH(1,(Tabelle5[company_id]=Tabelle18[[#This Row],[company_id]])*(Tabelle5[value_id]=Tabelle18[[#This Row],[value_id]])*(Tabelle5[doc_id]=Tabelle18[[#This Row],[doc_id_strongest]]),0)),""))</f>
        <v/>
      </c>
    </row>
    <row r="19" spans="1:8" ht="15.75" thickBot="1" x14ac:dyDescent="0.3">
      <c r="A19" s="37">
        <v>1</v>
      </c>
      <c r="B19" s="30" t="s">
        <v>174</v>
      </c>
      <c r="C19" s="49">
        <f>IF(Tabelle18[[#This Row],[binding_level_company]]&gt;=1,1,0)</f>
        <v>0</v>
      </c>
      <c r="D19" s="49">
        <f>IFERROR(_xlfn.MAXIFS(Tabelle5[binding_level],Tabelle5[company_id],Tabelle18[[#This Row],[company_id]],Tabelle5[value_id],Tabelle18[[#This Row],[value_id]],Tabelle5[value_present],1),0)</f>
        <v>0</v>
      </c>
      <c r="E19" s="49">
        <f>IFERROR(_xlfn.MAXIFS(Tabelle5[value_points],Tabelle5[company_id],Tabelle18[[#This Row],[company_id]],Tabelle5[value_id],Tabelle18[[#This Row],[value_id]]),0)</f>
        <v>0</v>
      </c>
      <c r="F19" s="30" t="str">
        <f>IF(Tabelle18[[#This Row],[value_points_company]]=0,"",IFERROR(_xlfn.MINIFS(Tabelle5[doc_id],Tabelle5[company_id],Tabelle18[[#This Row],[company_id]],Tabelle5[value_id],Tabelle18[[#This Row],[value_id]],Tabelle5[value_points],Tabelle18[[#This Row],[value_points_company]]),""))</f>
        <v/>
      </c>
      <c r="G19" s="30" t="str" cm="1">
        <f t="array" ref="G19">IF(Tabelle18[[#This Row],[doc_id_strongest]]="","",IFERROR(INDEX(Tabelle5[evidence_location],MATCH(1,(Tabelle5[company_id]=Tabelle18[[#This Row],[company_id]])*(Tabelle5[value_id]=Tabelle18[[#This Row],[value_id]])*(Tabelle5[doc_id]=Tabelle18[[#This Row],[doc_id_strongest]]),0)),""))</f>
        <v/>
      </c>
      <c r="H19" s="34" t="str" cm="1">
        <f t="array" ref="H19">IF(Tabelle18[[#This Row],[doc_id_strongest]]="","",IFERROR(INDEX(Tabelle5[evidence_quote],MATCH(1,(Tabelle5[company_id]=Tabelle18[[#This Row],[company_id]])*(Tabelle5[value_id]=Tabelle18[[#This Row],[value_id]])*(Tabelle5[doc_id]=Tabelle18[[#This Row],[doc_id_strongest]]),0)),""))</f>
        <v/>
      </c>
    </row>
    <row r="20" spans="1:8" x14ac:dyDescent="0.25">
      <c r="A20" s="35">
        <v>2</v>
      </c>
      <c r="B20" s="22" t="s">
        <v>53</v>
      </c>
      <c r="C20" s="48">
        <f>IF(Tabelle18[[#This Row],[binding_level_company]]&gt;=1,1,0)</f>
        <v>1</v>
      </c>
      <c r="D20" s="48">
        <f>IFERROR(_xlfn.MAXIFS(Tabelle5[binding_level],Tabelle5[company_id],Tabelle18[[#This Row],[company_id]],Tabelle5[value_id],Tabelle18[[#This Row],[value_id]],Tabelle5[value_present],1),0)</f>
        <v>2</v>
      </c>
      <c r="E20" s="48">
        <f>IFERROR(_xlfn.MAXIFS(Tabelle5[value_points],Tabelle5[company_id],Tabelle18[[#This Row],[company_id]],Tabelle5[value_id],Tabelle18[[#This Row],[value_id]]),0)</f>
        <v>2</v>
      </c>
      <c r="F20" s="22">
        <f>IF(Tabelle18[[#This Row],[value_points_company]]=0,"",IFERROR(_xlfn.MINIFS(Tabelle5[doc_id],Tabelle5[company_id],Tabelle18[[#This Row],[company_id]],Tabelle5[value_id],Tabelle18[[#This Row],[value_id]],Tabelle5[value_points],Tabelle18[[#This Row],[value_points_company]]),""))</f>
        <v>9</v>
      </c>
      <c r="G20" s="22" t="str" cm="1">
        <f t="array" ref="G20">IF(Tabelle18[[#This Row],[doc_id_strongest]]="","",IFERROR(INDEX(Tabelle5[evidence_location],MATCH(1,(Tabelle5[company_id]=Tabelle18[[#This Row],[company_id]])*(Tabelle5[value_id]=Tabelle18[[#This Row],[value_id]])*(Tabelle5[doc_id]=Tabelle18[[#This Row],[doc_id_strongest]]),0)),""))</f>
        <v>S. 31, Digital Ethics</v>
      </c>
      <c r="H20" s="32" t="str" cm="1">
        <f t="array" ref="H20">IF(Tabelle18[[#This Row],[doc_id_strongest]]="","",IFERROR(INDEX(Tabelle5[evidence_quote],MATCH(1,(Tabelle5[company_id]=Tabelle18[[#This Row],[company_id]])*(Tabelle5[value_id]=Tabelle18[[#This Row],[value_id]])*(Tabelle5[doc_id]=Tabelle18[[#This Row],[doc_id_strongest]]),0)),""))</f>
        <v>“Use artificial intelligence to make decisions about personal, moral or political issues.”</v>
      </c>
    </row>
    <row r="21" spans="1:8" x14ac:dyDescent="0.25">
      <c r="A21" s="36">
        <v>2</v>
      </c>
      <c r="B21" t="s">
        <v>61</v>
      </c>
      <c r="C21" s="4">
        <f>IF(Tabelle18[[#This Row],[binding_level_company]]&gt;=1,1,0)</f>
        <v>1</v>
      </c>
      <c r="D21" s="4">
        <f>IFERROR(_xlfn.MAXIFS(Tabelle5[binding_level],Tabelle5[company_id],Tabelle18[[#This Row],[company_id]],Tabelle5[value_id],Tabelle18[[#This Row],[value_id]],Tabelle5[value_present],1),0)</f>
        <v>1</v>
      </c>
      <c r="E21" s="4">
        <f>IFERROR(_xlfn.MAXIFS(Tabelle5[value_points],Tabelle5[company_id],Tabelle18[[#This Row],[company_id]],Tabelle5[value_id],Tabelle18[[#This Row],[value_id]]),0)</f>
        <v>1</v>
      </c>
      <c r="F21">
        <f>IF(Tabelle18[[#This Row],[value_points_company]]=0,"",IFERROR(_xlfn.MINIFS(Tabelle5[doc_id],Tabelle5[company_id],Tabelle18[[#This Row],[company_id]],Tabelle5[value_id],Tabelle18[[#This Row],[value_id]],Tabelle5[value_points],Tabelle18[[#This Row],[value_points_company]]),""))</f>
        <v>8</v>
      </c>
      <c r="G21" t="str" cm="1">
        <f t="array" ref="G21">IF(Tabelle18[[#This Row],[doc_id_strongest]]="","",IFERROR(INDEX(Tabelle5[evidence_location],MATCH(1,(Tabelle5[company_id]=Tabelle18[[#This Row],[company_id]])*(Tabelle5[value_id]=Tabelle18[[#This Row],[value_id]])*(Tabelle5[doc_id]=Tabelle18[[#This Row],[doc_id_strongest]]),0)),""))</f>
        <v>S. 5, Our approach to Artificial Intelligence (AI)</v>
      </c>
      <c r="H21" s="33" t="str" cm="1">
        <f t="array" ref="H21">IF(Tabelle18[[#This Row],[doc_id_strongest]]="","",IFERROR(INDEX(Tabelle5[evidence_quote],MATCH(1,(Tabelle5[company_id]=Tabelle18[[#This Row],[company_id]])*(Tabelle5[value_id]=Tabelle18[[#This Row],[value_id]])*(Tabelle5[doc_id]=Tabelle18[[#This Row],[doc_id_strongest]]),0)),""))</f>
        <v>“takes responsibility for their function and consequences”</v>
      </c>
    </row>
    <row r="22" spans="1:8" x14ac:dyDescent="0.25">
      <c r="A22" s="36">
        <v>2</v>
      </c>
      <c r="B22" t="s">
        <v>69</v>
      </c>
      <c r="C22" s="4">
        <f>IF(Tabelle18[[#This Row],[binding_level_company]]&gt;=1,1,0)</f>
        <v>1</v>
      </c>
      <c r="D22" s="4">
        <f>IFERROR(_xlfn.MAXIFS(Tabelle5[binding_level],Tabelle5[company_id],Tabelle18[[#This Row],[company_id]],Tabelle5[value_id],Tabelle18[[#This Row],[value_id]],Tabelle5[value_present],1),0)</f>
        <v>2</v>
      </c>
      <c r="E22" s="4">
        <f>IFERROR(_xlfn.MAXIFS(Tabelle5[value_points],Tabelle5[company_id],Tabelle18[[#This Row],[company_id]],Tabelle5[value_id],Tabelle18[[#This Row],[value_id]]),0)</f>
        <v>2</v>
      </c>
      <c r="F22">
        <f>IF(Tabelle18[[#This Row],[value_points_company]]=0,"",IFERROR(_xlfn.MINIFS(Tabelle5[doc_id],Tabelle5[company_id],Tabelle18[[#This Row],[company_id]],Tabelle5[value_id],Tabelle18[[#This Row],[value_id]],Tabelle5[value_points],Tabelle18[[#This Row],[value_points_company]]),""))</f>
        <v>9</v>
      </c>
      <c r="G22" t="str" cm="1">
        <f t="array" ref="G22">IF(Tabelle18[[#This Row],[doc_id_strongest]]="","",IFERROR(INDEX(Tabelle5[evidence_location],MATCH(1,(Tabelle5[company_id]=Tabelle18[[#This Row],[company_id]])*(Tabelle5[value_id]=Tabelle18[[#This Row],[value_id]])*(Tabelle5[doc_id]=Tabelle18[[#This Row],[doc_id_strongest]]),0)),""))</f>
        <v>S. 31, Digital Ethics</v>
      </c>
      <c r="H22" s="33" t="str" cm="1">
        <f t="array" ref="H22">IF(Tabelle18[[#This Row],[doc_id_strongest]]="","",IFERROR(INDEX(Tabelle5[evidence_quote],MATCH(1,(Tabelle5[company_id]=Tabelle18[[#This Row],[company_id]])*(Tabelle5[value_id]=Tabelle18[[#This Row],[value_id]])*(Tabelle5[doc_id]=Tabelle18[[#This Row],[doc_id_strongest]]),0)),""))</f>
        <v>“without informing the users, and without explaining its purposes, inputs and outputs”</v>
      </c>
    </row>
    <row r="23" spans="1:8" x14ac:dyDescent="0.25">
      <c r="A23" s="36">
        <v>2</v>
      </c>
      <c r="B23" t="s">
        <v>76</v>
      </c>
      <c r="C23" s="4">
        <f>IF(Tabelle18[[#This Row],[binding_level_company]]&gt;=1,1,0)</f>
        <v>1</v>
      </c>
      <c r="D23" s="4">
        <f>IFERROR(_xlfn.MAXIFS(Tabelle5[binding_level],Tabelle5[company_id],Tabelle18[[#This Row],[company_id]],Tabelle5[value_id],Tabelle18[[#This Row],[value_id]],Tabelle5[value_present],1),0)</f>
        <v>2</v>
      </c>
      <c r="E23" s="4">
        <f>IFERROR(_xlfn.MAXIFS(Tabelle5[value_points],Tabelle5[company_id],Tabelle18[[#This Row],[company_id]],Tabelle5[value_id],Tabelle18[[#This Row],[value_id]]),0)</f>
        <v>2</v>
      </c>
      <c r="F23">
        <f>IF(Tabelle18[[#This Row],[value_points_company]]=0,"",IFERROR(_xlfn.MINIFS(Tabelle5[doc_id],Tabelle5[company_id],Tabelle18[[#This Row],[company_id]],Tabelle5[value_id],Tabelle18[[#This Row],[value_id]],Tabelle5[value_points],Tabelle18[[#This Row],[value_points_company]]),""))</f>
        <v>9</v>
      </c>
      <c r="G23" t="str" cm="1">
        <f t="array" ref="G23">IF(Tabelle18[[#This Row],[doc_id_strongest]]="","",IFERROR(INDEX(Tabelle5[evidence_location],MATCH(1,(Tabelle5[company_id]=Tabelle18[[#This Row],[company_id]])*(Tabelle5[value_id]=Tabelle18[[#This Row],[value_id]])*(Tabelle5[doc_id]=Tabelle18[[#This Row],[doc_id_strongest]]),0)),""))</f>
        <v>S. 31, Digital Ethics</v>
      </c>
      <c r="H23" s="33" t="str" cm="1">
        <f t="array" ref="H23">IF(Tabelle18[[#This Row],[doc_id_strongest]]="","",IFERROR(INDEX(Tabelle5[evidence_quote],MATCH(1,(Tabelle5[company_id]=Tabelle18[[#This Row],[company_id]])*(Tabelle5[value_id]=Tabelle18[[#This Row],[value_id]])*(Tabelle5[doc_id]=Tabelle18[[#This Row],[doc_id_strongest]]),0)),""))</f>
        <v>“without informing the users, and without explaining its purposes, inputs and outputs”</v>
      </c>
    </row>
    <row r="24" spans="1:8" x14ac:dyDescent="0.25">
      <c r="A24" s="36">
        <v>2</v>
      </c>
      <c r="B24" t="s">
        <v>83</v>
      </c>
      <c r="C24" s="4">
        <f>IF(Tabelle18[[#This Row],[binding_level_company]]&gt;=1,1,0)</f>
        <v>1</v>
      </c>
      <c r="D24" s="4">
        <f>IFERROR(_xlfn.MAXIFS(Tabelle5[binding_level],Tabelle5[company_id],Tabelle18[[#This Row],[company_id]],Tabelle5[value_id],Tabelle18[[#This Row],[value_id]],Tabelle5[value_present],1),0)</f>
        <v>3</v>
      </c>
      <c r="E24" s="4">
        <f>IFERROR(_xlfn.MAXIFS(Tabelle5[value_points],Tabelle5[company_id],Tabelle18[[#This Row],[company_id]],Tabelle5[value_id],Tabelle18[[#This Row],[value_id]]),0)</f>
        <v>3</v>
      </c>
      <c r="F24">
        <f>IF(Tabelle18[[#This Row],[value_points_company]]=0,"",IFERROR(_xlfn.MINIFS(Tabelle5[doc_id],Tabelle5[company_id],Tabelle18[[#This Row],[company_id]],Tabelle5[value_id],Tabelle18[[#This Row],[value_id]],Tabelle5[value_points],Tabelle18[[#This Row],[value_points_company]]),""))</f>
        <v>9</v>
      </c>
      <c r="G24" t="str" cm="1">
        <f t="array" ref="G24">IF(Tabelle18[[#This Row],[doc_id_strongest]]="","",IFERROR(INDEX(Tabelle5[evidence_location],MATCH(1,(Tabelle5[company_id]=Tabelle18[[#This Row],[company_id]])*(Tabelle5[value_id]=Tabelle18[[#This Row],[value_id]])*(Tabelle5[doc_id]=Tabelle18[[#This Row],[doc_id_strongest]]),0)),""))</f>
        <v>S. 31, Digital Ethics</v>
      </c>
      <c r="H24" s="33" t="str" cm="1">
        <f t="array" ref="H24">IF(Tabelle18[[#This Row],[doc_id_strongest]]="","",IFERROR(INDEX(Tabelle5[evidence_quote],MATCH(1,(Tabelle5[company_id]=Tabelle18[[#This Row],[company_id]])*(Tabelle5[value_id]=Tabelle18[[#This Row],[value_id]])*(Tabelle5[doc_id]=Tabelle18[[#This Row],[doc_id_strongest]]),0)),""))</f>
        <v>“Regularly review artificial intelligence systems to ensure fairness and prevent biases.”</v>
      </c>
    </row>
    <row r="25" spans="1:8" x14ac:dyDescent="0.25">
      <c r="A25" s="36">
        <v>2</v>
      </c>
      <c r="B25" t="s">
        <v>90</v>
      </c>
      <c r="C25" s="4">
        <f>IF(Tabelle18[[#This Row],[binding_level_company]]&gt;=1,1,0)</f>
        <v>1</v>
      </c>
      <c r="D25" s="4">
        <f>IFERROR(_xlfn.MAXIFS(Tabelle5[binding_level],Tabelle5[company_id],Tabelle18[[#This Row],[company_id]],Tabelle5[value_id],Tabelle18[[#This Row],[value_id]],Tabelle5[value_present],1),0)</f>
        <v>2</v>
      </c>
      <c r="E25" s="4">
        <f>IFERROR(_xlfn.MAXIFS(Tabelle5[value_points],Tabelle5[company_id],Tabelle18[[#This Row],[company_id]],Tabelle5[value_id],Tabelle18[[#This Row],[value_id]]),0)</f>
        <v>2</v>
      </c>
      <c r="F25">
        <f>IF(Tabelle18[[#This Row],[value_points_company]]=0,"",IFERROR(_xlfn.MINIFS(Tabelle5[doc_id],Tabelle5[company_id],Tabelle18[[#This Row],[company_id]],Tabelle5[value_id],Tabelle18[[#This Row],[value_id]],Tabelle5[value_points],Tabelle18[[#This Row],[value_points_company]]),""))</f>
        <v>9</v>
      </c>
      <c r="G25" t="str" cm="1">
        <f t="array" ref="G25">IF(Tabelle18[[#This Row],[doc_id_strongest]]="","",IFERROR(INDEX(Tabelle5[evidence_location],MATCH(1,(Tabelle5[company_id]=Tabelle18[[#This Row],[company_id]])*(Tabelle5[value_id]=Tabelle18[[#This Row],[value_id]])*(Tabelle5[doc_id]=Tabelle18[[#This Row],[doc_id_strongest]]),0)),""))</f>
        <v>S. 31, Digital Ethics</v>
      </c>
      <c r="H25" s="33" t="str" cm="1">
        <f t="array" ref="H25">IF(Tabelle18[[#This Row],[doc_id_strongest]]="","",IFERROR(INDEX(Tabelle5[evidence_quote],MATCH(1,(Tabelle5[company_id]=Tabelle18[[#This Row],[company_id]])*(Tabelle5[value_id]=Tabelle18[[#This Row],[value_id]])*(Tabelle5[doc_id]=Tabelle18[[#This Row],[doc_id_strongest]]),0)),""))</f>
        <v>“This includes respecting human rights and privacy.”; “Take measures to protect the personal information we manage and share.”</v>
      </c>
    </row>
    <row r="26" spans="1:8" x14ac:dyDescent="0.25">
      <c r="A26" s="36">
        <v>2</v>
      </c>
      <c r="B26" t="s">
        <v>98</v>
      </c>
      <c r="C26" s="4">
        <f>IF(Tabelle18[[#This Row],[binding_level_company]]&gt;=1,1,0)</f>
        <v>0</v>
      </c>
      <c r="D26" s="4">
        <f>IFERROR(_xlfn.MAXIFS(Tabelle5[binding_level],Tabelle5[company_id],Tabelle18[[#This Row],[company_id]],Tabelle5[value_id],Tabelle18[[#This Row],[value_id]],Tabelle5[value_present],1),0)</f>
        <v>0</v>
      </c>
      <c r="E26" s="4">
        <f>IFERROR(_xlfn.MAXIFS(Tabelle5[value_points],Tabelle5[company_id],Tabelle18[[#This Row],[company_id]],Tabelle5[value_id],Tabelle18[[#This Row],[value_id]]),0)</f>
        <v>0</v>
      </c>
      <c r="F26" t="str">
        <f>IF(Tabelle18[[#This Row],[value_points_company]]=0,"",IFERROR(_xlfn.MINIFS(Tabelle5[doc_id],Tabelle5[company_id],Tabelle18[[#This Row],[company_id]],Tabelle5[value_id],Tabelle18[[#This Row],[value_id]],Tabelle5[value_points],Tabelle18[[#This Row],[value_points_company]]),""))</f>
        <v/>
      </c>
      <c r="G26" t="str" cm="1">
        <f t="array" ref="G26">IF(Tabelle18[[#This Row],[doc_id_strongest]]="","",IFERROR(INDEX(Tabelle5[evidence_location],MATCH(1,(Tabelle5[company_id]=Tabelle18[[#This Row],[company_id]])*(Tabelle5[value_id]=Tabelle18[[#This Row],[value_id]])*(Tabelle5[doc_id]=Tabelle18[[#This Row],[doc_id_strongest]]),0)),""))</f>
        <v/>
      </c>
      <c r="H26" s="33" t="str" cm="1">
        <f t="array" ref="H26">IF(Tabelle18[[#This Row],[doc_id_strongest]]="","",IFERROR(INDEX(Tabelle5[evidence_quote],MATCH(1,(Tabelle5[company_id]=Tabelle18[[#This Row],[company_id]])*(Tabelle5[value_id]=Tabelle18[[#This Row],[value_id]])*(Tabelle5[doc_id]=Tabelle18[[#This Row],[doc_id_strongest]]),0)),""))</f>
        <v/>
      </c>
    </row>
    <row r="27" spans="1:8" x14ac:dyDescent="0.25">
      <c r="A27" s="36">
        <v>2</v>
      </c>
      <c r="B27" t="s">
        <v>106</v>
      </c>
      <c r="C27" s="4">
        <f>IF(Tabelle18[[#This Row],[binding_level_company]]&gt;=1,1,0)</f>
        <v>1</v>
      </c>
      <c r="D27" s="4">
        <f>IFERROR(_xlfn.MAXIFS(Tabelle5[binding_level],Tabelle5[company_id],Tabelle18[[#This Row],[company_id]],Tabelle5[value_id],Tabelle18[[#This Row],[value_id]],Tabelle5[value_present],1),0)</f>
        <v>1</v>
      </c>
      <c r="E27" s="4">
        <f>IFERROR(_xlfn.MAXIFS(Tabelle5[value_points],Tabelle5[company_id],Tabelle18[[#This Row],[company_id]],Tabelle5[value_id],Tabelle18[[#This Row],[value_id]]),0)</f>
        <v>1</v>
      </c>
      <c r="F27">
        <f>IF(Tabelle18[[#This Row],[value_points_company]]=0,"",IFERROR(_xlfn.MINIFS(Tabelle5[doc_id],Tabelle5[company_id],Tabelle18[[#This Row],[company_id]],Tabelle5[value_id],Tabelle18[[#This Row],[value_id]],Tabelle5[value_points],Tabelle18[[#This Row],[value_points_company]]),""))</f>
        <v>8</v>
      </c>
      <c r="G27" t="str" cm="1">
        <f t="array" ref="G27">IF(Tabelle18[[#This Row],[doc_id_strongest]]="","",IFERROR(INDEX(Tabelle5[evidence_location],MATCH(1,(Tabelle5[company_id]=Tabelle18[[#This Row],[company_id]])*(Tabelle5[value_id]=Tabelle18[[#This Row],[value_id]])*(Tabelle5[doc_id]=Tabelle18[[#This Row],[doc_id_strongest]]),0)),""))</f>
        <v>S. 5, Our approach to Artificial Intelligence (AI)</v>
      </c>
      <c r="H27" s="33" t="str" cm="1">
        <f t="array" ref="H27">IF(Tabelle18[[#This Row],[doc_id_strongest]]="","",IFERROR(INDEX(Tabelle5[evidence_quote],MATCH(1,(Tabelle5[company_id]=Tabelle18[[#This Row],[company_id]])*(Tabelle5[value_id]=Tabelle18[[#This Row],[value_id]])*(Tabelle5[doc_id]=Tabelle18[[#This Row],[doc_id_strongest]]),0)),""))</f>
        <v>“Safety is our top priority”</v>
      </c>
    </row>
    <row r="28" spans="1:8" x14ac:dyDescent="0.25">
      <c r="A28" s="36">
        <v>2</v>
      </c>
      <c r="B28" t="s">
        <v>112</v>
      </c>
      <c r="C28" s="4">
        <f>IF(Tabelle18[[#This Row],[binding_level_company]]&gt;=1,1,0)</f>
        <v>1</v>
      </c>
      <c r="D28" s="4">
        <f>IFERROR(_xlfn.MAXIFS(Tabelle5[binding_level],Tabelle5[company_id],Tabelle18[[#This Row],[company_id]],Tabelle5[value_id],Tabelle18[[#This Row],[value_id]],Tabelle5[value_present],1),0)</f>
        <v>1</v>
      </c>
      <c r="E28" s="4">
        <f>IFERROR(_xlfn.MAXIFS(Tabelle5[value_points],Tabelle5[company_id],Tabelle18[[#This Row],[company_id]],Tabelle5[value_id],Tabelle18[[#This Row],[value_id]]),0)</f>
        <v>1</v>
      </c>
      <c r="F28">
        <f>IF(Tabelle18[[#This Row],[value_points_company]]=0,"",IFERROR(_xlfn.MINIFS(Tabelle5[doc_id],Tabelle5[company_id],Tabelle18[[#This Row],[company_id]],Tabelle5[value_id],Tabelle18[[#This Row],[value_id]],Tabelle5[value_points],Tabelle18[[#This Row],[value_points_company]]),""))</f>
        <v>8</v>
      </c>
      <c r="G28" t="str" cm="1">
        <f t="array" ref="G28">IF(Tabelle18[[#This Row],[doc_id_strongest]]="","",IFERROR(INDEX(Tabelle5[evidence_location],MATCH(1,(Tabelle5[company_id]=Tabelle18[[#This Row],[company_id]])*(Tabelle5[value_id]=Tabelle18[[#This Row],[value_id]])*(Tabelle5[doc_id]=Tabelle18[[#This Row],[doc_id_strongest]]),0)),""))</f>
        <v>S. 5, Our approach to Artificial Intelligence (AI)</v>
      </c>
      <c r="H28" s="33" t="str" cm="1">
        <f t="array" ref="H28">IF(Tabelle18[[#This Row],[doc_id_strongest]]="","",IFERROR(INDEX(Tabelle5[evidence_quote],MATCH(1,(Tabelle5[company_id]=Tabelle18[[#This Row],[company_id]])*(Tabelle5[value_id]=Tabelle18[[#This Row],[value_id]])*(Tabelle5[doc_id]=Tabelle18[[#This Row],[doc_id_strongest]]),0)),""))</f>
        <v>“highest standards of reliability and dependability”</v>
      </c>
    </row>
    <row r="29" spans="1:8" x14ac:dyDescent="0.25">
      <c r="A29" s="36">
        <v>2</v>
      </c>
      <c r="B29" t="s">
        <v>118</v>
      </c>
      <c r="C29" s="4">
        <f>IF(Tabelle18[[#This Row],[binding_level_company]]&gt;=1,1,0)</f>
        <v>0</v>
      </c>
      <c r="D29" s="4">
        <f>IFERROR(_xlfn.MAXIFS(Tabelle5[binding_level],Tabelle5[company_id],Tabelle18[[#This Row],[company_id]],Tabelle5[value_id],Tabelle18[[#This Row],[value_id]],Tabelle5[value_present],1),0)</f>
        <v>0</v>
      </c>
      <c r="E29" s="4">
        <f>IFERROR(_xlfn.MAXIFS(Tabelle5[value_points],Tabelle5[company_id],Tabelle18[[#This Row],[company_id]],Tabelle5[value_id],Tabelle18[[#This Row],[value_id]]),0)</f>
        <v>0</v>
      </c>
      <c r="F29" t="str">
        <f>IF(Tabelle18[[#This Row],[value_points_company]]=0,"",IFERROR(_xlfn.MINIFS(Tabelle5[doc_id],Tabelle5[company_id],Tabelle18[[#This Row],[company_id]],Tabelle5[value_id],Tabelle18[[#This Row],[value_id]],Tabelle5[value_points],Tabelle18[[#This Row],[value_points_company]]),""))</f>
        <v/>
      </c>
      <c r="G29" t="str" cm="1">
        <f t="array" ref="G29">IF(Tabelle18[[#This Row],[doc_id_strongest]]="","",IFERROR(INDEX(Tabelle5[evidence_location],MATCH(1,(Tabelle5[company_id]=Tabelle18[[#This Row],[company_id]])*(Tabelle5[value_id]=Tabelle18[[#This Row],[value_id]])*(Tabelle5[doc_id]=Tabelle18[[#This Row],[doc_id_strongest]]),0)),""))</f>
        <v/>
      </c>
      <c r="H29" s="33" t="str" cm="1">
        <f t="array" ref="H29">IF(Tabelle18[[#This Row],[doc_id_strongest]]="","",IFERROR(INDEX(Tabelle5[evidence_quote],MATCH(1,(Tabelle5[company_id]=Tabelle18[[#This Row],[company_id]])*(Tabelle5[value_id]=Tabelle18[[#This Row],[value_id]])*(Tabelle5[doc_id]=Tabelle18[[#This Row],[doc_id_strongest]]),0)),""))</f>
        <v/>
      </c>
    </row>
    <row r="30" spans="1:8" x14ac:dyDescent="0.25">
      <c r="A30" s="36">
        <v>2</v>
      </c>
      <c r="B30" t="s">
        <v>125</v>
      </c>
      <c r="C30" s="4">
        <f>IF(Tabelle18[[#This Row],[binding_level_company]]&gt;=1,1,0)</f>
        <v>0</v>
      </c>
      <c r="D30" s="4">
        <f>IFERROR(_xlfn.MAXIFS(Tabelle5[binding_level],Tabelle5[company_id],Tabelle18[[#This Row],[company_id]],Tabelle5[value_id],Tabelle18[[#This Row],[value_id]],Tabelle5[value_present],1),0)</f>
        <v>0</v>
      </c>
      <c r="E30" s="4">
        <f>IFERROR(_xlfn.MAXIFS(Tabelle5[value_points],Tabelle5[company_id],Tabelle18[[#This Row],[company_id]],Tabelle5[value_id],Tabelle18[[#This Row],[value_id]]),0)</f>
        <v>0</v>
      </c>
      <c r="F30" t="str">
        <f>IF(Tabelle18[[#This Row],[value_points_company]]=0,"",IFERROR(_xlfn.MINIFS(Tabelle5[doc_id],Tabelle5[company_id],Tabelle18[[#This Row],[company_id]],Tabelle5[value_id],Tabelle18[[#This Row],[value_id]],Tabelle5[value_points],Tabelle18[[#This Row],[value_points_company]]),""))</f>
        <v/>
      </c>
      <c r="G30" t="str" cm="1">
        <f t="array" ref="G30">IF(Tabelle18[[#This Row],[doc_id_strongest]]="","",IFERROR(INDEX(Tabelle5[evidence_location],MATCH(1,(Tabelle5[company_id]=Tabelle18[[#This Row],[company_id]])*(Tabelle5[value_id]=Tabelle18[[#This Row],[value_id]])*(Tabelle5[doc_id]=Tabelle18[[#This Row],[doc_id_strongest]]),0)),""))</f>
        <v/>
      </c>
      <c r="H30" s="33" t="str" cm="1">
        <f t="array" ref="H30">IF(Tabelle18[[#This Row],[doc_id_strongest]]="","",IFERROR(INDEX(Tabelle5[evidence_quote],MATCH(1,(Tabelle5[company_id]=Tabelle18[[#This Row],[company_id]])*(Tabelle5[value_id]=Tabelle18[[#This Row],[value_id]])*(Tabelle5[doc_id]=Tabelle18[[#This Row],[doc_id_strongest]]),0)),""))</f>
        <v/>
      </c>
    </row>
    <row r="31" spans="1:8" x14ac:dyDescent="0.25">
      <c r="A31" s="36">
        <v>2</v>
      </c>
      <c r="B31" t="s">
        <v>132</v>
      </c>
      <c r="C31" s="4">
        <f>IF(Tabelle18[[#This Row],[binding_level_company]]&gt;=1,1,0)</f>
        <v>1</v>
      </c>
      <c r="D31" s="4">
        <f>IFERROR(_xlfn.MAXIFS(Tabelle5[binding_level],Tabelle5[company_id],Tabelle18[[#This Row],[company_id]],Tabelle5[value_id],Tabelle18[[#This Row],[value_id]],Tabelle5[value_present],1),0)</f>
        <v>1</v>
      </c>
      <c r="E31" s="4">
        <f>IFERROR(_xlfn.MAXIFS(Tabelle5[value_points],Tabelle5[company_id],Tabelle18[[#This Row],[company_id]],Tabelle5[value_id],Tabelle18[[#This Row],[value_id]]),0)</f>
        <v>1</v>
      </c>
      <c r="F31">
        <f>IF(Tabelle18[[#This Row],[value_points_company]]=0,"",IFERROR(_xlfn.MINIFS(Tabelle5[doc_id],Tabelle5[company_id],Tabelle18[[#This Row],[company_id]],Tabelle5[value_id],Tabelle18[[#This Row],[value_id]],Tabelle5[value_points],Tabelle18[[#This Row],[value_points_company]]),""))</f>
        <v>8</v>
      </c>
      <c r="G31" t="str" cm="1">
        <f t="array" ref="G31">IF(Tabelle18[[#This Row],[doc_id_strongest]]="","",IFERROR(INDEX(Tabelle5[evidence_location],MATCH(1,(Tabelle5[company_id]=Tabelle18[[#This Row],[company_id]])*(Tabelle5[value_id]=Tabelle18[[#This Row],[value_id]])*(Tabelle5[doc_id]=Tabelle18[[#This Row],[doc_id_strongest]]),0)),""))</f>
        <v>S. 5, Our approach to Artificial Intelligence (AI)</v>
      </c>
      <c r="H31" s="33" t="str" cm="1">
        <f t="array" ref="H31">IF(Tabelle18[[#This Row],[doc_id_strongest]]="","",IFERROR(INDEX(Tabelle5[evidence_quote],MATCH(1,(Tabelle5[company_id]=Tabelle18[[#This Row],[company_id]])*(Tabelle5[value_id]=Tabelle18[[#This Row],[value_id]])*(Tabelle5[doc_id]=Tabelle18[[#This Row],[doc_id_strongest]]),0)),""))</f>
        <v>“enhance societal wellbeing”; “contribute to our sustainability goals by respecting the planet”</v>
      </c>
    </row>
    <row r="32" spans="1:8" x14ac:dyDescent="0.25">
      <c r="A32" s="36">
        <v>2</v>
      </c>
      <c r="B32" t="s">
        <v>140</v>
      </c>
      <c r="C32" s="4">
        <f>IF(Tabelle18[[#This Row],[binding_level_company]]&gt;=1,1,0)</f>
        <v>1</v>
      </c>
      <c r="D32" s="4">
        <f>IFERROR(_xlfn.MAXIFS(Tabelle5[binding_level],Tabelle5[company_id],Tabelle18[[#This Row],[company_id]],Tabelle5[value_id],Tabelle18[[#This Row],[value_id]],Tabelle5[value_present],1),0)</f>
        <v>1</v>
      </c>
      <c r="E32" s="4">
        <f>IFERROR(_xlfn.MAXIFS(Tabelle5[value_points],Tabelle5[company_id],Tabelle18[[#This Row],[company_id]],Tabelle5[value_id],Tabelle18[[#This Row],[value_id]]),0)</f>
        <v>1</v>
      </c>
      <c r="F32">
        <f>IF(Tabelle18[[#This Row],[value_points_company]]=0,"",IFERROR(_xlfn.MINIFS(Tabelle5[doc_id],Tabelle5[company_id],Tabelle18[[#This Row],[company_id]],Tabelle5[value_id],Tabelle18[[#This Row],[value_id]],Tabelle5[value_points],Tabelle18[[#This Row],[value_points_company]]),""))</f>
        <v>8</v>
      </c>
      <c r="G32" t="str" cm="1">
        <f t="array" ref="G32">IF(Tabelle18[[#This Row],[doc_id_strongest]]="","",IFERROR(INDEX(Tabelle5[evidence_location],MATCH(1,(Tabelle5[company_id]=Tabelle18[[#This Row],[company_id]])*(Tabelle5[value_id]=Tabelle18[[#This Row],[value_id]])*(Tabelle5[doc_id]=Tabelle18[[#This Row],[doc_id_strongest]]),0)),""))</f>
        <v>S. 5, Our approach to Artificial Intelligence (AI)</v>
      </c>
      <c r="H32" s="33" t="str" cm="1">
        <f t="array" ref="H32">IF(Tabelle18[[#This Row],[doc_id_strongest]]="","",IFERROR(INDEX(Tabelle5[evidence_quote],MATCH(1,(Tabelle5[company_id]=Tabelle18[[#This Row],[company_id]])*(Tabelle5[value_id]=Tabelle18[[#This Row],[value_id]])*(Tabelle5[doc_id]=Tabelle18[[#This Row],[doc_id_strongest]]),0)),""))</f>
        <v>“enhance societal wellbeing”</v>
      </c>
    </row>
    <row r="33" spans="1:8" x14ac:dyDescent="0.25">
      <c r="A33" s="36">
        <v>2</v>
      </c>
      <c r="B33" t="s">
        <v>147</v>
      </c>
      <c r="C33" s="4">
        <f>IF(Tabelle18[[#This Row],[binding_level_company]]&gt;=1,1,0)</f>
        <v>1</v>
      </c>
      <c r="D33" s="4">
        <f>IFERROR(_xlfn.MAXIFS(Tabelle5[binding_level],Tabelle5[company_id],Tabelle18[[#This Row],[company_id]],Tabelle5[value_id],Tabelle18[[#This Row],[value_id]],Tabelle5[value_present],1),0)</f>
        <v>2</v>
      </c>
      <c r="E33" s="4">
        <f>IFERROR(_xlfn.MAXIFS(Tabelle5[value_points],Tabelle5[company_id],Tabelle18[[#This Row],[company_id]],Tabelle5[value_id],Tabelle18[[#This Row],[value_id]]),0)</f>
        <v>2</v>
      </c>
      <c r="F33">
        <f>IF(Tabelle18[[#This Row],[value_points_company]]=0,"",IFERROR(_xlfn.MINIFS(Tabelle5[doc_id],Tabelle5[company_id],Tabelle18[[#This Row],[company_id]],Tabelle5[value_id],Tabelle18[[#This Row],[value_id]],Tabelle5[value_points],Tabelle18[[#This Row],[value_points_company]]),""))</f>
        <v>9</v>
      </c>
      <c r="G33" t="str" cm="1">
        <f t="array" ref="G33">IF(Tabelle18[[#This Row],[doc_id_strongest]]="","",IFERROR(INDEX(Tabelle5[evidence_location],MATCH(1,(Tabelle5[company_id]=Tabelle18[[#This Row],[company_id]])*(Tabelle5[value_id]=Tabelle18[[#This Row],[value_id]])*(Tabelle5[doc_id]=Tabelle18[[#This Row],[doc_id_strongest]]),0)),""))</f>
        <v>S. 31, Digital Ethics</v>
      </c>
      <c r="H33" s="33" t="str" cm="1">
        <f t="array" ref="H33">IF(Tabelle18[[#This Row],[doc_id_strongest]]="","",IFERROR(INDEX(Tabelle5[evidence_quote],MATCH(1,(Tabelle5[company_id]=Tabelle18[[#This Row],[company_id]])*(Tabelle5[value_id]=Tabelle18[[#This Row],[value_id]])*(Tabelle5[doc_id]=Tabelle18[[#This Row],[doc_id_strongest]]),0)),""))</f>
        <v>“using digital technologies legally, responsibly and ethically”</v>
      </c>
    </row>
    <row r="34" spans="1:8" x14ac:dyDescent="0.25">
      <c r="A34" s="36">
        <v>2</v>
      </c>
      <c r="B34" t="s">
        <v>154</v>
      </c>
      <c r="C34" s="4">
        <f>IF(Tabelle18[[#This Row],[binding_level_company]]&gt;=1,1,0)</f>
        <v>1</v>
      </c>
      <c r="D34" s="4">
        <f>IFERROR(_xlfn.MAXIFS(Tabelle5[binding_level],Tabelle5[company_id],Tabelle18[[#This Row],[company_id]],Tabelle5[value_id],Tabelle18[[#This Row],[value_id]],Tabelle5[value_present],1),0)</f>
        <v>2</v>
      </c>
      <c r="E34" s="4">
        <f>IFERROR(_xlfn.MAXIFS(Tabelle5[value_points],Tabelle5[company_id],Tabelle18[[#This Row],[company_id]],Tabelle5[value_id],Tabelle18[[#This Row],[value_id]]),0)</f>
        <v>2</v>
      </c>
      <c r="F34">
        <f>IF(Tabelle18[[#This Row],[value_points_company]]=0,"",IFERROR(_xlfn.MINIFS(Tabelle5[doc_id],Tabelle5[company_id],Tabelle18[[#This Row],[company_id]],Tabelle5[value_id],Tabelle18[[#This Row],[value_id]],Tabelle5[value_points],Tabelle18[[#This Row],[value_points_company]]),""))</f>
        <v>9</v>
      </c>
      <c r="G34" t="str" cm="1">
        <f t="array" ref="G34">IF(Tabelle18[[#This Row],[doc_id_strongest]]="","",IFERROR(INDEX(Tabelle5[evidence_location],MATCH(1,(Tabelle5[company_id]=Tabelle18[[#This Row],[company_id]])*(Tabelle5[value_id]=Tabelle18[[#This Row],[value_id]])*(Tabelle5[doc_id]=Tabelle18[[#This Row],[doc_id_strongest]]),0)),""))</f>
        <v>S. 31, Digital Ethics</v>
      </c>
      <c r="H34" s="33" t="str" cm="1">
        <f t="array" ref="H34">IF(Tabelle18[[#This Row],[doc_id_strongest]]="","",IFERROR(INDEX(Tabelle5[evidence_quote],MATCH(1,(Tabelle5[company_id]=Tabelle18[[#This Row],[company_id]])*(Tabelle5[value_id]=Tabelle18[[#This Row],[value_id]])*(Tabelle5[doc_id]=Tabelle18[[#This Row],[doc_id_strongest]]),0)),""))</f>
        <v>“using digital technologies legally, responsibly and ethically”</v>
      </c>
    </row>
    <row r="35" spans="1:8" x14ac:dyDescent="0.25">
      <c r="A35" s="36">
        <v>2</v>
      </c>
      <c r="B35" t="s">
        <v>161</v>
      </c>
      <c r="C35" s="4">
        <f>IF(Tabelle18[[#This Row],[binding_level_company]]&gt;=1,1,0)</f>
        <v>0</v>
      </c>
      <c r="D35" s="4">
        <f>IFERROR(_xlfn.MAXIFS(Tabelle5[binding_level],Tabelle5[company_id],Tabelle18[[#This Row],[company_id]],Tabelle5[value_id],Tabelle18[[#This Row],[value_id]],Tabelle5[value_present],1),0)</f>
        <v>0</v>
      </c>
      <c r="E35" s="4">
        <f>IFERROR(_xlfn.MAXIFS(Tabelle5[value_points],Tabelle5[company_id],Tabelle18[[#This Row],[company_id]],Tabelle5[value_id],Tabelle18[[#This Row],[value_id]]),0)</f>
        <v>0</v>
      </c>
      <c r="F35" t="str">
        <f>IF(Tabelle18[[#This Row],[value_points_company]]=0,"",IFERROR(_xlfn.MINIFS(Tabelle5[doc_id],Tabelle5[company_id],Tabelle18[[#This Row],[company_id]],Tabelle5[value_id],Tabelle18[[#This Row],[value_id]],Tabelle5[value_points],Tabelle18[[#This Row],[value_points_company]]),""))</f>
        <v/>
      </c>
      <c r="G35" t="str" cm="1">
        <f t="array" ref="G35">IF(Tabelle18[[#This Row],[doc_id_strongest]]="","",IFERROR(INDEX(Tabelle5[evidence_location],MATCH(1,(Tabelle5[company_id]=Tabelle18[[#This Row],[company_id]])*(Tabelle5[value_id]=Tabelle18[[#This Row],[value_id]])*(Tabelle5[doc_id]=Tabelle18[[#This Row],[doc_id_strongest]]),0)),""))</f>
        <v/>
      </c>
      <c r="H35" s="33" t="str" cm="1">
        <f t="array" ref="H35">IF(Tabelle18[[#This Row],[doc_id_strongest]]="","",IFERROR(INDEX(Tabelle5[evidence_quote],MATCH(1,(Tabelle5[company_id]=Tabelle18[[#This Row],[company_id]])*(Tabelle5[value_id]=Tabelle18[[#This Row],[value_id]])*(Tabelle5[doc_id]=Tabelle18[[#This Row],[doc_id_strongest]]),0)),""))</f>
        <v/>
      </c>
    </row>
    <row r="36" spans="1:8" x14ac:dyDescent="0.25">
      <c r="A36" s="36">
        <v>2</v>
      </c>
      <c r="B36" t="s">
        <v>166</v>
      </c>
      <c r="C36" s="4">
        <f>IF(Tabelle18[[#This Row],[binding_level_company]]&gt;=1,1,0)</f>
        <v>0</v>
      </c>
      <c r="D36" s="4">
        <f>IFERROR(_xlfn.MAXIFS(Tabelle5[binding_level],Tabelle5[company_id],Tabelle18[[#This Row],[company_id]],Tabelle5[value_id],Tabelle18[[#This Row],[value_id]],Tabelle5[value_present],1),0)</f>
        <v>0</v>
      </c>
      <c r="E36" s="4">
        <f>IFERROR(_xlfn.MAXIFS(Tabelle5[value_points],Tabelle5[company_id],Tabelle18[[#This Row],[company_id]],Tabelle5[value_id],Tabelle18[[#This Row],[value_id]]),0)</f>
        <v>0</v>
      </c>
      <c r="F36" t="str">
        <f>IF(Tabelle18[[#This Row],[value_points_company]]=0,"",IFERROR(_xlfn.MINIFS(Tabelle5[doc_id],Tabelle5[company_id],Tabelle18[[#This Row],[company_id]],Tabelle5[value_id],Tabelle18[[#This Row],[value_id]],Tabelle5[value_points],Tabelle18[[#This Row],[value_points_company]]),""))</f>
        <v/>
      </c>
      <c r="G36" t="str" cm="1">
        <f t="array" ref="G36">IF(Tabelle18[[#This Row],[doc_id_strongest]]="","",IFERROR(INDEX(Tabelle5[evidence_location],MATCH(1,(Tabelle5[company_id]=Tabelle18[[#This Row],[company_id]])*(Tabelle5[value_id]=Tabelle18[[#This Row],[value_id]])*(Tabelle5[doc_id]=Tabelle18[[#This Row],[doc_id_strongest]]),0)),""))</f>
        <v/>
      </c>
      <c r="H36" s="33" t="str" cm="1">
        <f t="array" ref="H36">IF(Tabelle18[[#This Row],[doc_id_strongest]]="","",IFERROR(INDEX(Tabelle5[evidence_quote],MATCH(1,(Tabelle5[company_id]=Tabelle18[[#This Row],[company_id]])*(Tabelle5[value_id]=Tabelle18[[#This Row],[value_id]])*(Tabelle5[doc_id]=Tabelle18[[#This Row],[doc_id_strongest]]),0)),""))</f>
        <v/>
      </c>
    </row>
    <row r="37" spans="1:8" ht="15.75" thickBot="1" x14ac:dyDescent="0.3">
      <c r="A37" s="37">
        <v>2</v>
      </c>
      <c r="B37" s="30" t="s">
        <v>174</v>
      </c>
      <c r="C37" s="49">
        <f>IF(Tabelle18[[#This Row],[binding_level_company]]&gt;=1,1,0)</f>
        <v>1</v>
      </c>
      <c r="D37" s="49">
        <f>IFERROR(_xlfn.MAXIFS(Tabelle5[binding_level],Tabelle5[company_id],Tabelle18[[#This Row],[company_id]],Tabelle5[value_id],Tabelle18[[#This Row],[value_id]],Tabelle5[value_present],1),0)</f>
        <v>2</v>
      </c>
      <c r="E37" s="49">
        <f>IFERROR(_xlfn.MAXIFS(Tabelle5[value_points],Tabelle5[company_id],Tabelle18[[#This Row],[company_id]],Tabelle5[value_id],Tabelle18[[#This Row],[value_id]]),0)</f>
        <v>2</v>
      </c>
      <c r="F37" s="30">
        <f>IF(Tabelle18[[#This Row],[value_points_company]]=0,"",IFERROR(_xlfn.MINIFS(Tabelle5[doc_id],Tabelle5[company_id],Tabelle18[[#This Row],[company_id]],Tabelle5[value_id],Tabelle18[[#This Row],[value_id]],Tabelle5[value_points],Tabelle18[[#This Row],[value_points_company]]),""))</f>
        <v>9</v>
      </c>
      <c r="G37" s="30" t="str" cm="1">
        <f t="array" ref="G37">IF(Tabelle18[[#This Row],[doc_id_strongest]]="","",IFERROR(INDEX(Tabelle5[evidence_location],MATCH(1,(Tabelle5[company_id]=Tabelle18[[#This Row],[company_id]])*(Tabelle5[value_id]=Tabelle18[[#This Row],[value_id]])*(Tabelle5[doc_id]=Tabelle18[[#This Row],[doc_id_strongest]]),0)),""))</f>
        <v>S. 31, Digital Ethics</v>
      </c>
      <c r="H37" s="34" t="str" cm="1">
        <f t="array" ref="H37">IF(Tabelle18[[#This Row],[doc_id_strongest]]="","",IFERROR(INDEX(Tabelle5[evidence_quote],MATCH(1,(Tabelle5[company_id]=Tabelle18[[#This Row],[company_id]])*(Tabelle5[value_id]=Tabelle18[[#This Row],[value_id]])*(Tabelle5[doc_id]=Tabelle18[[#This Row],[doc_id_strongest]]),0)),""))</f>
        <v>“This includes respecting human rights and privacy.”</v>
      </c>
    </row>
    <row r="38" spans="1:8" x14ac:dyDescent="0.25">
      <c r="A38" s="35">
        <v>3</v>
      </c>
      <c r="B38" s="22" t="s">
        <v>53</v>
      </c>
      <c r="C38" s="48">
        <f>IF(Tabelle18[[#This Row],[binding_level_company]]&gt;=1,1,0)</f>
        <v>1</v>
      </c>
      <c r="D38" s="48">
        <f>IFERROR(_xlfn.MAXIFS(Tabelle5[binding_level],Tabelle5[company_id],Tabelle18[[#This Row],[company_id]],Tabelle5[value_id],Tabelle18[[#This Row],[value_id]],Tabelle5[value_present],1),0)</f>
        <v>3</v>
      </c>
      <c r="E38" s="48">
        <f>IFERROR(_xlfn.MAXIFS(Tabelle5[value_points],Tabelle5[company_id],Tabelle18[[#This Row],[company_id]],Tabelle5[value_id],Tabelle18[[#This Row],[value_id]]),0)</f>
        <v>3</v>
      </c>
      <c r="F38" s="22">
        <f>IF(Tabelle18[[#This Row],[value_points_company]]=0,"",IFERROR(_xlfn.MINIFS(Tabelle5[doc_id],Tabelle5[company_id],Tabelle18[[#This Row],[company_id]],Tabelle5[value_id],Tabelle18[[#This Row],[value_id]],Tabelle5[value_points],Tabelle18[[#This Row],[value_points_company]]),""))</f>
        <v>18</v>
      </c>
      <c r="G38" s="22" t="str" cm="1">
        <f t="array" ref="G38">IF(Tabelle18[[#This Row],[doc_id_strongest]]="","",IFERROR(INDEX(Tabelle5[evidence_location],MATCH(1,(Tabelle5[company_id]=Tabelle18[[#This Row],[company_id]])*(Tabelle5[value_id]=Tabelle18[[#This Row],[value_id]])*(Tabelle5[doc_id]=Tabelle18[[#This Row],[doc_id_strongest]]),0)),""))</f>
        <v>S. 4, Data Ethics</v>
      </c>
      <c r="H38" s="32" t="str" cm="1">
        <f t="array" ref="H38">IF(Tabelle18[[#This Row],[doc_id_strongest]]="","",IFERROR(INDEX(Tabelle5[evidence_quote],MATCH(1,(Tabelle5[company_id]=Tabelle18[[#This Row],[company_id]])*(Tabelle5[value_id]=Tabelle18[[#This Row],[value_id]])*(Tabelle5[doc_id]=Tabelle18[[#This Row],[doc_id_strongest]]),0)),""))</f>
        <v>“our usage of AI systems is human centric”; “Human Agency and Control”; “risk-based approach to implementing the appropriate level of human involvement”</v>
      </c>
    </row>
    <row r="39" spans="1:8" x14ac:dyDescent="0.25">
      <c r="A39" s="36">
        <v>3</v>
      </c>
      <c r="B39" t="s">
        <v>61</v>
      </c>
      <c r="C39" s="4">
        <f>IF(Tabelle18[[#This Row],[binding_level_company]]&gt;=1,1,0)</f>
        <v>1</v>
      </c>
      <c r="D39" s="4">
        <f>IFERROR(_xlfn.MAXIFS(Tabelle5[binding_level],Tabelle5[company_id],Tabelle18[[#This Row],[company_id]],Tabelle5[value_id],Tabelle18[[#This Row],[value_id]],Tabelle5[value_present],1),0)</f>
        <v>3</v>
      </c>
      <c r="E39" s="4">
        <f>IFERROR(_xlfn.MAXIFS(Tabelle5[value_points],Tabelle5[company_id],Tabelle18[[#This Row],[company_id]],Tabelle5[value_id],Tabelle18[[#This Row],[value_id]]),0)</f>
        <v>3</v>
      </c>
      <c r="F39">
        <f>IF(Tabelle18[[#This Row],[value_points_company]]=0,"",IFERROR(_xlfn.MINIFS(Tabelle5[doc_id],Tabelle5[company_id],Tabelle18[[#This Row],[company_id]],Tabelle5[value_id],Tabelle18[[#This Row],[value_id]],Tabelle5[value_points],Tabelle18[[#This Row],[value_points_company]]),""))</f>
        <v>16</v>
      </c>
      <c r="G39" t="str" cm="1">
        <f t="array" ref="G39">IF(Tabelle18[[#This Row],[doc_id_strongest]]="","",IFERROR(INDEX(Tabelle5[evidence_location],MATCH(1,(Tabelle5[company_id]=Tabelle18[[#This Row],[company_id]])*(Tabelle5[value_id]=Tabelle18[[#This Row],[value_id]])*(Tabelle5[doc_id]=Tabelle18[[#This Row],[doc_id_strongest]]),0)),""))</f>
        <v>S. 3, Prinzip 3 Accountability, Accuracy &amp; Proficiency</v>
      </c>
      <c r="H39" s="33" t="str" cm="1">
        <f t="array" ref="H39">IF(Tabelle18[[#This Row],[doc_id_strongest]]="","",IFERROR(INDEX(Tabelle5[evidence_quote],MATCH(1,(Tabelle5[company_id]=Tabelle18[[#This Row],[company_id]])*(Tabelle5[value_id]=Tabelle18[[#This Row],[value_id]])*(Tabelle5[doc_id]=Tabelle18[[#This Row],[doc_id_strongest]]),0)),""))</f>
        <v>“We monitor AI systems in production”</v>
      </c>
    </row>
    <row r="40" spans="1:8" x14ac:dyDescent="0.25">
      <c r="A40" s="36">
        <v>3</v>
      </c>
      <c r="B40" t="s">
        <v>69</v>
      </c>
      <c r="C40" s="4">
        <f>IF(Tabelle18[[#This Row],[binding_level_company]]&gt;=1,1,0)</f>
        <v>1</v>
      </c>
      <c r="D40" s="4">
        <f>IFERROR(_xlfn.MAXIFS(Tabelle5[binding_level],Tabelle5[company_id],Tabelle18[[#This Row],[company_id]],Tabelle5[value_id],Tabelle18[[#This Row],[value_id]],Tabelle5[value_present],1),0)</f>
        <v>2</v>
      </c>
      <c r="E40" s="4">
        <f>IFERROR(_xlfn.MAXIFS(Tabelle5[value_points],Tabelle5[company_id],Tabelle18[[#This Row],[company_id]],Tabelle5[value_id],Tabelle18[[#This Row],[value_id]]),0)</f>
        <v>2</v>
      </c>
      <c r="F40">
        <f>IF(Tabelle18[[#This Row],[value_points_company]]=0,"",IFERROR(_xlfn.MINIFS(Tabelle5[doc_id],Tabelle5[company_id],Tabelle18[[#This Row],[company_id]],Tabelle5[value_id],Tabelle18[[#This Row],[value_id]],Tabelle5[value_points],Tabelle18[[#This Row],[value_points_company]]),""))</f>
        <v>16</v>
      </c>
      <c r="G40" t="str" cm="1">
        <f t="array" ref="G40">IF(Tabelle18[[#This Row],[doc_id_strongest]]="","",IFERROR(INDEX(Tabelle5[evidence_location],MATCH(1,(Tabelle5[company_id]=Tabelle18[[#This Row],[company_id]])*(Tabelle5[value_id]=Tabelle18[[#This Row],[value_id]])*(Tabelle5[doc_id]=Tabelle18[[#This Row],[doc_id_strongest]]),0)),""))</f>
        <v>S. 3, Prinzip 2 Transparency</v>
      </c>
      <c r="H40" s="33" t="str" cm="1">
        <f t="array" ref="H40">IF(Tabelle18[[#This Row],[doc_id_strongest]]="","",IFERROR(INDEX(Tabelle5[evidence_quote],MATCH(1,(Tabelle5[company_id]=Tabelle18[[#This Row],[company_id]])*(Tabelle5[value_id]=Tabelle18[[#This Row],[value_id]])*(Tabelle5[doc_id]=Tabelle18[[#This Row],[doc_id_strongest]]),0)),""))</f>
        <v>“We openly communicate the purpose of our AI systems.”; “we inform customers whenever they interact directly with an AI system”</v>
      </c>
    </row>
    <row r="41" spans="1:8" x14ac:dyDescent="0.25">
      <c r="A41" s="36">
        <v>3</v>
      </c>
      <c r="B41" t="s">
        <v>76</v>
      </c>
      <c r="C41" s="4">
        <f>IF(Tabelle18[[#This Row],[binding_level_company]]&gt;=1,1,0)</f>
        <v>1</v>
      </c>
      <c r="D41" s="4">
        <f>IFERROR(_xlfn.MAXIFS(Tabelle5[binding_level],Tabelle5[company_id],Tabelle18[[#This Row],[company_id]],Tabelle5[value_id],Tabelle18[[#This Row],[value_id]],Tabelle5[value_present],1),0)</f>
        <v>2</v>
      </c>
      <c r="E41" s="4">
        <f>IFERROR(_xlfn.MAXIFS(Tabelle5[value_points],Tabelle5[company_id],Tabelle18[[#This Row],[company_id]],Tabelle5[value_id],Tabelle18[[#This Row],[value_id]]),0)</f>
        <v>2</v>
      </c>
      <c r="F41">
        <f>IF(Tabelle18[[#This Row],[value_points_company]]=0,"",IFERROR(_xlfn.MINIFS(Tabelle5[doc_id],Tabelle5[company_id],Tabelle18[[#This Row],[company_id]],Tabelle5[value_id],Tabelle18[[#This Row],[value_id]],Tabelle5[value_points],Tabelle18[[#This Row],[value_points_company]]),""))</f>
        <v>16</v>
      </c>
      <c r="G41" t="str" cm="1">
        <f t="array" ref="G41">IF(Tabelle18[[#This Row],[doc_id_strongest]]="","",IFERROR(INDEX(Tabelle5[evidence_location],MATCH(1,(Tabelle5[company_id]=Tabelle18[[#This Row],[company_id]])*(Tabelle5[value_id]=Tabelle18[[#This Row],[value_id]])*(Tabelle5[doc_id]=Tabelle18[[#This Row],[doc_id_strongest]]),0)),""))</f>
        <v>S. 3, Prinzip 2 Transparency</v>
      </c>
      <c r="H41" s="33" t="str" cm="1">
        <f t="array" ref="H41">IF(Tabelle18[[#This Row],[doc_id_strongest]]="","",IFERROR(INDEX(Tabelle5[evidence_quote],MATCH(1,(Tabelle5[company_id]=Tabelle18[[#This Row],[company_id]])*(Tabelle5[value_id]=Tabelle18[[#This Row],[value_id]])*(Tabelle5[doc_id]=Tabelle18[[#This Row],[doc_id_strongest]]),0)),""))</f>
        <v>“risk-based approach to attain suitable levels of interpretability”</v>
      </c>
    </row>
    <row r="42" spans="1:8" x14ac:dyDescent="0.25">
      <c r="A42" s="36">
        <v>3</v>
      </c>
      <c r="B42" t="s">
        <v>83</v>
      </c>
      <c r="C42" s="4">
        <f>IF(Tabelle18[[#This Row],[binding_level_company]]&gt;=1,1,0)</f>
        <v>1</v>
      </c>
      <c r="D42" s="4">
        <f>IFERROR(_xlfn.MAXIFS(Tabelle5[binding_level],Tabelle5[company_id],Tabelle18[[#This Row],[company_id]],Tabelle5[value_id],Tabelle18[[#This Row],[value_id]],Tabelle5[value_present],1),0)</f>
        <v>3</v>
      </c>
      <c r="E42" s="4">
        <f>IFERROR(_xlfn.MAXIFS(Tabelle5[value_points],Tabelle5[company_id],Tabelle18[[#This Row],[company_id]],Tabelle5[value_id],Tabelle18[[#This Row],[value_id]]),0)</f>
        <v>3</v>
      </c>
      <c r="F42">
        <f>IF(Tabelle18[[#This Row],[value_points_company]]=0,"",IFERROR(_xlfn.MINIFS(Tabelle5[doc_id],Tabelle5[company_id],Tabelle18[[#This Row],[company_id]],Tabelle5[value_id],Tabelle18[[#This Row],[value_id]],Tabelle5[value_points],Tabelle18[[#This Row],[value_points_company]]),""))</f>
        <v>16</v>
      </c>
      <c r="G42" t="str" cm="1">
        <f t="array" ref="G42">IF(Tabelle18[[#This Row],[doc_id_strongest]]="","",IFERROR(INDEX(Tabelle5[evidence_location],MATCH(1,(Tabelle5[company_id]=Tabelle18[[#This Row],[company_id]])*(Tabelle5[value_id]=Tabelle18[[#This Row],[value_id]])*(Tabelle5[doc_id]=Tabelle18[[#This Row],[doc_id_strongest]]),0)),""))</f>
        <v>S. 4, Prinzip 5 Non-Discrimination</v>
      </c>
      <c r="H42" s="33" t="str" cm="1">
        <f t="array" ref="H42">IF(Tabelle18[[#This Row],[doc_id_strongest]]="","",IFERROR(INDEX(Tabelle5[evidence_quote],MATCH(1,(Tabelle5[company_id]=Tabelle18[[#This Row],[company_id]])*(Tabelle5[value_id]=Tabelle18[[#This Row],[value_id]])*(Tabelle5[doc_id]=Tabelle18[[#This Row],[doc_id_strongest]]),0)),""))</f>
        <v>“We commit to avoiding both direct and indirect discrimination”; “mitigate potential bias both in the data itself as well as in each individual model”</v>
      </c>
    </row>
    <row r="43" spans="1:8" x14ac:dyDescent="0.25">
      <c r="A43" s="36">
        <v>3</v>
      </c>
      <c r="B43" t="s">
        <v>90</v>
      </c>
      <c r="C43" s="4">
        <f>IF(Tabelle18[[#This Row],[binding_level_company]]&gt;=1,1,0)</f>
        <v>1</v>
      </c>
      <c r="D43" s="4">
        <f>IFERROR(_xlfn.MAXIFS(Tabelle5[binding_level],Tabelle5[company_id],Tabelle18[[#This Row],[company_id]],Tabelle5[value_id],Tabelle18[[#This Row],[value_id]],Tabelle5[value_present],1),0)</f>
        <v>3</v>
      </c>
      <c r="E43" s="4">
        <f>IFERROR(_xlfn.MAXIFS(Tabelle5[value_points],Tabelle5[company_id],Tabelle18[[#This Row],[company_id]],Tabelle5[value_id],Tabelle18[[#This Row],[value_id]]),0)</f>
        <v>3</v>
      </c>
      <c r="F43">
        <f>IF(Tabelle18[[#This Row],[value_points_company]]=0,"",IFERROR(_xlfn.MINIFS(Tabelle5[doc_id],Tabelle5[company_id],Tabelle18[[#This Row],[company_id]],Tabelle5[value_id],Tabelle18[[#This Row],[value_id]],Tabelle5[value_points],Tabelle18[[#This Row],[value_points_company]]),""))</f>
        <v>16</v>
      </c>
      <c r="G43" t="str" cm="1">
        <f t="array" ref="G43">IF(Tabelle18[[#This Row],[doc_id_strongest]]="","",IFERROR(INDEX(Tabelle5[evidence_location],MATCH(1,(Tabelle5[company_id]=Tabelle18[[#This Row],[company_id]])*(Tabelle5[value_id]=Tabelle18[[#This Row],[value_id]])*(Tabelle5[doc_id]=Tabelle18[[#This Row],[doc_id_strongest]]),0)),""))</f>
        <v>S. 4, Prinzip 6 Data Privacy</v>
      </c>
      <c r="H43" s="33" t="str" cm="1">
        <f t="array" ref="H43">IF(Tabelle18[[#This Row],[doc_id_strongest]]="","",IFERROR(INDEX(Tabelle5[evidence_quote],MATCH(1,(Tabelle5[company_id]=Tabelle18[[#This Row],[company_id]])*(Tabelle5[value_id]=Tabelle18[[#This Row],[value_id]])*(Tabelle5[doc_id]=Tabelle18[[#This Row],[doc_id_strongest]]),0)),""))</f>
        <v>“perform a dedicated privacy risk assessment”</v>
      </c>
    </row>
    <row r="44" spans="1:8" x14ac:dyDescent="0.25">
      <c r="A44" s="36">
        <v>3</v>
      </c>
      <c r="B44" t="s">
        <v>98</v>
      </c>
      <c r="C44" s="4">
        <f>IF(Tabelle18[[#This Row],[binding_level_company]]&gt;=1,1,0)</f>
        <v>1</v>
      </c>
      <c r="D44" s="4">
        <f>IFERROR(_xlfn.MAXIFS(Tabelle5[binding_level],Tabelle5[company_id],Tabelle18[[#This Row],[company_id]],Tabelle5[value_id],Tabelle18[[#This Row],[value_id]],Tabelle5[value_present],1),0)</f>
        <v>2</v>
      </c>
      <c r="E44" s="4">
        <f>IFERROR(_xlfn.MAXIFS(Tabelle5[value_points],Tabelle5[company_id],Tabelle18[[#This Row],[company_id]],Tabelle5[value_id],Tabelle18[[#This Row],[value_id]]),0)</f>
        <v>2</v>
      </c>
      <c r="F44">
        <f>IF(Tabelle18[[#This Row],[value_points_company]]=0,"",IFERROR(_xlfn.MINIFS(Tabelle5[doc_id],Tabelle5[company_id],Tabelle18[[#This Row],[company_id]],Tabelle5[value_id],Tabelle18[[#This Row],[value_id]],Tabelle5[value_points],Tabelle18[[#This Row],[value_points_company]]),""))</f>
        <v>16</v>
      </c>
      <c r="G44" t="str" cm="1">
        <f t="array" ref="G44">IF(Tabelle18[[#This Row],[doc_id_strongest]]="","",IFERROR(INDEX(Tabelle5[evidence_location],MATCH(1,(Tabelle5[company_id]=Tabelle18[[#This Row],[company_id]])*(Tabelle5[value_id]=Tabelle18[[#This Row],[value_id]])*(Tabelle5[doc_id]=Tabelle18[[#This Row],[doc_id_strongest]]),0)),""))</f>
        <v>S. 4, Prinzip 4 Security &amp; Resilience</v>
      </c>
      <c r="H44" s="33" t="str" cm="1">
        <f t="array" ref="H44">IF(Tabelle18[[#This Row],[doc_id_strongest]]="","",IFERROR(INDEX(Tabelle5[evidence_quote],MATCH(1,(Tabelle5[company_id]=Tabelle18[[#This Row],[company_id]])*(Tabelle5[value_id]=Tabelle18[[#This Row],[value_id]])*(Tabelle5[doc_id]=Tabelle18[[#This Row],[doc_id_strongest]]),0)),""))</f>
        <v>“state-of-the-art cybersecurity and resilience measures”</v>
      </c>
    </row>
    <row r="45" spans="1:8" x14ac:dyDescent="0.25">
      <c r="A45" s="36">
        <v>3</v>
      </c>
      <c r="B45" t="s">
        <v>106</v>
      </c>
      <c r="C45" s="4">
        <f>IF(Tabelle18[[#This Row],[binding_level_company]]&gt;=1,1,0)</f>
        <v>1</v>
      </c>
      <c r="D45" s="4">
        <f>IFERROR(_xlfn.MAXIFS(Tabelle5[binding_level],Tabelle5[company_id],Tabelle18[[#This Row],[company_id]],Tabelle5[value_id],Tabelle18[[#This Row],[value_id]],Tabelle5[value_present],1),0)</f>
        <v>2</v>
      </c>
      <c r="E45" s="4">
        <f>IFERROR(_xlfn.MAXIFS(Tabelle5[value_points],Tabelle5[company_id],Tabelle18[[#This Row],[company_id]],Tabelle5[value_id],Tabelle18[[#This Row],[value_id]]),0)</f>
        <v>2</v>
      </c>
      <c r="F45">
        <f>IF(Tabelle18[[#This Row],[value_points_company]]=0,"",IFERROR(_xlfn.MINIFS(Tabelle5[doc_id],Tabelle5[company_id],Tabelle18[[#This Row],[company_id]],Tabelle5[value_id],Tabelle18[[#This Row],[value_id]],Tabelle5[value_points],Tabelle18[[#This Row],[value_points_company]]),""))</f>
        <v>16</v>
      </c>
      <c r="G45" t="str" cm="1">
        <f t="array" ref="G45">IF(Tabelle18[[#This Row],[doc_id_strongest]]="","",IFERROR(INDEX(Tabelle5[evidence_location],MATCH(1,(Tabelle5[company_id]=Tabelle18[[#This Row],[company_id]])*(Tabelle5[value_id]=Tabelle18[[#This Row],[value_id]])*(Tabelle5[doc_id]=Tabelle18[[#This Row],[doc_id_strongest]]),0)),""))</f>
        <v>S. 2–3, Prinzipienliste / Prinzip 1 Prohibited AI</v>
      </c>
      <c r="H45" s="33" t="str" cm="1">
        <f t="array" ref="H45">IF(Tabelle18[[#This Row],[doc_id_strongest]]="","",IFERROR(INDEX(Tabelle5[evidence_quote],MATCH(1,(Tabelle5[company_id]=Tabelle18[[#This Row],[company_id]])*(Tabelle5[value_id]=Tabelle18[[#This Row],[value_id]])*(Tabelle5[doc_id]=Tabelle18[[#This Row],[doc_id_strongest]]),0)),""))</f>
        <v>“Prohibited AI”</v>
      </c>
    </row>
    <row r="46" spans="1:8" x14ac:dyDescent="0.25">
      <c r="A46" s="36">
        <v>3</v>
      </c>
      <c r="B46" t="s">
        <v>112</v>
      </c>
      <c r="C46" s="4">
        <f>IF(Tabelle18[[#This Row],[binding_level_company]]&gt;=1,1,0)</f>
        <v>1</v>
      </c>
      <c r="D46" s="4">
        <f>IFERROR(_xlfn.MAXIFS(Tabelle5[binding_level],Tabelle5[company_id],Tabelle18[[#This Row],[company_id]],Tabelle5[value_id],Tabelle18[[#This Row],[value_id]],Tabelle5[value_present],1),0)</f>
        <v>3</v>
      </c>
      <c r="E46" s="4">
        <f>IFERROR(_xlfn.MAXIFS(Tabelle5[value_points],Tabelle5[company_id],Tabelle18[[#This Row],[company_id]],Tabelle5[value_id],Tabelle18[[#This Row],[value_id]]),0)</f>
        <v>3</v>
      </c>
      <c r="F46">
        <f>IF(Tabelle18[[#This Row],[value_points_company]]=0,"",IFERROR(_xlfn.MINIFS(Tabelle5[doc_id],Tabelle5[company_id],Tabelle18[[#This Row],[company_id]],Tabelle5[value_id],Tabelle18[[#This Row],[value_id]],Tabelle5[value_points],Tabelle18[[#This Row],[value_points_company]]),""))</f>
        <v>16</v>
      </c>
      <c r="G46" t="str" cm="1">
        <f t="array" ref="G46">IF(Tabelle18[[#This Row],[doc_id_strongest]]="","",IFERROR(INDEX(Tabelle5[evidence_location],MATCH(1,(Tabelle5[company_id]=Tabelle18[[#This Row],[company_id]])*(Tabelle5[value_id]=Tabelle18[[#This Row],[value_id]])*(Tabelle5[doc_id]=Tabelle18[[#This Row],[doc_id_strongest]]),0)),""))</f>
        <v>S. 3–4, Prinzip 3 und 4</v>
      </c>
      <c r="H46" s="33" t="str" cm="1">
        <f t="array" ref="H46">IF(Tabelle18[[#This Row],[doc_id_strongest]]="","",IFERROR(INDEX(Tabelle5[evidence_quote],MATCH(1,(Tabelle5[company_id]=Tabelle18[[#This Row],[company_id]])*(Tabelle5[value_id]=Tabelle18[[#This Row],[value_id]])*(Tabelle5[doc_id]=Tabelle18[[#This Row],[doc_id_strongest]]),0)),""))</f>
        <v>“state-of-the-art cybersecurity and resilience measures”</v>
      </c>
    </row>
    <row r="47" spans="1:8" x14ac:dyDescent="0.25">
      <c r="A47" s="36">
        <v>3</v>
      </c>
      <c r="B47" t="s">
        <v>118</v>
      </c>
      <c r="C47" s="4">
        <f>IF(Tabelle18[[#This Row],[binding_level_company]]&gt;=1,1,0)</f>
        <v>0</v>
      </c>
      <c r="D47" s="4">
        <f>IFERROR(_xlfn.MAXIFS(Tabelle5[binding_level],Tabelle5[company_id],Tabelle18[[#This Row],[company_id]],Tabelle5[value_id],Tabelle18[[#This Row],[value_id]],Tabelle5[value_present],1),0)</f>
        <v>0</v>
      </c>
      <c r="E47" s="4">
        <f>IFERROR(_xlfn.MAXIFS(Tabelle5[value_points],Tabelle5[company_id],Tabelle18[[#This Row],[company_id]],Tabelle5[value_id],Tabelle18[[#This Row],[value_id]]),0)</f>
        <v>0</v>
      </c>
      <c r="F47" t="str">
        <f>IF(Tabelle18[[#This Row],[value_points_company]]=0,"",IFERROR(_xlfn.MINIFS(Tabelle5[doc_id],Tabelle5[company_id],Tabelle18[[#This Row],[company_id]],Tabelle5[value_id],Tabelle18[[#This Row],[value_id]],Tabelle5[value_points],Tabelle18[[#This Row],[value_points_company]]),""))</f>
        <v/>
      </c>
      <c r="G47" t="str" cm="1">
        <f t="array" ref="G47">IF(Tabelle18[[#This Row],[doc_id_strongest]]="","",IFERROR(INDEX(Tabelle5[evidence_location],MATCH(1,(Tabelle5[company_id]=Tabelle18[[#This Row],[company_id]])*(Tabelle5[value_id]=Tabelle18[[#This Row],[value_id]])*(Tabelle5[doc_id]=Tabelle18[[#This Row],[doc_id_strongest]]),0)),""))</f>
        <v/>
      </c>
      <c r="H47" s="33" t="str" cm="1">
        <f t="array" ref="H47">IF(Tabelle18[[#This Row],[doc_id_strongest]]="","",IFERROR(INDEX(Tabelle5[evidence_quote],MATCH(1,(Tabelle5[company_id]=Tabelle18[[#This Row],[company_id]])*(Tabelle5[value_id]=Tabelle18[[#This Row],[value_id]])*(Tabelle5[doc_id]=Tabelle18[[#This Row],[doc_id_strongest]]),0)),""))</f>
        <v/>
      </c>
    </row>
    <row r="48" spans="1:8" x14ac:dyDescent="0.25">
      <c r="A48" s="36">
        <v>3</v>
      </c>
      <c r="B48" t="s">
        <v>125</v>
      </c>
      <c r="C48" s="4">
        <f>IF(Tabelle18[[#This Row],[binding_level_company]]&gt;=1,1,0)</f>
        <v>1</v>
      </c>
      <c r="D48" s="4">
        <f>IFERROR(_xlfn.MAXIFS(Tabelle5[binding_level],Tabelle5[company_id],Tabelle18[[#This Row],[company_id]],Tabelle5[value_id],Tabelle18[[#This Row],[value_id]],Tabelle5[value_present],1),0)</f>
        <v>1</v>
      </c>
      <c r="E48" s="4">
        <f>IFERROR(_xlfn.MAXIFS(Tabelle5[value_points],Tabelle5[company_id],Tabelle18[[#This Row],[company_id]],Tabelle5[value_id],Tabelle18[[#This Row],[value_id]]),0)</f>
        <v>1</v>
      </c>
      <c r="F48">
        <f>IF(Tabelle18[[#This Row],[value_points_company]]=0,"",IFERROR(_xlfn.MINIFS(Tabelle5[doc_id],Tabelle5[company_id],Tabelle18[[#This Row],[company_id]],Tabelle5[value_id],Tabelle18[[#This Row],[value_id]],Tabelle5[value_points],Tabelle18[[#This Row],[value_points_company]]),""))</f>
        <v>21</v>
      </c>
      <c r="G48" t="str" cm="1">
        <f t="array" ref="G48">IF(Tabelle18[[#This Row],[doc_id_strongest]]="","",IFERROR(INDEX(Tabelle5[evidence_location],MATCH(1,(Tabelle5[company_id]=Tabelle18[[#This Row],[company_id]])*(Tabelle5[value_id]=Tabelle18[[#This Row],[value_id]])*(Tabelle5[doc_id]=Tabelle18[[#This Row],[doc_id_strongest]]),0)),""))</f>
        <v>S. 4, Responsible AI can accelerate growth</v>
      </c>
      <c r="H48" s="33" t="str" cm="1">
        <f t="array" ref="H48">IF(Tabelle18[[#This Row],[doc_id_strongest]]="","",IFERROR(INDEX(Tabelle5[evidence_quote],MATCH(1,(Tabelle5[company_id]=Tabelle18[[#This Row],[company_id]])*(Tabelle5[value_id]=Tabelle18[[#This Row],[value_id]])*(Tabelle5[doc_id]=Tabelle18[[#This Row],[doc_id_strongest]]),0)),""))</f>
        <v>“fair, transparent, inclusive and respectful to all stakeholders”</v>
      </c>
    </row>
    <row r="49" spans="1:8" x14ac:dyDescent="0.25">
      <c r="A49" s="36">
        <v>3</v>
      </c>
      <c r="B49" t="s">
        <v>132</v>
      </c>
      <c r="C49" s="4">
        <f>IF(Tabelle18[[#This Row],[binding_level_company]]&gt;=1,1,0)</f>
        <v>1</v>
      </c>
      <c r="D49" s="4">
        <f>IFERROR(_xlfn.MAXIFS(Tabelle5[binding_level],Tabelle5[company_id],Tabelle18[[#This Row],[company_id]],Tabelle5[value_id],Tabelle18[[#This Row],[value_id]],Tabelle5[value_present],1),0)</f>
        <v>1</v>
      </c>
      <c r="E49" s="4">
        <f>IFERROR(_xlfn.MAXIFS(Tabelle5[value_points],Tabelle5[company_id],Tabelle18[[#This Row],[company_id]],Tabelle5[value_id],Tabelle18[[#This Row],[value_id]]),0)</f>
        <v>1</v>
      </c>
      <c r="F49">
        <f>IF(Tabelle18[[#This Row],[value_points_company]]=0,"",IFERROR(_xlfn.MINIFS(Tabelle5[doc_id],Tabelle5[company_id],Tabelle18[[#This Row],[company_id]],Tabelle5[value_id],Tabelle18[[#This Row],[value_id]],Tabelle5[value_points],Tabelle18[[#This Row],[value_points_company]]),""))</f>
        <v>21</v>
      </c>
      <c r="G49" t="str" cm="1">
        <f t="array" ref="G49">IF(Tabelle18[[#This Row],[doc_id_strongest]]="","",IFERROR(INDEX(Tabelle5[evidence_location],MATCH(1,(Tabelle5[company_id]=Tabelle18[[#This Row],[company_id]])*(Tabelle5[value_id]=Tabelle18[[#This Row],[value_id]])*(Tabelle5[doc_id]=Tabelle18[[#This Row],[doc_id_strongest]]),0)),""))</f>
        <v>S. 1; S. 3</v>
      </c>
      <c r="H49" s="33" t="str" cm="1">
        <f t="array" ref="H49">IF(Tabelle18[[#This Row],[doc_id_strongest]]="","",IFERROR(INDEX(Tabelle5[evidence_quote],MATCH(1,(Tabelle5[company_id]=Tabelle18[[#This Row],[company_id]])*(Tabelle5[value_id]=Tabelle18[[#This Row],[value_id]])*(Tabelle5[doc_id]=Tabelle18[[#This Row],[doc_id_strongest]]),0)),""))</f>
        <v>“AI can only sustain its growth by respecting environmental, social and governance standards”; “managing the environmental and social impact of AI development”</v>
      </c>
    </row>
    <row r="50" spans="1:8" x14ac:dyDescent="0.25">
      <c r="A50" s="36">
        <v>3</v>
      </c>
      <c r="B50" t="s">
        <v>140</v>
      </c>
      <c r="C50" s="4">
        <f>IF(Tabelle18[[#This Row],[binding_level_company]]&gt;=1,1,0)</f>
        <v>1</v>
      </c>
      <c r="D50" s="4">
        <f>IFERROR(_xlfn.MAXIFS(Tabelle5[binding_level],Tabelle5[company_id],Tabelle18[[#This Row],[company_id]],Tabelle5[value_id],Tabelle18[[#This Row],[value_id]],Tabelle5[value_present],1),0)</f>
        <v>1</v>
      </c>
      <c r="E50" s="4">
        <f>IFERROR(_xlfn.MAXIFS(Tabelle5[value_points],Tabelle5[company_id],Tabelle18[[#This Row],[company_id]],Tabelle5[value_id],Tabelle18[[#This Row],[value_id]]),0)</f>
        <v>1</v>
      </c>
      <c r="F50">
        <f>IF(Tabelle18[[#This Row],[value_points_company]]=0,"",IFERROR(_xlfn.MINIFS(Tabelle5[doc_id],Tabelle5[company_id],Tabelle18[[#This Row],[company_id]],Tabelle5[value_id],Tabelle18[[#This Row],[value_id]],Tabelle5[value_points],Tabelle18[[#This Row],[value_points_company]]),""))</f>
        <v>21</v>
      </c>
      <c r="G50" t="str" cm="1">
        <f t="array" ref="G50">IF(Tabelle18[[#This Row],[doc_id_strongest]]="","",IFERROR(INDEX(Tabelle5[evidence_location],MATCH(1,(Tabelle5[company_id]=Tabelle18[[#This Row],[company_id]])*(Tabelle5[value_id]=Tabelle18[[#This Row],[value_id]])*(Tabelle5[doc_id]=Tabelle18[[#This Row],[doc_id_strongest]]),0)),""))</f>
        <v>S. 3, How can these tools be used responsibly? / Our contribution</v>
      </c>
      <c r="H50" s="33" t="str" cm="1">
        <f t="array" ref="H50">IF(Tabelle18[[#This Row],[doc_id_strongest]]="","",IFERROR(INDEX(Tabelle5[evidence_quote],MATCH(1,(Tabelle5[company_id]=Tabelle18[[#This Row],[company_id]])*(Tabelle5[value_id]=Tabelle18[[#This Row],[value_id]])*(Tabelle5[doc_id]=Tabelle18[[#This Row],[doc_id_strongest]]),0)),""))</f>
        <v>“align with human values and serve the public good”</v>
      </c>
    </row>
    <row r="51" spans="1:8" x14ac:dyDescent="0.25">
      <c r="A51" s="36">
        <v>3</v>
      </c>
      <c r="B51" t="s">
        <v>147</v>
      </c>
      <c r="C51" s="4">
        <f>IF(Tabelle18[[#This Row],[binding_level_company]]&gt;=1,1,0)</f>
        <v>1</v>
      </c>
      <c r="D51" s="4">
        <f>IFERROR(_xlfn.MAXIFS(Tabelle5[binding_level],Tabelle5[company_id],Tabelle18[[#This Row],[company_id]],Tabelle5[value_id],Tabelle18[[#This Row],[value_id]],Tabelle5[value_present],1),0)</f>
        <v>2</v>
      </c>
      <c r="E51" s="4">
        <f>IFERROR(_xlfn.MAXIFS(Tabelle5[value_points],Tabelle5[company_id],Tabelle18[[#This Row],[company_id]],Tabelle5[value_id],Tabelle18[[#This Row],[value_id]]),0)</f>
        <v>2</v>
      </c>
      <c r="F51">
        <f>IF(Tabelle18[[#This Row],[value_points_company]]=0,"",IFERROR(_xlfn.MINIFS(Tabelle5[doc_id],Tabelle5[company_id],Tabelle18[[#This Row],[company_id]],Tabelle5[value_id],Tabelle18[[#This Row],[value_id]],Tabelle5[value_points],Tabelle18[[#This Row],[value_points_company]]),""))</f>
        <v>16</v>
      </c>
      <c r="G51" t="str" cm="1">
        <f t="array" ref="G51">IF(Tabelle18[[#This Row],[doc_id_strongest]]="","",IFERROR(INDEX(Tabelle5[evidence_location],MATCH(1,(Tabelle5[company_id]=Tabelle18[[#This Row],[company_id]])*(Tabelle5[value_id]=Tabelle18[[#This Row],[value_id]])*(Tabelle5[doc_id]=Tabelle18[[#This Row],[doc_id_strongest]]),0)),""))</f>
        <v>S. 3, Prinzipien-Einleitung</v>
      </c>
      <c r="H51" s="33" t="str" cm="1">
        <f t="array" ref="H51">IF(Tabelle18[[#This Row],[doc_id_strongest]]="","",IFERROR(INDEX(Tabelle5[evidence_quote],MATCH(1,(Tabelle5[company_id]=Tabelle18[[#This Row],[company_id]])*(Tabelle5[value_id]=Tabelle18[[#This Row],[value_id]])*(Tabelle5[doc_id]=Tabelle18[[#This Row],[doc_id_strongest]]),0)),""))</f>
        <v>“may only be used in line with applicable laws and Allianz standards”</v>
      </c>
    </row>
    <row r="52" spans="1:8" x14ac:dyDescent="0.25">
      <c r="A52" s="36">
        <v>3</v>
      </c>
      <c r="B52" t="s">
        <v>154</v>
      </c>
      <c r="C52" s="4">
        <f>IF(Tabelle18[[#This Row],[binding_level_company]]&gt;=1,1,0)</f>
        <v>1</v>
      </c>
      <c r="D52" s="4">
        <f>IFERROR(_xlfn.MAXIFS(Tabelle5[binding_level],Tabelle5[company_id],Tabelle18[[#This Row],[company_id]],Tabelle5[value_id],Tabelle18[[#This Row],[value_id]],Tabelle5[value_present],1),0)</f>
        <v>2</v>
      </c>
      <c r="E52" s="4">
        <f>IFERROR(_xlfn.MAXIFS(Tabelle5[value_points],Tabelle5[company_id],Tabelle18[[#This Row],[company_id]],Tabelle5[value_id],Tabelle18[[#This Row],[value_id]]),0)</f>
        <v>2</v>
      </c>
      <c r="F52">
        <f>IF(Tabelle18[[#This Row],[value_points_company]]=0,"",IFERROR(_xlfn.MINIFS(Tabelle5[doc_id],Tabelle5[company_id],Tabelle18[[#This Row],[company_id]],Tabelle5[value_id],Tabelle18[[#This Row],[value_id]],Tabelle5[value_points],Tabelle18[[#This Row],[value_points_company]]),""))</f>
        <v>16</v>
      </c>
      <c r="G52" t="str" cm="1">
        <f t="array" ref="G52">IF(Tabelle18[[#This Row],[doc_id_strongest]]="","",IFERROR(INDEX(Tabelle5[evidence_location],MATCH(1,(Tabelle5[company_id]=Tabelle18[[#This Row],[company_id]])*(Tabelle5[value_id]=Tabelle18[[#This Row],[value_id]])*(Tabelle5[doc_id]=Tabelle18[[#This Row],[doc_id_strongest]]),0)),""))</f>
        <v>S. 2, Einleitung / RAI approach</v>
      </c>
      <c r="H52" s="33" t="str" cm="1">
        <f t="array" ref="H52">IF(Tabelle18[[#This Row],[doc_id_strongest]]="","",IFERROR(INDEX(Tabelle5[evidence_quote],MATCH(1,(Tabelle5[company_id]=Tabelle18[[#This Row],[company_id]])*(Tabelle5[value_id]=Tabelle18[[#This Row],[value_id]])*(Tabelle5[doc_id]=Tabelle18[[#This Row],[doc_id_strongest]]),0)),""))</f>
        <v>“maintaining the highest standards of integrity and responsibility”</v>
      </c>
    </row>
    <row r="53" spans="1:8" x14ac:dyDescent="0.25">
      <c r="A53" s="36">
        <v>3</v>
      </c>
      <c r="B53" t="s">
        <v>161</v>
      </c>
      <c r="C53" s="4">
        <f>IF(Tabelle18[[#This Row],[binding_level_company]]&gt;=1,1,0)</f>
        <v>1</v>
      </c>
      <c r="D53" s="4">
        <f>IFERROR(_xlfn.MAXIFS(Tabelle5[binding_level],Tabelle5[company_id],Tabelle18[[#This Row],[company_id]],Tabelle5[value_id],Tabelle18[[#This Row],[value_id]],Tabelle5[value_present],1),0)</f>
        <v>2</v>
      </c>
      <c r="E53" s="4">
        <f>IFERROR(_xlfn.MAXIFS(Tabelle5[value_points],Tabelle5[company_id],Tabelle18[[#This Row],[company_id]],Tabelle5[value_id],Tabelle18[[#This Row],[value_id]]),0)</f>
        <v>2</v>
      </c>
      <c r="F53">
        <f>IF(Tabelle18[[#This Row],[value_points_company]]=0,"",IFERROR(_xlfn.MINIFS(Tabelle5[doc_id],Tabelle5[company_id],Tabelle18[[#This Row],[company_id]],Tabelle5[value_id],Tabelle18[[#This Row],[value_id]],Tabelle5[value_points],Tabelle18[[#This Row],[value_points_company]]),""))</f>
        <v>16</v>
      </c>
      <c r="G53" t="str" cm="1">
        <f t="array" ref="G53">IF(Tabelle18[[#This Row],[doc_id_strongest]]="","",IFERROR(INDEX(Tabelle5[evidence_location],MATCH(1,(Tabelle5[company_id]=Tabelle18[[#This Row],[company_id]])*(Tabelle5[value_id]=Tabelle18[[#This Row],[value_id]])*(Tabelle5[doc_id]=Tabelle18[[#This Row],[doc_id_strongest]]),0)),""))</f>
        <v>S. 5, Prinzip 7 Data Governance</v>
      </c>
      <c r="H53" s="33" t="str" cm="1">
        <f t="array" ref="H53">IF(Tabelle18[[#This Row],[doc_id_strongest]]="","",IFERROR(INDEX(Tabelle5[evidence_quote],MATCH(1,(Tabelle5[company_id]=Tabelle18[[#This Row],[company_id]])*(Tabelle5[value_id]=Tabelle18[[#This Row],[value_id]])*(Tabelle5[doc_id]=Tabelle18[[#This Row],[doc_id_strongest]]),0)),""))</f>
        <v>“data quality has to be ensured”</v>
      </c>
    </row>
    <row r="54" spans="1:8" x14ac:dyDescent="0.25">
      <c r="A54" s="36">
        <v>3</v>
      </c>
      <c r="B54" t="s">
        <v>166</v>
      </c>
      <c r="C54" s="4">
        <f>IF(Tabelle18[[#This Row],[binding_level_company]]&gt;=1,1,0)</f>
        <v>0</v>
      </c>
      <c r="D54" s="4">
        <f>IFERROR(_xlfn.MAXIFS(Tabelle5[binding_level],Tabelle5[company_id],Tabelle18[[#This Row],[company_id]],Tabelle5[value_id],Tabelle18[[#This Row],[value_id]],Tabelle5[value_present],1),0)</f>
        <v>0</v>
      </c>
      <c r="E54" s="4">
        <f>IFERROR(_xlfn.MAXIFS(Tabelle5[value_points],Tabelle5[company_id],Tabelle18[[#This Row],[company_id]],Tabelle5[value_id],Tabelle18[[#This Row],[value_id]]),0)</f>
        <v>0</v>
      </c>
      <c r="F54" t="str">
        <f>IF(Tabelle18[[#This Row],[value_points_company]]=0,"",IFERROR(_xlfn.MINIFS(Tabelle5[doc_id],Tabelle5[company_id],Tabelle18[[#This Row],[company_id]],Tabelle5[value_id],Tabelle18[[#This Row],[value_id]],Tabelle5[value_points],Tabelle18[[#This Row],[value_points_company]]),""))</f>
        <v/>
      </c>
      <c r="G54" t="str" cm="1">
        <f t="array" ref="G54">IF(Tabelle18[[#This Row],[doc_id_strongest]]="","",IFERROR(INDEX(Tabelle5[evidence_location],MATCH(1,(Tabelle5[company_id]=Tabelle18[[#This Row],[company_id]])*(Tabelle5[value_id]=Tabelle18[[#This Row],[value_id]])*(Tabelle5[doc_id]=Tabelle18[[#This Row],[doc_id_strongest]]),0)),""))</f>
        <v/>
      </c>
      <c r="H54" s="33" t="str" cm="1">
        <f t="array" ref="H54">IF(Tabelle18[[#This Row],[doc_id_strongest]]="","",IFERROR(INDEX(Tabelle5[evidence_quote],MATCH(1,(Tabelle5[company_id]=Tabelle18[[#This Row],[company_id]])*(Tabelle5[value_id]=Tabelle18[[#This Row],[value_id]])*(Tabelle5[doc_id]=Tabelle18[[#This Row],[doc_id_strongest]]),0)),""))</f>
        <v/>
      </c>
    </row>
    <row r="55" spans="1:8" ht="15.75" thickBot="1" x14ac:dyDescent="0.3">
      <c r="A55" s="37">
        <v>3</v>
      </c>
      <c r="B55" s="30" t="s">
        <v>174</v>
      </c>
      <c r="C55" s="49">
        <f>IF(Tabelle18[[#This Row],[binding_level_company]]&gt;=1,1,0)</f>
        <v>1</v>
      </c>
      <c r="D55" s="49">
        <f>IFERROR(_xlfn.MAXIFS(Tabelle5[binding_level],Tabelle5[company_id],Tabelle18[[#This Row],[company_id]],Tabelle5[value_id],Tabelle18[[#This Row],[value_id]],Tabelle5[value_present],1),0)</f>
        <v>1</v>
      </c>
      <c r="E55" s="49">
        <f>IFERROR(_xlfn.MAXIFS(Tabelle5[value_points],Tabelle5[company_id],Tabelle18[[#This Row],[company_id]],Tabelle5[value_id],Tabelle18[[#This Row],[value_id]]),0)</f>
        <v>1</v>
      </c>
      <c r="F55" s="30">
        <f>IF(Tabelle18[[#This Row],[value_points_company]]=0,"",IFERROR(_xlfn.MINIFS(Tabelle5[doc_id],Tabelle5[company_id],Tabelle18[[#This Row],[company_id]],Tabelle5[value_id],Tabelle18[[#This Row],[value_id]],Tabelle5[value_points],Tabelle18[[#This Row],[value_points_company]]),""))</f>
        <v>21</v>
      </c>
      <c r="G55" s="30" t="str" cm="1">
        <f t="array" ref="G55">IF(Tabelle18[[#This Row],[doc_id_strongest]]="","",IFERROR(INDEX(Tabelle5[evidence_location],MATCH(1,(Tabelle5[company_id]=Tabelle18[[#This Row],[company_id]])*(Tabelle5[value_id]=Tabelle18[[#This Row],[value_id]])*(Tabelle5[doc_id]=Tabelle18[[#This Row],[doc_id_strongest]]),0)),""))</f>
        <v>S. 2–3</v>
      </c>
      <c r="H55" s="34" t="str" cm="1">
        <f t="array" ref="H55">IF(Tabelle18[[#This Row],[doc_id_strongest]]="","",IFERROR(INDEX(Tabelle5[evidence_quote],MATCH(1,(Tabelle5[company_id]=Tabelle18[[#This Row],[company_id]])*(Tabelle5[value_id]=Tabelle18[[#This Row],[value_id]])*(Tabelle5[doc_id]=Tabelle18[[#This Row],[doc_id_strongest]]),0)),""))</f>
        <v>“societal and human rights challenges”; “human rights, data protection and cybersecurity”</v>
      </c>
    </row>
    <row r="56" spans="1:8" x14ac:dyDescent="0.25">
      <c r="A56" s="35">
        <v>4</v>
      </c>
      <c r="B56" s="22" t="s">
        <v>53</v>
      </c>
      <c r="C56" s="48">
        <f>IF(Tabelle18[[#This Row],[binding_level_company]]&gt;=1,1,0)</f>
        <v>1</v>
      </c>
      <c r="D56" s="48">
        <f>IFERROR(_xlfn.MAXIFS(Tabelle5[binding_level],Tabelle5[company_id],Tabelle18[[#This Row],[company_id]],Tabelle5[value_id],Tabelle18[[#This Row],[value_id]],Tabelle5[value_present],1),0)</f>
        <v>2</v>
      </c>
      <c r="E56" s="48">
        <f>IFERROR(_xlfn.MAXIFS(Tabelle5[value_points],Tabelle5[company_id],Tabelle18[[#This Row],[company_id]],Tabelle5[value_id],Tabelle18[[#This Row],[value_id]]),0)</f>
        <v>2</v>
      </c>
      <c r="F56" s="22">
        <f>IF(Tabelle18[[#This Row],[value_points_company]]=0,"",IFERROR(_xlfn.MINIFS(Tabelle5[doc_id],Tabelle5[company_id],Tabelle18[[#This Row],[company_id]],Tabelle5[value_id],Tabelle18[[#This Row],[value_id]],Tabelle5[value_points],Tabelle18[[#This Row],[value_points_company]]),""))</f>
        <v>22</v>
      </c>
      <c r="G56" s="22" t="str" cm="1">
        <f t="array" ref="G56">IF(Tabelle18[[#This Row],[doc_id_strongest]]="","",IFERROR(INDEX(Tabelle5[evidence_location],MATCH(1,(Tabelle5[company_id]=Tabelle18[[#This Row],[company_id]])*(Tabelle5[value_id]=Tabelle18[[#This Row],[value_id]])*(Tabelle5[doc_id]=Tabelle18[[#This Row],[doc_id_strongest]]),0)),""))</f>
        <v>S. 2, Prinzip 3 Accountable</v>
      </c>
      <c r="H56" s="32" t="str" cm="1">
        <f t="array" ref="H56">IF(Tabelle18[[#This Row],[doc_id_strongest]]="","",IFERROR(INDEX(Tabelle5[evidence_quote],MATCH(1,(Tabelle5[company_id]=Tabelle18[[#This Row],[company_id]])*(Tabelle5[value_id]=Tabelle18[[#This Row],[value_id]])*(Tabelle5[doc_id]=Tabelle18[[#This Row],[doc_id_strongest]]),0)),""))</f>
        <v>“subject to human oversight and accountability mechanisms”; “AI is not used to make autonomous decisions that have a material impact on employees”</v>
      </c>
    </row>
    <row r="57" spans="1:8" x14ac:dyDescent="0.25">
      <c r="A57" s="36">
        <v>4</v>
      </c>
      <c r="B57" t="s">
        <v>61</v>
      </c>
      <c r="C57" s="4">
        <f>IF(Tabelle18[[#This Row],[binding_level_company]]&gt;=1,1,0)</f>
        <v>1</v>
      </c>
      <c r="D57" s="4">
        <f>IFERROR(_xlfn.MAXIFS(Tabelle5[binding_level],Tabelle5[company_id],Tabelle18[[#This Row],[company_id]],Tabelle5[value_id],Tabelle18[[#This Row],[value_id]],Tabelle5[value_present],1),0)</f>
        <v>2</v>
      </c>
      <c r="E57" s="4">
        <f>IFERROR(_xlfn.MAXIFS(Tabelle5[value_points],Tabelle5[company_id],Tabelle18[[#This Row],[company_id]],Tabelle5[value_id],Tabelle18[[#This Row],[value_id]]),0)</f>
        <v>2</v>
      </c>
      <c r="F57">
        <f>IF(Tabelle18[[#This Row],[value_points_company]]=0,"",IFERROR(_xlfn.MINIFS(Tabelle5[doc_id],Tabelle5[company_id],Tabelle18[[#This Row],[company_id]],Tabelle5[value_id],Tabelle18[[#This Row],[value_id]],Tabelle5[value_points],Tabelle18[[#This Row],[value_points_company]]),""))</f>
        <v>22</v>
      </c>
      <c r="G57" t="str" cm="1">
        <f t="array" ref="G57">IF(Tabelle18[[#This Row],[doc_id_strongest]]="","",IFERROR(INDEX(Tabelle5[evidence_location],MATCH(1,(Tabelle5[company_id]=Tabelle18[[#This Row],[company_id]])*(Tabelle5[value_id]=Tabelle18[[#This Row],[value_id]])*(Tabelle5[doc_id]=Tabelle18[[#This Row],[doc_id_strongest]]),0)),""))</f>
        <v>S. 1, BASF’s Commitment to Responsible AI; S. 2, Prinzip 3</v>
      </c>
      <c r="H57" s="33" t="str" cm="1">
        <f t="array" ref="H57">IF(Tabelle18[[#This Row],[doc_id_strongest]]="","",IFERROR(INDEX(Tabelle5[evidence_quote],MATCH(1,(Tabelle5[company_id]=Tabelle18[[#This Row],[company_id]])*(Tabelle5[value_id]=Tabelle18[[#This Row],[value_id]])*(Tabelle5[doc_id]=Tabelle18[[#This Row],[doc_id_strongest]]),0)),""))</f>
        <v>“subject to human oversight and accountability mechanisms”; “developing, deploying, and using AI systems ethically and accountably”</v>
      </c>
    </row>
    <row r="58" spans="1:8" x14ac:dyDescent="0.25">
      <c r="A58" s="36">
        <v>4</v>
      </c>
      <c r="B58" t="s">
        <v>69</v>
      </c>
      <c r="C58" s="4">
        <f>IF(Tabelle18[[#This Row],[binding_level_company]]&gt;=1,1,0)</f>
        <v>1</v>
      </c>
      <c r="D58" s="4">
        <f>IFERROR(_xlfn.MAXIFS(Tabelle5[binding_level],Tabelle5[company_id],Tabelle18[[#This Row],[company_id]],Tabelle5[value_id],Tabelle18[[#This Row],[value_id]],Tabelle5[value_present],1),0)</f>
        <v>2</v>
      </c>
      <c r="E58" s="4">
        <f>IFERROR(_xlfn.MAXIFS(Tabelle5[value_points],Tabelle5[company_id],Tabelle18[[#This Row],[company_id]],Tabelle5[value_id],Tabelle18[[#This Row],[value_id]]),0)</f>
        <v>2</v>
      </c>
      <c r="F58">
        <f>IF(Tabelle18[[#This Row],[value_points_company]]=0,"",IFERROR(_xlfn.MINIFS(Tabelle5[doc_id],Tabelle5[company_id],Tabelle18[[#This Row],[company_id]],Tabelle5[value_id],Tabelle18[[#This Row],[value_id]],Tabelle5[value_points],Tabelle18[[#This Row],[value_points_company]]),""))</f>
        <v>22</v>
      </c>
      <c r="G58" t="str" cm="1">
        <f t="array" ref="G58">IF(Tabelle18[[#This Row],[doc_id_strongest]]="","",IFERROR(INDEX(Tabelle5[evidence_location],MATCH(1,(Tabelle5[company_id]=Tabelle18[[#This Row],[company_id]])*(Tabelle5[value_id]=Tabelle18[[#This Row],[value_id]])*(Tabelle5[doc_id]=Tabelle18[[#This Row],[doc_id_strongest]]),0)),""))</f>
        <v>S. 2, Prinzip 2 Transparent</v>
      </c>
      <c r="H58" s="33" t="str" cm="1">
        <f t="array" ref="H58">IF(Tabelle18[[#This Row],[doc_id_strongest]]="","",IFERROR(INDEX(Tabelle5[evidence_quote],MATCH(1,(Tabelle5[company_id]=Tabelle18[[#This Row],[company_id]])*(Tabelle5[value_id]=Tabelle18[[#This Row],[value_id]])*(Tabelle5[doc_id]=Tabelle18[[#This Row],[doc_id_strongest]]),0)),""))</f>
        <v>“decision-making processes that are comprehensible to stakeholders”</v>
      </c>
    </row>
    <row r="59" spans="1:8" x14ac:dyDescent="0.25">
      <c r="A59" s="36">
        <v>4</v>
      </c>
      <c r="B59" t="s">
        <v>76</v>
      </c>
      <c r="C59" s="4">
        <f>IF(Tabelle18[[#This Row],[binding_level_company]]&gt;=1,1,0)</f>
        <v>0</v>
      </c>
      <c r="D59" s="4">
        <f>IFERROR(_xlfn.MAXIFS(Tabelle5[binding_level],Tabelle5[company_id],Tabelle18[[#This Row],[company_id]],Tabelle5[value_id],Tabelle18[[#This Row],[value_id]],Tabelle5[value_present],1),0)</f>
        <v>0</v>
      </c>
      <c r="E59" s="4">
        <f>IFERROR(_xlfn.MAXIFS(Tabelle5[value_points],Tabelle5[company_id],Tabelle18[[#This Row],[company_id]],Tabelle5[value_id],Tabelle18[[#This Row],[value_id]]),0)</f>
        <v>0</v>
      </c>
      <c r="F59" t="str">
        <f>IF(Tabelle18[[#This Row],[value_points_company]]=0,"",IFERROR(_xlfn.MINIFS(Tabelle5[doc_id],Tabelle5[company_id],Tabelle18[[#This Row],[company_id]],Tabelle5[value_id],Tabelle18[[#This Row],[value_id]],Tabelle5[value_points],Tabelle18[[#This Row],[value_points_company]]),""))</f>
        <v/>
      </c>
      <c r="G59" t="str" cm="1">
        <f t="array" ref="G59">IF(Tabelle18[[#This Row],[doc_id_strongest]]="","",IFERROR(INDEX(Tabelle5[evidence_location],MATCH(1,(Tabelle5[company_id]=Tabelle18[[#This Row],[company_id]])*(Tabelle5[value_id]=Tabelle18[[#This Row],[value_id]])*(Tabelle5[doc_id]=Tabelle18[[#This Row],[doc_id_strongest]]),0)),""))</f>
        <v/>
      </c>
      <c r="H59" s="33" t="str" cm="1">
        <f t="array" ref="H59">IF(Tabelle18[[#This Row],[doc_id_strongest]]="","",IFERROR(INDEX(Tabelle5[evidence_quote],MATCH(1,(Tabelle5[company_id]=Tabelle18[[#This Row],[company_id]])*(Tabelle5[value_id]=Tabelle18[[#This Row],[value_id]])*(Tabelle5[doc_id]=Tabelle18[[#This Row],[doc_id_strongest]]),0)),""))</f>
        <v/>
      </c>
    </row>
    <row r="60" spans="1:8" x14ac:dyDescent="0.25">
      <c r="A60" s="36">
        <v>4</v>
      </c>
      <c r="B60" t="s">
        <v>83</v>
      </c>
      <c r="C60" s="4">
        <f>IF(Tabelle18[[#This Row],[binding_level_company]]&gt;=1,1,0)</f>
        <v>1</v>
      </c>
      <c r="D60" s="4">
        <f>IFERROR(_xlfn.MAXIFS(Tabelle5[binding_level],Tabelle5[company_id],Tabelle18[[#This Row],[company_id]],Tabelle5[value_id],Tabelle18[[#This Row],[value_id]],Tabelle5[value_present],1),0)</f>
        <v>2</v>
      </c>
      <c r="E60" s="4">
        <f>IFERROR(_xlfn.MAXIFS(Tabelle5[value_points],Tabelle5[company_id],Tabelle18[[#This Row],[company_id]],Tabelle5[value_id],Tabelle18[[#This Row],[value_id]]),0)</f>
        <v>2</v>
      </c>
      <c r="F60">
        <f>IF(Tabelle18[[#This Row],[value_points_company]]=0,"",IFERROR(_xlfn.MINIFS(Tabelle5[doc_id],Tabelle5[company_id],Tabelle18[[#This Row],[company_id]],Tabelle5[value_id],Tabelle18[[#This Row],[value_id]],Tabelle5[value_points],Tabelle18[[#This Row],[value_points_company]]),""))</f>
        <v>22</v>
      </c>
      <c r="G60" t="str" cm="1">
        <f t="array" ref="G60">IF(Tabelle18[[#This Row],[doc_id_strongest]]="","",IFERROR(INDEX(Tabelle5[evidence_location],MATCH(1,(Tabelle5[company_id]=Tabelle18[[#This Row],[company_id]])*(Tabelle5[value_id]=Tabelle18[[#This Row],[value_id]])*(Tabelle5[doc_id]=Tabelle18[[#This Row],[doc_id_strongest]]),0)),""))</f>
        <v>S. 2, Prinzip 4 Fair and Unbiased</v>
      </c>
      <c r="H60" s="33" t="str" cm="1">
        <f t="array" ref="H60">IF(Tabelle18[[#This Row],[doc_id_strongest]]="","",IFERROR(INDEX(Tabelle5[evidence_quote],MATCH(1,(Tabelle5[company_id]=Tabelle18[[#This Row],[company_id]])*(Tabelle5[value_id]=Tabelle18[[#This Row],[value_id]])*(Tabelle5[doc_id]=Tabelle18[[#This Row],[doc_id_strongest]]),0)),""))</f>
        <v>“just and equitable for all individuals and groups”</v>
      </c>
    </row>
    <row r="61" spans="1:8" x14ac:dyDescent="0.25">
      <c r="A61" s="36">
        <v>4</v>
      </c>
      <c r="B61" t="s">
        <v>90</v>
      </c>
      <c r="C61" s="4">
        <f>IF(Tabelle18[[#This Row],[binding_level_company]]&gt;=1,1,0)</f>
        <v>1</v>
      </c>
      <c r="D61" s="4">
        <f>IFERROR(_xlfn.MAXIFS(Tabelle5[binding_level],Tabelle5[company_id],Tabelle18[[#This Row],[company_id]],Tabelle5[value_id],Tabelle18[[#This Row],[value_id]],Tabelle5[value_present],1),0)</f>
        <v>2</v>
      </c>
      <c r="E61" s="4">
        <f>IFERROR(_xlfn.MAXIFS(Tabelle5[value_points],Tabelle5[company_id],Tabelle18[[#This Row],[company_id]],Tabelle5[value_id],Tabelle18[[#This Row],[value_id]]),0)</f>
        <v>2</v>
      </c>
      <c r="F61">
        <f>IF(Tabelle18[[#This Row],[value_points_company]]=0,"",IFERROR(_xlfn.MINIFS(Tabelle5[doc_id],Tabelle5[company_id],Tabelle18[[#This Row],[company_id]],Tabelle5[value_id],Tabelle18[[#This Row],[value_id]],Tabelle5[value_points],Tabelle18[[#This Row],[value_points_company]]),""))</f>
        <v>22</v>
      </c>
      <c r="G61" t="str" cm="1">
        <f t="array" ref="G61">IF(Tabelle18[[#This Row],[doc_id_strongest]]="","",IFERROR(INDEX(Tabelle5[evidence_location],MATCH(1,(Tabelle5[company_id]=Tabelle18[[#This Row],[company_id]])*(Tabelle5[value_id]=Tabelle18[[#This Row],[value_id]])*(Tabelle5[doc_id]=Tabelle18[[#This Row],[doc_id_strongest]]),0)),""))</f>
        <v>S. 2, Prinzip 6 Privacy Preserving</v>
      </c>
      <c r="H61" s="33" t="str" cm="1">
        <f t="array" ref="H61">IF(Tabelle18[[#This Row],[doc_id_strongest]]="","",IFERROR(INDEX(Tabelle5[evidence_quote],MATCH(1,(Tabelle5[company_id]=Tabelle18[[#This Row],[company_id]])*(Tabelle5[value_id]=Tabelle18[[#This Row],[value_id]])*(Tabelle5[doc_id]=Tabelle18[[#This Row],[doc_id_strongest]]),0)),""))</f>
        <v>“essential human right of an individual's privacy throughout the entire life cycle”</v>
      </c>
    </row>
    <row r="62" spans="1:8" x14ac:dyDescent="0.25">
      <c r="A62" s="36">
        <v>4</v>
      </c>
      <c r="B62" t="s">
        <v>98</v>
      </c>
      <c r="C62" s="4">
        <f>IF(Tabelle18[[#This Row],[binding_level_company]]&gt;=1,1,0)</f>
        <v>1</v>
      </c>
      <c r="D62" s="4">
        <f>IFERROR(_xlfn.MAXIFS(Tabelle5[binding_level],Tabelle5[company_id],Tabelle18[[#This Row],[company_id]],Tabelle5[value_id],Tabelle18[[#This Row],[value_id]],Tabelle5[value_present],1),0)</f>
        <v>2</v>
      </c>
      <c r="E62" s="4">
        <f>IFERROR(_xlfn.MAXIFS(Tabelle5[value_points],Tabelle5[company_id],Tabelle18[[#This Row],[company_id]],Tabelle5[value_id],Tabelle18[[#This Row],[value_id]]),0)</f>
        <v>2</v>
      </c>
      <c r="F62">
        <f>IF(Tabelle18[[#This Row],[value_points_company]]=0,"",IFERROR(_xlfn.MINIFS(Tabelle5[doc_id],Tabelle5[company_id],Tabelle18[[#This Row],[company_id]],Tabelle5[value_id],Tabelle18[[#This Row],[value_id]],Tabelle5[value_points],Tabelle18[[#This Row],[value_points_company]]),""))</f>
        <v>22</v>
      </c>
      <c r="G62" t="str" cm="1">
        <f t="array" ref="G62">IF(Tabelle18[[#This Row],[doc_id_strongest]]="","",IFERROR(INDEX(Tabelle5[evidence_location],MATCH(1,(Tabelle5[company_id]=Tabelle18[[#This Row],[company_id]])*(Tabelle5[value_id]=Tabelle18[[#This Row],[value_id]])*(Tabelle5[doc_id]=Tabelle18[[#This Row],[doc_id_strongest]]),0)),""))</f>
        <v>S. 2, Prinzip 5 Secure</v>
      </c>
      <c r="H62" s="33" t="str" cm="1">
        <f t="array" ref="H62">IF(Tabelle18[[#This Row],[doc_id_strongest]]="","",IFERROR(INDEX(Tabelle5[evidence_quote],MATCH(1,(Tabelle5[company_id]=Tabelle18[[#This Row],[company_id]])*(Tabelle5[value_id]=Tabelle18[[#This Row],[value_id]])*(Tabelle5[doc_id]=Tabelle18[[#This Row],[doc_id_strongest]]),0)),""))</f>
        <v>“integrity, confidentiality, availability and authenticity”</v>
      </c>
    </row>
    <row r="63" spans="1:8" x14ac:dyDescent="0.25">
      <c r="A63" s="36">
        <v>4</v>
      </c>
      <c r="B63" t="s">
        <v>106</v>
      </c>
      <c r="C63" s="4">
        <f>IF(Tabelle18[[#This Row],[binding_level_company]]&gt;=1,1,0)</f>
        <v>1</v>
      </c>
      <c r="D63" s="4">
        <f>IFERROR(_xlfn.MAXIFS(Tabelle5[binding_level],Tabelle5[company_id],Tabelle18[[#This Row],[company_id]],Tabelle5[value_id],Tabelle18[[#This Row],[value_id]],Tabelle5[value_present],1),0)</f>
        <v>2</v>
      </c>
      <c r="E63" s="4">
        <f>IFERROR(_xlfn.MAXIFS(Tabelle5[value_points],Tabelle5[company_id],Tabelle18[[#This Row],[company_id]],Tabelle5[value_id],Tabelle18[[#This Row],[value_id]]),0)</f>
        <v>2</v>
      </c>
      <c r="F63">
        <f>IF(Tabelle18[[#This Row],[value_points_company]]=0,"",IFERROR(_xlfn.MINIFS(Tabelle5[doc_id],Tabelle5[company_id],Tabelle18[[#This Row],[company_id]],Tabelle5[value_id],Tabelle18[[#This Row],[value_id]],Tabelle5[value_points],Tabelle18[[#This Row],[value_points_company]]),""))</f>
        <v>22</v>
      </c>
      <c r="G63" t="str" cm="1">
        <f t="array" ref="G63">IF(Tabelle18[[#This Row],[doc_id_strongest]]="","",IFERROR(INDEX(Tabelle5[evidence_location],MATCH(1,(Tabelle5[company_id]=Tabelle18[[#This Row],[company_id]])*(Tabelle5[value_id]=Tabelle18[[#This Row],[value_id]])*(Tabelle5[doc_id]=Tabelle18[[#This Row],[doc_id_strongest]]),0)),""))</f>
        <v>S. 1; S. 2, Prinzip 1 und 7</v>
      </c>
      <c r="H63" s="33" t="str" cm="1">
        <f t="array" ref="H63">IF(Tabelle18[[#This Row],[doc_id_strongest]]="","",IFERROR(INDEX(Tabelle5[evidence_quote],MATCH(1,(Tabelle5[company_id]=Tabelle18[[#This Row],[company_id]])*(Tabelle5[value_id]=Tabelle18[[#This Row],[value_id]])*(Tabelle5[doc_id]=Tabelle18[[#This Row],[doc_id_strongest]]),0)),""))</f>
        <v>“strictly prohibiting AI in applications related to ‘Prohibited Practices’”; “prioritizing the well-being and safety of individuals and communities”; “focus on reliability, accuracy, and safety”</v>
      </c>
    </row>
    <row r="64" spans="1:8" x14ac:dyDescent="0.25">
      <c r="A64" s="36">
        <v>4</v>
      </c>
      <c r="B64" t="s">
        <v>112</v>
      </c>
      <c r="C64" s="4">
        <f>IF(Tabelle18[[#This Row],[binding_level_company]]&gt;=1,1,0)</f>
        <v>1</v>
      </c>
      <c r="D64" s="4">
        <f>IFERROR(_xlfn.MAXIFS(Tabelle5[binding_level],Tabelle5[company_id],Tabelle18[[#This Row],[company_id]],Tabelle5[value_id],Tabelle18[[#This Row],[value_id]],Tabelle5[value_present],1),0)</f>
        <v>2</v>
      </c>
      <c r="E64" s="4">
        <f>IFERROR(_xlfn.MAXIFS(Tabelle5[value_points],Tabelle5[company_id],Tabelle18[[#This Row],[company_id]],Tabelle5[value_id],Tabelle18[[#This Row],[value_id]]),0)</f>
        <v>2</v>
      </c>
      <c r="F64">
        <f>IF(Tabelle18[[#This Row],[value_points_company]]=0,"",IFERROR(_xlfn.MINIFS(Tabelle5[doc_id],Tabelle5[company_id],Tabelle18[[#This Row],[company_id]],Tabelle5[value_id],Tabelle18[[#This Row],[value_id]],Tabelle5[value_points],Tabelle18[[#This Row],[value_points_company]]),""))</f>
        <v>22</v>
      </c>
      <c r="G64" t="str" cm="1">
        <f t="array" ref="G64">IF(Tabelle18[[#This Row],[doc_id_strongest]]="","",IFERROR(INDEX(Tabelle5[evidence_location],MATCH(1,(Tabelle5[company_id]=Tabelle18[[#This Row],[company_id]])*(Tabelle5[value_id]=Tabelle18[[#This Row],[value_id]])*(Tabelle5[doc_id]=Tabelle18[[#This Row],[doc_id_strongest]]),0)),""))</f>
        <v>S. 2, Prinzip 7 Robust &amp; Safe</v>
      </c>
      <c r="H64" s="33" t="str" cm="1">
        <f t="array" ref="H64">IF(Tabelle18[[#This Row],[doc_id_strongest]]="","",IFERROR(INDEX(Tabelle5[evidence_quote],MATCH(1,(Tabelle5[company_id]=Tabelle18[[#This Row],[company_id]])*(Tabelle5[value_id]=Tabelle18[[#This Row],[value_id]])*(Tabelle5[doc_id]=Tabelle18[[#This Row],[doc_id_strongest]]),0)),""))</f>
        <v>“focus on reliability, accuracy, and safety”</v>
      </c>
    </row>
    <row r="65" spans="1:8" x14ac:dyDescent="0.25">
      <c r="A65" s="36">
        <v>4</v>
      </c>
      <c r="B65" t="s">
        <v>118</v>
      </c>
      <c r="C65" s="4">
        <f>IF(Tabelle18[[#This Row],[binding_level_company]]&gt;=1,1,0)</f>
        <v>0</v>
      </c>
      <c r="D65" s="4">
        <f>IFERROR(_xlfn.MAXIFS(Tabelle5[binding_level],Tabelle5[company_id],Tabelle18[[#This Row],[company_id]],Tabelle5[value_id],Tabelle18[[#This Row],[value_id]],Tabelle5[value_present],1),0)</f>
        <v>0</v>
      </c>
      <c r="E65" s="4">
        <f>IFERROR(_xlfn.MAXIFS(Tabelle5[value_points],Tabelle5[company_id],Tabelle18[[#This Row],[company_id]],Tabelle5[value_id],Tabelle18[[#This Row],[value_id]]),0)</f>
        <v>0</v>
      </c>
      <c r="F65" t="str">
        <f>IF(Tabelle18[[#This Row],[value_points_company]]=0,"",IFERROR(_xlfn.MINIFS(Tabelle5[doc_id],Tabelle5[company_id],Tabelle18[[#This Row],[company_id]],Tabelle5[value_id],Tabelle18[[#This Row],[value_id]],Tabelle5[value_points],Tabelle18[[#This Row],[value_points_company]]),""))</f>
        <v/>
      </c>
      <c r="G65" t="str" cm="1">
        <f t="array" ref="G65">IF(Tabelle18[[#This Row],[doc_id_strongest]]="","",IFERROR(INDEX(Tabelle5[evidence_location],MATCH(1,(Tabelle5[company_id]=Tabelle18[[#This Row],[company_id]])*(Tabelle5[value_id]=Tabelle18[[#This Row],[value_id]])*(Tabelle5[doc_id]=Tabelle18[[#This Row],[doc_id_strongest]]),0)),""))</f>
        <v/>
      </c>
      <c r="H65" s="33" t="str" cm="1">
        <f t="array" ref="H65">IF(Tabelle18[[#This Row],[doc_id_strongest]]="","",IFERROR(INDEX(Tabelle5[evidence_quote],MATCH(1,(Tabelle5[company_id]=Tabelle18[[#This Row],[company_id]])*(Tabelle5[value_id]=Tabelle18[[#This Row],[value_id]])*(Tabelle5[doc_id]=Tabelle18[[#This Row],[doc_id_strongest]]),0)),""))</f>
        <v/>
      </c>
    </row>
    <row r="66" spans="1:8" x14ac:dyDescent="0.25">
      <c r="A66" s="36">
        <v>4</v>
      </c>
      <c r="B66" t="s">
        <v>125</v>
      </c>
      <c r="C66" s="4">
        <f>IF(Tabelle18[[#This Row],[binding_level_company]]&gt;=1,1,0)</f>
        <v>1</v>
      </c>
      <c r="D66" s="4">
        <f>IFERROR(_xlfn.MAXIFS(Tabelle5[binding_level],Tabelle5[company_id],Tabelle18[[#This Row],[company_id]],Tabelle5[value_id],Tabelle18[[#This Row],[value_id]],Tabelle5[value_present],1),0)</f>
        <v>2</v>
      </c>
      <c r="E66" s="4">
        <f>IFERROR(_xlfn.MAXIFS(Tabelle5[value_points],Tabelle5[company_id],Tabelle18[[#This Row],[company_id]],Tabelle5[value_id],Tabelle18[[#This Row],[value_id]]),0)</f>
        <v>2</v>
      </c>
      <c r="F66">
        <f>IF(Tabelle18[[#This Row],[value_points_company]]=0,"",IFERROR(_xlfn.MINIFS(Tabelle5[doc_id],Tabelle5[company_id],Tabelle18[[#This Row],[company_id]],Tabelle5[value_id],Tabelle18[[#This Row],[value_id]],Tabelle5[value_points],Tabelle18[[#This Row],[value_points_company]]),""))</f>
        <v>23</v>
      </c>
      <c r="G66" t="str" cm="1">
        <f t="array" ref="G66">IF(Tabelle18[[#This Row],[doc_id_strongest]]="","",IFERROR(INDEX(Tabelle5[evidence_location],MATCH(1,(Tabelle5[company_id]=Tabelle18[[#This Row],[company_id]])*(Tabelle5[value_id]=Tabelle18[[#This Row],[value_id]])*(Tabelle5[doc_id]=Tabelle18[[#This Row],[doc_id_strongest]]),0)),""))</f>
        <v>S. 49, Digital responsibility</v>
      </c>
      <c r="H66" s="33" t="str" cm="1">
        <f t="array" ref="H66">IF(Tabelle18[[#This Row],[doc_id_strongest]]="","",IFERROR(INDEX(Tabelle5[evidence_quote],MATCH(1,(Tabelle5[company_id]=Tabelle18[[#This Row],[company_id]])*(Tabelle5[value_id]=Tabelle18[[#This Row],[value_id]])*(Tabelle5[doc_id]=Tabelle18[[#This Row],[doc_id_strongest]]),0)),""))</f>
        <v>“using them inclusively, to empower our employees, customers and other stakeholders”</v>
      </c>
    </row>
    <row r="67" spans="1:8" x14ac:dyDescent="0.25">
      <c r="A67" s="36">
        <v>4</v>
      </c>
      <c r="B67" t="s">
        <v>132</v>
      </c>
      <c r="C67" s="4">
        <f>IF(Tabelle18[[#This Row],[binding_level_company]]&gt;=1,1,0)</f>
        <v>0</v>
      </c>
      <c r="D67" s="4">
        <f>IFERROR(_xlfn.MAXIFS(Tabelle5[binding_level],Tabelle5[company_id],Tabelle18[[#This Row],[company_id]],Tabelle5[value_id],Tabelle18[[#This Row],[value_id]],Tabelle5[value_present],1),0)</f>
        <v>0</v>
      </c>
      <c r="E67" s="4">
        <f>IFERROR(_xlfn.MAXIFS(Tabelle5[value_points],Tabelle5[company_id],Tabelle18[[#This Row],[company_id]],Tabelle5[value_id],Tabelle18[[#This Row],[value_id]]),0)</f>
        <v>0</v>
      </c>
      <c r="F67" t="str">
        <f>IF(Tabelle18[[#This Row],[value_points_company]]=0,"",IFERROR(_xlfn.MINIFS(Tabelle5[doc_id],Tabelle5[company_id],Tabelle18[[#This Row],[company_id]],Tabelle5[value_id],Tabelle18[[#This Row],[value_id]],Tabelle5[value_points],Tabelle18[[#This Row],[value_points_company]]),""))</f>
        <v/>
      </c>
      <c r="G67" t="str" cm="1">
        <f t="array" ref="G67">IF(Tabelle18[[#This Row],[doc_id_strongest]]="","",IFERROR(INDEX(Tabelle5[evidence_location],MATCH(1,(Tabelle5[company_id]=Tabelle18[[#This Row],[company_id]])*(Tabelle5[value_id]=Tabelle18[[#This Row],[value_id]])*(Tabelle5[doc_id]=Tabelle18[[#This Row],[doc_id_strongest]]),0)),""))</f>
        <v/>
      </c>
      <c r="H67" s="33" t="str" cm="1">
        <f t="array" ref="H67">IF(Tabelle18[[#This Row],[doc_id_strongest]]="","",IFERROR(INDEX(Tabelle5[evidence_quote],MATCH(1,(Tabelle5[company_id]=Tabelle18[[#This Row],[company_id]])*(Tabelle5[value_id]=Tabelle18[[#This Row],[value_id]])*(Tabelle5[doc_id]=Tabelle18[[#This Row],[doc_id_strongest]]),0)),""))</f>
        <v/>
      </c>
    </row>
    <row r="68" spans="1:8" x14ac:dyDescent="0.25">
      <c r="A68" s="36">
        <v>4</v>
      </c>
      <c r="B68" t="s">
        <v>140</v>
      </c>
      <c r="C68" s="4">
        <f>IF(Tabelle18[[#This Row],[binding_level_company]]&gt;=1,1,0)</f>
        <v>1</v>
      </c>
      <c r="D68" s="4">
        <f>IFERROR(_xlfn.MAXIFS(Tabelle5[binding_level],Tabelle5[company_id],Tabelle18[[#This Row],[company_id]],Tabelle5[value_id],Tabelle18[[#This Row],[value_id]],Tabelle5[value_present],1),0)</f>
        <v>1</v>
      </c>
      <c r="E68" s="4">
        <f>IFERROR(_xlfn.MAXIFS(Tabelle5[value_points],Tabelle5[company_id],Tabelle18[[#This Row],[company_id]],Tabelle5[value_id],Tabelle18[[#This Row],[value_id]]),0)</f>
        <v>1</v>
      </c>
      <c r="F68">
        <f>IF(Tabelle18[[#This Row],[value_points_company]]=0,"",IFERROR(_xlfn.MINIFS(Tabelle5[doc_id],Tabelle5[company_id],Tabelle18[[#This Row],[company_id]],Tabelle5[value_id],Tabelle18[[#This Row],[value_id]],Tabelle5[value_points],Tabelle18[[#This Row],[value_points_company]]),""))</f>
        <v>23</v>
      </c>
      <c r="G68" t="str" cm="1">
        <f t="array" ref="G68">IF(Tabelle18[[#This Row],[doc_id_strongest]]="","",IFERROR(INDEX(Tabelle5[evidence_location],MATCH(1,(Tabelle5[company_id]=Tabelle18[[#This Row],[company_id]])*(Tabelle5[value_id]=Tabelle18[[#This Row],[value_id]])*(Tabelle5[doc_id]=Tabelle18[[#This Row],[doc_id_strongest]]),0)),""))</f>
        <v>S. 49, Digital responsibility</v>
      </c>
      <c r="H68" s="33" t="str" cm="1">
        <f t="array" ref="H68">IF(Tabelle18[[#This Row],[doc_id_strongest]]="","",IFERROR(INDEX(Tabelle5[evidence_quote],MATCH(1,(Tabelle5[company_id]=Tabelle18[[#This Row],[company_id]])*(Tabelle5[value_id]=Tabelle18[[#This Row],[value_id]])*(Tabelle5[doc_id]=Tabelle18[[#This Row],[doc_id_strongest]]),0)),""))</f>
        <v>“to empower our employees, customers and other stakeholders”</v>
      </c>
    </row>
    <row r="69" spans="1:8" x14ac:dyDescent="0.25">
      <c r="A69" s="36">
        <v>4</v>
      </c>
      <c r="B69" t="s">
        <v>147</v>
      </c>
      <c r="C69" s="4">
        <f>IF(Tabelle18[[#This Row],[binding_level_company]]&gt;=1,1,0)</f>
        <v>1</v>
      </c>
      <c r="D69" s="4">
        <f>IFERROR(_xlfn.MAXIFS(Tabelle5[binding_level],Tabelle5[company_id],Tabelle18[[#This Row],[company_id]],Tabelle5[value_id],Tabelle18[[#This Row],[value_id]],Tabelle5[value_present],1),0)</f>
        <v>2</v>
      </c>
      <c r="E69" s="4">
        <f>IFERROR(_xlfn.MAXIFS(Tabelle5[value_points],Tabelle5[company_id],Tabelle18[[#This Row],[company_id]],Tabelle5[value_id],Tabelle18[[#This Row],[value_id]]),0)</f>
        <v>2</v>
      </c>
      <c r="F69">
        <f>IF(Tabelle18[[#This Row],[value_points_company]]=0,"",IFERROR(_xlfn.MINIFS(Tabelle5[doc_id],Tabelle5[company_id],Tabelle18[[#This Row],[company_id]],Tabelle5[value_id],Tabelle18[[#This Row],[value_id]],Tabelle5[value_points],Tabelle18[[#This Row],[value_points_company]]),""))</f>
        <v>22</v>
      </c>
      <c r="G69" t="str" cm="1">
        <f t="array" ref="G69">IF(Tabelle18[[#This Row],[doc_id_strongest]]="","",IFERROR(INDEX(Tabelle5[evidence_location],MATCH(1,(Tabelle5[company_id]=Tabelle18[[#This Row],[company_id]])*(Tabelle5[value_id]=Tabelle18[[#This Row],[value_id]])*(Tabelle5[doc_id]=Tabelle18[[#This Row],[doc_id_strongest]]),0)),""))</f>
        <v>S. 1, BASF’s Commitment to Responsible AI</v>
      </c>
      <c r="H69" s="33" t="str" cm="1">
        <f t="array" ref="H69">IF(Tabelle18[[#This Row],[doc_id_strongest]]="","",IFERROR(INDEX(Tabelle5[evidence_quote],MATCH(1,(Tabelle5[company_id]=Tabelle18[[#This Row],[company_id]])*(Tabelle5[value_id]=Tabelle18[[#This Row],[value_id]])*(Tabelle5[doc_id]=Tabelle18[[#This Row],[doc_id_strongest]]),0)),""))</f>
        <v>“strictly prohibiting AI in applications related to ‘Prohibited Practices’”</v>
      </c>
    </row>
    <row r="70" spans="1:8" x14ac:dyDescent="0.25">
      <c r="A70" s="36">
        <v>4</v>
      </c>
      <c r="B70" t="s">
        <v>154</v>
      </c>
      <c r="C70" s="4">
        <f>IF(Tabelle18[[#This Row],[binding_level_company]]&gt;=1,1,0)</f>
        <v>1</v>
      </c>
      <c r="D70" s="4">
        <f>IFERROR(_xlfn.MAXIFS(Tabelle5[binding_level],Tabelle5[company_id],Tabelle18[[#This Row],[company_id]],Tabelle5[value_id],Tabelle18[[#This Row],[value_id]],Tabelle5[value_present],1),0)</f>
        <v>2</v>
      </c>
      <c r="E70" s="4">
        <f>IFERROR(_xlfn.MAXIFS(Tabelle5[value_points],Tabelle5[company_id],Tabelle18[[#This Row],[company_id]],Tabelle5[value_id],Tabelle18[[#This Row],[value_id]]),0)</f>
        <v>2</v>
      </c>
      <c r="F70">
        <f>IF(Tabelle18[[#This Row],[value_points_company]]=0,"",IFERROR(_xlfn.MINIFS(Tabelle5[doc_id],Tabelle5[company_id],Tabelle18[[#This Row],[company_id]],Tabelle5[value_id],Tabelle18[[#This Row],[value_id]],Tabelle5[value_points],Tabelle18[[#This Row],[value_points_company]]),""))</f>
        <v>22</v>
      </c>
      <c r="G70" t="str" cm="1">
        <f t="array" ref="G70">IF(Tabelle18[[#This Row],[doc_id_strongest]]="","",IFERROR(INDEX(Tabelle5[evidence_location],MATCH(1,(Tabelle5[company_id]=Tabelle18[[#This Row],[company_id]])*(Tabelle5[value_id]=Tabelle18[[#This Row],[value_id]])*(Tabelle5[doc_id]=Tabelle18[[#This Row],[doc_id_strongest]]),0)),""))</f>
        <v>S. 1–2</v>
      </c>
      <c r="H70" s="33" t="str" cm="1">
        <f t="array" ref="H70">IF(Tabelle18[[#This Row],[doc_id_strongest]]="","",IFERROR(INDEX(Tabelle5[evidence_quote],MATCH(1,(Tabelle5[company_id]=Tabelle18[[#This Row],[company_id]])*(Tabelle5[value_id]=Tabelle18[[#This Row],[value_id]])*(Tabelle5[doc_id]=Tabelle18[[#This Row],[doc_id_strongest]]),0)),""))</f>
        <v>“developing, deploying, and using AI systems ethically and accountably”; “prioritizing the well-being and safety of individuals and communities”</v>
      </c>
    </row>
    <row r="71" spans="1:8" x14ac:dyDescent="0.25">
      <c r="A71" s="36">
        <v>4</v>
      </c>
      <c r="B71" t="s">
        <v>161</v>
      </c>
      <c r="C71" s="4">
        <f>IF(Tabelle18[[#This Row],[binding_level_company]]&gt;=1,1,0)</f>
        <v>1</v>
      </c>
      <c r="D71" s="4">
        <f>IFERROR(_xlfn.MAXIFS(Tabelle5[binding_level],Tabelle5[company_id],Tabelle18[[#This Row],[company_id]],Tabelle5[value_id],Tabelle18[[#This Row],[value_id]],Tabelle5[value_present],1),0)</f>
        <v>1</v>
      </c>
      <c r="E71" s="4">
        <f>IFERROR(_xlfn.MAXIFS(Tabelle5[value_points],Tabelle5[company_id],Tabelle18[[#This Row],[company_id]],Tabelle5[value_id],Tabelle18[[#This Row],[value_id]]),0)</f>
        <v>1</v>
      </c>
      <c r="F71">
        <f>IF(Tabelle18[[#This Row],[value_points_company]]=0,"",IFERROR(_xlfn.MINIFS(Tabelle5[doc_id],Tabelle5[company_id],Tabelle18[[#This Row],[company_id]],Tabelle5[value_id],Tabelle18[[#This Row],[value_id]],Tabelle5[value_points],Tabelle18[[#This Row],[value_points_company]]),""))</f>
        <v>22</v>
      </c>
      <c r="G71" t="str" cm="1">
        <f t="array" ref="G71">IF(Tabelle18[[#This Row],[doc_id_strongest]]="","",IFERROR(INDEX(Tabelle5[evidence_location],MATCH(1,(Tabelle5[company_id]=Tabelle18[[#This Row],[company_id]])*(Tabelle5[value_id]=Tabelle18[[#This Row],[value_id]])*(Tabelle5[doc_id]=Tabelle18[[#This Row],[doc_id_strongest]]),0)),""))</f>
        <v>S. 1, Einleitung</v>
      </c>
      <c r="H71" s="33" t="str" cm="1">
        <f t="array" ref="H71">IF(Tabelle18[[#This Row],[doc_id_strongest]]="","",IFERROR(INDEX(Tabelle5[evidence_quote],MATCH(1,(Tabelle5[company_id]=Tabelle18[[#This Row],[company_id]])*(Tabelle5[value_id]=Tabelle18[[#This Row],[value_id]])*(Tabelle5[doc_id]=Tabelle18[[#This Row],[doc_id_strongest]]),0)),""))</f>
        <v>“we focus on strong data and AI governance”</v>
      </c>
    </row>
    <row r="72" spans="1:8" x14ac:dyDescent="0.25">
      <c r="A72" s="36">
        <v>4</v>
      </c>
      <c r="B72" t="s">
        <v>166</v>
      </c>
      <c r="C72" s="4">
        <f>IF(Tabelle18[[#This Row],[binding_level_company]]&gt;=1,1,0)</f>
        <v>0</v>
      </c>
      <c r="D72" s="4">
        <f>IFERROR(_xlfn.MAXIFS(Tabelle5[binding_level],Tabelle5[company_id],Tabelle18[[#This Row],[company_id]],Tabelle5[value_id],Tabelle18[[#This Row],[value_id]],Tabelle5[value_present],1),0)</f>
        <v>0</v>
      </c>
      <c r="E72" s="4">
        <f>IFERROR(_xlfn.MAXIFS(Tabelle5[value_points],Tabelle5[company_id],Tabelle18[[#This Row],[company_id]],Tabelle5[value_id],Tabelle18[[#This Row],[value_id]]),0)</f>
        <v>0</v>
      </c>
      <c r="F72" t="str">
        <f>IF(Tabelle18[[#This Row],[value_points_company]]=0,"",IFERROR(_xlfn.MINIFS(Tabelle5[doc_id],Tabelle5[company_id],Tabelle18[[#This Row],[company_id]],Tabelle5[value_id],Tabelle18[[#This Row],[value_id]],Tabelle5[value_points],Tabelle18[[#This Row],[value_points_company]]),""))</f>
        <v/>
      </c>
      <c r="G72" t="str" cm="1">
        <f t="array" ref="G72">IF(Tabelle18[[#This Row],[doc_id_strongest]]="","",IFERROR(INDEX(Tabelle5[evidence_location],MATCH(1,(Tabelle5[company_id]=Tabelle18[[#This Row],[company_id]])*(Tabelle5[value_id]=Tabelle18[[#This Row],[value_id]])*(Tabelle5[doc_id]=Tabelle18[[#This Row],[doc_id_strongest]]),0)),""))</f>
        <v/>
      </c>
      <c r="H72" s="33" t="str" cm="1">
        <f t="array" ref="H72">IF(Tabelle18[[#This Row],[doc_id_strongest]]="","",IFERROR(INDEX(Tabelle5[evidence_quote],MATCH(1,(Tabelle5[company_id]=Tabelle18[[#This Row],[company_id]])*(Tabelle5[value_id]=Tabelle18[[#This Row],[value_id]])*(Tabelle5[doc_id]=Tabelle18[[#This Row],[doc_id_strongest]]),0)),""))</f>
        <v/>
      </c>
    </row>
    <row r="73" spans="1:8" ht="15.75" thickBot="1" x14ac:dyDescent="0.3">
      <c r="A73" s="37">
        <v>4</v>
      </c>
      <c r="B73" s="30" t="s">
        <v>174</v>
      </c>
      <c r="C73" s="49">
        <f>IF(Tabelle18[[#This Row],[binding_level_company]]&gt;=1,1,0)</f>
        <v>1</v>
      </c>
      <c r="D73" s="49">
        <f>IFERROR(_xlfn.MAXIFS(Tabelle5[binding_level],Tabelle5[company_id],Tabelle18[[#This Row],[company_id]],Tabelle5[value_id],Tabelle18[[#This Row],[value_id]],Tabelle5[value_present],1),0)</f>
        <v>2</v>
      </c>
      <c r="E73" s="49">
        <f>IFERROR(_xlfn.MAXIFS(Tabelle5[value_points],Tabelle5[company_id],Tabelle18[[#This Row],[company_id]],Tabelle5[value_id],Tabelle18[[#This Row],[value_id]]),0)</f>
        <v>2</v>
      </c>
      <c r="F73" s="30">
        <f>IF(Tabelle18[[#This Row],[value_points_company]]=0,"",IFERROR(_xlfn.MINIFS(Tabelle5[doc_id],Tabelle5[company_id],Tabelle18[[#This Row],[company_id]],Tabelle5[value_id],Tabelle18[[#This Row],[value_id]],Tabelle5[value_points],Tabelle18[[#This Row],[value_points_company]]),""))</f>
        <v>22</v>
      </c>
      <c r="G73" s="30" t="str" cm="1">
        <f t="array" ref="G73">IF(Tabelle18[[#This Row],[doc_id_strongest]]="","",IFERROR(INDEX(Tabelle5[evidence_location],MATCH(1,(Tabelle5[company_id]=Tabelle18[[#This Row],[company_id]])*(Tabelle5[value_id]=Tabelle18[[#This Row],[value_id]])*(Tabelle5[doc_id]=Tabelle18[[#This Row],[doc_id_strongest]]),0)),""))</f>
        <v>S. 2, Prinzip 1 und 6</v>
      </c>
      <c r="H73" s="34" t="str" cm="1">
        <f t="array" ref="H73">IF(Tabelle18[[#This Row],[doc_id_strongest]]="","",IFERROR(INDEX(Tabelle5[evidence_quote],MATCH(1,(Tabelle5[company_id]=Tabelle18[[#This Row],[company_id]])*(Tabelle5[value_id]=Tabelle18[[#This Row],[value_id]])*(Tabelle5[doc_id]=Tabelle18[[#This Row],[doc_id_strongest]]),0)),""))</f>
        <v>“essential human right of an individual's privacy throughout the entire life cycle”; “prioritizing the well-being and safety of individuals and communities”</v>
      </c>
    </row>
    <row r="74" spans="1:8" x14ac:dyDescent="0.25">
      <c r="A74" s="35">
        <v>5</v>
      </c>
      <c r="B74" s="22" t="s">
        <v>53</v>
      </c>
      <c r="C74" s="48">
        <f>IF(Tabelle18[[#This Row],[binding_level_company]]&gt;=1,1,0)</f>
        <v>1</v>
      </c>
      <c r="D74" s="48">
        <f>IFERROR(_xlfn.MAXIFS(Tabelle5[binding_level],Tabelle5[company_id],Tabelle18[[#This Row],[company_id]],Tabelle5[value_id],Tabelle18[[#This Row],[value_id]],Tabelle5[value_present],1),0)</f>
        <v>3</v>
      </c>
      <c r="E74" s="48">
        <f>IFERROR(_xlfn.MAXIFS(Tabelle5[value_points],Tabelle5[company_id],Tabelle18[[#This Row],[company_id]],Tabelle5[value_id],Tabelle18[[#This Row],[value_id]]),0)</f>
        <v>3</v>
      </c>
      <c r="F74" s="22">
        <f>IF(Tabelle18[[#This Row],[value_points_company]]=0,"",IFERROR(_xlfn.MINIFS(Tabelle5[doc_id],Tabelle5[company_id],Tabelle18[[#This Row],[company_id]],Tabelle5[value_id],Tabelle18[[#This Row],[value_id]],Tabelle5[value_points],Tabelle18[[#This Row],[value_points_company]]),""))</f>
        <v>30</v>
      </c>
      <c r="G74" s="22" t="str" cm="1">
        <f t="array" ref="G74">IF(Tabelle18[[#This Row],[doc_id_strongest]]="","",IFERROR(INDEX(Tabelle5[evidence_location],MATCH(1,(Tabelle5[company_id]=Tabelle18[[#This Row],[company_id]])*(Tabelle5[value_id]=Tabelle18[[#This Row],[value_id]])*(Tabelle5[doc_id]=Tabelle18[[#This Row],[doc_id_strongest]]),0)),""))</f>
        <v>S. 4 „Much-needed Treatments“; S. 8 „Powered by People“</v>
      </c>
      <c r="H74" s="32" t="str" cm="1">
        <f t="array" ref="H74">IF(Tabelle18[[#This Row],[doc_id_strongest]]="","",IFERROR(INDEX(Tabelle5[evidence_quote],MATCH(1,(Tabelle5[company_id]=Tabelle18[[#This Row],[company_id]])*(Tabelle5[value_id]=Tabelle18[[#This Row],[value_id]])*(Tabelle5[doc_id]=Tabelle18[[#This Row],[doc_id_strongest]]),0)),""))</f>
        <v>“validated by human review”; “AI is a complementary tool rather than a replacement for human judgment.”</v>
      </c>
    </row>
    <row r="75" spans="1:8" x14ac:dyDescent="0.25">
      <c r="A75" s="36">
        <v>5</v>
      </c>
      <c r="B75" t="s">
        <v>61</v>
      </c>
      <c r="C75" s="4">
        <f>IF(Tabelle18[[#This Row],[binding_level_company]]&gt;=1,1,0)</f>
        <v>1</v>
      </c>
      <c r="D75" s="4">
        <f>IFERROR(_xlfn.MAXIFS(Tabelle5[binding_level],Tabelle5[company_id],Tabelle18[[#This Row],[company_id]],Tabelle5[value_id],Tabelle18[[#This Row],[value_id]],Tabelle5[value_present],1),0)</f>
        <v>2</v>
      </c>
      <c r="E75" s="4">
        <f>IFERROR(_xlfn.MAXIFS(Tabelle5[value_points],Tabelle5[company_id],Tabelle18[[#This Row],[company_id]],Tabelle5[value_id],Tabelle18[[#This Row],[value_id]]),0)</f>
        <v>2</v>
      </c>
      <c r="F75">
        <f>IF(Tabelle18[[#This Row],[value_points_company]]=0,"",IFERROR(_xlfn.MINIFS(Tabelle5[doc_id],Tabelle5[company_id],Tabelle18[[#This Row],[company_id]],Tabelle5[value_id],Tabelle18[[#This Row],[value_id]],Tabelle5[value_points],Tabelle18[[#This Row],[value_points_company]]),""))</f>
        <v>28</v>
      </c>
      <c r="G75" t="str" cm="1">
        <f t="array" ref="G75">IF(Tabelle18[[#This Row],[doc_id_strongest]]="","",IFERROR(INDEX(Tabelle5[evidence_location],MATCH(1,(Tabelle5[company_id]=Tabelle18[[#This Row],[company_id]])*(Tabelle5[value_id]=Tabelle18[[#This Row],[value_id]])*(Tabelle5[doc_id]=Tabelle18[[#This Row],[doc_id_strongest]]),0)),""))</f>
        <v>S. 1 Regel 5; S. 1–2 Fußzeile/Kopfbereich</v>
      </c>
      <c r="H75" s="33" t="str" cm="1">
        <f t="array" ref="H75">IF(Tabelle18[[#This Row],[doc_id_strongest]]="","",IFERROR(INDEX(Tabelle5[evidence_quote],MATCH(1,(Tabelle5[company_id]=Tabelle18[[#This Row],[company_id]])*(Tabelle5[value_id]=Tabelle18[[#This Row],[value_id]])*(Tabelle5[doc_id]=Tabelle18[[#This Row],[doc_id_strongest]]),0)),""))</f>
        <v>“Critically assess output to the best of your knowledge”</v>
      </c>
    </row>
    <row r="76" spans="1:8" x14ac:dyDescent="0.25">
      <c r="A76" s="36">
        <v>5</v>
      </c>
      <c r="B76" t="s">
        <v>69</v>
      </c>
      <c r="C76" s="4">
        <f>IF(Tabelle18[[#This Row],[binding_level_company]]&gt;=1,1,0)</f>
        <v>1</v>
      </c>
      <c r="D76" s="4">
        <f>IFERROR(_xlfn.MAXIFS(Tabelle5[binding_level],Tabelle5[company_id],Tabelle18[[#This Row],[company_id]],Tabelle5[value_id],Tabelle18[[#This Row],[value_id]],Tabelle5[value_present],1),0)</f>
        <v>2</v>
      </c>
      <c r="E76" s="4">
        <f>IFERROR(_xlfn.MAXIFS(Tabelle5[value_points],Tabelle5[company_id],Tabelle18[[#This Row],[company_id]],Tabelle5[value_id],Tabelle18[[#This Row],[value_id]]),0)</f>
        <v>2</v>
      </c>
      <c r="F76">
        <f>IF(Tabelle18[[#This Row],[value_points_company]]=0,"",IFERROR(_xlfn.MINIFS(Tabelle5[doc_id],Tabelle5[company_id],Tabelle18[[#This Row],[company_id]],Tabelle5[value_id],Tabelle18[[#This Row],[value_id]],Tabelle5[value_points],Tabelle18[[#This Row],[value_points_company]]),""))</f>
        <v>28</v>
      </c>
      <c r="G76" t="str" cm="1">
        <f t="array" ref="G76">IF(Tabelle18[[#This Row],[doc_id_strongest]]="","",IFERROR(INDEX(Tabelle5[evidence_location],MATCH(1,(Tabelle5[company_id]=Tabelle18[[#This Row],[company_id]])*(Tabelle5[value_id]=Tabelle18[[#This Row],[value_id]])*(Tabelle5[doc_id]=Tabelle18[[#This Row],[doc_id_strongest]]),0)),""))</f>
        <v>S. 1, Follow best practices</v>
      </c>
      <c r="H76" s="33" t="str" cm="1">
        <f t="array" ref="H76">IF(Tabelle18[[#This Row],[doc_id_strongest]]="","",IFERROR(INDEX(Tabelle5[evidence_quote],MATCH(1,(Tabelle5[company_id]=Tabelle18[[#This Row],[company_id]])*(Tabelle5[value_id]=Tabelle18[[#This Row],[value_id]])*(Tabelle5[doc_id]=Tabelle18[[#This Row],[doc_id_strongest]]),0)),""))</f>
        <v>“Be transparent that a genAI tool was used in your work”</v>
      </c>
    </row>
    <row r="77" spans="1:8" x14ac:dyDescent="0.25">
      <c r="A77" s="36">
        <v>5</v>
      </c>
      <c r="B77" t="s">
        <v>76</v>
      </c>
      <c r="C77" s="4">
        <f>IF(Tabelle18[[#This Row],[binding_level_company]]&gt;=1,1,0)</f>
        <v>0</v>
      </c>
      <c r="D77" s="4">
        <f>IFERROR(_xlfn.MAXIFS(Tabelle5[binding_level],Tabelle5[company_id],Tabelle18[[#This Row],[company_id]],Tabelle5[value_id],Tabelle18[[#This Row],[value_id]],Tabelle5[value_present],1),0)</f>
        <v>0</v>
      </c>
      <c r="E77" s="4">
        <f>IFERROR(_xlfn.MAXIFS(Tabelle5[value_points],Tabelle5[company_id],Tabelle18[[#This Row],[company_id]],Tabelle5[value_id],Tabelle18[[#This Row],[value_id]]),0)</f>
        <v>0</v>
      </c>
      <c r="F77" t="str">
        <f>IF(Tabelle18[[#This Row],[value_points_company]]=0,"",IFERROR(_xlfn.MINIFS(Tabelle5[doc_id],Tabelle5[company_id],Tabelle18[[#This Row],[company_id]],Tabelle5[value_id],Tabelle18[[#This Row],[value_id]],Tabelle5[value_points],Tabelle18[[#This Row],[value_points_company]]),""))</f>
        <v/>
      </c>
      <c r="G77" t="str" cm="1">
        <f t="array" ref="G77">IF(Tabelle18[[#This Row],[doc_id_strongest]]="","",IFERROR(INDEX(Tabelle5[evidence_location],MATCH(1,(Tabelle5[company_id]=Tabelle18[[#This Row],[company_id]])*(Tabelle5[value_id]=Tabelle18[[#This Row],[value_id]])*(Tabelle5[doc_id]=Tabelle18[[#This Row],[doc_id_strongest]]),0)),""))</f>
        <v/>
      </c>
      <c r="H77" s="33" t="str" cm="1">
        <f t="array" ref="H77">IF(Tabelle18[[#This Row],[doc_id_strongest]]="","",IFERROR(INDEX(Tabelle5[evidence_quote],MATCH(1,(Tabelle5[company_id]=Tabelle18[[#This Row],[company_id]])*(Tabelle5[value_id]=Tabelle18[[#This Row],[value_id]])*(Tabelle5[doc_id]=Tabelle18[[#This Row],[doc_id_strongest]]),0)),""))</f>
        <v/>
      </c>
    </row>
    <row r="78" spans="1:8" x14ac:dyDescent="0.25">
      <c r="A78" s="36">
        <v>5</v>
      </c>
      <c r="B78" t="s">
        <v>83</v>
      </c>
      <c r="C78" s="4">
        <f>IF(Tabelle18[[#This Row],[binding_level_company]]&gt;=1,1,0)</f>
        <v>1</v>
      </c>
      <c r="D78" s="4">
        <f>IFERROR(_xlfn.MAXIFS(Tabelle5[binding_level],Tabelle5[company_id],Tabelle18[[#This Row],[company_id]],Tabelle5[value_id],Tabelle18[[#This Row],[value_id]],Tabelle5[value_present],1),0)</f>
        <v>2</v>
      </c>
      <c r="E78" s="4">
        <f>IFERROR(_xlfn.MAXIFS(Tabelle5[value_points],Tabelle5[company_id],Tabelle18[[#This Row],[company_id]],Tabelle5[value_id],Tabelle18[[#This Row],[value_id]]),0)</f>
        <v>2</v>
      </c>
      <c r="F78">
        <f>IF(Tabelle18[[#This Row],[value_points_company]]=0,"",IFERROR(_xlfn.MINIFS(Tabelle5[doc_id],Tabelle5[company_id],Tabelle18[[#This Row],[company_id]],Tabelle5[value_id],Tabelle18[[#This Row],[value_id]],Tabelle5[value_points],Tabelle18[[#This Row],[value_points_company]]),""))</f>
        <v>27</v>
      </c>
      <c r="G78" t="str" cm="1">
        <f t="array" ref="G78">IF(Tabelle18[[#This Row],[doc_id_strongest]]="","",IFERROR(INDEX(Tabelle5[evidence_location],MATCH(1,(Tabelle5[company_id]=Tabelle18[[#This Row],[company_id]])*(Tabelle5[value_id]=Tabelle18[[#This Row],[value_id]])*(Tabelle5[doc_id]=Tabelle18[[#This Row],[doc_id_strongest]]),0)),""))</f>
        <v>S. 8</v>
      </c>
      <c r="H78" s="33" t="str" cm="1">
        <f t="array" ref="H78">IF(Tabelle18[[#This Row],[doc_id_strongest]]="","",IFERROR(INDEX(Tabelle5[evidence_quote],MATCH(1,(Tabelle5[company_id]=Tabelle18[[#This Row],[company_id]])*(Tabelle5[value_id]=Tabelle18[[#This Row],[value_id]])*(Tabelle5[doc_id]=Tabelle18[[#This Row],[doc_id_strongest]]),0)),""))</f>
        <v>“fairness”</v>
      </c>
    </row>
    <row r="79" spans="1:8" x14ac:dyDescent="0.25">
      <c r="A79" s="36">
        <v>5</v>
      </c>
      <c r="B79" t="s">
        <v>90</v>
      </c>
      <c r="C79" s="4">
        <f>IF(Tabelle18[[#This Row],[binding_level_company]]&gt;=1,1,0)</f>
        <v>1</v>
      </c>
      <c r="D79" s="4">
        <f>IFERROR(_xlfn.MAXIFS(Tabelle5[binding_level],Tabelle5[company_id],Tabelle18[[#This Row],[company_id]],Tabelle5[value_id],Tabelle18[[#This Row],[value_id]],Tabelle5[value_present],1),0)</f>
        <v>3</v>
      </c>
      <c r="E79" s="4">
        <f>IFERROR(_xlfn.MAXIFS(Tabelle5[value_points],Tabelle5[company_id],Tabelle18[[#This Row],[company_id]],Tabelle5[value_id],Tabelle18[[#This Row],[value_id]]),0)</f>
        <v>3</v>
      </c>
      <c r="F79">
        <f>IF(Tabelle18[[#This Row],[value_points_company]]=0,"",IFERROR(_xlfn.MINIFS(Tabelle5[doc_id],Tabelle5[company_id],Tabelle18[[#This Row],[company_id]],Tabelle5[value_id],Tabelle18[[#This Row],[value_id]],Tabelle5[value_points],Tabelle18[[#This Row],[value_points_company]]),""))</f>
        <v>28</v>
      </c>
      <c r="G79" t="str" cm="1">
        <f t="array" ref="G79">IF(Tabelle18[[#This Row],[doc_id_strongest]]="","",IFERROR(INDEX(Tabelle5[evidence_location],MATCH(1,(Tabelle5[company_id]=Tabelle18[[#This Row],[company_id]])*(Tabelle5[value_id]=Tabelle18[[#This Row],[value_id]])*(Tabelle5[doc_id]=Tabelle18[[#This Row],[doc_id_strongest]]),0)),""))</f>
        <v>S. 1 Regel 1; S. 2 Data Privacy Rules/Examples</v>
      </c>
      <c r="H79" s="33" t="str" cm="1">
        <f t="array" ref="H79">IF(Tabelle18[[#This Row],[doc_id_strongest]]="","",IFERROR(INDEX(Tabelle5[evidence_quote],MATCH(1,(Tabelle5[company_id]=Tabelle18[[#This Row],[company_id]])*(Tabelle5[value_id]=Tabelle18[[#This Row],[value_id]])*(Tabelle5[doc_id]=Tabelle18[[#This Row],[doc_id_strongest]]),0)),""))</f>
        <v>“Do not enter personal data nor use any personal data provided as output.”;“Obtain a prior data privacy assessment when using AI for HR-related purposes”;“Examples where prior data privacy assessment is required”</v>
      </c>
    </row>
    <row r="80" spans="1:8" x14ac:dyDescent="0.25">
      <c r="A80" s="36">
        <v>5</v>
      </c>
      <c r="B80" t="s">
        <v>98</v>
      </c>
      <c r="C80" s="4">
        <f>IF(Tabelle18[[#This Row],[binding_level_company]]&gt;=1,1,0)</f>
        <v>1</v>
      </c>
      <c r="D80" s="4">
        <f>IFERROR(_xlfn.MAXIFS(Tabelle5[binding_level],Tabelle5[company_id],Tabelle18[[#This Row],[company_id]],Tabelle5[value_id],Tabelle18[[#This Row],[value_id]],Tabelle5[value_present],1),0)</f>
        <v>1</v>
      </c>
      <c r="E80" s="4">
        <f>IFERROR(_xlfn.MAXIFS(Tabelle5[value_points],Tabelle5[company_id],Tabelle18[[#This Row],[company_id]],Tabelle5[value_id],Tabelle18[[#This Row],[value_id]]),0)</f>
        <v>1</v>
      </c>
      <c r="F80">
        <f>IF(Tabelle18[[#This Row],[value_points_company]]=0,"",IFERROR(_xlfn.MINIFS(Tabelle5[doc_id],Tabelle5[company_id],Tabelle18[[#This Row],[company_id]],Tabelle5[value_id],Tabelle18[[#This Row],[value_id]],Tabelle5[value_points],Tabelle18[[#This Row],[value_points_company]]),""))</f>
        <v>31</v>
      </c>
      <c r="G80" t="str" cm="1">
        <f t="array" ref="G80">IF(Tabelle18[[#This Row],[doc_id_strongest]]="","",IFERROR(INDEX(Tabelle5[evidence_location],MATCH(1,(Tabelle5[company_id]=Tabelle18[[#This Row],[company_id]])*(Tabelle5[value_id]=Tabelle18[[#This Row],[value_id]])*(Tabelle5[doc_id]=Tabelle18[[#This Row],[doc_id_strongest]]),0)),""))</f>
        <v>S. 2, Antwort Jagat</v>
      </c>
      <c r="H80" s="33" t="str" cm="1">
        <f t="array" ref="H80">IF(Tabelle18[[#This Row],[doc_id_strongest]]="","",IFERROR(INDEX(Tabelle5[evidence_quote],MATCH(1,(Tabelle5[company_id]=Tabelle18[[#This Row],[company_id]])*(Tabelle5[value_id]=Tabelle18[[#This Row],[value_id]])*(Tabelle5[doc_id]=Tabelle18[[#This Row],[doc_id_strongest]]),0)),""))</f>
        <v>“implemented specific technical measures to secure the data”</v>
      </c>
    </row>
    <row r="81" spans="1:8" x14ac:dyDescent="0.25">
      <c r="A81" s="36">
        <v>5</v>
      </c>
      <c r="B81" t="s">
        <v>106</v>
      </c>
      <c r="C81" s="4">
        <f>IF(Tabelle18[[#This Row],[binding_level_company]]&gt;=1,1,0)</f>
        <v>1</v>
      </c>
      <c r="D81" s="4">
        <f>IFERROR(_xlfn.MAXIFS(Tabelle5[binding_level],Tabelle5[company_id],Tabelle18[[#This Row],[company_id]],Tabelle5[value_id],Tabelle18[[#This Row],[value_id]],Tabelle5[value_present],1),0)</f>
        <v>2</v>
      </c>
      <c r="E81" s="4">
        <f>IFERROR(_xlfn.MAXIFS(Tabelle5[value_points],Tabelle5[company_id],Tabelle18[[#This Row],[company_id]],Tabelle5[value_id],Tabelle18[[#This Row],[value_id]]),0)</f>
        <v>2</v>
      </c>
      <c r="F81">
        <f>IF(Tabelle18[[#This Row],[value_points_company]]=0,"",IFERROR(_xlfn.MINIFS(Tabelle5[doc_id],Tabelle5[company_id],Tabelle18[[#This Row],[company_id]],Tabelle5[value_id],Tabelle18[[#This Row],[value_id]],Tabelle5[value_points],Tabelle18[[#This Row],[value_points_company]]),""))</f>
        <v>28</v>
      </c>
      <c r="G81" t="str" cm="1">
        <f t="array" ref="G81">IF(Tabelle18[[#This Row],[doc_id_strongest]]="","",IFERROR(INDEX(Tabelle5[evidence_location],MATCH(1,(Tabelle5[company_id]=Tabelle18[[#This Row],[company_id]])*(Tabelle5[value_id]=Tabelle18[[#This Row],[value_id]])*(Tabelle5[doc_id]=Tabelle18[[#This Row],[doc_id_strongest]]),0)),""))</f>
        <v>S. 1 Regeln 4 und 6</v>
      </c>
      <c r="H81" s="33" t="str" cm="1">
        <f t="array" ref="H81">IF(Tabelle18[[#This Row],[doc_id_strongest]]="","",IFERROR(INDEX(Tabelle5[evidence_quote],MATCH(1,(Tabelle5[company_id]=Tabelle18[[#This Row],[company_id]])*(Tabelle5[value_id]=Tabelle18[[#This Row],[value_id]])*(Tabelle5[doc_id]=Tabelle18[[#This Row],[doc_id_strongest]]),0)),""))</f>
        <v>“Do not use material potentially protected by personality rights in your prompt.”; “Do not use output as the sole basis for critical decisions”</v>
      </c>
    </row>
    <row r="82" spans="1:8" x14ac:dyDescent="0.25">
      <c r="A82" s="36">
        <v>5</v>
      </c>
      <c r="B82" t="s">
        <v>112</v>
      </c>
      <c r="C82" s="4">
        <f>IF(Tabelle18[[#This Row],[binding_level_company]]&gt;=1,1,0)</f>
        <v>1</v>
      </c>
      <c r="D82" s="4">
        <f>IFERROR(_xlfn.MAXIFS(Tabelle5[binding_level],Tabelle5[company_id],Tabelle18[[#This Row],[company_id]],Tabelle5[value_id],Tabelle18[[#This Row],[value_id]],Tabelle5[value_present],1),0)</f>
        <v>3</v>
      </c>
      <c r="E82" s="4">
        <f>IFERROR(_xlfn.MAXIFS(Tabelle5[value_points],Tabelle5[company_id],Tabelle18[[#This Row],[company_id]],Tabelle5[value_id],Tabelle18[[#This Row],[value_id]]),0)</f>
        <v>3</v>
      </c>
      <c r="F82">
        <f>IF(Tabelle18[[#This Row],[value_points_company]]=0,"",IFERROR(_xlfn.MINIFS(Tabelle5[doc_id],Tabelle5[company_id],Tabelle18[[#This Row],[company_id]],Tabelle5[value_id],Tabelle18[[#This Row],[value_id]],Tabelle5[value_points],Tabelle18[[#This Row],[value_points_company]]),""))</f>
        <v>30</v>
      </c>
      <c r="G82" t="str" cm="1">
        <f t="array" ref="G82">IF(Tabelle18[[#This Row],[doc_id_strongest]]="","",IFERROR(INDEX(Tabelle5[evidence_location],MATCH(1,(Tabelle5[company_id]=Tabelle18[[#This Row],[company_id]])*(Tabelle5[value_id]=Tabelle18[[#This Row],[value_id]])*(Tabelle5[doc_id]=Tabelle18[[#This Row],[doc_id_strongest]]),0)),""))</f>
        <v>S. 4 „Much-needed Treatments“</v>
      </c>
      <c r="H82" s="33" t="str" cm="1">
        <f t="array" ref="H82">IF(Tabelle18[[#This Row],[doc_id_strongest]]="","",IFERROR(INDEX(Tabelle5[evidence_quote],MATCH(1,(Tabelle5[company_id]=Tabelle18[[#This Row],[company_id]])*(Tabelle5[value_id]=Tabelle18[[#This Row],[value_id]])*(Tabelle5[doc_id]=Tabelle18[[#This Row],[doc_id_strongest]]),0)),""))</f>
        <v>“validated by human review”</v>
      </c>
    </row>
    <row r="83" spans="1:8" x14ac:dyDescent="0.25">
      <c r="A83" s="36">
        <v>5</v>
      </c>
      <c r="B83" t="s">
        <v>118</v>
      </c>
      <c r="C83" s="4">
        <f>IF(Tabelle18[[#This Row],[binding_level_company]]&gt;=1,1,0)</f>
        <v>0</v>
      </c>
      <c r="D83" s="4">
        <f>IFERROR(_xlfn.MAXIFS(Tabelle5[binding_level],Tabelle5[company_id],Tabelle18[[#This Row],[company_id]],Tabelle5[value_id],Tabelle18[[#This Row],[value_id]],Tabelle5[value_present],1),0)</f>
        <v>0</v>
      </c>
      <c r="E83" s="4">
        <f>IFERROR(_xlfn.MAXIFS(Tabelle5[value_points],Tabelle5[company_id],Tabelle18[[#This Row],[company_id]],Tabelle5[value_id],Tabelle18[[#This Row],[value_id]]),0)</f>
        <v>0</v>
      </c>
      <c r="F83" t="str">
        <f>IF(Tabelle18[[#This Row],[value_points_company]]=0,"",IFERROR(_xlfn.MINIFS(Tabelle5[doc_id],Tabelle5[company_id],Tabelle18[[#This Row],[company_id]],Tabelle5[value_id],Tabelle18[[#This Row],[value_id]],Tabelle5[value_points],Tabelle18[[#This Row],[value_points_company]]),""))</f>
        <v/>
      </c>
      <c r="G83" t="str" cm="1">
        <f t="array" ref="G83">IF(Tabelle18[[#This Row],[doc_id_strongest]]="","",IFERROR(INDEX(Tabelle5[evidence_location],MATCH(1,(Tabelle5[company_id]=Tabelle18[[#This Row],[company_id]])*(Tabelle5[value_id]=Tabelle18[[#This Row],[value_id]])*(Tabelle5[doc_id]=Tabelle18[[#This Row],[doc_id_strongest]]),0)),""))</f>
        <v/>
      </c>
      <c r="H83" s="33" t="str" cm="1">
        <f t="array" ref="H83">IF(Tabelle18[[#This Row],[doc_id_strongest]]="","",IFERROR(INDEX(Tabelle5[evidence_quote],MATCH(1,(Tabelle5[company_id]=Tabelle18[[#This Row],[company_id]])*(Tabelle5[value_id]=Tabelle18[[#This Row],[value_id]])*(Tabelle5[doc_id]=Tabelle18[[#This Row],[doc_id_strongest]]),0)),""))</f>
        <v/>
      </c>
    </row>
    <row r="84" spans="1:8" x14ac:dyDescent="0.25">
      <c r="A84" s="36">
        <v>5</v>
      </c>
      <c r="B84" t="s">
        <v>125</v>
      </c>
      <c r="C84" s="4">
        <f>IF(Tabelle18[[#This Row],[binding_level_company]]&gt;=1,1,0)</f>
        <v>1</v>
      </c>
      <c r="D84" s="4">
        <f>IFERROR(_xlfn.MAXIFS(Tabelle5[binding_level],Tabelle5[company_id],Tabelle18[[#This Row],[company_id]],Tabelle5[value_id],Tabelle18[[#This Row],[value_id]],Tabelle5[value_present],1),0)</f>
        <v>1</v>
      </c>
      <c r="E84" s="4">
        <f>IFERROR(_xlfn.MAXIFS(Tabelle5[value_points],Tabelle5[company_id],Tabelle18[[#This Row],[company_id]],Tabelle5[value_id],Tabelle18[[#This Row],[value_id]]),0)</f>
        <v>1</v>
      </c>
      <c r="F84">
        <f>IF(Tabelle18[[#This Row],[value_points_company]]=0,"",IFERROR(_xlfn.MINIFS(Tabelle5[doc_id],Tabelle5[company_id],Tabelle18[[#This Row],[company_id]],Tabelle5[value_id],Tabelle18[[#This Row],[value_id]],Tabelle5[value_points],Tabelle18[[#This Row],[value_points_company]]),""))</f>
        <v>31</v>
      </c>
      <c r="G84" t="str" cm="1">
        <f t="array" ref="G84">IF(Tabelle18[[#This Row],[doc_id_strongest]]="","",IFERROR(INDEX(Tabelle5[evidence_location],MATCH(1,(Tabelle5[company_id]=Tabelle18[[#This Row],[company_id]])*(Tabelle5[value_id]=Tabelle18[[#This Row],[value_id]])*(Tabelle5[doc_id]=Tabelle18[[#This Row],[doc_id_strongest]]),0)),""))</f>
        <v>S. 2–3</v>
      </c>
      <c r="H84" s="33" t="str" cm="1">
        <f t="array" ref="H84">IF(Tabelle18[[#This Row],[doc_id_strongest]]="","",IFERROR(INDEX(Tabelle5[evidence_quote],MATCH(1,(Tabelle5[company_id]=Tabelle18[[#This Row],[company_id]])*(Tabelle5[value_id]=Tabelle18[[#This Row],[value_id]])*(Tabelle5[doc_id]=Tabelle18[[#This Row],[doc_id_strongest]]),0)),""))</f>
        <v>“do not disproportionally affect already disadvantaged or vulnerable groups”; “ensuring their accessibility to as many people as possible”</v>
      </c>
    </row>
    <row r="85" spans="1:8" x14ac:dyDescent="0.25">
      <c r="A85" s="36">
        <v>5</v>
      </c>
      <c r="B85" t="s">
        <v>132</v>
      </c>
      <c r="C85" s="4">
        <f>IF(Tabelle18[[#This Row],[binding_level_company]]&gt;=1,1,0)</f>
        <v>1</v>
      </c>
      <c r="D85" s="4">
        <f>IFERROR(_xlfn.MAXIFS(Tabelle5[binding_level],Tabelle5[company_id],Tabelle18[[#This Row],[company_id]],Tabelle5[value_id],Tabelle18[[#This Row],[value_id]],Tabelle5[value_present],1),0)</f>
        <v>1</v>
      </c>
      <c r="E85" s="4">
        <f>IFERROR(_xlfn.MAXIFS(Tabelle5[value_points],Tabelle5[company_id],Tabelle18[[#This Row],[company_id]],Tabelle5[value_id],Tabelle18[[#This Row],[value_id]]),0)</f>
        <v>1</v>
      </c>
      <c r="F85">
        <f>IF(Tabelle18[[#This Row],[value_points_company]]=0,"",IFERROR(_xlfn.MINIFS(Tabelle5[doc_id],Tabelle5[company_id],Tabelle18[[#This Row],[company_id]],Tabelle5[value_id],Tabelle18[[#This Row],[value_id]],Tabelle5[value_points],Tabelle18[[#This Row],[value_points_company]]),""))</f>
        <v>30</v>
      </c>
      <c r="G85" t="str" cm="1">
        <f t="array" ref="G85">IF(Tabelle18[[#This Row],[doc_id_strongest]]="","",IFERROR(INDEX(Tabelle5[evidence_location],MATCH(1,(Tabelle5[company_id]=Tabelle18[[#This Row],[company_id]])*(Tabelle5[value_id]=Tabelle18[[#This Row],[value_id]])*(Tabelle5[doc_id]=Tabelle18[[#This Row],[doc_id_strongest]]),0)),""))</f>
        <v>S. 2 „Data-driven Decisions“</v>
      </c>
      <c r="H85" s="33" t="str" cm="1">
        <f t="array" ref="H85">IF(Tabelle18[[#This Row],[doc_id_strongest]]="","",IFERROR(INDEX(Tabelle5[evidence_quote],MATCH(1,(Tabelle5[company_id]=Tabelle18[[#This Row],[company_id]])*(Tabelle5[value_id]=Tabelle18[[#This Row],[value_id]])*(Tabelle5[doc_id]=Tabelle18[[#This Row],[doc_id_strongest]]),0)),""))</f>
        <v>“more sustainable farming practices”</v>
      </c>
    </row>
    <row r="86" spans="1:8" x14ac:dyDescent="0.25">
      <c r="A86" s="36">
        <v>5</v>
      </c>
      <c r="B86" t="s">
        <v>140</v>
      </c>
      <c r="C86" s="4">
        <f>IF(Tabelle18[[#This Row],[binding_level_company]]&gt;=1,1,0)</f>
        <v>1</v>
      </c>
      <c r="D86" s="4">
        <f>IFERROR(_xlfn.MAXIFS(Tabelle5[binding_level],Tabelle5[company_id],Tabelle18[[#This Row],[company_id]],Tabelle5[value_id],Tabelle18[[#This Row],[value_id]],Tabelle5[value_present],1),0)</f>
        <v>1</v>
      </c>
      <c r="E86" s="4">
        <f>IFERROR(_xlfn.MAXIFS(Tabelle5[value_points],Tabelle5[company_id],Tabelle18[[#This Row],[company_id]],Tabelle5[value_id],Tabelle18[[#This Row],[value_id]]),0)</f>
        <v>1</v>
      </c>
      <c r="F86">
        <f>IF(Tabelle18[[#This Row],[value_points_company]]=0,"",IFERROR(_xlfn.MINIFS(Tabelle5[doc_id],Tabelle5[company_id],Tabelle18[[#This Row],[company_id]],Tabelle5[value_id],Tabelle18[[#This Row],[value_id]],Tabelle5[value_points],Tabelle18[[#This Row],[value_points_company]]),""))</f>
        <v>27</v>
      </c>
      <c r="G86" t="str" cm="1">
        <f t="array" ref="G86">IF(Tabelle18[[#This Row],[doc_id_strongest]]="","",IFERROR(INDEX(Tabelle5[evidence_location],MATCH(1,(Tabelle5[company_id]=Tabelle18[[#This Row],[company_id]])*(Tabelle5[value_id]=Tabelle18[[#This Row],[value_id]])*(Tabelle5[doc_id]=Tabelle18[[#This Row],[doc_id_strongest]]),0)),""))</f>
        <v>S. 8</v>
      </c>
      <c r="H86" s="33" t="str" cm="1">
        <f t="array" ref="H86">IF(Tabelle18[[#This Row],[doc_id_strongest]]="","",IFERROR(INDEX(Tabelle5[evidence_quote],MATCH(1,(Tabelle5[company_id]=Tabelle18[[#This Row],[company_id]])*(Tabelle5[value_id]=Tabelle18[[#This Row],[value_id]])*(Tabelle5[doc_id]=Tabelle18[[#This Row],[doc_id_strongest]]),0)),""))</f>
        <v>“promote individual and collective wellbeing”</v>
      </c>
    </row>
    <row r="87" spans="1:8" x14ac:dyDescent="0.25">
      <c r="A87" s="36">
        <v>5</v>
      </c>
      <c r="B87" t="s">
        <v>147</v>
      </c>
      <c r="C87" s="4">
        <f>IF(Tabelle18[[#This Row],[binding_level_company]]&gt;=1,1,0)</f>
        <v>1</v>
      </c>
      <c r="D87" s="4">
        <f>IFERROR(_xlfn.MAXIFS(Tabelle5[binding_level],Tabelle5[company_id],Tabelle18[[#This Row],[company_id]],Tabelle5[value_id],Tabelle18[[#This Row],[value_id]],Tabelle5[value_present],1),0)</f>
        <v>3</v>
      </c>
      <c r="E87" s="4">
        <f>IFERROR(_xlfn.MAXIFS(Tabelle5[value_points],Tabelle5[company_id],Tabelle18[[#This Row],[company_id]],Tabelle5[value_id],Tabelle18[[#This Row],[value_id]]),0)</f>
        <v>3</v>
      </c>
      <c r="F87">
        <f>IF(Tabelle18[[#This Row],[value_points_company]]=0,"",IFERROR(_xlfn.MINIFS(Tabelle5[doc_id],Tabelle5[company_id],Tabelle18[[#This Row],[company_id]],Tabelle5[value_id],Tabelle18[[#This Row],[value_id]],Tabelle5[value_points],Tabelle18[[#This Row],[value_points_company]]),""))</f>
        <v>28</v>
      </c>
      <c r="G87" t="str" cm="1">
        <f t="array" ref="G87">IF(Tabelle18[[#This Row],[doc_id_strongest]]="","",IFERROR(INDEX(Tabelle5[evidence_location],MATCH(1,(Tabelle5[company_id]=Tabelle18[[#This Row],[company_id]])*(Tabelle5[value_id]=Tabelle18[[#This Row],[value_id]])*(Tabelle5[doc_id]=Tabelle18[[#This Row],[doc_id_strongest]]),0)),""))</f>
        <v>S. 1 Regel 2; S. 2 Examples</v>
      </c>
      <c r="H87" s="33" t="str" cm="1">
        <f t="array" ref="H87">IF(Tabelle18[[#This Row],[doc_id_strongest]]="","",IFERROR(INDEX(Tabelle5[evidence_quote],MATCH(1,(Tabelle5[company_id]=Tabelle18[[#This Row],[company_id]])*(Tabelle5[value_id]=Tabelle18[[#This Row],[value_id]])*(Tabelle5[doc_id]=Tabelle18[[#This Row],[doc_id_strongest]]),0)),""))</f>
        <v>“Uncontrolled use in compliance-relevant processes (e.g. GxP and GISC) is prohibited.”; “after mandatory consultation with Quality Assurance”; “Examples where prior data privacy assessment is required”</v>
      </c>
    </row>
    <row r="88" spans="1:8" x14ac:dyDescent="0.25">
      <c r="A88" s="36">
        <v>5</v>
      </c>
      <c r="B88" t="s">
        <v>154</v>
      </c>
      <c r="C88" s="4">
        <f>IF(Tabelle18[[#This Row],[binding_level_company]]&gt;=1,1,0)</f>
        <v>1</v>
      </c>
      <c r="D88" s="4">
        <f>IFERROR(_xlfn.MAXIFS(Tabelle5[binding_level],Tabelle5[company_id],Tabelle18[[#This Row],[company_id]],Tabelle5[value_id],Tabelle18[[#This Row],[value_id]],Tabelle5[value_present],1),0)</f>
        <v>2</v>
      </c>
      <c r="E88" s="4">
        <f>IFERROR(_xlfn.MAXIFS(Tabelle5[value_points],Tabelle5[company_id],Tabelle18[[#This Row],[company_id]],Tabelle5[value_id],Tabelle18[[#This Row],[value_id]]),0)</f>
        <v>2</v>
      </c>
      <c r="F88">
        <f>IF(Tabelle18[[#This Row],[value_points_company]]=0,"",IFERROR(_xlfn.MINIFS(Tabelle5[doc_id],Tabelle5[company_id],Tabelle18[[#This Row],[company_id]],Tabelle5[value_id],Tabelle18[[#This Row],[value_id]],Tabelle5[value_points],Tabelle18[[#This Row],[value_points_company]]),""))</f>
        <v>28</v>
      </c>
      <c r="G88" t="str" cm="1">
        <f t="array" ref="G88">IF(Tabelle18[[#This Row],[doc_id_strongest]]="","",IFERROR(INDEX(Tabelle5[evidence_location],MATCH(1,(Tabelle5[company_id]=Tabelle18[[#This Row],[company_id]])*(Tabelle5[value_id]=Tabelle18[[#This Row],[value_id]])*(Tabelle5[doc_id]=Tabelle18[[#This Row],[doc_id_strongest]]),0)),""))</f>
        <v>S. 1 Regeln 4 und 5</v>
      </c>
      <c r="H88" s="33" t="str" cm="1">
        <f t="array" ref="H88">IF(Tabelle18[[#This Row],[doc_id_strongest]]="","",IFERROR(INDEX(Tabelle5[evidence_quote],MATCH(1,(Tabelle5[company_id]=Tabelle18[[#This Row],[company_id]])*(Tabelle5[value_id]=Tabelle18[[#This Row],[value_id]])*(Tabelle5[doc_id]=Tabelle18[[#This Row],[doc_id_strongest]]),0)),""))</f>
        <v>“Do not use material potentially protected by personality rights in your prompt.”; “Critically assess output to the best of your knowledge”</v>
      </c>
    </row>
    <row r="89" spans="1:8" x14ac:dyDescent="0.25">
      <c r="A89" s="36">
        <v>5</v>
      </c>
      <c r="B89" t="s">
        <v>161</v>
      </c>
      <c r="C89" s="4">
        <f>IF(Tabelle18[[#This Row],[binding_level_company]]&gt;=1,1,0)</f>
        <v>1</v>
      </c>
      <c r="D89" s="4">
        <f>IFERROR(_xlfn.MAXIFS(Tabelle5[binding_level],Tabelle5[company_id],Tabelle18[[#This Row],[company_id]],Tabelle5[value_id],Tabelle18[[#This Row],[value_id]],Tabelle5[value_present],1),0)</f>
        <v>3</v>
      </c>
      <c r="E89" s="4">
        <f>IFERROR(_xlfn.MAXIFS(Tabelle5[value_points],Tabelle5[company_id],Tabelle18[[#This Row],[company_id]],Tabelle5[value_id],Tabelle18[[#This Row],[value_id]]),0)</f>
        <v>3</v>
      </c>
      <c r="F89">
        <f>IF(Tabelle18[[#This Row],[value_points_company]]=0,"",IFERROR(_xlfn.MINIFS(Tabelle5[doc_id],Tabelle5[company_id],Tabelle18[[#This Row],[company_id]],Tabelle5[value_id],Tabelle18[[#This Row],[value_id]],Tabelle5[value_points],Tabelle18[[#This Row],[value_points_company]]),""))</f>
        <v>27</v>
      </c>
      <c r="G89" t="str" cm="1">
        <f t="array" ref="G89">IF(Tabelle18[[#This Row],[doc_id_strongest]]="","",IFERROR(INDEX(Tabelle5[evidence_location],MATCH(1,(Tabelle5[company_id]=Tabelle18[[#This Row],[company_id]])*(Tabelle5[value_id]=Tabelle18[[#This Row],[value_id]])*(Tabelle5[doc_id]=Tabelle18[[#This Row],[doc_id_strongest]]),0)),""))</f>
        <v>S. 8</v>
      </c>
      <c r="H89" s="33" t="str" cm="1">
        <f t="array" ref="H89">IF(Tabelle18[[#This Row],[doc_id_strongest]]="","",IFERROR(INDEX(Tabelle5[evidence_quote],MATCH(1,(Tabelle5[company_id]=Tabelle18[[#This Row],[company_id]])*(Tabelle5[value_id]=Tabelle18[[#This Row],[value_id]])*(Tabelle5[doc_id]=Tabelle18[[#This Row],[doc_id_strongest]]),0)),""))</f>
        <v>“clear relevance, provenance, diversity, and sufficient quality in data sources.; “We verify the data sets used for AI training are representative”; “do not use poor, incomplete or non-verified data”</v>
      </c>
    </row>
    <row r="90" spans="1:8" x14ac:dyDescent="0.25">
      <c r="A90" s="36">
        <v>5</v>
      </c>
      <c r="B90" t="s">
        <v>166</v>
      </c>
      <c r="C90" s="4">
        <f>IF(Tabelle18[[#This Row],[binding_level_company]]&gt;=1,1,0)</f>
        <v>1</v>
      </c>
      <c r="D90" s="4">
        <f>IFERROR(_xlfn.MAXIFS(Tabelle5[binding_level],Tabelle5[company_id],Tabelle18[[#This Row],[company_id]],Tabelle5[value_id],Tabelle18[[#This Row],[value_id]],Tabelle5[value_present],1),0)</f>
        <v>2</v>
      </c>
      <c r="E90" s="4">
        <f>IFERROR(_xlfn.MAXIFS(Tabelle5[value_points],Tabelle5[company_id],Tabelle18[[#This Row],[company_id]],Tabelle5[value_id],Tabelle18[[#This Row],[value_id]]),0)</f>
        <v>2</v>
      </c>
      <c r="F90">
        <f>IF(Tabelle18[[#This Row],[value_points_company]]=0,"",IFERROR(_xlfn.MINIFS(Tabelle5[doc_id],Tabelle5[company_id],Tabelle18[[#This Row],[company_id]],Tabelle5[value_id],Tabelle18[[#This Row],[value_id]],Tabelle5[value_points],Tabelle18[[#This Row],[value_points_company]]),""))</f>
        <v>28</v>
      </c>
      <c r="G90" t="str" cm="1">
        <f t="array" ref="G90">IF(Tabelle18[[#This Row],[doc_id_strongest]]="","",IFERROR(INDEX(Tabelle5[evidence_location],MATCH(1,(Tabelle5[company_id]=Tabelle18[[#This Row],[company_id]])*(Tabelle5[value_id]=Tabelle18[[#This Row],[value_id]])*(Tabelle5[doc_id]=Tabelle18[[#This Row],[doc_id_strongest]]),0)),""))</f>
        <v>S. 1 Approved tools; Regel 3</v>
      </c>
      <c r="H90" s="33" t="str" cm="1">
        <f t="array" ref="H90">IF(Tabelle18[[#This Row],[doc_id_strongest]]="","",IFERROR(INDEX(Tabelle5[evidence_quote],MATCH(1,(Tabelle5[company_id]=Tabelle18[[#This Row],[company_id]])*(Tabelle5[value_id]=Tabelle18[[#This Row],[value_id]])*(Tabelle5[doc_id]=Tabelle18[[#This Row],[doc_id_strongest]]),0)),""))</f>
        <v>“Only use Bayer-approved tools with business data and for business-related purposes.”; “Do not enter, refer to, or imitate brands, logos, or copyrighted works”</v>
      </c>
    </row>
    <row r="91" spans="1:8" ht="15.75" thickBot="1" x14ac:dyDescent="0.3">
      <c r="A91" s="37">
        <v>5</v>
      </c>
      <c r="B91" s="30" t="s">
        <v>174</v>
      </c>
      <c r="C91" s="49">
        <f>IF(Tabelle18[[#This Row],[binding_level_company]]&gt;=1,1,0)</f>
        <v>0</v>
      </c>
      <c r="D91" s="49">
        <f>IFERROR(_xlfn.MAXIFS(Tabelle5[binding_level],Tabelle5[company_id],Tabelle18[[#This Row],[company_id]],Tabelle5[value_id],Tabelle18[[#This Row],[value_id]],Tabelle5[value_present],1),0)</f>
        <v>0</v>
      </c>
      <c r="E91" s="49">
        <f>IFERROR(_xlfn.MAXIFS(Tabelle5[value_points],Tabelle5[company_id],Tabelle18[[#This Row],[company_id]],Tabelle5[value_id],Tabelle18[[#This Row],[value_id]]),0)</f>
        <v>0</v>
      </c>
      <c r="F91" s="30" t="str">
        <f>IF(Tabelle18[[#This Row],[value_points_company]]=0,"",IFERROR(_xlfn.MINIFS(Tabelle5[doc_id],Tabelle5[company_id],Tabelle18[[#This Row],[company_id]],Tabelle5[value_id],Tabelle18[[#This Row],[value_id]],Tabelle5[value_points],Tabelle18[[#This Row],[value_points_company]]),""))</f>
        <v/>
      </c>
      <c r="G91" s="30" t="str" cm="1">
        <f t="array" ref="G91">IF(Tabelle18[[#This Row],[doc_id_strongest]]="","",IFERROR(INDEX(Tabelle5[evidence_location],MATCH(1,(Tabelle5[company_id]=Tabelle18[[#This Row],[company_id]])*(Tabelle5[value_id]=Tabelle18[[#This Row],[value_id]])*(Tabelle5[doc_id]=Tabelle18[[#This Row],[doc_id_strongest]]),0)),""))</f>
        <v/>
      </c>
      <c r="H91" s="34" t="str" cm="1">
        <f t="array" ref="H91">IF(Tabelle18[[#This Row],[doc_id_strongest]]="","",IFERROR(INDEX(Tabelle5[evidence_quote],MATCH(1,(Tabelle5[company_id]=Tabelle18[[#This Row],[company_id]])*(Tabelle5[value_id]=Tabelle18[[#This Row],[value_id]])*(Tabelle5[doc_id]=Tabelle18[[#This Row],[doc_id_strongest]]),0)),""))</f>
        <v/>
      </c>
    </row>
    <row r="92" spans="1:8" x14ac:dyDescent="0.25">
      <c r="A92" s="35">
        <v>6</v>
      </c>
      <c r="B92" s="22" t="s">
        <v>53</v>
      </c>
      <c r="C92" s="48">
        <f>IF(Tabelle18[[#This Row],[binding_level_company]]&gt;=1,1,0)</f>
        <v>0</v>
      </c>
      <c r="D92" s="48">
        <f>IFERROR(_xlfn.MAXIFS(Tabelle5[binding_level],Tabelle5[company_id],Tabelle18[[#This Row],[company_id]],Tabelle5[value_id],Tabelle18[[#This Row],[value_id]],Tabelle5[value_present],1),0)</f>
        <v>0</v>
      </c>
      <c r="E92" s="48">
        <f>IFERROR(_xlfn.MAXIFS(Tabelle5[value_points],Tabelle5[company_id],Tabelle18[[#This Row],[company_id]],Tabelle5[value_id],Tabelle18[[#This Row],[value_id]]),0)</f>
        <v>0</v>
      </c>
      <c r="F92" s="22" t="str">
        <f>IF(Tabelle18[[#This Row],[value_points_company]]=0,"",IFERROR(_xlfn.MINIFS(Tabelle5[doc_id],Tabelle5[company_id],Tabelle18[[#This Row],[company_id]],Tabelle5[value_id],Tabelle18[[#This Row],[value_id]],Tabelle5[value_points],Tabelle18[[#This Row],[value_points_company]]),""))</f>
        <v/>
      </c>
      <c r="G92" s="22" t="str" cm="1">
        <f t="array" ref="G92">IF(Tabelle18[[#This Row],[doc_id_strongest]]="","",IFERROR(INDEX(Tabelle5[evidence_location],MATCH(1,(Tabelle5[company_id]=Tabelle18[[#This Row],[company_id]])*(Tabelle5[value_id]=Tabelle18[[#This Row],[value_id]])*(Tabelle5[doc_id]=Tabelle18[[#This Row],[doc_id_strongest]]),0)),""))</f>
        <v/>
      </c>
      <c r="H92" s="32" t="str" cm="1">
        <f t="array" ref="H92">IF(Tabelle18[[#This Row],[doc_id_strongest]]="","",IFERROR(INDEX(Tabelle5[evidence_quote],MATCH(1,(Tabelle5[company_id]=Tabelle18[[#This Row],[company_id]])*(Tabelle5[value_id]=Tabelle18[[#This Row],[value_id]])*(Tabelle5[doc_id]=Tabelle18[[#This Row],[doc_id_strongest]]),0)),""))</f>
        <v/>
      </c>
    </row>
    <row r="93" spans="1:8" x14ac:dyDescent="0.25">
      <c r="A93" s="36">
        <v>6</v>
      </c>
      <c r="B93" t="s">
        <v>61</v>
      </c>
      <c r="C93" s="4">
        <f>IF(Tabelle18[[#This Row],[binding_level_company]]&gt;=1,1,0)</f>
        <v>0</v>
      </c>
      <c r="D93" s="4">
        <f>IFERROR(_xlfn.MAXIFS(Tabelle5[binding_level],Tabelle5[company_id],Tabelle18[[#This Row],[company_id]],Tabelle5[value_id],Tabelle18[[#This Row],[value_id]],Tabelle5[value_present],1),0)</f>
        <v>0</v>
      </c>
      <c r="E93" s="4">
        <f>IFERROR(_xlfn.MAXIFS(Tabelle5[value_points],Tabelle5[company_id],Tabelle18[[#This Row],[company_id]],Tabelle5[value_id],Tabelle18[[#This Row],[value_id]]),0)</f>
        <v>0</v>
      </c>
      <c r="F93" t="str">
        <f>IF(Tabelle18[[#This Row],[value_points_company]]=0,"",IFERROR(_xlfn.MINIFS(Tabelle5[doc_id],Tabelle5[company_id],Tabelle18[[#This Row],[company_id]],Tabelle5[value_id],Tabelle18[[#This Row],[value_id]],Tabelle5[value_points],Tabelle18[[#This Row],[value_points_company]]),""))</f>
        <v/>
      </c>
      <c r="G93" t="str" cm="1">
        <f t="array" ref="G93">IF(Tabelle18[[#This Row],[doc_id_strongest]]="","",IFERROR(INDEX(Tabelle5[evidence_location],MATCH(1,(Tabelle5[company_id]=Tabelle18[[#This Row],[company_id]])*(Tabelle5[value_id]=Tabelle18[[#This Row],[value_id]])*(Tabelle5[doc_id]=Tabelle18[[#This Row],[doc_id_strongest]]),0)),""))</f>
        <v/>
      </c>
      <c r="H93" s="33" t="str" cm="1">
        <f t="array" ref="H93">IF(Tabelle18[[#This Row],[doc_id_strongest]]="","",IFERROR(INDEX(Tabelle5[evidence_quote],MATCH(1,(Tabelle5[company_id]=Tabelle18[[#This Row],[company_id]])*(Tabelle5[value_id]=Tabelle18[[#This Row],[value_id]])*(Tabelle5[doc_id]=Tabelle18[[#This Row],[doc_id_strongest]]),0)),""))</f>
        <v/>
      </c>
    </row>
    <row r="94" spans="1:8" x14ac:dyDescent="0.25">
      <c r="A94" s="36">
        <v>6</v>
      </c>
      <c r="B94" t="s">
        <v>69</v>
      </c>
      <c r="C94" s="4">
        <f>IF(Tabelle18[[#This Row],[binding_level_company]]&gt;=1,1,0)</f>
        <v>1</v>
      </c>
      <c r="D94" s="4">
        <f>IFERROR(_xlfn.MAXIFS(Tabelle5[binding_level],Tabelle5[company_id],Tabelle18[[#This Row],[company_id]],Tabelle5[value_id],Tabelle18[[#This Row],[value_id]],Tabelle5[value_present],1),0)</f>
        <v>3</v>
      </c>
      <c r="E94" s="4">
        <f>IFERROR(_xlfn.MAXIFS(Tabelle5[value_points],Tabelle5[company_id],Tabelle18[[#This Row],[company_id]],Tabelle5[value_id],Tabelle18[[#This Row],[value_id]]),0)</f>
        <v>3</v>
      </c>
      <c r="F94">
        <f>IF(Tabelle18[[#This Row],[value_points_company]]=0,"",IFERROR(_xlfn.MINIFS(Tabelle5[doc_id],Tabelle5[company_id],Tabelle18[[#This Row],[company_id]],Tabelle5[value_id],Tabelle18[[#This Row],[value_id]],Tabelle5[value_points],Tabelle18[[#This Row],[value_points_company]]),""))</f>
        <v>34</v>
      </c>
      <c r="G94" t="str" cm="1">
        <f t="array" ref="G94">IF(Tabelle18[[#This Row],[doc_id_strongest]]="","",IFERROR(INDEX(Tabelle5[evidence_location],MATCH(1,(Tabelle5[company_id]=Tabelle18[[#This Row],[company_id]])*(Tabelle5[value_id]=Tabelle18[[#This Row],[value_id]])*(Tabelle5[doc_id]=Tabelle18[[#This Row],[doc_id_strongest]]),0)),""))</f>
        <v>S. 202</v>
      </c>
      <c r="H94" s="33" t="str" cm="1">
        <f t="array" ref="H94">IF(Tabelle18[[#This Row],[doc_id_strongest]]="","",IFERROR(INDEX(Tabelle5[evidence_quote],MATCH(1,(Tabelle5[company_id]=Tabelle18[[#This Row],[company_id]])*(Tabelle5[value_id]=Tabelle18[[#This Row],[value_id]])*(Tabelle5[doc_id]=Tabelle18[[#This Row],[doc_id_strongest]]),0)),""))</f>
        <v>“secure environment with a high level of transparency”</v>
      </c>
    </row>
    <row r="95" spans="1:8" x14ac:dyDescent="0.25">
      <c r="A95" s="36">
        <v>6</v>
      </c>
      <c r="B95" t="s">
        <v>76</v>
      </c>
      <c r="C95" s="4">
        <f>IF(Tabelle18[[#This Row],[binding_level_company]]&gt;=1,1,0)</f>
        <v>0</v>
      </c>
      <c r="D95" s="4">
        <f>IFERROR(_xlfn.MAXIFS(Tabelle5[binding_level],Tabelle5[company_id],Tabelle18[[#This Row],[company_id]],Tabelle5[value_id],Tabelle18[[#This Row],[value_id]],Tabelle5[value_present],1),0)</f>
        <v>0</v>
      </c>
      <c r="E95" s="4">
        <f>IFERROR(_xlfn.MAXIFS(Tabelle5[value_points],Tabelle5[company_id],Tabelle18[[#This Row],[company_id]],Tabelle5[value_id],Tabelle18[[#This Row],[value_id]]),0)</f>
        <v>0</v>
      </c>
      <c r="F95" t="str">
        <f>IF(Tabelle18[[#This Row],[value_points_company]]=0,"",IFERROR(_xlfn.MINIFS(Tabelle5[doc_id],Tabelle5[company_id],Tabelle18[[#This Row],[company_id]],Tabelle5[value_id],Tabelle18[[#This Row],[value_id]],Tabelle5[value_points],Tabelle18[[#This Row],[value_points_company]]),""))</f>
        <v/>
      </c>
      <c r="G95" t="str" cm="1">
        <f t="array" ref="G95">IF(Tabelle18[[#This Row],[doc_id_strongest]]="","",IFERROR(INDEX(Tabelle5[evidence_location],MATCH(1,(Tabelle5[company_id]=Tabelle18[[#This Row],[company_id]])*(Tabelle5[value_id]=Tabelle18[[#This Row],[value_id]])*(Tabelle5[doc_id]=Tabelle18[[#This Row],[doc_id_strongest]]),0)),""))</f>
        <v/>
      </c>
      <c r="H95" s="33" t="str" cm="1">
        <f t="array" ref="H95">IF(Tabelle18[[#This Row],[doc_id_strongest]]="","",IFERROR(INDEX(Tabelle5[evidence_quote],MATCH(1,(Tabelle5[company_id]=Tabelle18[[#This Row],[company_id]])*(Tabelle5[value_id]=Tabelle18[[#This Row],[value_id]])*(Tabelle5[doc_id]=Tabelle18[[#This Row],[doc_id_strongest]]),0)),""))</f>
        <v/>
      </c>
    </row>
    <row r="96" spans="1:8" x14ac:dyDescent="0.25">
      <c r="A96" s="36">
        <v>6</v>
      </c>
      <c r="B96" t="s">
        <v>83</v>
      </c>
      <c r="C96" s="4">
        <f>IF(Tabelle18[[#This Row],[binding_level_company]]&gt;=1,1,0)</f>
        <v>1</v>
      </c>
      <c r="D96" s="4">
        <f>IFERROR(_xlfn.MAXIFS(Tabelle5[binding_level],Tabelle5[company_id],Tabelle18[[#This Row],[company_id]],Tabelle5[value_id],Tabelle18[[#This Row],[value_id]],Tabelle5[value_present],1),0)</f>
        <v>3</v>
      </c>
      <c r="E96" s="4">
        <f>IFERROR(_xlfn.MAXIFS(Tabelle5[value_points],Tabelle5[company_id],Tabelle18[[#This Row],[company_id]],Tabelle5[value_id],Tabelle18[[#This Row],[value_id]]),0)</f>
        <v>3</v>
      </c>
      <c r="F96">
        <f>IF(Tabelle18[[#This Row],[value_points_company]]=0,"",IFERROR(_xlfn.MINIFS(Tabelle5[doc_id],Tabelle5[company_id],Tabelle18[[#This Row],[company_id]],Tabelle5[value_id],Tabelle18[[#This Row],[value_id]],Tabelle5[value_points],Tabelle18[[#This Row],[value_points_company]]),""))</f>
        <v>34</v>
      </c>
      <c r="G96" t="str" cm="1">
        <f t="array" ref="G96">IF(Tabelle18[[#This Row],[doc_id_strongest]]="","",IFERROR(INDEX(Tabelle5[evidence_location],MATCH(1,(Tabelle5[company_id]=Tabelle18[[#This Row],[company_id]])*(Tabelle5[value_id]=Tabelle18[[#This Row],[value_id]])*(Tabelle5[doc_id]=Tabelle18[[#This Row],[doc_id_strongest]]),0)),""))</f>
        <v>S. 35</v>
      </c>
      <c r="H96" s="33" t="str" cm="1">
        <f t="array" ref="H96">IF(Tabelle18[[#This Row],[doc_id_strongest]]="","",IFERROR(INDEX(Tabelle5[evidence_quote],MATCH(1,(Tabelle5[company_id]=Tabelle18[[#This Row],[company_id]])*(Tabelle5[value_id]=Tabelle18[[#This Row],[value_id]])*(Tabelle5[doc_id]=Tabelle18[[#This Row],[doc_id_strongest]]),0)),""))</f>
        <v>“take better account of the diversity of phototypes</v>
      </c>
    </row>
    <row r="97" spans="1:8" x14ac:dyDescent="0.25">
      <c r="A97" s="36">
        <v>6</v>
      </c>
      <c r="B97" t="s">
        <v>90</v>
      </c>
      <c r="C97" s="4">
        <f>IF(Tabelle18[[#This Row],[binding_level_company]]&gt;=1,1,0)</f>
        <v>1</v>
      </c>
      <c r="D97" s="4">
        <f>IFERROR(_xlfn.MAXIFS(Tabelle5[binding_level],Tabelle5[company_id],Tabelle18[[#This Row],[company_id]],Tabelle5[value_id],Tabelle18[[#This Row],[value_id]],Tabelle5[value_present],1),0)</f>
        <v>1</v>
      </c>
      <c r="E97" s="4">
        <f>IFERROR(_xlfn.MAXIFS(Tabelle5[value_points],Tabelle5[company_id],Tabelle18[[#This Row],[company_id]],Tabelle5[value_id],Tabelle18[[#This Row],[value_id]]),0)</f>
        <v>1</v>
      </c>
      <c r="F97">
        <f>IF(Tabelle18[[#This Row],[value_points_company]]=0,"",IFERROR(_xlfn.MINIFS(Tabelle5[doc_id],Tabelle5[company_id],Tabelle18[[#This Row],[company_id]],Tabelle5[value_id],Tabelle18[[#This Row],[value_id]],Tabelle5[value_points],Tabelle18[[#This Row],[value_points_company]]),""))</f>
        <v>36</v>
      </c>
      <c r="G97" t="str" cm="1">
        <f t="array" ref="G97">IF(Tabelle18[[#This Row],[doc_id_strongest]]="","",IFERROR(INDEX(Tabelle5[evidence_location],MATCH(1,(Tabelle5[company_id]=Tabelle18[[#This Row],[company_id]])*(Tabelle5[value_id]=Tabelle18[[#This Row],[value_id]])*(Tabelle5[doc_id]=Tabelle18[[#This Row],[doc_id_strongest]]),0)),""))</f>
        <v>S. 2</v>
      </c>
      <c r="H97" s="33" t="str" cm="1">
        <f t="array" ref="H97">IF(Tabelle18[[#This Row],[doc_id_strongest]]="","",IFERROR(INDEX(Tabelle5[evidence_quote],MATCH(1,(Tabelle5[company_id]=Tabelle18[[#This Row],[company_id]])*(Tabelle5[value_id]=Tabelle18[[#This Row],[value_id]])*(Tabelle5[doc_id]=Tabelle18[[#This Row],[doc_id_strongest]]),0)),""))</f>
        <v>“handling personal data”</v>
      </c>
    </row>
    <row r="98" spans="1:8" x14ac:dyDescent="0.25">
      <c r="A98" s="36">
        <v>6</v>
      </c>
      <c r="B98" t="s">
        <v>98</v>
      </c>
      <c r="C98" s="4">
        <f>IF(Tabelle18[[#This Row],[binding_level_company]]&gt;=1,1,0)</f>
        <v>1</v>
      </c>
      <c r="D98" s="4">
        <f>IFERROR(_xlfn.MAXIFS(Tabelle5[binding_level],Tabelle5[company_id],Tabelle18[[#This Row],[company_id]],Tabelle5[value_id],Tabelle18[[#This Row],[value_id]],Tabelle5[value_present],1),0)</f>
        <v>3</v>
      </c>
      <c r="E98" s="4">
        <f>IFERROR(_xlfn.MAXIFS(Tabelle5[value_points],Tabelle5[company_id],Tabelle18[[#This Row],[company_id]],Tabelle5[value_id],Tabelle18[[#This Row],[value_id]]),0)</f>
        <v>3</v>
      </c>
      <c r="F98">
        <f>IF(Tabelle18[[#This Row],[value_points_company]]=0,"",IFERROR(_xlfn.MINIFS(Tabelle5[doc_id],Tabelle5[company_id],Tabelle18[[#This Row],[company_id]],Tabelle5[value_id],Tabelle18[[#This Row],[value_id]],Tabelle5[value_points],Tabelle18[[#This Row],[value_points_company]]),""))</f>
        <v>34</v>
      </c>
      <c r="G98" t="str" cm="1">
        <f t="array" ref="G98">IF(Tabelle18[[#This Row],[doc_id_strongest]]="","",IFERROR(INDEX(Tabelle5[evidence_location],MATCH(1,(Tabelle5[company_id]=Tabelle18[[#This Row],[company_id]])*(Tabelle5[value_id]=Tabelle18[[#This Row],[value_id]])*(Tabelle5[doc_id]=Tabelle18[[#This Row],[doc_id_strongest]]),0)),""))</f>
        <v>S. 202</v>
      </c>
      <c r="H98" s="33" t="str" cm="1">
        <f t="array" ref="H98">IF(Tabelle18[[#This Row],[doc_id_strongest]]="","",IFERROR(INDEX(Tabelle5[evidence_quote],MATCH(1,(Tabelle5[company_id]=Tabelle18[[#This Row],[company_id]])*(Tabelle5[value_id]=Tabelle18[[#This Row],[value_id]])*(Tabelle5[doc_id]=Tabelle18[[#This Row],[doc_id_strongest]]),0)),""))</f>
        <v>“secure environment”; “general framework for the further strategic development of AI”</v>
      </c>
    </row>
    <row r="99" spans="1:8" x14ac:dyDescent="0.25">
      <c r="A99" s="36">
        <v>6</v>
      </c>
      <c r="B99" t="s">
        <v>106</v>
      </c>
      <c r="C99" s="4">
        <f>IF(Tabelle18[[#This Row],[binding_level_company]]&gt;=1,1,0)</f>
        <v>0</v>
      </c>
      <c r="D99" s="4">
        <f>IFERROR(_xlfn.MAXIFS(Tabelle5[binding_level],Tabelle5[company_id],Tabelle18[[#This Row],[company_id]],Tabelle5[value_id],Tabelle18[[#This Row],[value_id]],Tabelle5[value_present],1),0)</f>
        <v>0</v>
      </c>
      <c r="E99" s="4">
        <f>IFERROR(_xlfn.MAXIFS(Tabelle5[value_points],Tabelle5[company_id],Tabelle18[[#This Row],[company_id]],Tabelle5[value_id],Tabelle18[[#This Row],[value_id]]),0)</f>
        <v>0</v>
      </c>
      <c r="F99" t="str">
        <f>IF(Tabelle18[[#This Row],[value_points_company]]=0,"",IFERROR(_xlfn.MINIFS(Tabelle5[doc_id],Tabelle5[company_id],Tabelle18[[#This Row],[company_id]],Tabelle5[value_id],Tabelle18[[#This Row],[value_id]],Tabelle5[value_points],Tabelle18[[#This Row],[value_points_company]]),""))</f>
        <v/>
      </c>
      <c r="G99" t="str" cm="1">
        <f t="array" ref="G99">IF(Tabelle18[[#This Row],[doc_id_strongest]]="","",IFERROR(INDEX(Tabelle5[evidence_location],MATCH(1,(Tabelle5[company_id]=Tabelle18[[#This Row],[company_id]])*(Tabelle5[value_id]=Tabelle18[[#This Row],[value_id]])*(Tabelle5[doc_id]=Tabelle18[[#This Row],[doc_id_strongest]]),0)),""))</f>
        <v/>
      </c>
      <c r="H99" s="33" t="str" cm="1">
        <f t="array" ref="H99">IF(Tabelle18[[#This Row],[doc_id_strongest]]="","",IFERROR(INDEX(Tabelle5[evidence_quote],MATCH(1,(Tabelle5[company_id]=Tabelle18[[#This Row],[company_id]])*(Tabelle5[value_id]=Tabelle18[[#This Row],[value_id]])*(Tabelle5[doc_id]=Tabelle18[[#This Row],[doc_id_strongest]]),0)),""))</f>
        <v/>
      </c>
    </row>
    <row r="100" spans="1:8" x14ac:dyDescent="0.25">
      <c r="A100" s="36">
        <v>6</v>
      </c>
      <c r="B100" t="s">
        <v>112</v>
      </c>
      <c r="C100" s="4">
        <f>IF(Tabelle18[[#This Row],[binding_level_company]]&gt;=1,1,0)</f>
        <v>1</v>
      </c>
      <c r="D100" s="4">
        <f>IFERROR(_xlfn.MAXIFS(Tabelle5[binding_level],Tabelle5[company_id],Tabelle18[[#This Row],[company_id]],Tabelle5[value_id],Tabelle18[[#This Row],[value_id]],Tabelle5[value_present],1),0)</f>
        <v>3</v>
      </c>
      <c r="E100" s="4">
        <f>IFERROR(_xlfn.MAXIFS(Tabelle5[value_points],Tabelle5[company_id],Tabelle18[[#This Row],[company_id]],Tabelle5[value_id],Tabelle18[[#This Row],[value_id]]),0)</f>
        <v>3</v>
      </c>
      <c r="F100">
        <f>IF(Tabelle18[[#This Row],[value_points_company]]=0,"",IFERROR(_xlfn.MINIFS(Tabelle5[doc_id],Tabelle5[company_id],Tabelle18[[#This Row],[company_id]],Tabelle5[value_id],Tabelle18[[#This Row],[value_id]],Tabelle5[value_points],Tabelle18[[#This Row],[value_points_company]]),""))</f>
        <v>34</v>
      </c>
      <c r="G100" t="str" cm="1">
        <f t="array" ref="G100">IF(Tabelle18[[#This Row],[doc_id_strongest]]="","",IFERROR(INDEX(Tabelle5[evidence_location],MATCH(1,(Tabelle5[company_id]=Tabelle18[[#This Row],[company_id]])*(Tabelle5[value_id]=Tabelle18[[#This Row],[value_id]])*(Tabelle5[doc_id]=Tabelle18[[#This Row],[doc_id_strongest]]),0)),""))</f>
        <v>S. 35</v>
      </c>
      <c r="H100" s="33" t="str" cm="1">
        <f t="array" ref="H100">IF(Tabelle18[[#This Row],[doc_id_strongest]]="","",IFERROR(INDEX(Tabelle5[evidence_quote],MATCH(1,(Tabelle5[company_id]=Tabelle18[[#This Row],[company_id]])*(Tabelle5[value_id]=Tabelle18[[#This Row],[value_id]])*(Tabelle5[doc_id]=Tabelle18[[#This Row],[doc_id_strongest]]),0)),""))</f>
        <v>“introduced our innovative AI-controlled wrinkle analysis wrinkle.ai as a standardized test procedure”; “The evaluated results provide a robust basis”; “guaranteeing both precise and consistent measurement results.”</v>
      </c>
    </row>
    <row r="101" spans="1:8" x14ac:dyDescent="0.25">
      <c r="A101" s="36">
        <v>6</v>
      </c>
      <c r="B101" t="s">
        <v>118</v>
      </c>
      <c r="C101" s="4">
        <f>IF(Tabelle18[[#This Row],[binding_level_company]]&gt;=1,1,0)</f>
        <v>0</v>
      </c>
      <c r="D101" s="4">
        <f>IFERROR(_xlfn.MAXIFS(Tabelle5[binding_level],Tabelle5[company_id],Tabelle18[[#This Row],[company_id]],Tabelle5[value_id],Tabelle18[[#This Row],[value_id]],Tabelle5[value_present],1),0)</f>
        <v>0</v>
      </c>
      <c r="E101" s="4">
        <f>IFERROR(_xlfn.MAXIFS(Tabelle5[value_points],Tabelle5[company_id],Tabelle18[[#This Row],[company_id]],Tabelle5[value_id],Tabelle18[[#This Row],[value_id]]),0)</f>
        <v>0</v>
      </c>
      <c r="F101" t="str">
        <f>IF(Tabelle18[[#This Row],[value_points_company]]=0,"",IFERROR(_xlfn.MINIFS(Tabelle5[doc_id],Tabelle5[company_id],Tabelle18[[#This Row],[company_id]],Tabelle5[value_id],Tabelle18[[#This Row],[value_id]],Tabelle5[value_points],Tabelle18[[#This Row],[value_points_company]]),""))</f>
        <v/>
      </c>
      <c r="G101" t="str" cm="1">
        <f t="array" ref="G101">IF(Tabelle18[[#This Row],[doc_id_strongest]]="","",IFERROR(INDEX(Tabelle5[evidence_location],MATCH(1,(Tabelle5[company_id]=Tabelle18[[#This Row],[company_id]])*(Tabelle5[value_id]=Tabelle18[[#This Row],[value_id]])*(Tabelle5[doc_id]=Tabelle18[[#This Row],[doc_id_strongest]]),0)),""))</f>
        <v/>
      </c>
      <c r="H101" s="33" t="str" cm="1">
        <f t="array" ref="H101">IF(Tabelle18[[#This Row],[doc_id_strongest]]="","",IFERROR(INDEX(Tabelle5[evidence_quote],MATCH(1,(Tabelle5[company_id]=Tabelle18[[#This Row],[company_id]])*(Tabelle5[value_id]=Tabelle18[[#This Row],[value_id]])*(Tabelle5[doc_id]=Tabelle18[[#This Row],[doc_id_strongest]]),0)),""))</f>
        <v/>
      </c>
    </row>
    <row r="102" spans="1:8" x14ac:dyDescent="0.25">
      <c r="A102" s="36">
        <v>6</v>
      </c>
      <c r="B102" t="s">
        <v>125</v>
      </c>
      <c r="C102" s="4">
        <f>IF(Tabelle18[[#This Row],[binding_level_company]]&gt;=1,1,0)</f>
        <v>0</v>
      </c>
      <c r="D102" s="4">
        <f>IFERROR(_xlfn.MAXIFS(Tabelle5[binding_level],Tabelle5[company_id],Tabelle18[[#This Row],[company_id]],Tabelle5[value_id],Tabelle18[[#This Row],[value_id]],Tabelle5[value_present],1),0)</f>
        <v>0</v>
      </c>
      <c r="E102" s="4">
        <f>IFERROR(_xlfn.MAXIFS(Tabelle5[value_points],Tabelle5[company_id],Tabelle18[[#This Row],[company_id]],Tabelle5[value_id],Tabelle18[[#This Row],[value_id]]),0)</f>
        <v>0</v>
      </c>
      <c r="F102" t="str">
        <f>IF(Tabelle18[[#This Row],[value_points_company]]=0,"",IFERROR(_xlfn.MINIFS(Tabelle5[doc_id],Tabelle5[company_id],Tabelle18[[#This Row],[company_id]],Tabelle5[value_id],Tabelle18[[#This Row],[value_id]],Tabelle5[value_points],Tabelle18[[#This Row],[value_points_company]]),""))</f>
        <v/>
      </c>
      <c r="G102" t="str" cm="1">
        <f t="array" ref="G102">IF(Tabelle18[[#This Row],[doc_id_strongest]]="","",IFERROR(INDEX(Tabelle5[evidence_location],MATCH(1,(Tabelle5[company_id]=Tabelle18[[#This Row],[company_id]])*(Tabelle5[value_id]=Tabelle18[[#This Row],[value_id]])*(Tabelle5[doc_id]=Tabelle18[[#This Row],[doc_id_strongest]]),0)),""))</f>
        <v/>
      </c>
      <c r="H102" s="33" t="str" cm="1">
        <f t="array" ref="H102">IF(Tabelle18[[#This Row],[doc_id_strongest]]="","",IFERROR(INDEX(Tabelle5[evidence_quote],MATCH(1,(Tabelle5[company_id]=Tabelle18[[#This Row],[company_id]])*(Tabelle5[value_id]=Tabelle18[[#This Row],[value_id]])*(Tabelle5[doc_id]=Tabelle18[[#This Row],[doc_id_strongest]]),0)),""))</f>
        <v/>
      </c>
    </row>
    <row r="103" spans="1:8" x14ac:dyDescent="0.25">
      <c r="A103" s="36">
        <v>6</v>
      </c>
      <c r="B103" t="s">
        <v>132</v>
      </c>
      <c r="C103" s="4">
        <f>IF(Tabelle18[[#This Row],[binding_level_company]]&gt;=1,1,0)</f>
        <v>1</v>
      </c>
      <c r="D103" s="4">
        <f>IFERROR(_xlfn.MAXIFS(Tabelle5[binding_level],Tabelle5[company_id],Tabelle18[[#This Row],[company_id]],Tabelle5[value_id],Tabelle18[[#This Row],[value_id]],Tabelle5[value_present],1),0)</f>
        <v>3</v>
      </c>
      <c r="E103" s="4">
        <f>IFERROR(_xlfn.MAXIFS(Tabelle5[value_points],Tabelle5[company_id],Tabelle18[[#This Row],[company_id]],Tabelle5[value_id],Tabelle18[[#This Row],[value_id]]),0)</f>
        <v>3</v>
      </c>
      <c r="F103">
        <f>IF(Tabelle18[[#This Row],[value_points_company]]=0,"",IFERROR(_xlfn.MINIFS(Tabelle5[doc_id],Tabelle5[company_id],Tabelle18[[#This Row],[company_id]],Tabelle5[value_id],Tabelle18[[#This Row],[value_id]],Tabelle5[value_points],Tabelle18[[#This Row],[value_points_company]]),""))</f>
        <v>34</v>
      </c>
      <c r="G103" t="str" cm="1">
        <f t="array" ref="G103">IF(Tabelle18[[#This Row],[doc_id_strongest]]="","",IFERROR(INDEX(Tabelle5[evidence_location],MATCH(1,(Tabelle5[company_id]=Tabelle18[[#This Row],[company_id]])*(Tabelle5[value_id]=Tabelle18[[#This Row],[value_id]])*(Tabelle5[doc_id]=Tabelle18[[#This Row],[doc_id_strongest]]),0)),""))</f>
        <v>S. 12; S. 34</v>
      </c>
      <c r="H103" s="33" t="str" cm="1">
        <f t="array" ref="H103">IF(Tabelle18[[#This Row],[doc_id_strongest]]="","",IFERROR(INDEX(Tabelle5[evidence_quote],MATCH(1,(Tabelle5[company_id]=Tabelle18[[#This Row],[company_id]])*(Tabelle5[value_id]=Tabelle18[[#This Row],[value_id]])*(Tabelle5[doc_id]=Tabelle18[[#This Row],[doc_id_strongest]]),0)),""))</f>
        <v>“optimize the speed, quality, and sustainability of our formula development”; “a blend of particularly sustainable ingredients”</v>
      </c>
    </row>
    <row r="104" spans="1:8" x14ac:dyDescent="0.25">
      <c r="A104" s="36">
        <v>6</v>
      </c>
      <c r="B104" t="s">
        <v>140</v>
      </c>
      <c r="C104" s="4">
        <f>IF(Tabelle18[[#This Row],[binding_level_company]]&gt;=1,1,0)</f>
        <v>1</v>
      </c>
      <c r="D104" s="4">
        <f>IFERROR(_xlfn.MAXIFS(Tabelle5[binding_level],Tabelle5[company_id],Tabelle18[[#This Row],[company_id]],Tabelle5[value_id],Tabelle18[[#This Row],[value_id]],Tabelle5[value_present],1),0)</f>
        <v>1</v>
      </c>
      <c r="E104" s="4">
        <f>IFERROR(_xlfn.MAXIFS(Tabelle5[value_points],Tabelle5[company_id],Tabelle18[[#This Row],[company_id]],Tabelle5[value_id],Tabelle18[[#This Row],[value_id]]),0)</f>
        <v>1</v>
      </c>
      <c r="F104">
        <f>IF(Tabelle18[[#This Row],[value_points_company]]=0,"",IFERROR(_xlfn.MINIFS(Tabelle5[doc_id],Tabelle5[company_id],Tabelle18[[#This Row],[company_id]],Tabelle5[value_id],Tabelle18[[#This Row],[value_id]],Tabelle5[value_points],Tabelle18[[#This Row],[value_points_company]]),""))</f>
        <v>36</v>
      </c>
      <c r="G104" t="str" cm="1">
        <f t="array" ref="G104">IF(Tabelle18[[#This Row],[doc_id_strongest]]="","",IFERROR(INDEX(Tabelle5[evidence_location],MATCH(1,(Tabelle5[company_id]=Tabelle18[[#This Row],[company_id]])*(Tabelle5[value_id]=Tabelle18[[#This Row],[value_id]])*(Tabelle5[doc_id]=Tabelle18[[#This Row],[doc_id_strongest]]),0)),""))</f>
        <v>S. 2–3</v>
      </c>
      <c r="H104" s="33" t="str" cm="1">
        <f t="array" ref="H104">IF(Tabelle18[[#This Row],[doc_id_strongest]]="","",IFERROR(INDEX(Tabelle5[evidence_quote],MATCH(1,(Tabelle5[company_id]=Tabelle18[[#This Row],[company_id]])*(Tabelle5[value_id]=Tabelle18[[#This Row],[value_id]])*(Tabelle5[doc_id]=Tabelle18[[#This Row],[doc_id_strongest]]),0)),""))</f>
        <v>“make work more humane and meaningful”; “amplify the existing strengths of our employees”</v>
      </c>
    </row>
    <row r="105" spans="1:8" x14ac:dyDescent="0.25">
      <c r="A105" s="36">
        <v>6</v>
      </c>
      <c r="B105" t="s">
        <v>147</v>
      </c>
      <c r="C105" s="4">
        <f>IF(Tabelle18[[#This Row],[binding_level_company]]&gt;=1,1,0)</f>
        <v>0</v>
      </c>
      <c r="D105" s="4">
        <f>IFERROR(_xlfn.MAXIFS(Tabelle5[binding_level],Tabelle5[company_id],Tabelle18[[#This Row],[company_id]],Tabelle5[value_id],Tabelle18[[#This Row],[value_id]],Tabelle5[value_present],1),0)</f>
        <v>0</v>
      </c>
      <c r="E105" s="4">
        <f>IFERROR(_xlfn.MAXIFS(Tabelle5[value_points],Tabelle5[company_id],Tabelle18[[#This Row],[company_id]],Tabelle5[value_id],Tabelle18[[#This Row],[value_id]]),0)</f>
        <v>0</v>
      </c>
      <c r="F105" t="str">
        <f>IF(Tabelle18[[#This Row],[value_points_company]]=0,"",IFERROR(_xlfn.MINIFS(Tabelle5[doc_id],Tabelle5[company_id],Tabelle18[[#This Row],[company_id]],Tabelle5[value_id],Tabelle18[[#This Row],[value_id]],Tabelle5[value_points],Tabelle18[[#This Row],[value_points_company]]),""))</f>
        <v/>
      </c>
      <c r="G105" t="str" cm="1">
        <f t="array" ref="G105">IF(Tabelle18[[#This Row],[doc_id_strongest]]="","",IFERROR(INDEX(Tabelle5[evidence_location],MATCH(1,(Tabelle5[company_id]=Tabelle18[[#This Row],[company_id]])*(Tabelle5[value_id]=Tabelle18[[#This Row],[value_id]])*(Tabelle5[doc_id]=Tabelle18[[#This Row],[doc_id_strongest]]),0)),""))</f>
        <v/>
      </c>
      <c r="H105" s="33" t="str" cm="1">
        <f t="array" ref="H105">IF(Tabelle18[[#This Row],[doc_id_strongest]]="","",IFERROR(INDEX(Tabelle5[evidence_quote],MATCH(1,(Tabelle5[company_id]=Tabelle18[[#This Row],[company_id]])*(Tabelle5[value_id]=Tabelle18[[#This Row],[value_id]])*(Tabelle5[doc_id]=Tabelle18[[#This Row],[doc_id_strongest]]),0)),""))</f>
        <v/>
      </c>
    </row>
    <row r="106" spans="1:8" x14ac:dyDescent="0.25">
      <c r="A106" s="36">
        <v>6</v>
      </c>
      <c r="B106" t="s">
        <v>154</v>
      </c>
      <c r="C106" s="4">
        <f>IF(Tabelle18[[#This Row],[binding_level_company]]&gt;=1,1,0)</f>
        <v>1</v>
      </c>
      <c r="D106" s="4">
        <f>IFERROR(_xlfn.MAXIFS(Tabelle5[binding_level],Tabelle5[company_id],Tabelle18[[#This Row],[company_id]],Tabelle5[value_id],Tabelle18[[#This Row],[value_id]],Tabelle5[value_present],1),0)</f>
        <v>2</v>
      </c>
      <c r="E106" s="4">
        <f>IFERROR(_xlfn.MAXIFS(Tabelle5[value_points],Tabelle5[company_id],Tabelle18[[#This Row],[company_id]],Tabelle5[value_id],Tabelle18[[#This Row],[value_id]]),0)</f>
        <v>2</v>
      </c>
      <c r="F106">
        <f>IF(Tabelle18[[#This Row],[value_points_company]]=0,"",IFERROR(_xlfn.MINIFS(Tabelle5[doc_id],Tabelle5[company_id],Tabelle18[[#This Row],[company_id]],Tabelle5[value_id],Tabelle18[[#This Row],[value_id]],Tabelle5[value_points],Tabelle18[[#This Row],[value_points_company]]),""))</f>
        <v>34</v>
      </c>
      <c r="G106" t="str" cm="1">
        <f t="array" ref="G106">IF(Tabelle18[[#This Row],[doc_id_strongest]]="","",IFERROR(INDEX(Tabelle5[evidence_location],MATCH(1,(Tabelle5[company_id]=Tabelle18[[#This Row],[company_id]])*(Tabelle5[value_id]=Tabelle18[[#This Row],[value_id]])*(Tabelle5[doc_id]=Tabelle18[[#This Row],[doc_id_strongest]]),0)),""))</f>
        <v>S. 12</v>
      </c>
      <c r="H106" s="33" t="str" cm="1">
        <f t="array" ref="H106">IF(Tabelle18[[#This Row],[doc_id_strongest]]="","",IFERROR(INDEX(Tabelle5[evidence_quote],MATCH(1,(Tabelle5[company_id]=Tabelle18[[#This Row],[company_id]])*(Tabelle5[value_id]=Tabelle18[[#This Row],[value_id]])*(Tabelle5[doc_id]=Tabelle18[[#This Row],[doc_id_strongest]]),0)),""))</f>
        <v>“never to use AI to create human skin”</v>
      </c>
    </row>
    <row r="107" spans="1:8" x14ac:dyDescent="0.25">
      <c r="A107" s="36">
        <v>6</v>
      </c>
      <c r="B107" t="s">
        <v>161</v>
      </c>
      <c r="C107" s="4">
        <f>IF(Tabelle18[[#This Row],[binding_level_company]]&gt;=1,1,0)</f>
        <v>1</v>
      </c>
      <c r="D107" s="4">
        <f>IFERROR(_xlfn.MAXIFS(Tabelle5[binding_level],Tabelle5[company_id],Tabelle18[[#This Row],[company_id]],Tabelle5[value_id],Tabelle18[[#This Row],[value_id]],Tabelle5[value_present],1),0)</f>
        <v>3</v>
      </c>
      <c r="E107" s="4">
        <f>IFERROR(_xlfn.MAXIFS(Tabelle5[value_points],Tabelle5[company_id],Tabelle18[[#This Row],[company_id]],Tabelle5[value_id],Tabelle18[[#This Row],[value_id]]),0)</f>
        <v>3</v>
      </c>
      <c r="F107">
        <f>IF(Tabelle18[[#This Row],[value_points_company]]=0,"",IFERROR(_xlfn.MINIFS(Tabelle5[doc_id],Tabelle5[company_id],Tabelle18[[#This Row],[company_id]],Tabelle5[value_id],Tabelle18[[#This Row],[value_id]],Tabelle5[value_points],Tabelle18[[#This Row],[value_points_company]]),""))</f>
        <v>34</v>
      </c>
      <c r="G107" t="str" cm="1">
        <f t="array" ref="G107">IF(Tabelle18[[#This Row],[doc_id_strongest]]="","",IFERROR(INDEX(Tabelle5[evidence_location],MATCH(1,(Tabelle5[company_id]=Tabelle18[[#This Row],[company_id]])*(Tabelle5[value_id]=Tabelle18[[#This Row],[value_id]])*(Tabelle5[doc_id]=Tabelle18[[#This Row],[doc_id_strongest]]),0)),""))</f>
        <v>S. 35</v>
      </c>
      <c r="H107" s="33" t="str" cm="1">
        <f t="array" ref="H107">IF(Tabelle18[[#This Row],[doc_id_strongest]]="","",IFERROR(INDEX(Tabelle5[evidence_quote],MATCH(1,(Tabelle5[company_id]=Tabelle18[[#This Row],[company_id]])*(Tabelle5[value_id]=Tabelle18[[#This Row],[value_id]])*(Tabelle5[doc_id]=Tabelle18[[#This Row],[doc_id_strongest]]),0)),""))</f>
        <v>“expand the algorithm using valid data for melanin-rich skin types"; “The more high-quality data is available”</v>
      </c>
    </row>
    <row r="108" spans="1:8" x14ac:dyDescent="0.25">
      <c r="A108" s="36">
        <v>6</v>
      </c>
      <c r="B108" t="s">
        <v>166</v>
      </c>
      <c r="C108" s="4">
        <f>IF(Tabelle18[[#This Row],[binding_level_company]]&gt;=1,1,0)</f>
        <v>0</v>
      </c>
      <c r="D108" s="4">
        <f>IFERROR(_xlfn.MAXIFS(Tabelle5[binding_level],Tabelle5[company_id],Tabelle18[[#This Row],[company_id]],Tabelle5[value_id],Tabelle18[[#This Row],[value_id]],Tabelle5[value_present],1),0)</f>
        <v>0</v>
      </c>
      <c r="E108" s="4">
        <f>IFERROR(_xlfn.MAXIFS(Tabelle5[value_points],Tabelle5[company_id],Tabelle18[[#This Row],[company_id]],Tabelle5[value_id],Tabelle18[[#This Row],[value_id]]),0)</f>
        <v>0</v>
      </c>
      <c r="F108" t="str">
        <f>IF(Tabelle18[[#This Row],[value_points_company]]=0,"",IFERROR(_xlfn.MINIFS(Tabelle5[doc_id],Tabelle5[company_id],Tabelle18[[#This Row],[company_id]],Tabelle5[value_id],Tabelle18[[#This Row],[value_id]],Tabelle5[value_points],Tabelle18[[#This Row],[value_points_company]]),""))</f>
        <v/>
      </c>
      <c r="G108" t="str" cm="1">
        <f t="array" ref="G108">IF(Tabelle18[[#This Row],[doc_id_strongest]]="","",IFERROR(INDEX(Tabelle5[evidence_location],MATCH(1,(Tabelle5[company_id]=Tabelle18[[#This Row],[company_id]])*(Tabelle5[value_id]=Tabelle18[[#This Row],[value_id]])*(Tabelle5[doc_id]=Tabelle18[[#This Row],[doc_id_strongest]]),0)),""))</f>
        <v/>
      </c>
      <c r="H108" s="33" t="str" cm="1">
        <f t="array" ref="H108">IF(Tabelle18[[#This Row],[doc_id_strongest]]="","",IFERROR(INDEX(Tabelle5[evidence_quote],MATCH(1,(Tabelle5[company_id]=Tabelle18[[#This Row],[company_id]])*(Tabelle5[value_id]=Tabelle18[[#This Row],[value_id]])*(Tabelle5[doc_id]=Tabelle18[[#This Row],[doc_id_strongest]]),0)),""))</f>
        <v/>
      </c>
    </row>
    <row r="109" spans="1:8" ht="15.75" thickBot="1" x14ac:dyDescent="0.3">
      <c r="A109" s="37">
        <v>6</v>
      </c>
      <c r="B109" s="30" t="s">
        <v>174</v>
      </c>
      <c r="C109" s="49">
        <f>IF(Tabelle18[[#This Row],[binding_level_company]]&gt;=1,1,0)</f>
        <v>0</v>
      </c>
      <c r="D109" s="49">
        <f>IFERROR(_xlfn.MAXIFS(Tabelle5[binding_level],Tabelle5[company_id],Tabelle18[[#This Row],[company_id]],Tabelle5[value_id],Tabelle18[[#This Row],[value_id]],Tabelle5[value_present],1),0)</f>
        <v>0</v>
      </c>
      <c r="E109" s="49">
        <f>IFERROR(_xlfn.MAXIFS(Tabelle5[value_points],Tabelle5[company_id],Tabelle18[[#This Row],[company_id]],Tabelle5[value_id],Tabelle18[[#This Row],[value_id]]),0)</f>
        <v>0</v>
      </c>
      <c r="F109" s="30" t="str">
        <f>IF(Tabelle18[[#This Row],[value_points_company]]=0,"",IFERROR(_xlfn.MINIFS(Tabelle5[doc_id],Tabelle5[company_id],Tabelle18[[#This Row],[company_id]],Tabelle5[value_id],Tabelle18[[#This Row],[value_id]],Tabelle5[value_points],Tabelle18[[#This Row],[value_points_company]]),""))</f>
        <v/>
      </c>
      <c r="G109" s="30" t="str" cm="1">
        <f t="array" ref="G109">IF(Tabelle18[[#This Row],[doc_id_strongest]]="","",IFERROR(INDEX(Tabelle5[evidence_location],MATCH(1,(Tabelle5[company_id]=Tabelle18[[#This Row],[company_id]])*(Tabelle5[value_id]=Tabelle18[[#This Row],[value_id]])*(Tabelle5[doc_id]=Tabelle18[[#This Row],[doc_id_strongest]]),0)),""))</f>
        <v/>
      </c>
      <c r="H109" s="34" t="str" cm="1">
        <f t="array" ref="H109">IF(Tabelle18[[#This Row],[doc_id_strongest]]="","",IFERROR(INDEX(Tabelle5[evidence_quote],MATCH(1,(Tabelle5[company_id]=Tabelle18[[#This Row],[company_id]])*(Tabelle5[value_id]=Tabelle18[[#This Row],[value_id]])*(Tabelle5[doc_id]=Tabelle18[[#This Row],[doc_id_strongest]]),0)),""))</f>
        <v/>
      </c>
    </row>
    <row r="110" spans="1:8" x14ac:dyDescent="0.25">
      <c r="A110" s="35">
        <v>7</v>
      </c>
      <c r="B110" s="22" t="s">
        <v>53</v>
      </c>
      <c r="C110" s="48">
        <f>IF(Tabelle18[[#This Row],[binding_level_company]]&gt;=1,1,0)</f>
        <v>1</v>
      </c>
      <c r="D110" s="48">
        <f>IFERROR(_xlfn.MAXIFS(Tabelle5[binding_level],Tabelle5[company_id],Tabelle18[[#This Row],[company_id]],Tabelle5[value_id],Tabelle18[[#This Row],[value_id]],Tabelle5[value_present],1),0)</f>
        <v>2</v>
      </c>
      <c r="E110" s="48">
        <f>IFERROR(_xlfn.MAXIFS(Tabelle5[value_points],Tabelle5[company_id],Tabelle18[[#This Row],[company_id]],Tabelle5[value_id],Tabelle18[[#This Row],[value_id]]),0)</f>
        <v>2</v>
      </c>
      <c r="F110" s="22">
        <f>IF(Tabelle18[[#This Row],[value_points_company]]=0,"",IFERROR(_xlfn.MINIFS(Tabelle5[doc_id],Tabelle5[company_id],Tabelle18[[#This Row],[company_id]],Tabelle5[value_id],Tabelle18[[#This Row],[value_id]],Tabelle5[value_points],Tabelle18[[#This Row],[value_points_company]]),""))</f>
        <v>37</v>
      </c>
      <c r="G110" s="22" t="str" cm="1">
        <f t="array" ref="G110">IF(Tabelle18[[#This Row],[doc_id_strongest]]="","",IFERROR(INDEX(Tabelle5[evidence_location],MATCH(1,(Tabelle5[company_id]=Tabelle18[[#This Row],[company_id]])*(Tabelle5[value_id]=Tabelle18[[#This Row],[value_id]])*(Tabelle5[doc_id]=Tabelle18[[#This Row],[doc_id_strongest]]),0)),""))</f>
        <v>S. 2; S. 8; S. 9</v>
      </c>
      <c r="H110" s="32" t="str" cm="1">
        <f t="array" ref="H110">IF(Tabelle18[[#This Row],[doc_id_strongest]]="","",IFERROR(INDEX(Tabelle5[evidence_quote],MATCH(1,(Tabelle5[company_id]=Tabelle18[[#This Row],[company_id]])*(Tabelle5[value_id]=Tabelle18[[#This Row],[value_id]])*(Tabelle5[doc_id]=Tabelle18[[#This Row],[doc_id_strongest]]),0)),""))</f>
        <v>“implements appropriate human monitoring”; “humans can overrule algorithmic decisions”</v>
      </c>
    </row>
    <row r="111" spans="1:8" x14ac:dyDescent="0.25">
      <c r="A111" s="36">
        <v>7</v>
      </c>
      <c r="B111" t="s">
        <v>61</v>
      </c>
      <c r="C111" s="4">
        <f>IF(Tabelle18[[#This Row],[binding_level_company]]&gt;=1,1,0)</f>
        <v>1</v>
      </c>
      <c r="D111" s="4">
        <f>IFERROR(_xlfn.MAXIFS(Tabelle5[binding_level],Tabelle5[company_id],Tabelle18[[#This Row],[company_id]],Tabelle5[value_id],Tabelle18[[#This Row],[value_id]],Tabelle5[value_present],1),0)</f>
        <v>3</v>
      </c>
      <c r="E111" s="4">
        <f>IFERROR(_xlfn.MAXIFS(Tabelle5[value_points],Tabelle5[company_id],Tabelle18[[#This Row],[company_id]],Tabelle5[value_id],Tabelle18[[#This Row],[value_id]]),0)</f>
        <v>3</v>
      </c>
      <c r="F111">
        <f>IF(Tabelle18[[#This Row],[value_points_company]]=0,"",IFERROR(_xlfn.MINIFS(Tabelle5[doc_id],Tabelle5[company_id],Tabelle18[[#This Row],[company_id]],Tabelle5[value_id],Tabelle18[[#This Row],[value_id]],Tabelle5[value_points],Tabelle18[[#This Row],[value_points_company]]),""))</f>
        <v>37</v>
      </c>
      <c r="G111" t="str" cm="1">
        <f t="array" ref="G111">IF(Tabelle18[[#This Row],[doc_id_strongest]]="","",IFERROR(INDEX(Tabelle5[evidence_location],MATCH(1,(Tabelle5[company_id]=Tabelle18[[#This Row],[company_id]])*(Tabelle5[value_id]=Tabelle18[[#This Row],[value_id]])*(Tabelle5[doc_id]=Tabelle18[[#This Row],[doc_id_strongest]]),0)),""))</f>
        <v>S. 3</v>
      </c>
      <c r="H111" s="33" t="str" cm="1">
        <f t="array" ref="H111">IF(Tabelle18[[#This Row],[doc_id_strongest]]="","",IFERROR(INDEX(Tabelle5[evidence_quote],MATCH(1,(Tabelle5[company_id]=Tabelle18[[#This Row],[company_id]])*(Tabelle5[value_id]=Tabelle18[[#This Row],[value_id]])*(Tabelle5[doc_id]=Tabelle18[[#This Row],[doc_id_strongest]]),0)),""))</f>
        <v>“identify, assess, report and mitigate risks”</v>
      </c>
    </row>
    <row r="112" spans="1:8" x14ac:dyDescent="0.25">
      <c r="A112" s="36">
        <v>7</v>
      </c>
      <c r="B112" t="s">
        <v>69</v>
      </c>
      <c r="C112" s="4">
        <f>IF(Tabelle18[[#This Row],[binding_level_company]]&gt;=1,1,0)</f>
        <v>1</v>
      </c>
      <c r="D112" s="4">
        <f>IFERROR(_xlfn.MAXIFS(Tabelle5[binding_level],Tabelle5[company_id],Tabelle18[[#This Row],[company_id]],Tabelle5[value_id],Tabelle18[[#This Row],[value_id]],Tabelle5[value_present],1),0)</f>
        <v>1</v>
      </c>
      <c r="E112" s="4">
        <f>IFERROR(_xlfn.MAXIFS(Tabelle5[value_points],Tabelle5[company_id],Tabelle18[[#This Row],[company_id]],Tabelle5[value_id],Tabelle18[[#This Row],[value_id]]),0)</f>
        <v>1</v>
      </c>
      <c r="F112">
        <f>IF(Tabelle18[[#This Row],[value_points_company]]=0,"",IFERROR(_xlfn.MINIFS(Tabelle5[doc_id],Tabelle5[company_id],Tabelle18[[#This Row],[company_id]],Tabelle5[value_id],Tabelle18[[#This Row],[value_id]],Tabelle5[value_points],Tabelle18[[#This Row],[value_points_company]]),""))</f>
        <v>37</v>
      </c>
      <c r="G112" t="str" cm="1">
        <f t="array" ref="G112">IF(Tabelle18[[#This Row],[doc_id_strongest]]="","",IFERROR(INDEX(Tabelle5[evidence_location],MATCH(1,(Tabelle5[company_id]=Tabelle18[[#This Row],[company_id]])*(Tabelle5[value_id]=Tabelle18[[#This Row],[value_id]])*(Tabelle5[doc_id]=Tabelle18[[#This Row],[doc_id_strongest]]),0)),""))</f>
        <v>S. 2</v>
      </c>
      <c r="H112" s="33" t="str" cm="1">
        <f t="array" ref="H112">IF(Tabelle18[[#This Row],[doc_id_strongest]]="","",IFERROR(INDEX(Tabelle5[evidence_quote],MATCH(1,(Tabelle5[company_id]=Tabelle18[[#This Row],[company_id]])*(Tabelle5[value_id]=Tabelle18[[#This Row],[value_id]])*(Tabelle5[doc_id]=Tabelle18[[#This Row],[doc_id_strongest]]),0)),""))</f>
        <v>“open communication where respective technologies are used”</v>
      </c>
    </row>
    <row r="113" spans="1:8" x14ac:dyDescent="0.25">
      <c r="A113" s="36">
        <v>7</v>
      </c>
      <c r="B113" t="s">
        <v>76</v>
      </c>
      <c r="C113" s="4">
        <f>IF(Tabelle18[[#This Row],[binding_level_company]]&gt;=1,1,0)</f>
        <v>1</v>
      </c>
      <c r="D113" s="4">
        <f>IFERROR(_xlfn.MAXIFS(Tabelle5[binding_level],Tabelle5[company_id],Tabelle18[[#This Row],[company_id]],Tabelle5[value_id],Tabelle18[[#This Row],[value_id]],Tabelle5[value_present],1),0)</f>
        <v>1</v>
      </c>
      <c r="E113" s="4">
        <f>IFERROR(_xlfn.MAXIFS(Tabelle5[value_points],Tabelle5[company_id],Tabelle18[[#This Row],[company_id]],Tabelle5[value_id],Tabelle18[[#This Row],[value_id]]),0)</f>
        <v>1</v>
      </c>
      <c r="F113">
        <f>IF(Tabelle18[[#This Row],[value_points_company]]=0,"",IFERROR(_xlfn.MINIFS(Tabelle5[doc_id],Tabelle5[company_id],Tabelle18[[#This Row],[company_id]],Tabelle5[value_id],Tabelle18[[#This Row],[value_id]],Tabelle5[value_points],Tabelle18[[#This Row],[value_points_company]]),""))</f>
        <v>37</v>
      </c>
      <c r="G113" t="str" cm="1">
        <f t="array" ref="G113">IF(Tabelle18[[#This Row],[doc_id_strongest]]="","",IFERROR(INDEX(Tabelle5[evidence_location],MATCH(1,(Tabelle5[company_id]=Tabelle18[[#This Row],[company_id]])*(Tabelle5[value_id]=Tabelle18[[#This Row],[value_id]])*(Tabelle5[doc_id]=Tabelle18[[#This Row],[doc_id_strongest]]),0)),""))</f>
        <v>S. 2</v>
      </c>
      <c r="H113" s="33" t="str" cm="1">
        <f t="array" ref="H113">IF(Tabelle18[[#This Row],[doc_id_strongest]]="","",IFERROR(INDEX(Tabelle5[evidence_quote],MATCH(1,(Tabelle5[company_id]=Tabelle18[[#This Row],[company_id]])*(Tabelle5[value_id]=Tabelle18[[#This Row],[value_id]])*(Tabelle5[doc_id]=Tabelle18[[#This Row],[doc_id_strongest]]),0)),""))</f>
        <v>“aims for explainability of AI applications”</v>
      </c>
    </row>
    <row r="114" spans="1:8" x14ac:dyDescent="0.25">
      <c r="A114" s="36">
        <v>7</v>
      </c>
      <c r="B114" t="s">
        <v>83</v>
      </c>
      <c r="C114" s="4">
        <f>IF(Tabelle18[[#This Row],[binding_level_company]]&gt;=1,1,0)</f>
        <v>1</v>
      </c>
      <c r="D114" s="4">
        <f>IFERROR(_xlfn.MAXIFS(Tabelle5[binding_level],Tabelle5[company_id],Tabelle18[[#This Row],[company_id]],Tabelle5[value_id],Tabelle18[[#This Row],[value_id]],Tabelle5[value_present],1),0)</f>
        <v>1</v>
      </c>
      <c r="E114" s="4">
        <f>IFERROR(_xlfn.MAXIFS(Tabelle5[value_points],Tabelle5[company_id],Tabelle18[[#This Row],[company_id]],Tabelle5[value_id],Tabelle18[[#This Row],[value_id]]),0)</f>
        <v>1</v>
      </c>
      <c r="F114">
        <f>IF(Tabelle18[[#This Row],[value_points_company]]=0,"",IFERROR(_xlfn.MINIFS(Tabelle5[doc_id],Tabelle5[company_id],Tabelle18[[#This Row],[company_id]],Tabelle5[value_id],Tabelle18[[#This Row],[value_id]],Tabelle5[value_points],Tabelle18[[#This Row],[value_points_company]]),""))</f>
        <v>37</v>
      </c>
      <c r="G114" t="str" cm="1">
        <f t="array" ref="G114">IF(Tabelle18[[#This Row],[doc_id_strongest]]="","",IFERROR(INDEX(Tabelle5[evidence_location],MATCH(1,(Tabelle5[company_id]=Tabelle18[[#This Row],[company_id]])*(Tabelle5[value_id]=Tabelle18[[#This Row],[value_id]])*(Tabelle5[doc_id]=Tabelle18[[#This Row],[doc_id_strongest]]),0)),""))</f>
        <v>S. 2</v>
      </c>
      <c r="H114" s="33" t="str" cm="1">
        <f t="array" ref="H114">IF(Tabelle18[[#This Row],[doc_id_strongest]]="","",IFERROR(INDEX(Tabelle5[evidence_quote],MATCH(1,(Tabelle5[company_id]=Tabelle18[[#This Row],[company_id]])*(Tabelle5[value_id]=Tabelle18[[#This Row],[value_id]])*(Tabelle5[doc_id]=Tabelle18[[#This Row],[doc_id_strongest]]),0)),""))</f>
        <v>“respects human dignity”; “sets out to build fair AI applications”</v>
      </c>
    </row>
    <row r="115" spans="1:8" x14ac:dyDescent="0.25">
      <c r="A115" s="36">
        <v>7</v>
      </c>
      <c r="B115" t="s">
        <v>90</v>
      </c>
      <c r="C115" s="4">
        <f>IF(Tabelle18[[#This Row],[binding_level_company]]&gt;=1,1,0)</f>
        <v>1</v>
      </c>
      <c r="D115" s="4">
        <f>IFERROR(_xlfn.MAXIFS(Tabelle5[binding_level],Tabelle5[company_id],Tabelle18[[#This Row],[company_id]],Tabelle5[value_id],Tabelle18[[#This Row],[value_id]],Tabelle5[value_present],1),0)</f>
        <v>2</v>
      </c>
      <c r="E115" s="4">
        <f>IFERROR(_xlfn.MAXIFS(Tabelle5[value_points],Tabelle5[company_id],Tabelle18[[#This Row],[company_id]],Tabelle5[value_id],Tabelle18[[#This Row],[value_id]]),0)</f>
        <v>2</v>
      </c>
      <c r="F115">
        <f>IF(Tabelle18[[#This Row],[value_points_company]]=0,"",IFERROR(_xlfn.MINIFS(Tabelle5[doc_id],Tabelle5[company_id],Tabelle18[[#This Row],[company_id]],Tabelle5[value_id],Tabelle18[[#This Row],[value_id]],Tabelle5[value_points],Tabelle18[[#This Row],[value_points_company]]),""))</f>
        <v>37</v>
      </c>
      <c r="G115" t="str" cm="1">
        <f t="array" ref="G115">IF(Tabelle18[[#This Row],[doc_id_strongest]]="","",IFERROR(INDEX(Tabelle5[evidence_location],MATCH(1,(Tabelle5[company_id]=Tabelle18[[#This Row],[company_id]])*(Tabelle5[value_id]=Tabelle18[[#This Row],[value_id]])*(Tabelle5[doc_id]=Tabelle18[[#This Row],[doc_id_strongest]]),0)),""))</f>
        <v>S. 2</v>
      </c>
      <c r="H115" s="33" t="str" cm="1">
        <f t="array" ref="H115">IF(Tabelle18[[#This Row],[doc_id_strongest]]="","",IFERROR(INDEX(Tabelle5[evidence_quote],MATCH(1,(Tabelle5[company_id]=Tabelle18[[#This Row],[company_id]])*(Tabelle5[value_id]=Tabelle18[[#This Row],[value_id]])*(Tabelle5[doc_id]=Tabelle18[[#This Row],[doc_id_strongest]]),0)),""))</f>
        <v>“extends its state-of-the-art data privacy”</v>
      </c>
    </row>
    <row r="116" spans="1:8" x14ac:dyDescent="0.25">
      <c r="A116" s="36">
        <v>7</v>
      </c>
      <c r="B116" t="s">
        <v>98</v>
      </c>
      <c r="C116" s="4">
        <f>IF(Tabelle18[[#This Row],[binding_level_company]]&gt;=1,1,0)</f>
        <v>1</v>
      </c>
      <c r="D116" s="4">
        <f>IFERROR(_xlfn.MAXIFS(Tabelle5[binding_level],Tabelle5[company_id],Tabelle18[[#This Row],[company_id]],Tabelle5[value_id],Tabelle18[[#This Row],[value_id]],Tabelle5[value_present],1),0)</f>
        <v>2</v>
      </c>
      <c r="E116" s="4">
        <f>IFERROR(_xlfn.MAXIFS(Tabelle5[value_points],Tabelle5[company_id],Tabelle18[[#This Row],[company_id]],Tabelle5[value_id],Tabelle18[[#This Row],[value_id]]),0)</f>
        <v>2</v>
      </c>
      <c r="F116">
        <f>IF(Tabelle18[[#This Row],[value_points_company]]=0,"",IFERROR(_xlfn.MINIFS(Tabelle5[doc_id],Tabelle5[company_id],Tabelle18[[#This Row],[company_id]],Tabelle5[value_id],Tabelle18[[#This Row],[value_id]],Tabelle5[value_points],Tabelle18[[#This Row],[value_points_company]]),""))</f>
        <v>37</v>
      </c>
      <c r="G116" t="str" cm="1">
        <f t="array" ref="G116">IF(Tabelle18[[#This Row],[doc_id_strongest]]="","",IFERROR(INDEX(Tabelle5[evidence_location],MATCH(1,(Tabelle5[company_id]=Tabelle18[[#This Row],[company_id]])*(Tabelle5[value_id]=Tabelle18[[#This Row],[value_id]])*(Tabelle5[doc_id]=Tabelle18[[#This Row],[doc_id_strongest]]),0)),""))</f>
        <v>S. 2</v>
      </c>
      <c r="H116" s="33" t="str" cm="1">
        <f t="array" ref="H116">IF(Tabelle18[[#This Row],[doc_id_strongest]]="","",IFERROR(INDEX(Tabelle5[evidence_quote],MATCH(1,(Tabelle5[company_id]=Tabelle18[[#This Row],[company_id]])*(Tabelle5[value_id]=Tabelle18[[#This Row],[value_id]])*(Tabelle5[doc_id]=Tabelle18[[#This Row],[doc_id_strongest]]),0)),""))</f>
        <v>“data security measures to cover storage and processing in AI applications”</v>
      </c>
    </row>
    <row r="117" spans="1:8" x14ac:dyDescent="0.25">
      <c r="A117" s="36">
        <v>7</v>
      </c>
      <c r="B117" t="s">
        <v>106</v>
      </c>
      <c r="C117" s="4">
        <f>IF(Tabelle18[[#This Row],[binding_level_company]]&gt;=1,1,0)</f>
        <v>1</v>
      </c>
      <c r="D117" s="4">
        <f>IFERROR(_xlfn.MAXIFS(Tabelle5[binding_level],Tabelle5[company_id],Tabelle18[[#This Row],[company_id]],Tabelle5[value_id],Tabelle18[[#This Row],[value_id]],Tabelle5[value_present],1),0)</f>
        <v>2</v>
      </c>
      <c r="E117" s="4">
        <f>IFERROR(_xlfn.MAXIFS(Tabelle5[value_points],Tabelle5[company_id],Tabelle18[[#This Row],[company_id]],Tabelle5[value_id],Tabelle18[[#This Row],[value_id]]),0)</f>
        <v>2</v>
      </c>
      <c r="F117">
        <f>IF(Tabelle18[[#This Row],[value_points_company]]=0,"",IFERROR(_xlfn.MINIFS(Tabelle5[doc_id],Tabelle5[company_id],Tabelle18[[#This Row],[company_id]],Tabelle5[value_id],Tabelle18[[#This Row],[value_id]],Tabelle5[value_points],Tabelle18[[#This Row],[value_points_company]]),""))</f>
        <v>37</v>
      </c>
      <c r="G117" t="str" cm="1">
        <f t="array" ref="G117">IF(Tabelle18[[#This Row],[doc_id_strongest]]="","",IFERROR(INDEX(Tabelle5[evidence_location],MATCH(1,(Tabelle5[company_id]=Tabelle18[[#This Row],[company_id]])*(Tabelle5[value_id]=Tabelle18[[#This Row],[value_id]])*(Tabelle5[doc_id]=Tabelle18[[#This Row],[doc_id_strongest]]),0)),""))</f>
        <v>S. 2; S. 9</v>
      </c>
      <c r="H117" s="33" t="str" cm="1">
        <f t="array" ref="H117">IF(Tabelle18[[#This Row],[doc_id_strongest]]="","",IFERROR(INDEX(Tabelle5[evidence_quote],MATCH(1,(Tabelle5[company_id]=Tabelle18[[#This Row],[company_id]])*(Tabelle5[value_id]=Tabelle18[[#This Row],[value_id]])*(Tabelle5[doc_id]=Tabelle18[[#This Row],[doc_id_strongest]]),0)),""))</f>
        <v>“safety standards designed to decrease the risk of unintended consequences and errors”; “help customers to drive safely, park and stay connected”</v>
      </c>
    </row>
    <row r="118" spans="1:8" x14ac:dyDescent="0.25">
      <c r="A118" s="36">
        <v>7</v>
      </c>
      <c r="B118" t="s">
        <v>112</v>
      </c>
      <c r="C118" s="4">
        <f>IF(Tabelle18[[#This Row],[binding_level_company]]&gt;=1,1,0)</f>
        <v>1</v>
      </c>
      <c r="D118" s="4">
        <f>IFERROR(_xlfn.MAXIFS(Tabelle5[binding_level],Tabelle5[company_id],Tabelle18[[#This Row],[company_id]],Tabelle5[value_id],Tabelle18[[#This Row],[value_id]],Tabelle5[value_present],1),0)</f>
        <v>2</v>
      </c>
      <c r="E118" s="4">
        <f>IFERROR(_xlfn.MAXIFS(Tabelle5[value_points],Tabelle5[company_id],Tabelle18[[#This Row],[company_id]],Tabelle5[value_id],Tabelle18[[#This Row],[value_id]]),0)</f>
        <v>2</v>
      </c>
      <c r="F118">
        <f>IF(Tabelle18[[#This Row],[value_points_company]]=0,"",IFERROR(_xlfn.MINIFS(Tabelle5[doc_id],Tabelle5[company_id],Tabelle18[[#This Row],[company_id]],Tabelle5[value_id],Tabelle18[[#This Row],[value_id]],Tabelle5[value_points],Tabelle18[[#This Row],[value_points_company]]),""))</f>
        <v>37</v>
      </c>
      <c r="G118" t="str" cm="1">
        <f t="array" ref="G118">IF(Tabelle18[[#This Row],[doc_id_strongest]]="","",IFERROR(INDEX(Tabelle5[evidence_location],MATCH(1,(Tabelle5[company_id]=Tabelle18[[#This Row],[company_id]])*(Tabelle5[value_id]=Tabelle18[[#This Row],[value_id]])*(Tabelle5[doc_id]=Tabelle18[[#This Row],[doc_id_strongest]]),0)),""))</f>
        <v>S. 2</v>
      </c>
      <c r="H118" s="33" t="str" cm="1">
        <f t="array" ref="H118">IF(Tabelle18[[#This Row],[doc_id_strongest]]="","",IFERROR(INDEX(Tabelle5[evidence_quote],MATCH(1,(Tabelle5[company_id]=Tabelle18[[#This Row],[company_id]])*(Tabelle5[value_id]=Tabelle18[[#This Row],[value_id]])*(Tabelle5[doc_id]=Tabelle18[[#This Row],[doc_id_strongest]]),0)),""))</f>
        <v>“aims to develop robust AI applications”</v>
      </c>
    </row>
    <row r="119" spans="1:8" x14ac:dyDescent="0.25">
      <c r="A119" s="36">
        <v>7</v>
      </c>
      <c r="B119" t="s">
        <v>118</v>
      </c>
      <c r="C119" s="4">
        <f>IF(Tabelle18[[#This Row],[binding_level_company]]&gt;=1,1,0)</f>
        <v>0</v>
      </c>
      <c r="D119" s="4">
        <f>IFERROR(_xlfn.MAXIFS(Tabelle5[binding_level],Tabelle5[company_id],Tabelle18[[#This Row],[company_id]],Tabelle5[value_id],Tabelle18[[#This Row],[value_id]],Tabelle5[value_present],1),0)</f>
        <v>0</v>
      </c>
      <c r="E119" s="4">
        <f>IFERROR(_xlfn.MAXIFS(Tabelle5[value_points],Tabelle5[company_id],Tabelle18[[#This Row],[company_id]],Tabelle5[value_id],Tabelle18[[#This Row],[value_id]]),0)</f>
        <v>0</v>
      </c>
      <c r="F119" t="str">
        <f>IF(Tabelle18[[#This Row],[value_points_company]]=0,"",IFERROR(_xlfn.MINIFS(Tabelle5[doc_id],Tabelle5[company_id],Tabelle18[[#This Row],[company_id]],Tabelle5[value_id],Tabelle18[[#This Row],[value_id]],Tabelle5[value_points],Tabelle18[[#This Row],[value_points_company]]),""))</f>
        <v/>
      </c>
      <c r="G119" t="str" cm="1">
        <f t="array" ref="G119">IF(Tabelle18[[#This Row],[doc_id_strongest]]="","",IFERROR(INDEX(Tabelle5[evidence_location],MATCH(1,(Tabelle5[company_id]=Tabelle18[[#This Row],[company_id]])*(Tabelle5[value_id]=Tabelle18[[#This Row],[value_id]])*(Tabelle5[doc_id]=Tabelle18[[#This Row],[doc_id_strongest]]),0)),""))</f>
        <v/>
      </c>
      <c r="H119" s="33" t="str" cm="1">
        <f t="array" ref="H119">IF(Tabelle18[[#This Row],[doc_id_strongest]]="","",IFERROR(INDEX(Tabelle5[evidence_quote],MATCH(1,(Tabelle5[company_id]=Tabelle18[[#This Row],[company_id]])*(Tabelle5[value_id]=Tabelle18[[#This Row],[value_id]])*(Tabelle5[doc_id]=Tabelle18[[#This Row],[doc_id_strongest]]),0)),""))</f>
        <v/>
      </c>
    </row>
    <row r="120" spans="1:8" x14ac:dyDescent="0.25">
      <c r="A120" s="36">
        <v>7</v>
      </c>
      <c r="B120" t="s">
        <v>125</v>
      </c>
      <c r="C120" s="4">
        <f>IF(Tabelle18[[#This Row],[binding_level_company]]&gt;=1,1,0)</f>
        <v>0</v>
      </c>
      <c r="D120" s="4">
        <f>IFERROR(_xlfn.MAXIFS(Tabelle5[binding_level],Tabelle5[company_id],Tabelle18[[#This Row],[company_id]],Tabelle5[value_id],Tabelle18[[#This Row],[value_id]],Tabelle5[value_present],1),0)</f>
        <v>0</v>
      </c>
      <c r="E120" s="4">
        <f>IFERROR(_xlfn.MAXIFS(Tabelle5[value_points],Tabelle5[company_id],Tabelle18[[#This Row],[company_id]],Tabelle5[value_id],Tabelle18[[#This Row],[value_id]]),0)</f>
        <v>0</v>
      </c>
      <c r="F120" t="str">
        <f>IF(Tabelle18[[#This Row],[value_points_company]]=0,"",IFERROR(_xlfn.MINIFS(Tabelle5[doc_id],Tabelle5[company_id],Tabelle18[[#This Row],[company_id]],Tabelle5[value_id],Tabelle18[[#This Row],[value_id]],Tabelle5[value_points],Tabelle18[[#This Row],[value_points_company]]),""))</f>
        <v/>
      </c>
      <c r="G120" t="str" cm="1">
        <f t="array" ref="G120">IF(Tabelle18[[#This Row],[doc_id_strongest]]="","",IFERROR(INDEX(Tabelle5[evidence_location],MATCH(1,(Tabelle5[company_id]=Tabelle18[[#This Row],[company_id]])*(Tabelle5[value_id]=Tabelle18[[#This Row],[value_id]])*(Tabelle5[doc_id]=Tabelle18[[#This Row],[doc_id_strongest]]),0)),""))</f>
        <v/>
      </c>
      <c r="H120" s="33" t="str" cm="1">
        <f t="array" ref="H120">IF(Tabelle18[[#This Row],[doc_id_strongest]]="","",IFERROR(INDEX(Tabelle5[evidence_quote],MATCH(1,(Tabelle5[company_id]=Tabelle18[[#This Row],[company_id]])*(Tabelle5[value_id]=Tabelle18[[#This Row],[value_id]])*(Tabelle5[doc_id]=Tabelle18[[#This Row],[doc_id_strongest]]),0)),""))</f>
        <v/>
      </c>
    </row>
    <row r="121" spans="1:8" x14ac:dyDescent="0.25">
      <c r="A121" s="36">
        <v>7</v>
      </c>
      <c r="B121" t="s">
        <v>132</v>
      </c>
      <c r="C121" s="4">
        <f>IF(Tabelle18[[#This Row],[binding_level_company]]&gt;=1,1,0)</f>
        <v>1</v>
      </c>
      <c r="D121" s="4">
        <f>IFERROR(_xlfn.MAXIFS(Tabelle5[binding_level],Tabelle5[company_id],Tabelle18[[#This Row],[company_id]],Tabelle5[value_id],Tabelle18[[#This Row],[value_id]],Tabelle5[value_present],1),0)</f>
        <v>1</v>
      </c>
      <c r="E121" s="4">
        <f>IFERROR(_xlfn.MAXIFS(Tabelle5[value_points],Tabelle5[company_id],Tabelle18[[#This Row],[company_id]],Tabelle5[value_id],Tabelle18[[#This Row],[value_id]]),0)</f>
        <v>1</v>
      </c>
      <c r="F121">
        <f>IF(Tabelle18[[#This Row],[value_points_company]]=0,"",IFERROR(_xlfn.MINIFS(Tabelle5[doc_id],Tabelle5[company_id],Tabelle18[[#This Row],[company_id]],Tabelle5[value_id],Tabelle18[[#This Row],[value_id]],Tabelle5[value_points],Tabelle18[[#This Row],[value_points_company]]),""))</f>
        <v>37</v>
      </c>
      <c r="G121" t="str" cm="1">
        <f t="array" ref="G121">IF(Tabelle18[[#This Row],[doc_id_strongest]]="","",IFERROR(INDEX(Tabelle5[evidence_location],MATCH(1,(Tabelle5[company_id]=Tabelle18[[#This Row],[company_id]])*(Tabelle5[value_id]=Tabelle18[[#This Row],[value_id]])*(Tabelle5[doc_id]=Tabelle18[[#This Row],[doc_id_strongest]]),0)),""))</f>
        <v>S. 2; S. 8</v>
      </c>
      <c r="H121" s="33" t="str" cm="1">
        <f t="array" ref="H121">IF(Tabelle18[[#This Row],[doc_id_strongest]]="","",IFERROR(INDEX(Tabelle5[evidence_quote],MATCH(1,(Tabelle5[company_id]=Tabelle18[[#This Row],[company_id]])*(Tabelle5[value_id]=Tabelle18[[#This Row],[value_id]])*(Tabelle5[doc_id]=Tabelle18[[#This Row],[doc_id_strongest]]),0)),""))</f>
        <v>“climate change and environmental protection”; “approximately 1,200 MWh of thermal energy”</v>
      </c>
    </row>
    <row r="122" spans="1:8" x14ac:dyDescent="0.25">
      <c r="A122" s="36">
        <v>7</v>
      </c>
      <c r="B122" t="s">
        <v>140</v>
      </c>
      <c r="C122" s="4">
        <f>IF(Tabelle18[[#This Row],[binding_level_company]]&gt;=1,1,0)</f>
        <v>1</v>
      </c>
      <c r="D122" s="4">
        <f>IFERROR(_xlfn.MAXIFS(Tabelle5[binding_level],Tabelle5[company_id],Tabelle18[[#This Row],[company_id]],Tabelle5[value_id],Tabelle18[[#This Row],[value_id]],Tabelle5[value_present],1),0)</f>
        <v>1</v>
      </c>
      <c r="E122" s="4">
        <f>IFERROR(_xlfn.MAXIFS(Tabelle5[value_points],Tabelle5[company_id],Tabelle18[[#This Row],[company_id]],Tabelle5[value_id],Tabelle18[[#This Row],[value_id]]),0)</f>
        <v>1</v>
      </c>
      <c r="F122">
        <f>IF(Tabelle18[[#This Row],[value_points_company]]=0,"",IFERROR(_xlfn.MINIFS(Tabelle5[doc_id],Tabelle5[company_id],Tabelle18[[#This Row],[company_id]],Tabelle5[value_id],Tabelle18[[#This Row],[value_id]],Tabelle5[value_points],Tabelle18[[#This Row],[value_points_company]]),""))</f>
        <v>37</v>
      </c>
      <c r="G122" t="str" cm="1">
        <f t="array" ref="G122">IF(Tabelle18[[#This Row],[doc_id_strongest]]="","",IFERROR(INDEX(Tabelle5[evidence_location],MATCH(1,(Tabelle5[company_id]=Tabelle18[[#This Row],[company_id]])*(Tabelle5[value_id]=Tabelle18[[#This Row],[value_id]])*(Tabelle5[doc_id]=Tabelle18[[#This Row],[doc_id_strongest]]),0)),""))</f>
        <v>S. 2</v>
      </c>
      <c r="H122" s="33" t="str" cm="1">
        <f t="array" ref="H122">IF(Tabelle18[[#This Row],[doc_id_strongest]]="","",IFERROR(INDEX(Tabelle5[evidence_quote],MATCH(1,(Tabelle5[company_id]=Tabelle18[[#This Row],[company_id]])*(Tabelle5[value_id]=Tabelle18[[#This Row],[value_id]])*(Tabelle5[doc_id]=Tabelle18[[#This Row],[doc_id_strongest]]),0)),""))</f>
        <v>“promote the well-being of customers, employees and partners”</v>
      </c>
    </row>
    <row r="123" spans="1:8" x14ac:dyDescent="0.25">
      <c r="A123" s="36">
        <v>7</v>
      </c>
      <c r="B123" t="s">
        <v>147</v>
      </c>
      <c r="C123" s="4">
        <f>IF(Tabelle18[[#This Row],[binding_level_company]]&gt;=1,1,0)</f>
        <v>1</v>
      </c>
      <c r="D123" s="4">
        <f>IFERROR(_xlfn.MAXIFS(Tabelle5[binding_level],Tabelle5[company_id],Tabelle18[[#This Row],[company_id]],Tabelle5[value_id],Tabelle18[[#This Row],[value_id]],Tabelle5[value_present],1),0)</f>
        <v>1</v>
      </c>
      <c r="E123" s="4">
        <f>IFERROR(_xlfn.MAXIFS(Tabelle5[value_points],Tabelle5[company_id],Tabelle18[[#This Row],[company_id]],Tabelle5[value_id],Tabelle18[[#This Row],[value_id]]),0)</f>
        <v>1</v>
      </c>
      <c r="F123">
        <f>IF(Tabelle18[[#This Row],[value_points_company]]=0,"",IFERROR(_xlfn.MINIFS(Tabelle5[doc_id],Tabelle5[company_id],Tabelle18[[#This Row],[company_id]],Tabelle5[value_id],Tabelle18[[#This Row],[value_id]],Tabelle5[value_points],Tabelle18[[#This Row],[value_points_company]]),""))</f>
        <v>37</v>
      </c>
      <c r="G123" t="str" cm="1">
        <f t="array" ref="G123">IF(Tabelle18[[#This Row],[doc_id_strongest]]="","",IFERROR(INDEX(Tabelle5[evidence_location],MATCH(1,(Tabelle5[company_id]=Tabelle18[[#This Row],[company_id]])*(Tabelle5[value_id]=Tabelle18[[#This Row],[value_id]])*(Tabelle5[doc_id]=Tabelle18[[#This Row],[doc_id_strongest]]),0)),""))</f>
        <v>S. 2</v>
      </c>
      <c r="H123" s="33" t="str" cm="1">
        <f t="array" ref="H123">IF(Tabelle18[[#This Row],[doc_id_strongest]]="","",IFERROR(INDEX(Tabelle5[evidence_quote],MATCH(1,(Tabelle5[company_id]=Tabelle18[[#This Row],[company_id]])*(Tabelle5[value_id]=Tabelle18[[#This Row],[value_id]])*(Tabelle5[doc_id]=Tabelle18[[#This Row],[doc_id_strongest]]),0)),""))</f>
        <v>“preventing non-compliance by AI applications”</v>
      </c>
    </row>
    <row r="124" spans="1:8" x14ac:dyDescent="0.25">
      <c r="A124" s="36">
        <v>7</v>
      </c>
      <c r="B124" t="s">
        <v>154</v>
      </c>
      <c r="C124" s="4">
        <f>IF(Tabelle18[[#This Row],[binding_level_company]]&gt;=1,1,0)</f>
        <v>0</v>
      </c>
      <c r="D124" s="4">
        <f>IFERROR(_xlfn.MAXIFS(Tabelle5[binding_level],Tabelle5[company_id],Tabelle18[[#This Row],[company_id]],Tabelle5[value_id],Tabelle18[[#This Row],[value_id]],Tabelle5[value_present],1),0)</f>
        <v>0</v>
      </c>
      <c r="E124" s="4">
        <f>IFERROR(_xlfn.MAXIFS(Tabelle5[value_points],Tabelle5[company_id],Tabelle18[[#This Row],[company_id]],Tabelle5[value_id],Tabelle18[[#This Row],[value_id]]),0)</f>
        <v>0</v>
      </c>
      <c r="F124" t="str">
        <f>IF(Tabelle18[[#This Row],[value_points_company]]=0,"",IFERROR(_xlfn.MINIFS(Tabelle5[doc_id],Tabelle5[company_id],Tabelle18[[#This Row],[company_id]],Tabelle5[value_id],Tabelle18[[#This Row],[value_id]],Tabelle5[value_points],Tabelle18[[#This Row],[value_points_company]]),""))</f>
        <v/>
      </c>
      <c r="G124" t="str" cm="1">
        <f t="array" ref="G124">IF(Tabelle18[[#This Row],[doc_id_strongest]]="","",IFERROR(INDEX(Tabelle5[evidence_location],MATCH(1,(Tabelle5[company_id]=Tabelle18[[#This Row],[company_id]])*(Tabelle5[value_id]=Tabelle18[[#This Row],[value_id]])*(Tabelle5[doc_id]=Tabelle18[[#This Row],[doc_id_strongest]]),0)),""))</f>
        <v/>
      </c>
      <c r="H124" s="33" t="str" cm="1">
        <f t="array" ref="H124">IF(Tabelle18[[#This Row],[doc_id_strongest]]="","",IFERROR(INDEX(Tabelle5[evidence_quote],MATCH(1,(Tabelle5[company_id]=Tabelle18[[#This Row],[company_id]])*(Tabelle5[value_id]=Tabelle18[[#This Row],[value_id]])*(Tabelle5[doc_id]=Tabelle18[[#This Row],[doc_id_strongest]]),0)),""))</f>
        <v/>
      </c>
    </row>
    <row r="125" spans="1:8" x14ac:dyDescent="0.25">
      <c r="A125" s="36">
        <v>7</v>
      </c>
      <c r="B125" t="s">
        <v>161</v>
      </c>
      <c r="C125" s="4">
        <f>IF(Tabelle18[[#This Row],[binding_level_company]]&gt;=1,1,0)</f>
        <v>1</v>
      </c>
      <c r="D125" s="4">
        <f>IFERROR(_xlfn.MAXIFS(Tabelle5[binding_level],Tabelle5[company_id],Tabelle18[[#This Row],[company_id]],Tabelle5[value_id],Tabelle18[[#This Row],[value_id]],Tabelle5[value_present],1),0)</f>
        <v>2</v>
      </c>
      <c r="E125" s="4">
        <f>IFERROR(_xlfn.MAXIFS(Tabelle5[value_points],Tabelle5[company_id],Tabelle18[[#This Row],[company_id]],Tabelle5[value_id],Tabelle18[[#This Row],[value_id]]),0)</f>
        <v>2</v>
      </c>
      <c r="F125">
        <f>IF(Tabelle18[[#This Row],[value_points_company]]=0,"",IFERROR(_xlfn.MINIFS(Tabelle5[doc_id],Tabelle5[company_id],Tabelle18[[#This Row],[company_id]],Tabelle5[value_id],Tabelle18[[#This Row],[value_id]],Tabelle5[value_points],Tabelle18[[#This Row],[value_points_company]]),""))</f>
        <v>37</v>
      </c>
      <c r="G125" t="str" cm="1">
        <f t="array" ref="G125">IF(Tabelle18[[#This Row],[doc_id_strongest]]="","",IFERROR(INDEX(Tabelle5[evidence_location],MATCH(1,(Tabelle5[company_id]=Tabelle18[[#This Row],[company_id]])*(Tabelle5[value_id]=Tabelle18[[#This Row],[value_id]])*(Tabelle5[doc_id]=Tabelle18[[#This Row],[doc_id_strongest]]),0)),""))</f>
        <v>S. 2; S. 4</v>
      </c>
      <c r="H125" s="33" t="str" cm="1">
        <f t="array" ref="H125">IF(Tabelle18[[#This Row],[doc_id_strongest]]="","",IFERROR(INDEX(Tabelle5[evidence_quote],MATCH(1,(Tabelle5[company_id]=Tabelle18[[#This Row],[company_id]])*(Tabelle5[value_id]=Tabelle18[[#This Row],[value_id]])*(Tabelle5[doc_id]=Tabelle18[[#This Row],[doc_id_strongest]]),0)),""))</f>
        <v>“Privacy and data governance”; “checked – in real time – for linguistic quality, similarity and consistency”</v>
      </c>
    </row>
    <row r="126" spans="1:8" x14ac:dyDescent="0.25">
      <c r="A126" s="36">
        <v>7</v>
      </c>
      <c r="B126" t="s">
        <v>166</v>
      </c>
      <c r="C126" s="4">
        <f>IF(Tabelle18[[#This Row],[binding_level_company]]&gt;=1,1,0)</f>
        <v>1</v>
      </c>
      <c r="D126" s="4">
        <f>IFERROR(_xlfn.MAXIFS(Tabelle5[binding_level],Tabelle5[company_id],Tabelle18[[#This Row],[company_id]],Tabelle5[value_id],Tabelle18[[#This Row],[value_id]],Tabelle5[value_present],1),0)</f>
        <v>2</v>
      </c>
      <c r="E126" s="4">
        <f>IFERROR(_xlfn.MAXIFS(Tabelle5[value_points],Tabelle5[company_id],Tabelle18[[#This Row],[company_id]],Tabelle5[value_id],Tabelle18[[#This Row],[value_id]]),0)</f>
        <v>2</v>
      </c>
      <c r="F126">
        <f>IF(Tabelle18[[#This Row],[value_points_company]]=0,"",IFERROR(_xlfn.MINIFS(Tabelle5[doc_id],Tabelle5[company_id],Tabelle18[[#This Row],[company_id]],Tabelle5[value_id],Tabelle18[[#This Row],[value_id]],Tabelle5[value_points],Tabelle18[[#This Row],[value_points_company]]),""))</f>
        <v>37</v>
      </c>
      <c r="G126" t="str" cm="1">
        <f t="array" ref="G126">IF(Tabelle18[[#This Row],[doc_id_strongest]]="","",IFERROR(INDEX(Tabelle5[evidence_location],MATCH(1,(Tabelle5[company_id]=Tabelle18[[#This Row],[company_id]])*(Tabelle5[value_id]=Tabelle18[[#This Row],[value_id]])*(Tabelle5[doc_id]=Tabelle18[[#This Row],[doc_id_strongest]]),0)),""))</f>
        <v>S. 9</v>
      </c>
      <c r="H126" s="33" t="str" cm="1">
        <f t="array" ref="H126">IF(Tabelle18[[#This Row],[doc_id_strongest]]="","",IFERROR(INDEX(Tabelle5[evidence_quote],MATCH(1,(Tabelle5[company_id]=Tabelle18[[#This Row],[company_id]])*(Tabelle5[value_id]=Tabelle18[[#This Row],[value_id]])*(Tabelle5[doc_id]=Tabelle18[[#This Row],[doc_id_strongest]]),0)),""))</f>
        <v>“not permitted for reasons of information protection”</v>
      </c>
    </row>
    <row r="127" spans="1:8" ht="15.75" thickBot="1" x14ac:dyDescent="0.3">
      <c r="A127" s="37">
        <v>7</v>
      </c>
      <c r="B127" s="30" t="s">
        <v>174</v>
      </c>
      <c r="C127" s="49">
        <f>IF(Tabelle18[[#This Row],[binding_level_company]]&gt;=1,1,0)</f>
        <v>1</v>
      </c>
      <c r="D127" s="49">
        <f>IFERROR(_xlfn.MAXIFS(Tabelle5[binding_level],Tabelle5[company_id],Tabelle18[[#This Row],[company_id]],Tabelle5[value_id],Tabelle18[[#This Row],[value_id]],Tabelle5[value_present],1),0)</f>
        <v>1</v>
      </c>
      <c r="E127" s="49">
        <f>IFERROR(_xlfn.MAXIFS(Tabelle5[value_points],Tabelle5[company_id],Tabelle18[[#This Row],[company_id]],Tabelle5[value_id],Tabelle18[[#This Row],[value_id]]),0)</f>
        <v>1</v>
      </c>
      <c r="F127" s="30">
        <f>IF(Tabelle18[[#This Row],[value_points_company]]=0,"",IFERROR(_xlfn.MINIFS(Tabelle5[doc_id],Tabelle5[company_id],Tabelle18[[#This Row],[company_id]],Tabelle5[value_id],Tabelle18[[#This Row],[value_id]],Tabelle5[value_points],Tabelle18[[#This Row],[value_points_company]]),""))</f>
        <v>37</v>
      </c>
      <c r="G127" s="30" t="str" cm="1">
        <f t="array" ref="G127">IF(Tabelle18[[#This Row],[doc_id_strongest]]="","",IFERROR(INDEX(Tabelle5[evidence_location],MATCH(1,(Tabelle5[company_id]=Tabelle18[[#This Row],[company_id]])*(Tabelle5[value_id]=Tabelle18[[#This Row],[value_id]])*(Tabelle5[doc_id]=Tabelle18[[#This Row],[doc_id_strongest]]),0)),""))</f>
        <v>S. 2</v>
      </c>
      <c r="H127" s="34" t="str" cm="1">
        <f t="array" ref="H127">IF(Tabelle18[[#This Row],[doc_id_strongest]]="","",IFERROR(INDEX(Tabelle5[evidence_quote],MATCH(1,(Tabelle5[company_id]=Tabelle18[[#This Row],[company_id]])*(Tabelle5[value_id]=Tabelle18[[#This Row],[value_id]])*(Tabelle5[doc_id]=Tabelle18[[#This Row],[doc_id_strongest]]),0)),""))</f>
        <v>“goals in the areas of human rights and sustainability”</v>
      </c>
    </row>
    <row r="128" spans="1:8" x14ac:dyDescent="0.25">
      <c r="A128" s="35">
        <v>8</v>
      </c>
      <c r="B128" s="22" t="s">
        <v>53</v>
      </c>
      <c r="C128" s="48">
        <f>IF(Tabelle18[[#This Row],[binding_level_company]]&gt;=1,1,0)</f>
        <v>0</v>
      </c>
      <c r="D128" s="48">
        <f>IFERROR(_xlfn.MAXIFS(Tabelle5[binding_level],Tabelle5[company_id],Tabelle18[[#This Row],[company_id]],Tabelle5[value_id],Tabelle18[[#This Row],[value_id]],Tabelle5[value_present],1),0)</f>
        <v>0</v>
      </c>
      <c r="E128" s="48">
        <f>IFERROR(_xlfn.MAXIFS(Tabelle5[value_points],Tabelle5[company_id],Tabelle18[[#This Row],[company_id]],Tabelle5[value_id],Tabelle18[[#This Row],[value_id]]),0)</f>
        <v>0</v>
      </c>
      <c r="F128" s="22" t="str">
        <f>IF(Tabelle18[[#This Row],[value_points_company]]=0,"",IFERROR(_xlfn.MINIFS(Tabelle5[doc_id],Tabelle5[company_id],Tabelle18[[#This Row],[company_id]],Tabelle5[value_id],Tabelle18[[#This Row],[value_id]],Tabelle5[value_points],Tabelle18[[#This Row],[value_points_company]]),""))</f>
        <v/>
      </c>
      <c r="G128" s="22" t="str" cm="1">
        <f t="array" ref="G128">IF(Tabelle18[[#This Row],[doc_id_strongest]]="","",IFERROR(INDEX(Tabelle5[evidence_location],MATCH(1,(Tabelle5[company_id]=Tabelle18[[#This Row],[company_id]])*(Tabelle5[value_id]=Tabelle18[[#This Row],[value_id]])*(Tabelle5[doc_id]=Tabelle18[[#This Row],[doc_id_strongest]]),0)),""))</f>
        <v/>
      </c>
      <c r="H128" s="32" t="str" cm="1">
        <f t="array" ref="H128">IF(Tabelle18[[#This Row],[doc_id_strongest]]="","",IFERROR(INDEX(Tabelle5[evidence_quote],MATCH(1,(Tabelle5[company_id]=Tabelle18[[#This Row],[company_id]])*(Tabelle5[value_id]=Tabelle18[[#This Row],[value_id]])*(Tabelle5[doc_id]=Tabelle18[[#This Row],[doc_id_strongest]]),0)),""))</f>
        <v/>
      </c>
    </row>
    <row r="129" spans="1:8" x14ac:dyDescent="0.25">
      <c r="A129" s="36">
        <v>8</v>
      </c>
      <c r="B129" t="s">
        <v>61</v>
      </c>
      <c r="C129" s="4">
        <f>IF(Tabelle18[[#This Row],[binding_level_company]]&gt;=1,1,0)</f>
        <v>0</v>
      </c>
      <c r="D129" s="4">
        <f>IFERROR(_xlfn.MAXIFS(Tabelle5[binding_level],Tabelle5[company_id],Tabelle18[[#This Row],[company_id]],Tabelle5[value_id],Tabelle18[[#This Row],[value_id]],Tabelle5[value_present],1),0)</f>
        <v>0</v>
      </c>
      <c r="E129" s="4">
        <f>IFERROR(_xlfn.MAXIFS(Tabelle5[value_points],Tabelle5[company_id],Tabelle18[[#This Row],[company_id]],Tabelle5[value_id],Tabelle18[[#This Row],[value_id]]),0)</f>
        <v>0</v>
      </c>
      <c r="F129" t="str">
        <f>IF(Tabelle18[[#This Row],[value_points_company]]=0,"",IFERROR(_xlfn.MINIFS(Tabelle5[doc_id],Tabelle5[company_id],Tabelle18[[#This Row],[company_id]],Tabelle5[value_id],Tabelle18[[#This Row],[value_id]],Tabelle5[value_points],Tabelle18[[#This Row],[value_points_company]]),""))</f>
        <v/>
      </c>
      <c r="G129" t="str" cm="1">
        <f t="array" ref="G129">IF(Tabelle18[[#This Row],[doc_id_strongest]]="","",IFERROR(INDEX(Tabelle5[evidence_location],MATCH(1,(Tabelle5[company_id]=Tabelle18[[#This Row],[company_id]])*(Tabelle5[value_id]=Tabelle18[[#This Row],[value_id]])*(Tabelle5[doc_id]=Tabelle18[[#This Row],[doc_id_strongest]]),0)),""))</f>
        <v/>
      </c>
      <c r="H129" s="33" t="str" cm="1">
        <f t="array" ref="H129">IF(Tabelle18[[#This Row],[doc_id_strongest]]="","",IFERROR(INDEX(Tabelle5[evidence_quote],MATCH(1,(Tabelle5[company_id]=Tabelle18[[#This Row],[company_id]])*(Tabelle5[value_id]=Tabelle18[[#This Row],[value_id]])*(Tabelle5[doc_id]=Tabelle18[[#This Row],[doc_id_strongest]]),0)),""))</f>
        <v/>
      </c>
    </row>
    <row r="130" spans="1:8" x14ac:dyDescent="0.25">
      <c r="A130" s="36">
        <v>8</v>
      </c>
      <c r="B130" t="s">
        <v>69</v>
      </c>
      <c r="C130" s="4">
        <f>IF(Tabelle18[[#This Row],[binding_level_company]]&gt;=1,1,0)</f>
        <v>0</v>
      </c>
      <c r="D130" s="4">
        <f>IFERROR(_xlfn.MAXIFS(Tabelle5[binding_level],Tabelle5[company_id],Tabelle18[[#This Row],[company_id]],Tabelle5[value_id],Tabelle18[[#This Row],[value_id]],Tabelle5[value_present],1),0)</f>
        <v>0</v>
      </c>
      <c r="E130" s="4">
        <f>IFERROR(_xlfn.MAXIFS(Tabelle5[value_points],Tabelle5[company_id],Tabelle18[[#This Row],[company_id]],Tabelle5[value_id],Tabelle18[[#This Row],[value_id]]),0)</f>
        <v>0</v>
      </c>
      <c r="F130" t="str">
        <f>IF(Tabelle18[[#This Row],[value_points_company]]=0,"",IFERROR(_xlfn.MINIFS(Tabelle5[doc_id],Tabelle5[company_id],Tabelle18[[#This Row],[company_id]],Tabelle5[value_id],Tabelle18[[#This Row],[value_id]],Tabelle5[value_points],Tabelle18[[#This Row],[value_points_company]]),""))</f>
        <v/>
      </c>
      <c r="G130" t="str" cm="1">
        <f t="array" ref="G130">IF(Tabelle18[[#This Row],[doc_id_strongest]]="","",IFERROR(INDEX(Tabelle5[evidence_location],MATCH(1,(Tabelle5[company_id]=Tabelle18[[#This Row],[company_id]])*(Tabelle5[value_id]=Tabelle18[[#This Row],[value_id]])*(Tabelle5[doc_id]=Tabelle18[[#This Row],[doc_id_strongest]]),0)),""))</f>
        <v/>
      </c>
      <c r="H130" s="33" t="str" cm="1">
        <f t="array" ref="H130">IF(Tabelle18[[#This Row],[doc_id_strongest]]="","",IFERROR(INDEX(Tabelle5[evidence_quote],MATCH(1,(Tabelle5[company_id]=Tabelle18[[#This Row],[company_id]])*(Tabelle5[value_id]=Tabelle18[[#This Row],[value_id]])*(Tabelle5[doc_id]=Tabelle18[[#This Row],[doc_id_strongest]]),0)),""))</f>
        <v/>
      </c>
    </row>
    <row r="131" spans="1:8" x14ac:dyDescent="0.25">
      <c r="A131" s="36">
        <v>8</v>
      </c>
      <c r="B131" t="s">
        <v>76</v>
      </c>
      <c r="C131" s="4">
        <f>IF(Tabelle18[[#This Row],[binding_level_company]]&gt;=1,1,0)</f>
        <v>0</v>
      </c>
      <c r="D131" s="4">
        <f>IFERROR(_xlfn.MAXIFS(Tabelle5[binding_level],Tabelle5[company_id],Tabelle18[[#This Row],[company_id]],Tabelle5[value_id],Tabelle18[[#This Row],[value_id]],Tabelle5[value_present],1),0)</f>
        <v>0</v>
      </c>
      <c r="E131" s="4">
        <f>IFERROR(_xlfn.MAXIFS(Tabelle5[value_points],Tabelle5[company_id],Tabelle18[[#This Row],[company_id]],Tabelle5[value_id],Tabelle18[[#This Row],[value_id]]),0)</f>
        <v>0</v>
      </c>
      <c r="F131" t="str">
        <f>IF(Tabelle18[[#This Row],[value_points_company]]=0,"",IFERROR(_xlfn.MINIFS(Tabelle5[doc_id],Tabelle5[company_id],Tabelle18[[#This Row],[company_id]],Tabelle5[value_id],Tabelle18[[#This Row],[value_id]],Tabelle5[value_points],Tabelle18[[#This Row],[value_points_company]]),""))</f>
        <v/>
      </c>
      <c r="G131" t="str" cm="1">
        <f t="array" ref="G131">IF(Tabelle18[[#This Row],[doc_id_strongest]]="","",IFERROR(INDEX(Tabelle5[evidence_location],MATCH(1,(Tabelle5[company_id]=Tabelle18[[#This Row],[company_id]])*(Tabelle5[value_id]=Tabelle18[[#This Row],[value_id]])*(Tabelle5[doc_id]=Tabelle18[[#This Row],[doc_id_strongest]]),0)),""))</f>
        <v/>
      </c>
      <c r="H131" s="33" t="str" cm="1">
        <f t="array" ref="H131">IF(Tabelle18[[#This Row],[doc_id_strongest]]="","",IFERROR(INDEX(Tabelle5[evidence_quote],MATCH(1,(Tabelle5[company_id]=Tabelle18[[#This Row],[company_id]])*(Tabelle5[value_id]=Tabelle18[[#This Row],[value_id]])*(Tabelle5[doc_id]=Tabelle18[[#This Row],[doc_id_strongest]]),0)),""))</f>
        <v/>
      </c>
    </row>
    <row r="132" spans="1:8" x14ac:dyDescent="0.25">
      <c r="A132" s="36">
        <v>8</v>
      </c>
      <c r="B132" t="s">
        <v>83</v>
      </c>
      <c r="C132" s="4">
        <f>IF(Tabelle18[[#This Row],[binding_level_company]]&gt;=1,1,0)</f>
        <v>0</v>
      </c>
      <c r="D132" s="4">
        <f>IFERROR(_xlfn.MAXIFS(Tabelle5[binding_level],Tabelle5[company_id],Tabelle18[[#This Row],[company_id]],Tabelle5[value_id],Tabelle18[[#This Row],[value_id]],Tabelle5[value_present],1),0)</f>
        <v>0</v>
      </c>
      <c r="E132" s="4">
        <f>IFERROR(_xlfn.MAXIFS(Tabelle5[value_points],Tabelle5[company_id],Tabelle18[[#This Row],[company_id]],Tabelle5[value_id],Tabelle18[[#This Row],[value_id]]),0)</f>
        <v>0</v>
      </c>
      <c r="F132" t="str">
        <f>IF(Tabelle18[[#This Row],[value_points_company]]=0,"",IFERROR(_xlfn.MINIFS(Tabelle5[doc_id],Tabelle5[company_id],Tabelle18[[#This Row],[company_id]],Tabelle5[value_id],Tabelle18[[#This Row],[value_id]],Tabelle5[value_points],Tabelle18[[#This Row],[value_points_company]]),""))</f>
        <v/>
      </c>
      <c r="G132" t="str" cm="1">
        <f t="array" ref="G132">IF(Tabelle18[[#This Row],[doc_id_strongest]]="","",IFERROR(INDEX(Tabelle5[evidence_location],MATCH(1,(Tabelle5[company_id]=Tabelle18[[#This Row],[company_id]])*(Tabelle5[value_id]=Tabelle18[[#This Row],[value_id]])*(Tabelle5[doc_id]=Tabelle18[[#This Row],[doc_id_strongest]]),0)),""))</f>
        <v/>
      </c>
      <c r="H132" s="33" t="str" cm="1">
        <f t="array" ref="H132">IF(Tabelle18[[#This Row],[doc_id_strongest]]="","",IFERROR(INDEX(Tabelle5[evidence_quote],MATCH(1,(Tabelle5[company_id]=Tabelle18[[#This Row],[company_id]])*(Tabelle5[value_id]=Tabelle18[[#This Row],[value_id]])*(Tabelle5[doc_id]=Tabelle18[[#This Row],[doc_id_strongest]]),0)),""))</f>
        <v/>
      </c>
    </row>
    <row r="133" spans="1:8" x14ac:dyDescent="0.25">
      <c r="A133" s="36">
        <v>8</v>
      </c>
      <c r="B133" t="s">
        <v>90</v>
      </c>
      <c r="C133" s="4">
        <f>IF(Tabelle18[[#This Row],[binding_level_company]]&gt;=1,1,0)</f>
        <v>0</v>
      </c>
      <c r="D133" s="4">
        <f>IFERROR(_xlfn.MAXIFS(Tabelle5[binding_level],Tabelle5[company_id],Tabelle18[[#This Row],[company_id]],Tabelle5[value_id],Tabelle18[[#This Row],[value_id]],Tabelle5[value_present],1),0)</f>
        <v>0</v>
      </c>
      <c r="E133" s="4">
        <f>IFERROR(_xlfn.MAXIFS(Tabelle5[value_points],Tabelle5[company_id],Tabelle18[[#This Row],[company_id]],Tabelle5[value_id],Tabelle18[[#This Row],[value_id]]),0)</f>
        <v>0</v>
      </c>
      <c r="F133" t="str">
        <f>IF(Tabelle18[[#This Row],[value_points_company]]=0,"",IFERROR(_xlfn.MINIFS(Tabelle5[doc_id],Tabelle5[company_id],Tabelle18[[#This Row],[company_id]],Tabelle5[value_id],Tabelle18[[#This Row],[value_id]],Tabelle5[value_points],Tabelle18[[#This Row],[value_points_company]]),""))</f>
        <v/>
      </c>
      <c r="G133" t="str" cm="1">
        <f t="array" ref="G133">IF(Tabelle18[[#This Row],[doc_id_strongest]]="","",IFERROR(INDEX(Tabelle5[evidence_location],MATCH(1,(Tabelle5[company_id]=Tabelle18[[#This Row],[company_id]])*(Tabelle5[value_id]=Tabelle18[[#This Row],[value_id]])*(Tabelle5[doc_id]=Tabelle18[[#This Row],[doc_id_strongest]]),0)),""))</f>
        <v/>
      </c>
      <c r="H133" s="33" t="str" cm="1">
        <f t="array" ref="H133">IF(Tabelle18[[#This Row],[doc_id_strongest]]="","",IFERROR(INDEX(Tabelle5[evidence_quote],MATCH(1,(Tabelle5[company_id]=Tabelle18[[#This Row],[company_id]])*(Tabelle5[value_id]=Tabelle18[[#This Row],[value_id]])*(Tabelle5[doc_id]=Tabelle18[[#This Row],[doc_id_strongest]]),0)),""))</f>
        <v/>
      </c>
    </row>
    <row r="134" spans="1:8" x14ac:dyDescent="0.25">
      <c r="A134" s="36">
        <v>8</v>
      </c>
      <c r="B134" t="s">
        <v>98</v>
      </c>
      <c r="C134" s="4">
        <f>IF(Tabelle18[[#This Row],[binding_level_company]]&gt;=1,1,0)</f>
        <v>0</v>
      </c>
      <c r="D134" s="4">
        <f>IFERROR(_xlfn.MAXIFS(Tabelle5[binding_level],Tabelle5[company_id],Tabelle18[[#This Row],[company_id]],Tabelle5[value_id],Tabelle18[[#This Row],[value_id]],Tabelle5[value_present],1),0)</f>
        <v>0</v>
      </c>
      <c r="E134" s="4">
        <f>IFERROR(_xlfn.MAXIFS(Tabelle5[value_points],Tabelle5[company_id],Tabelle18[[#This Row],[company_id]],Tabelle5[value_id],Tabelle18[[#This Row],[value_id]]),0)</f>
        <v>0</v>
      </c>
      <c r="F134" t="str">
        <f>IF(Tabelle18[[#This Row],[value_points_company]]=0,"",IFERROR(_xlfn.MINIFS(Tabelle5[doc_id],Tabelle5[company_id],Tabelle18[[#This Row],[company_id]],Tabelle5[value_id],Tabelle18[[#This Row],[value_id]],Tabelle5[value_points],Tabelle18[[#This Row],[value_points_company]]),""))</f>
        <v/>
      </c>
      <c r="G134" t="str" cm="1">
        <f t="array" ref="G134">IF(Tabelle18[[#This Row],[doc_id_strongest]]="","",IFERROR(INDEX(Tabelle5[evidence_location],MATCH(1,(Tabelle5[company_id]=Tabelle18[[#This Row],[company_id]])*(Tabelle5[value_id]=Tabelle18[[#This Row],[value_id]])*(Tabelle5[doc_id]=Tabelle18[[#This Row],[doc_id_strongest]]),0)),""))</f>
        <v/>
      </c>
      <c r="H134" s="33" t="str" cm="1">
        <f t="array" ref="H134">IF(Tabelle18[[#This Row],[doc_id_strongest]]="","",IFERROR(INDEX(Tabelle5[evidence_quote],MATCH(1,(Tabelle5[company_id]=Tabelle18[[#This Row],[company_id]])*(Tabelle5[value_id]=Tabelle18[[#This Row],[value_id]])*(Tabelle5[doc_id]=Tabelle18[[#This Row],[doc_id_strongest]]),0)),""))</f>
        <v/>
      </c>
    </row>
    <row r="135" spans="1:8" x14ac:dyDescent="0.25">
      <c r="A135" s="36">
        <v>8</v>
      </c>
      <c r="B135" t="s">
        <v>106</v>
      </c>
      <c r="C135" s="4">
        <f>IF(Tabelle18[[#This Row],[binding_level_company]]&gt;=1,1,0)</f>
        <v>0</v>
      </c>
      <c r="D135" s="4">
        <f>IFERROR(_xlfn.MAXIFS(Tabelle5[binding_level],Tabelle5[company_id],Tabelle18[[#This Row],[company_id]],Tabelle5[value_id],Tabelle18[[#This Row],[value_id]],Tabelle5[value_present],1),0)</f>
        <v>0</v>
      </c>
      <c r="E135" s="4">
        <f>IFERROR(_xlfn.MAXIFS(Tabelle5[value_points],Tabelle5[company_id],Tabelle18[[#This Row],[company_id]],Tabelle5[value_id],Tabelle18[[#This Row],[value_id]]),0)</f>
        <v>0</v>
      </c>
      <c r="F135" t="str">
        <f>IF(Tabelle18[[#This Row],[value_points_company]]=0,"",IFERROR(_xlfn.MINIFS(Tabelle5[doc_id],Tabelle5[company_id],Tabelle18[[#This Row],[company_id]],Tabelle5[value_id],Tabelle18[[#This Row],[value_id]],Tabelle5[value_points],Tabelle18[[#This Row],[value_points_company]]),""))</f>
        <v/>
      </c>
      <c r="G135" t="str" cm="1">
        <f t="array" ref="G135">IF(Tabelle18[[#This Row],[doc_id_strongest]]="","",IFERROR(INDEX(Tabelle5[evidence_location],MATCH(1,(Tabelle5[company_id]=Tabelle18[[#This Row],[company_id]])*(Tabelle5[value_id]=Tabelle18[[#This Row],[value_id]])*(Tabelle5[doc_id]=Tabelle18[[#This Row],[doc_id_strongest]]),0)),""))</f>
        <v/>
      </c>
      <c r="H135" s="33" t="str" cm="1">
        <f t="array" ref="H135">IF(Tabelle18[[#This Row],[doc_id_strongest]]="","",IFERROR(INDEX(Tabelle5[evidence_quote],MATCH(1,(Tabelle5[company_id]=Tabelle18[[#This Row],[company_id]])*(Tabelle5[value_id]=Tabelle18[[#This Row],[value_id]])*(Tabelle5[doc_id]=Tabelle18[[#This Row],[doc_id_strongest]]),0)),""))</f>
        <v/>
      </c>
    </row>
    <row r="136" spans="1:8" x14ac:dyDescent="0.25">
      <c r="A136" s="36">
        <v>8</v>
      </c>
      <c r="B136" t="s">
        <v>112</v>
      </c>
      <c r="C136" s="4">
        <f>IF(Tabelle18[[#This Row],[binding_level_company]]&gt;=1,1,0)</f>
        <v>0</v>
      </c>
      <c r="D136" s="4">
        <f>IFERROR(_xlfn.MAXIFS(Tabelle5[binding_level],Tabelle5[company_id],Tabelle18[[#This Row],[company_id]],Tabelle5[value_id],Tabelle18[[#This Row],[value_id]],Tabelle5[value_present],1),0)</f>
        <v>0</v>
      </c>
      <c r="E136" s="4">
        <f>IFERROR(_xlfn.MAXIFS(Tabelle5[value_points],Tabelle5[company_id],Tabelle18[[#This Row],[company_id]],Tabelle5[value_id],Tabelle18[[#This Row],[value_id]]),0)</f>
        <v>0</v>
      </c>
      <c r="F136" t="str">
        <f>IF(Tabelle18[[#This Row],[value_points_company]]=0,"",IFERROR(_xlfn.MINIFS(Tabelle5[doc_id],Tabelle5[company_id],Tabelle18[[#This Row],[company_id]],Tabelle5[value_id],Tabelle18[[#This Row],[value_id]],Tabelle5[value_points],Tabelle18[[#This Row],[value_points_company]]),""))</f>
        <v/>
      </c>
      <c r="G136" t="str" cm="1">
        <f t="array" ref="G136">IF(Tabelle18[[#This Row],[doc_id_strongest]]="","",IFERROR(INDEX(Tabelle5[evidence_location],MATCH(1,(Tabelle5[company_id]=Tabelle18[[#This Row],[company_id]])*(Tabelle5[value_id]=Tabelle18[[#This Row],[value_id]])*(Tabelle5[doc_id]=Tabelle18[[#This Row],[doc_id_strongest]]),0)),""))</f>
        <v/>
      </c>
      <c r="H136" s="33" t="str" cm="1">
        <f t="array" ref="H136">IF(Tabelle18[[#This Row],[doc_id_strongest]]="","",IFERROR(INDEX(Tabelle5[evidence_quote],MATCH(1,(Tabelle5[company_id]=Tabelle18[[#This Row],[company_id]])*(Tabelle5[value_id]=Tabelle18[[#This Row],[value_id]])*(Tabelle5[doc_id]=Tabelle18[[#This Row],[doc_id_strongest]]),0)),""))</f>
        <v/>
      </c>
    </row>
    <row r="137" spans="1:8" x14ac:dyDescent="0.25">
      <c r="A137" s="36">
        <v>8</v>
      </c>
      <c r="B137" t="s">
        <v>118</v>
      </c>
      <c r="C137" s="4">
        <f>IF(Tabelle18[[#This Row],[binding_level_company]]&gt;=1,1,0)</f>
        <v>0</v>
      </c>
      <c r="D137" s="4">
        <f>IFERROR(_xlfn.MAXIFS(Tabelle5[binding_level],Tabelle5[company_id],Tabelle18[[#This Row],[company_id]],Tabelle5[value_id],Tabelle18[[#This Row],[value_id]],Tabelle5[value_present],1),0)</f>
        <v>0</v>
      </c>
      <c r="E137" s="4">
        <f>IFERROR(_xlfn.MAXIFS(Tabelle5[value_points],Tabelle5[company_id],Tabelle18[[#This Row],[company_id]],Tabelle5[value_id],Tabelle18[[#This Row],[value_id]]),0)</f>
        <v>0</v>
      </c>
      <c r="F137" t="str">
        <f>IF(Tabelle18[[#This Row],[value_points_company]]=0,"",IFERROR(_xlfn.MINIFS(Tabelle5[doc_id],Tabelle5[company_id],Tabelle18[[#This Row],[company_id]],Tabelle5[value_id],Tabelle18[[#This Row],[value_id]],Tabelle5[value_points],Tabelle18[[#This Row],[value_points_company]]),""))</f>
        <v/>
      </c>
      <c r="G137" t="str" cm="1">
        <f t="array" ref="G137">IF(Tabelle18[[#This Row],[doc_id_strongest]]="","",IFERROR(INDEX(Tabelle5[evidence_location],MATCH(1,(Tabelle5[company_id]=Tabelle18[[#This Row],[company_id]])*(Tabelle5[value_id]=Tabelle18[[#This Row],[value_id]])*(Tabelle5[doc_id]=Tabelle18[[#This Row],[doc_id_strongest]]),0)),""))</f>
        <v/>
      </c>
      <c r="H137" s="33" t="str" cm="1">
        <f t="array" ref="H137">IF(Tabelle18[[#This Row],[doc_id_strongest]]="","",IFERROR(INDEX(Tabelle5[evidence_quote],MATCH(1,(Tabelle5[company_id]=Tabelle18[[#This Row],[company_id]])*(Tabelle5[value_id]=Tabelle18[[#This Row],[value_id]])*(Tabelle5[doc_id]=Tabelle18[[#This Row],[doc_id_strongest]]),0)),""))</f>
        <v/>
      </c>
    </row>
    <row r="138" spans="1:8" x14ac:dyDescent="0.25">
      <c r="A138" s="36">
        <v>8</v>
      </c>
      <c r="B138" t="s">
        <v>125</v>
      </c>
      <c r="C138" s="4">
        <f>IF(Tabelle18[[#This Row],[binding_level_company]]&gt;=1,1,0)</f>
        <v>0</v>
      </c>
      <c r="D138" s="4">
        <f>IFERROR(_xlfn.MAXIFS(Tabelle5[binding_level],Tabelle5[company_id],Tabelle18[[#This Row],[company_id]],Tabelle5[value_id],Tabelle18[[#This Row],[value_id]],Tabelle5[value_present],1),0)</f>
        <v>0</v>
      </c>
      <c r="E138" s="4">
        <f>IFERROR(_xlfn.MAXIFS(Tabelle5[value_points],Tabelle5[company_id],Tabelle18[[#This Row],[company_id]],Tabelle5[value_id],Tabelle18[[#This Row],[value_id]]),0)</f>
        <v>0</v>
      </c>
      <c r="F138" t="str">
        <f>IF(Tabelle18[[#This Row],[value_points_company]]=0,"",IFERROR(_xlfn.MINIFS(Tabelle5[doc_id],Tabelle5[company_id],Tabelle18[[#This Row],[company_id]],Tabelle5[value_id],Tabelle18[[#This Row],[value_id]],Tabelle5[value_points],Tabelle18[[#This Row],[value_points_company]]),""))</f>
        <v/>
      </c>
      <c r="G138" t="str" cm="1">
        <f t="array" ref="G138">IF(Tabelle18[[#This Row],[doc_id_strongest]]="","",IFERROR(INDEX(Tabelle5[evidence_location],MATCH(1,(Tabelle5[company_id]=Tabelle18[[#This Row],[company_id]])*(Tabelle5[value_id]=Tabelle18[[#This Row],[value_id]])*(Tabelle5[doc_id]=Tabelle18[[#This Row],[doc_id_strongest]]),0)),""))</f>
        <v/>
      </c>
      <c r="H138" s="33" t="str" cm="1">
        <f t="array" ref="H138">IF(Tabelle18[[#This Row],[doc_id_strongest]]="","",IFERROR(INDEX(Tabelle5[evidence_quote],MATCH(1,(Tabelle5[company_id]=Tabelle18[[#This Row],[company_id]])*(Tabelle5[value_id]=Tabelle18[[#This Row],[value_id]])*(Tabelle5[doc_id]=Tabelle18[[#This Row],[doc_id_strongest]]),0)),""))</f>
        <v/>
      </c>
    </row>
    <row r="139" spans="1:8" x14ac:dyDescent="0.25">
      <c r="A139" s="36">
        <v>8</v>
      </c>
      <c r="B139" t="s">
        <v>132</v>
      </c>
      <c r="C139" s="4">
        <f>IF(Tabelle18[[#This Row],[binding_level_company]]&gt;=1,1,0)</f>
        <v>0</v>
      </c>
      <c r="D139" s="4">
        <f>IFERROR(_xlfn.MAXIFS(Tabelle5[binding_level],Tabelle5[company_id],Tabelle18[[#This Row],[company_id]],Tabelle5[value_id],Tabelle18[[#This Row],[value_id]],Tabelle5[value_present],1),0)</f>
        <v>0</v>
      </c>
      <c r="E139" s="4">
        <f>IFERROR(_xlfn.MAXIFS(Tabelle5[value_points],Tabelle5[company_id],Tabelle18[[#This Row],[company_id]],Tabelle5[value_id],Tabelle18[[#This Row],[value_id]]),0)</f>
        <v>0</v>
      </c>
      <c r="F139" t="str">
        <f>IF(Tabelle18[[#This Row],[value_points_company]]=0,"",IFERROR(_xlfn.MINIFS(Tabelle5[doc_id],Tabelle5[company_id],Tabelle18[[#This Row],[company_id]],Tabelle5[value_id],Tabelle18[[#This Row],[value_id]],Tabelle5[value_points],Tabelle18[[#This Row],[value_points_company]]),""))</f>
        <v/>
      </c>
      <c r="G139" t="str" cm="1">
        <f t="array" ref="G139">IF(Tabelle18[[#This Row],[doc_id_strongest]]="","",IFERROR(INDEX(Tabelle5[evidence_location],MATCH(1,(Tabelle5[company_id]=Tabelle18[[#This Row],[company_id]])*(Tabelle5[value_id]=Tabelle18[[#This Row],[value_id]])*(Tabelle5[doc_id]=Tabelle18[[#This Row],[doc_id_strongest]]),0)),""))</f>
        <v/>
      </c>
      <c r="H139" s="33" t="str" cm="1">
        <f t="array" ref="H139">IF(Tabelle18[[#This Row],[doc_id_strongest]]="","",IFERROR(INDEX(Tabelle5[evidence_quote],MATCH(1,(Tabelle5[company_id]=Tabelle18[[#This Row],[company_id]])*(Tabelle5[value_id]=Tabelle18[[#This Row],[value_id]])*(Tabelle5[doc_id]=Tabelle18[[#This Row],[doc_id_strongest]]),0)),""))</f>
        <v/>
      </c>
    </row>
    <row r="140" spans="1:8" x14ac:dyDescent="0.25">
      <c r="A140" s="36">
        <v>8</v>
      </c>
      <c r="B140" t="s">
        <v>140</v>
      </c>
      <c r="C140" s="4">
        <f>IF(Tabelle18[[#This Row],[binding_level_company]]&gt;=1,1,0)</f>
        <v>0</v>
      </c>
      <c r="D140" s="4">
        <f>IFERROR(_xlfn.MAXIFS(Tabelle5[binding_level],Tabelle5[company_id],Tabelle18[[#This Row],[company_id]],Tabelle5[value_id],Tabelle18[[#This Row],[value_id]],Tabelle5[value_present],1),0)</f>
        <v>0</v>
      </c>
      <c r="E140" s="4">
        <f>IFERROR(_xlfn.MAXIFS(Tabelle5[value_points],Tabelle5[company_id],Tabelle18[[#This Row],[company_id]],Tabelle5[value_id],Tabelle18[[#This Row],[value_id]]),0)</f>
        <v>0</v>
      </c>
      <c r="F140" t="str">
        <f>IF(Tabelle18[[#This Row],[value_points_company]]=0,"",IFERROR(_xlfn.MINIFS(Tabelle5[doc_id],Tabelle5[company_id],Tabelle18[[#This Row],[company_id]],Tabelle5[value_id],Tabelle18[[#This Row],[value_id]],Tabelle5[value_points],Tabelle18[[#This Row],[value_points_company]]),""))</f>
        <v/>
      </c>
      <c r="G140" t="str" cm="1">
        <f t="array" ref="G140">IF(Tabelle18[[#This Row],[doc_id_strongest]]="","",IFERROR(INDEX(Tabelle5[evidence_location],MATCH(1,(Tabelle5[company_id]=Tabelle18[[#This Row],[company_id]])*(Tabelle5[value_id]=Tabelle18[[#This Row],[value_id]])*(Tabelle5[doc_id]=Tabelle18[[#This Row],[doc_id_strongest]]),0)),""))</f>
        <v/>
      </c>
      <c r="H140" s="33" t="str" cm="1">
        <f t="array" ref="H140">IF(Tabelle18[[#This Row],[doc_id_strongest]]="","",IFERROR(INDEX(Tabelle5[evidence_quote],MATCH(1,(Tabelle5[company_id]=Tabelle18[[#This Row],[company_id]])*(Tabelle5[value_id]=Tabelle18[[#This Row],[value_id]])*(Tabelle5[doc_id]=Tabelle18[[#This Row],[doc_id_strongest]]),0)),""))</f>
        <v/>
      </c>
    </row>
    <row r="141" spans="1:8" x14ac:dyDescent="0.25">
      <c r="A141" s="36">
        <v>8</v>
      </c>
      <c r="B141" t="s">
        <v>147</v>
      </c>
      <c r="C141" s="4">
        <f>IF(Tabelle18[[#This Row],[binding_level_company]]&gt;=1,1,0)</f>
        <v>0</v>
      </c>
      <c r="D141" s="4">
        <f>IFERROR(_xlfn.MAXIFS(Tabelle5[binding_level],Tabelle5[company_id],Tabelle18[[#This Row],[company_id]],Tabelle5[value_id],Tabelle18[[#This Row],[value_id]],Tabelle5[value_present],1),0)</f>
        <v>0</v>
      </c>
      <c r="E141" s="4">
        <f>IFERROR(_xlfn.MAXIFS(Tabelle5[value_points],Tabelle5[company_id],Tabelle18[[#This Row],[company_id]],Tabelle5[value_id],Tabelle18[[#This Row],[value_id]]),0)</f>
        <v>0</v>
      </c>
      <c r="F141" t="str">
        <f>IF(Tabelle18[[#This Row],[value_points_company]]=0,"",IFERROR(_xlfn.MINIFS(Tabelle5[doc_id],Tabelle5[company_id],Tabelle18[[#This Row],[company_id]],Tabelle5[value_id],Tabelle18[[#This Row],[value_id]],Tabelle5[value_points],Tabelle18[[#This Row],[value_points_company]]),""))</f>
        <v/>
      </c>
      <c r="G141" t="str" cm="1">
        <f t="array" ref="G141">IF(Tabelle18[[#This Row],[doc_id_strongest]]="","",IFERROR(INDEX(Tabelle5[evidence_location],MATCH(1,(Tabelle5[company_id]=Tabelle18[[#This Row],[company_id]])*(Tabelle5[value_id]=Tabelle18[[#This Row],[value_id]])*(Tabelle5[doc_id]=Tabelle18[[#This Row],[doc_id_strongest]]),0)),""))</f>
        <v/>
      </c>
      <c r="H141" s="33" t="str" cm="1">
        <f t="array" ref="H141">IF(Tabelle18[[#This Row],[doc_id_strongest]]="","",IFERROR(INDEX(Tabelle5[evidence_quote],MATCH(1,(Tabelle5[company_id]=Tabelle18[[#This Row],[company_id]])*(Tabelle5[value_id]=Tabelle18[[#This Row],[value_id]])*(Tabelle5[doc_id]=Tabelle18[[#This Row],[doc_id_strongest]]),0)),""))</f>
        <v/>
      </c>
    </row>
    <row r="142" spans="1:8" x14ac:dyDescent="0.25">
      <c r="A142" s="36">
        <v>8</v>
      </c>
      <c r="B142" t="s">
        <v>154</v>
      </c>
      <c r="C142" s="4">
        <f>IF(Tabelle18[[#This Row],[binding_level_company]]&gt;=1,1,0)</f>
        <v>0</v>
      </c>
      <c r="D142" s="4">
        <f>IFERROR(_xlfn.MAXIFS(Tabelle5[binding_level],Tabelle5[company_id],Tabelle18[[#This Row],[company_id]],Tabelle5[value_id],Tabelle18[[#This Row],[value_id]],Tabelle5[value_present],1),0)</f>
        <v>0</v>
      </c>
      <c r="E142" s="4">
        <f>IFERROR(_xlfn.MAXIFS(Tabelle5[value_points],Tabelle5[company_id],Tabelle18[[#This Row],[company_id]],Tabelle5[value_id],Tabelle18[[#This Row],[value_id]]),0)</f>
        <v>0</v>
      </c>
      <c r="F142" t="str">
        <f>IF(Tabelle18[[#This Row],[value_points_company]]=0,"",IFERROR(_xlfn.MINIFS(Tabelle5[doc_id],Tabelle5[company_id],Tabelle18[[#This Row],[company_id]],Tabelle5[value_id],Tabelle18[[#This Row],[value_id]],Tabelle5[value_points],Tabelle18[[#This Row],[value_points_company]]),""))</f>
        <v/>
      </c>
      <c r="G142" t="str" cm="1">
        <f t="array" ref="G142">IF(Tabelle18[[#This Row],[doc_id_strongest]]="","",IFERROR(INDEX(Tabelle5[evidence_location],MATCH(1,(Tabelle5[company_id]=Tabelle18[[#This Row],[company_id]])*(Tabelle5[value_id]=Tabelle18[[#This Row],[value_id]])*(Tabelle5[doc_id]=Tabelle18[[#This Row],[doc_id_strongest]]),0)),""))</f>
        <v/>
      </c>
      <c r="H142" s="33" t="str" cm="1">
        <f t="array" ref="H142">IF(Tabelle18[[#This Row],[doc_id_strongest]]="","",IFERROR(INDEX(Tabelle5[evidence_quote],MATCH(1,(Tabelle5[company_id]=Tabelle18[[#This Row],[company_id]])*(Tabelle5[value_id]=Tabelle18[[#This Row],[value_id]])*(Tabelle5[doc_id]=Tabelle18[[#This Row],[doc_id_strongest]]),0)),""))</f>
        <v/>
      </c>
    </row>
    <row r="143" spans="1:8" x14ac:dyDescent="0.25">
      <c r="A143" s="36">
        <v>8</v>
      </c>
      <c r="B143" t="s">
        <v>161</v>
      </c>
      <c r="C143" s="4">
        <f>IF(Tabelle18[[#This Row],[binding_level_company]]&gt;=1,1,0)</f>
        <v>0</v>
      </c>
      <c r="D143" s="4">
        <f>IFERROR(_xlfn.MAXIFS(Tabelle5[binding_level],Tabelle5[company_id],Tabelle18[[#This Row],[company_id]],Tabelle5[value_id],Tabelle18[[#This Row],[value_id]],Tabelle5[value_present],1),0)</f>
        <v>0</v>
      </c>
      <c r="E143" s="4">
        <f>IFERROR(_xlfn.MAXIFS(Tabelle5[value_points],Tabelle5[company_id],Tabelle18[[#This Row],[company_id]],Tabelle5[value_id],Tabelle18[[#This Row],[value_id]]),0)</f>
        <v>0</v>
      </c>
      <c r="F143" t="str">
        <f>IF(Tabelle18[[#This Row],[value_points_company]]=0,"",IFERROR(_xlfn.MINIFS(Tabelle5[doc_id],Tabelle5[company_id],Tabelle18[[#This Row],[company_id]],Tabelle5[value_id],Tabelle18[[#This Row],[value_id]],Tabelle5[value_points],Tabelle18[[#This Row],[value_points_company]]),""))</f>
        <v/>
      </c>
      <c r="G143" t="str" cm="1">
        <f t="array" ref="G143">IF(Tabelle18[[#This Row],[doc_id_strongest]]="","",IFERROR(INDEX(Tabelle5[evidence_location],MATCH(1,(Tabelle5[company_id]=Tabelle18[[#This Row],[company_id]])*(Tabelle5[value_id]=Tabelle18[[#This Row],[value_id]])*(Tabelle5[doc_id]=Tabelle18[[#This Row],[doc_id_strongest]]),0)),""))</f>
        <v/>
      </c>
      <c r="H143" s="33" t="str" cm="1">
        <f t="array" ref="H143">IF(Tabelle18[[#This Row],[doc_id_strongest]]="","",IFERROR(INDEX(Tabelle5[evidence_quote],MATCH(1,(Tabelle5[company_id]=Tabelle18[[#This Row],[company_id]])*(Tabelle5[value_id]=Tabelle18[[#This Row],[value_id]])*(Tabelle5[doc_id]=Tabelle18[[#This Row],[doc_id_strongest]]),0)),""))</f>
        <v/>
      </c>
    </row>
    <row r="144" spans="1:8" x14ac:dyDescent="0.25">
      <c r="A144" s="36">
        <v>8</v>
      </c>
      <c r="B144" t="s">
        <v>166</v>
      </c>
      <c r="C144" s="4">
        <f>IF(Tabelle18[[#This Row],[binding_level_company]]&gt;=1,1,0)</f>
        <v>0</v>
      </c>
      <c r="D144" s="4">
        <f>IFERROR(_xlfn.MAXIFS(Tabelle5[binding_level],Tabelle5[company_id],Tabelle18[[#This Row],[company_id]],Tabelle5[value_id],Tabelle18[[#This Row],[value_id]],Tabelle5[value_present],1),0)</f>
        <v>0</v>
      </c>
      <c r="E144" s="4">
        <f>IFERROR(_xlfn.MAXIFS(Tabelle5[value_points],Tabelle5[company_id],Tabelle18[[#This Row],[company_id]],Tabelle5[value_id],Tabelle18[[#This Row],[value_id]]),0)</f>
        <v>0</v>
      </c>
      <c r="F144" t="str">
        <f>IF(Tabelle18[[#This Row],[value_points_company]]=0,"",IFERROR(_xlfn.MINIFS(Tabelle5[doc_id],Tabelle5[company_id],Tabelle18[[#This Row],[company_id]],Tabelle5[value_id],Tabelle18[[#This Row],[value_id]],Tabelle5[value_points],Tabelle18[[#This Row],[value_points_company]]),""))</f>
        <v/>
      </c>
      <c r="G144" t="str" cm="1">
        <f t="array" ref="G144">IF(Tabelle18[[#This Row],[doc_id_strongest]]="","",IFERROR(INDEX(Tabelle5[evidence_location],MATCH(1,(Tabelle5[company_id]=Tabelle18[[#This Row],[company_id]])*(Tabelle5[value_id]=Tabelle18[[#This Row],[value_id]])*(Tabelle5[doc_id]=Tabelle18[[#This Row],[doc_id_strongest]]),0)),""))</f>
        <v/>
      </c>
      <c r="H144" s="33" t="str" cm="1">
        <f t="array" ref="H144">IF(Tabelle18[[#This Row],[doc_id_strongest]]="","",IFERROR(INDEX(Tabelle5[evidence_quote],MATCH(1,(Tabelle5[company_id]=Tabelle18[[#This Row],[company_id]])*(Tabelle5[value_id]=Tabelle18[[#This Row],[value_id]])*(Tabelle5[doc_id]=Tabelle18[[#This Row],[doc_id_strongest]]),0)),""))</f>
        <v/>
      </c>
    </row>
    <row r="145" spans="1:8" ht="15.75" thickBot="1" x14ac:dyDescent="0.3">
      <c r="A145" s="37">
        <v>8</v>
      </c>
      <c r="B145" s="30" t="s">
        <v>174</v>
      </c>
      <c r="C145" s="49">
        <f>IF(Tabelle18[[#This Row],[binding_level_company]]&gt;=1,1,0)</f>
        <v>0</v>
      </c>
      <c r="D145" s="49">
        <f>IFERROR(_xlfn.MAXIFS(Tabelle5[binding_level],Tabelle5[company_id],Tabelle18[[#This Row],[company_id]],Tabelle5[value_id],Tabelle18[[#This Row],[value_id]],Tabelle5[value_present],1),0)</f>
        <v>0</v>
      </c>
      <c r="E145" s="49">
        <f>IFERROR(_xlfn.MAXIFS(Tabelle5[value_points],Tabelle5[company_id],Tabelle18[[#This Row],[company_id]],Tabelle5[value_id],Tabelle18[[#This Row],[value_id]]),0)</f>
        <v>0</v>
      </c>
      <c r="F145" s="30" t="str">
        <f>IF(Tabelle18[[#This Row],[value_points_company]]=0,"",IFERROR(_xlfn.MINIFS(Tabelle5[doc_id],Tabelle5[company_id],Tabelle18[[#This Row],[company_id]],Tabelle5[value_id],Tabelle18[[#This Row],[value_id]],Tabelle5[value_points],Tabelle18[[#This Row],[value_points_company]]),""))</f>
        <v/>
      </c>
      <c r="G145" s="30" t="str" cm="1">
        <f t="array" ref="G145">IF(Tabelle18[[#This Row],[doc_id_strongest]]="","",IFERROR(INDEX(Tabelle5[evidence_location],MATCH(1,(Tabelle5[company_id]=Tabelle18[[#This Row],[company_id]])*(Tabelle5[value_id]=Tabelle18[[#This Row],[value_id]])*(Tabelle5[doc_id]=Tabelle18[[#This Row],[doc_id_strongest]]),0)),""))</f>
        <v/>
      </c>
      <c r="H145" s="34" t="str" cm="1">
        <f t="array" ref="H145">IF(Tabelle18[[#This Row],[doc_id_strongest]]="","",IFERROR(INDEX(Tabelle5[evidence_quote],MATCH(1,(Tabelle5[company_id]=Tabelle18[[#This Row],[company_id]])*(Tabelle5[value_id]=Tabelle18[[#This Row],[value_id]])*(Tabelle5[doc_id]=Tabelle18[[#This Row],[doc_id_strongest]]),0)),""))</f>
        <v/>
      </c>
    </row>
    <row r="146" spans="1:8" x14ac:dyDescent="0.25">
      <c r="A146" s="35">
        <v>9</v>
      </c>
      <c r="B146" s="22" t="s">
        <v>53</v>
      </c>
      <c r="C146" s="48">
        <f>IF(Tabelle18[[#This Row],[binding_level_company]]&gt;=1,1,0)</f>
        <v>1</v>
      </c>
      <c r="D146" s="48">
        <f>IFERROR(_xlfn.MAXIFS(Tabelle5[binding_level],Tabelle5[company_id],Tabelle18[[#This Row],[company_id]],Tabelle5[value_id],Tabelle18[[#This Row],[value_id]],Tabelle5[value_present],1),0)</f>
        <v>3</v>
      </c>
      <c r="E146" s="48">
        <f>IFERROR(_xlfn.MAXIFS(Tabelle5[value_points],Tabelle5[company_id],Tabelle18[[#This Row],[company_id]],Tabelle5[value_id],Tabelle18[[#This Row],[value_id]]),0)</f>
        <v>3</v>
      </c>
      <c r="F146" s="22">
        <f>IF(Tabelle18[[#This Row],[value_points_company]]=0,"",IFERROR(_xlfn.MINIFS(Tabelle5[doc_id],Tabelle5[company_id],Tabelle18[[#This Row],[company_id]],Tabelle5[value_id],Tabelle18[[#This Row],[value_id]],Tabelle5[value_points],Tabelle18[[#This Row],[value_points_company]]),""))</f>
        <v>46</v>
      </c>
      <c r="G146" s="22" t="str" cm="1">
        <f t="array" ref="G146">IF(Tabelle18[[#This Row],[doc_id_strongest]]="","",IFERROR(INDEX(Tabelle5[evidence_location],MATCH(1,(Tabelle5[company_id]=Tabelle18[[#This Row],[company_id]])*(Tabelle5[value_id]=Tabelle18[[#This Row],[value_id]])*(Tabelle5[doc_id]=Tabelle18[[#This Row],[doc_id_strongest]]),0)),""))</f>
        <v>S. 2</v>
      </c>
      <c r="H146" s="32" t="str" cm="1">
        <f t="array" ref="H146">IF(Tabelle18[[#This Row],[doc_id_strongest]]="","",IFERROR(INDEX(Tabelle5[evidence_quote],MATCH(1,(Tabelle5[company_id]=Tabelle18[[#This Row],[company_id]])*(Tabelle5[value_id]=Tabelle18[[#This Row],[value_id]])*(Tabelle5[doc_id]=Tabelle18[[#This Row],[doc_id_strongest]]),0)),""))</f>
        <v>“human control”; “intervention options and mandatory testing</v>
      </c>
    </row>
    <row r="147" spans="1:8" x14ac:dyDescent="0.25">
      <c r="A147" s="36">
        <v>9</v>
      </c>
      <c r="B147" t="s">
        <v>61</v>
      </c>
      <c r="C147" s="4">
        <f>IF(Tabelle18[[#This Row],[binding_level_company]]&gt;=1,1,0)</f>
        <v>1</v>
      </c>
      <c r="D147" s="4">
        <f>IFERROR(_xlfn.MAXIFS(Tabelle5[binding_level],Tabelle5[company_id],Tabelle18[[#This Row],[company_id]],Tabelle5[value_id],Tabelle18[[#This Row],[value_id]],Tabelle5[value_present],1),0)</f>
        <v>2</v>
      </c>
      <c r="E147" s="4">
        <f>IFERROR(_xlfn.MAXIFS(Tabelle5[value_points],Tabelle5[company_id],Tabelle18[[#This Row],[company_id]],Tabelle5[value_id],Tabelle18[[#This Row],[value_id]]),0)</f>
        <v>2</v>
      </c>
      <c r="F147">
        <f>IF(Tabelle18[[#This Row],[value_points_company]]=0,"",IFERROR(_xlfn.MINIFS(Tabelle5[doc_id],Tabelle5[company_id],Tabelle18[[#This Row],[company_id]],Tabelle5[value_id],Tabelle18[[#This Row],[value_id]],Tabelle5[value_points],Tabelle18[[#This Row],[value_points_company]]),""))</f>
        <v>48</v>
      </c>
      <c r="G147" t="str" cm="1">
        <f t="array" ref="G147">IF(Tabelle18[[#This Row],[doc_id_strongest]]="","",IFERROR(INDEX(Tabelle5[evidence_location],MATCH(1,(Tabelle5[company_id]=Tabelle18[[#This Row],[company_id]])*(Tabelle5[value_id]=Tabelle18[[#This Row],[value_id]])*(Tabelle5[doc_id]=Tabelle18[[#This Row],[doc_id_strongest]]),0)),""))</f>
        <v>S. 6</v>
      </c>
      <c r="H147" s="33" t="str" cm="1">
        <f t="array" ref="H147">IF(Tabelle18[[#This Row],[doc_id_strongest]]="","",IFERROR(INDEX(Tabelle5[evidence_quote],MATCH(1,(Tabelle5[company_id]=Tabelle18[[#This Row],[company_id]])*(Tabelle5[value_id]=Tabelle18[[#This Row],[value_id]])*(Tabelle5[doc_id]=Tabelle18[[#This Row],[doc_id_strongest]]),0)),""))</f>
        <v>“Responsibility can never be outsourced.”</v>
      </c>
    </row>
    <row r="148" spans="1:8" x14ac:dyDescent="0.25">
      <c r="A148" s="36">
        <v>9</v>
      </c>
      <c r="B148" t="s">
        <v>69</v>
      </c>
      <c r="C148" s="4">
        <f>IF(Tabelle18[[#This Row],[binding_level_company]]&gt;=1,1,0)</f>
        <v>1</v>
      </c>
      <c r="D148" s="4">
        <f>IFERROR(_xlfn.MAXIFS(Tabelle5[binding_level],Tabelle5[company_id],Tabelle18[[#This Row],[company_id]],Tabelle5[value_id],Tabelle18[[#This Row],[value_id]],Tabelle5[value_present],1),0)</f>
        <v>3</v>
      </c>
      <c r="E148" s="4">
        <f>IFERROR(_xlfn.MAXIFS(Tabelle5[value_points],Tabelle5[company_id],Tabelle18[[#This Row],[company_id]],Tabelle5[value_id],Tabelle18[[#This Row],[value_id]]),0)</f>
        <v>3</v>
      </c>
      <c r="F148">
        <f>IF(Tabelle18[[#This Row],[value_points_company]]=0,"",IFERROR(_xlfn.MINIFS(Tabelle5[doc_id],Tabelle5[company_id],Tabelle18[[#This Row],[company_id]],Tabelle5[value_id],Tabelle18[[#This Row],[value_id]],Tabelle5[value_points],Tabelle18[[#This Row],[value_points_company]]),""))</f>
        <v>46</v>
      </c>
      <c r="G148" t="str" cm="1">
        <f t="array" ref="G148">IF(Tabelle18[[#This Row],[doc_id_strongest]]="","",IFERROR(INDEX(Tabelle5[evidence_location],MATCH(1,(Tabelle5[company_id]=Tabelle18[[#This Row],[company_id]])*(Tabelle5[value_id]=Tabelle18[[#This Row],[value_id]])*(Tabelle5[doc_id]=Tabelle18[[#This Row],[doc_id_strongest]]),0)),""))</f>
        <v>S. 1–2</v>
      </c>
      <c r="H148" s="33" t="str" cm="1">
        <f t="array" ref="H148">IF(Tabelle18[[#This Row],[doc_id_strongest]]="","",IFERROR(INDEX(Tabelle5[evidence_quote],MATCH(1,(Tabelle5[company_id]=Tabelle18[[#This Row],[company_id]])*(Tabelle5[value_id]=Tabelle18[[#This Row],[value_id]])*(Tabelle5[doc_id]=Tabelle18[[#This Row],[doc_id_strongest]]),0)),""))</f>
        <v>“make the use of AI and ML transparent”; “transparency about the interaction with an AI system is created on the front end</v>
      </c>
    </row>
    <row r="149" spans="1:8" x14ac:dyDescent="0.25">
      <c r="A149" s="36">
        <v>9</v>
      </c>
      <c r="B149" t="s">
        <v>76</v>
      </c>
      <c r="C149" s="4">
        <f>IF(Tabelle18[[#This Row],[binding_level_company]]&gt;=1,1,0)</f>
        <v>1</v>
      </c>
      <c r="D149" s="4">
        <f>IFERROR(_xlfn.MAXIFS(Tabelle5[binding_level],Tabelle5[company_id],Tabelle18[[#This Row],[company_id]],Tabelle5[value_id],Tabelle18[[#This Row],[value_id]],Tabelle5[value_present],1),0)</f>
        <v>2</v>
      </c>
      <c r="E149" s="4">
        <f>IFERROR(_xlfn.MAXIFS(Tabelle5[value_points],Tabelle5[company_id],Tabelle18[[#This Row],[company_id]],Tabelle5[value_id],Tabelle18[[#This Row],[value_id]]),0)</f>
        <v>2</v>
      </c>
      <c r="F149">
        <f>IF(Tabelle18[[#This Row],[value_points_company]]=0,"",IFERROR(_xlfn.MINIFS(Tabelle5[doc_id],Tabelle5[company_id],Tabelle18[[#This Row],[company_id]],Tabelle5[value_id],Tabelle18[[#This Row],[value_id]],Tabelle5[value_points],Tabelle18[[#This Row],[value_points_company]]),""))</f>
        <v>46</v>
      </c>
      <c r="G149" t="str" cm="1">
        <f t="array" ref="G149">IF(Tabelle18[[#This Row],[doc_id_strongest]]="","",IFERROR(INDEX(Tabelle5[evidence_location],MATCH(1,(Tabelle5[company_id]=Tabelle18[[#This Row],[company_id]])*(Tabelle5[value_id]=Tabelle18[[#This Row],[value_id]])*(Tabelle5[doc_id]=Tabelle18[[#This Row],[doc_id_strongest]]),0)),""))</f>
        <v>S. 1; S. 3</v>
      </c>
      <c r="H149" s="33" t="str" cm="1">
        <f t="array" ref="H149">IF(Tabelle18[[#This Row],[doc_id_strongest]]="","",IFERROR(INDEX(Tabelle5[evidence_quote],MATCH(1,(Tabelle5[company_id]=Tabelle18[[#This Row],[company_id]])*(Tabelle5[value_id]=Tabelle18[[#This Row],[value_id]])*(Tabelle5[doc_id]=Tabelle18[[#This Row],[doc_id_strongest]]),0)),""))</f>
        <v>“AI systems must process employee data in a comprehensible way.”; “It covers aspects of traceability, reproducibility and explainability.”</v>
      </c>
    </row>
    <row r="150" spans="1:8" x14ac:dyDescent="0.25">
      <c r="A150" s="36">
        <v>9</v>
      </c>
      <c r="B150" t="s">
        <v>83</v>
      </c>
      <c r="C150" s="4">
        <f>IF(Tabelle18[[#This Row],[binding_level_company]]&gt;=1,1,0)</f>
        <v>1</v>
      </c>
      <c r="D150" s="4">
        <f>IFERROR(_xlfn.MAXIFS(Tabelle5[binding_level],Tabelle5[company_id],Tabelle18[[#This Row],[company_id]],Tabelle5[value_id],Tabelle18[[#This Row],[value_id]],Tabelle5[value_present],1),0)</f>
        <v>2</v>
      </c>
      <c r="E150" s="4">
        <f>IFERROR(_xlfn.MAXIFS(Tabelle5[value_points],Tabelle5[company_id],Tabelle18[[#This Row],[company_id]],Tabelle5[value_id],Tabelle18[[#This Row],[value_id]]),0)</f>
        <v>2</v>
      </c>
      <c r="F150">
        <f>IF(Tabelle18[[#This Row],[value_points_company]]=0,"",IFERROR(_xlfn.MINIFS(Tabelle5[doc_id],Tabelle5[company_id],Tabelle18[[#This Row],[company_id]],Tabelle5[value_id],Tabelle18[[#This Row],[value_id]],Tabelle5[value_points],Tabelle18[[#This Row],[value_points_company]]),""))</f>
        <v>46</v>
      </c>
      <c r="G150" t="str" cm="1">
        <f t="array" ref="G150">IF(Tabelle18[[#This Row],[doc_id_strongest]]="","",IFERROR(INDEX(Tabelle5[evidence_location],MATCH(1,(Tabelle5[company_id]=Tabelle18[[#This Row],[company_id]])*(Tabelle5[value_id]=Tabelle18[[#This Row],[value_id]])*(Tabelle5[doc_id]=Tabelle18[[#This Row],[doc_id_strongest]]),0)),""))</f>
        <v>S. 2</v>
      </c>
      <c r="H150" s="33" t="str" cm="1">
        <f t="array" ref="H150">IF(Tabelle18[[#This Row],[doc_id_strongest]]="","",IFERROR(INDEX(Tabelle5[evidence_quote],MATCH(1,(Tabelle5[company_id]=Tabelle18[[#This Row],[company_id]])*(Tabelle5[value_id]=Tabelle18[[#This Row],[value_id]])*(Tabelle5[doc_id]=Tabelle18[[#This Row],[doc_id_strongest]]),0)),""))</f>
        <v>“quality standards are aligned in such a way that discrimination is avoided”</v>
      </c>
    </row>
    <row r="151" spans="1:8" x14ac:dyDescent="0.25">
      <c r="A151" s="36">
        <v>9</v>
      </c>
      <c r="B151" t="s">
        <v>90</v>
      </c>
      <c r="C151" s="4">
        <f>IF(Tabelle18[[#This Row],[binding_level_company]]&gt;=1,1,0)</f>
        <v>1</v>
      </c>
      <c r="D151" s="4">
        <f>IFERROR(_xlfn.MAXIFS(Tabelle5[binding_level],Tabelle5[company_id],Tabelle18[[#This Row],[company_id]],Tabelle5[value_id],Tabelle18[[#This Row],[value_id]],Tabelle5[value_present],1),0)</f>
        <v>2</v>
      </c>
      <c r="E151" s="4">
        <f>IFERROR(_xlfn.MAXIFS(Tabelle5[value_points],Tabelle5[company_id],Tabelle18[[#This Row],[company_id]],Tabelle5[value_id],Tabelle18[[#This Row],[value_id]]),0)</f>
        <v>2</v>
      </c>
      <c r="F151">
        <f>IF(Tabelle18[[#This Row],[value_points_company]]=0,"",IFERROR(_xlfn.MINIFS(Tabelle5[doc_id],Tabelle5[company_id],Tabelle18[[#This Row],[company_id]],Tabelle5[value_id],Tabelle18[[#This Row],[value_id]],Tabelle5[value_points],Tabelle18[[#This Row],[value_points_company]]),""))</f>
        <v>46</v>
      </c>
      <c r="G151" t="str" cm="1">
        <f t="array" ref="G151">IF(Tabelle18[[#This Row],[doc_id_strongest]]="","",IFERROR(INDEX(Tabelle5[evidence_location],MATCH(1,(Tabelle5[company_id]=Tabelle18[[#This Row],[company_id]])*(Tabelle5[value_id]=Tabelle18[[#This Row],[value_id]])*(Tabelle5[doc_id]=Tabelle18[[#This Row],[doc_id_strongest]]),0)),""))</f>
        <v>S. 1–2</v>
      </c>
      <c r="H151" s="33" t="str" cm="1">
        <f t="array" ref="H151">IF(Tabelle18[[#This Row],[doc_id_strongest]]="","",IFERROR(INDEX(Tabelle5[evidence_quote],MATCH(1,(Tabelle5[company_id]=Tabelle18[[#This Row],[company_id]])*(Tabelle5[value_id]=Tabelle18[[#This Row],[value_id]])*(Tabelle5[doc_id]=Tabelle18[[#This Row],[doc_id_strongest]]),0)),""))</f>
        <v>“personal rights of our employees are respected and protected”; “Article 9 (1) of GDPR also applies to AI systems”</v>
      </c>
    </row>
    <row r="152" spans="1:8" x14ac:dyDescent="0.25">
      <c r="A152" s="36">
        <v>9</v>
      </c>
      <c r="B152" t="s">
        <v>98</v>
      </c>
      <c r="C152" s="4">
        <f>IF(Tabelle18[[#This Row],[binding_level_company]]&gt;=1,1,0)</f>
        <v>1</v>
      </c>
      <c r="D152" s="4">
        <f>IFERROR(_xlfn.MAXIFS(Tabelle5[binding_level],Tabelle5[company_id],Tabelle18[[#This Row],[company_id]],Tabelle5[value_id],Tabelle18[[#This Row],[value_id]],Tabelle5[value_present],1),0)</f>
        <v>2</v>
      </c>
      <c r="E152" s="4">
        <f>IFERROR(_xlfn.MAXIFS(Tabelle5[value_points],Tabelle5[company_id],Tabelle18[[#This Row],[company_id]],Tabelle5[value_id],Tabelle18[[#This Row],[value_id]]),0)</f>
        <v>2</v>
      </c>
      <c r="F152">
        <f>IF(Tabelle18[[#This Row],[value_points_company]]=0,"",IFERROR(_xlfn.MINIFS(Tabelle5[doc_id],Tabelle5[company_id],Tabelle18[[#This Row],[company_id]],Tabelle5[value_id],Tabelle18[[#This Row],[value_id]],Tabelle5[value_points],Tabelle18[[#This Row],[value_points_company]]),""))</f>
        <v>46</v>
      </c>
      <c r="G152" t="str" cm="1">
        <f t="array" ref="G152">IF(Tabelle18[[#This Row],[doc_id_strongest]]="","",IFERROR(INDEX(Tabelle5[evidence_location],MATCH(1,(Tabelle5[company_id]=Tabelle18[[#This Row],[company_id]])*(Tabelle5[value_id]=Tabelle18[[#This Row],[value_id]])*(Tabelle5[doc_id]=Tabelle18[[#This Row],[doc_id_strongest]]),0)),""))</f>
        <v>S. 2</v>
      </c>
      <c r="H152" s="33" t="str" cm="1">
        <f t="array" ref="H152">IF(Tabelle18[[#This Row],[doc_id_strongest]]="","",IFERROR(INDEX(Tabelle5[evidence_quote],MATCH(1,(Tabelle5[company_id]=Tabelle18[[#This Row],[company_id]])*(Tabelle5[value_id]=Tabelle18[[#This Row],[value_id]])*(Tabelle5[doc_id]=Tabelle18[[#This Row],[doc_id_strongest]]),0)),""))</f>
        <v>“includes fairness, transparency, robustness, security</v>
      </c>
    </row>
    <row r="153" spans="1:8" x14ac:dyDescent="0.25">
      <c r="A153" s="36">
        <v>9</v>
      </c>
      <c r="B153" t="s">
        <v>106</v>
      </c>
      <c r="C153" s="4">
        <f>IF(Tabelle18[[#This Row],[binding_level_company]]&gt;=1,1,0)</f>
        <v>1</v>
      </c>
      <c r="D153" s="4">
        <f>IFERROR(_xlfn.MAXIFS(Tabelle5[binding_level],Tabelle5[company_id],Tabelle18[[#This Row],[company_id]],Tabelle5[value_id],Tabelle18[[#This Row],[value_id]],Tabelle5[value_present],1),0)</f>
        <v>2</v>
      </c>
      <c r="E153" s="4">
        <f>IFERROR(_xlfn.MAXIFS(Tabelle5[value_points],Tabelle5[company_id],Tabelle18[[#This Row],[company_id]],Tabelle5[value_id],Tabelle18[[#This Row],[value_id]]),0)</f>
        <v>2</v>
      </c>
      <c r="F153">
        <f>IF(Tabelle18[[#This Row],[value_points_company]]=0,"",IFERROR(_xlfn.MINIFS(Tabelle5[doc_id],Tabelle5[company_id],Tabelle18[[#This Row],[company_id]],Tabelle5[value_id],Tabelle18[[#This Row],[value_id]],Tabelle5[value_points],Tabelle18[[#This Row],[value_points_company]]),""))</f>
        <v>46</v>
      </c>
      <c r="G153" t="str" cm="1">
        <f t="array" ref="G153">IF(Tabelle18[[#This Row],[doc_id_strongest]]="","",IFERROR(INDEX(Tabelle5[evidence_location],MATCH(1,(Tabelle5[company_id]=Tabelle18[[#This Row],[company_id]])*(Tabelle5[value_id]=Tabelle18[[#This Row],[value_id]])*(Tabelle5[doc_id]=Tabelle18[[#This Row],[doc_id_strongest]]),0)),""))</f>
        <v>S. 1–2</v>
      </c>
      <c r="H153" s="33" t="str" cm="1">
        <f t="array" ref="H153">IF(Tabelle18[[#This Row],[doc_id_strongest]]="","",IFERROR(INDEX(Tabelle5[evidence_quote],MATCH(1,(Tabelle5[company_id]=Tabelle18[[#This Row],[company_id]])*(Tabelle5[value_id]=Tabelle18[[#This Row],[value_id]])*(Tabelle5[doc_id]=Tabelle18[[#This Row],[doc_id_strongest]]),0)),""))</f>
        <v>“errors and misuse can be avoided”; “Any manipulative, exploitative and social control practices are not used”</v>
      </c>
    </row>
    <row r="154" spans="1:8" x14ac:dyDescent="0.25">
      <c r="A154" s="36">
        <v>9</v>
      </c>
      <c r="B154" t="s">
        <v>112</v>
      </c>
      <c r="C154" s="4">
        <f>IF(Tabelle18[[#This Row],[binding_level_company]]&gt;=1,1,0)</f>
        <v>1</v>
      </c>
      <c r="D154" s="4">
        <f>IFERROR(_xlfn.MAXIFS(Tabelle5[binding_level],Tabelle5[company_id],Tabelle18[[#This Row],[company_id]],Tabelle5[value_id],Tabelle18[[#This Row],[value_id]],Tabelle5[value_present],1),0)</f>
        <v>2</v>
      </c>
      <c r="E154" s="4">
        <f>IFERROR(_xlfn.MAXIFS(Tabelle5[value_points],Tabelle5[company_id],Tabelle18[[#This Row],[company_id]],Tabelle5[value_id],Tabelle18[[#This Row],[value_id]]),0)</f>
        <v>2</v>
      </c>
      <c r="F154">
        <f>IF(Tabelle18[[#This Row],[value_points_company]]=0,"",IFERROR(_xlfn.MINIFS(Tabelle5[doc_id],Tabelle5[company_id],Tabelle18[[#This Row],[company_id]],Tabelle5[value_id],Tabelle18[[#This Row],[value_id]],Tabelle5[value_points],Tabelle18[[#This Row],[value_points_company]]),""))</f>
        <v>46</v>
      </c>
      <c r="G154" t="str" cm="1">
        <f t="array" ref="G154">IF(Tabelle18[[#This Row],[doc_id_strongest]]="","",IFERROR(INDEX(Tabelle5[evidence_location],MATCH(1,(Tabelle5[company_id]=Tabelle18[[#This Row],[company_id]])*(Tabelle5[value_id]=Tabelle18[[#This Row],[value_id]])*(Tabelle5[doc_id]=Tabelle18[[#This Row],[doc_id_strongest]]),0)),""))</f>
        <v>S. 2</v>
      </c>
      <c r="H154" s="33" t="str" cm="1">
        <f t="array" ref="H154">IF(Tabelle18[[#This Row],[doc_id_strongest]]="","",IFERROR(INDEX(Tabelle5[evidence_quote],MATCH(1,(Tabelle5[company_id]=Tabelle18[[#This Row],[company_id]])*(Tabelle5[value_id]=Tabelle18[[#This Row],[value_id]])*(Tabelle5[doc_id]=Tabelle18[[#This Row],[doc_id_strongest]]),0)),""))</f>
        <v>“includes fairness, transparency, robustness”</v>
      </c>
    </row>
    <row r="155" spans="1:8" x14ac:dyDescent="0.25">
      <c r="A155" s="36">
        <v>9</v>
      </c>
      <c r="B155" t="s">
        <v>118</v>
      </c>
      <c r="C155" s="4">
        <f>IF(Tabelle18[[#This Row],[binding_level_company]]&gt;=1,1,0)</f>
        <v>0</v>
      </c>
      <c r="D155" s="4">
        <f>IFERROR(_xlfn.MAXIFS(Tabelle5[binding_level],Tabelle5[company_id],Tabelle18[[#This Row],[company_id]],Tabelle5[value_id],Tabelle18[[#This Row],[value_id]],Tabelle5[value_present],1),0)</f>
        <v>0</v>
      </c>
      <c r="E155" s="4">
        <f>IFERROR(_xlfn.MAXIFS(Tabelle5[value_points],Tabelle5[company_id],Tabelle18[[#This Row],[company_id]],Tabelle5[value_id],Tabelle18[[#This Row],[value_id]]),0)</f>
        <v>0</v>
      </c>
      <c r="F155" t="str">
        <f>IF(Tabelle18[[#This Row],[value_points_company]]=0,"",IFERROR(_xlfn.MINIFS(Tabelle5[doc_id],Tabelle5[company_id],Tabelle18[[#This Row],[company_id]],Tabelle5[value_id],Tabelle18[[#This Row],[value_id]],Tabelle5[value_points],Tabelle18[[#This Row],[value_points_company]]),""))</f>
        <v/>
      </c>
      <c r="G155" t="str" cm="1">
        <f t="array" ref="G155">IF(Tabelle18[[#This Row],[doc_id_strongest]]="","",IFERROR(INDEX(Tabelle5[evidence_location],MATCH(1,(Tabelle5[company_id]=Tabelle18[[#This Row],[company_id]])*(Tabelle5[value_id]=Tabelle18[[#This Row],[value_id]])*(Tabelle5[doc_id]=Tabelle18[[#This Row],[doc_id_strongest]]),0)),""))</f>
        <v/>
      </c>
      <c r="H155" s="33" t="str" cm="1">
        <f t="array" ref="H155">IF(Tabelle18[[#This Row],[doc_id_strongest]]="","",IFERROR(INDEX(Tabelle5[evidence_quote],MATCH(1,(Tabelle5[company_id]=Tabelle18[[#This Row],[company_id]])*(Tabelle5[value_id]=Tabelle18[[#This Row],[value_id]])*(Tabelle5[doc_id]=Tabelle18[[#This Row],[doc_id_strongest]]),0)),""))</f>
        <v/>
      </c>
    </row>
    <row r="156" spans="1:8" x14ac:dyDescent="0.25">
      <c r="A156" s="36">
        <v>9</v>
      </c>
      <c r="B156" t="s">
        <v>125</v>
      </c>
      <c r="C156" s="4">
        <f>IF(Tabelle18[[#This Row],[binding_level_company]]&gt;=1,1,0)</f>
        <v>0</v>
      </c>
      <c r="D156" s="4">
        <f>IFERROR(_xlfn.MAXIFS(Tabelle5[binding_level],Tabelle5[company_id],Tabelle18[[#This Row],[company_id]],Tabelle5[value_id],Tabelle18[[#This Row],[value_id]],Tabelle5[value_present],1),0)</f>
        <v>0</v>
      </c>
      <c r="E156" s="4">
        <f>IFERROR(_xlfn.MAXIFS(Tabelle5[value_points],Tabelle5[company_id],Tabelle18[[#This Row],[company_id]],Tabelle5[value_id],Tabelle18[[#This Row],[value_id]]),0)</f>
        <v>0</v>
      </c>
      <c r="F156" t="str">
        <f>IF(Tabelle18[[#This Row],[value_points_company]]=0,"",IFERROR(_xlfn.MINIFS(Tabelle5[doc_id],Tabelle5[company_id],Tabelle18[[#This Row],[company_id]],Tabelle5[value_id],Tabelle18[[#This Row],[value_id]],Tabelle5[value_points],Tabelle18[[#This Row],[value_points_company]]),""))</f>
        <v/>
      </c>
      <c r="G156" t="str" cm="1">
        <f t="array" ref="G156">IF(Tabelle18[[#This Row],[doc_id_strongest]]="","",IFERROR(INDEX(Tabelle5[evidence_location],MATCH(1,(Tabelle5[company_id]=Tabelle18[[#This Row],[company_id]])*(Tabelle5[value_id]=Tabelle18[[#This Row],[value_id]])*(Tabelle5[doc_id]=Tabelle18[[#This Row],[doc_id_strongest]]),0)),""))</f>
        <v/>
      </c>
      <c r="H156" s="33" t="str" cm="1">
        <f t="array" ref="H156">IF(Tabelle18[[#This Row],[doc_id_strongest]]="","",IFERROR(INDEX(Tabelle5[evidence_quote],MATCH(1,(Tabelle5[company_id]=Tabelle18[[#This Row],[company_id]])*(Tabelle5[value_id]=Tabelle18[[#This Row],[value_id]])*(Tabelle5[doc_id]=Tabelle18[[#This Row],[doc_id_strongest]]),0)),""))</f>
        <v/>
      </c>
    </row>
    <row r="157" spans="1:8" x14ac:dyDescent="0.25">
      <c r="A157" s="36">
        <v>9</v>
      </c>
      <c r="B157" t="s">
        <v>132</v>
      </c>
      <c r="C157" s="4">
        <f>IF(Tabelle18[[#This Row],[binding_level_company]]&gt;=1,1,0)</f>
        <v>0</v>
      </c>
      <c r="D157" s="4">
        <f>IFERROR(_xlfn.MAXIFS(Tabelle5[binding_level],Tabelle5[company_id],Tabelle18[[#This Row],[company_id]],Tabelle5[value_id],Tabelle18[[#This Row],[value_id]],Tabelle5[value_present],1),0)</f>
        <v>0</v>
      </c>
      <c r="E157" s="4">
        <f>IFERROR(_xlfn.MAXIFS(Tabelle5[value_points],Tabelle5[company_id],Tabelle18[[#This Row],[company_id]],Tabelle5[value_id],Tabelle18[[#This Row],[value_id]]),0)</f>
        <v>0</v>
      </c>
      <c r="F157" t="str">
        <f>IF(Tabelle18[[#This Row],[value_points_company]]=0,"",IFERROR(_xlfn.MINIFS(Tabelle5[doc_id],Tabelle5[company_id],Tabelle18[[#This Row],[company_id]],Tabelle5[value_id],Tabelle18[[#This Row],[value_id]],Tabelle5[value_points],Tabelle18[[#This Row],[value_points_company]]),""))</f>
        <v/>
      </c>
      <c r="G157" t="str" cm="1">
        <f t="array" ref="G157">IF(Tabelle18[[#This Row],[doc_id_strongest]]="","",IFERROR(INDEX(Tabelle5[evidence_location],MATCH(1,(Tabelle5[company_id]=Tabelle18[[#This Row],[company_id]])*(Tabelle5[value_id]=Tabelle18[[#This Row],[value_id]])*(Tabelle5[doc_id]=Tabelle18[[#This Row],[doc_id_strongest]]),0)),""))</f>
        <v/>
      </c>
      <c r="H157" s="33" t="str" cm="1">
        <f t="array" ref="H157">IF(Tabelle18[[#This Row],[doc_id_strongest]]="","",IFERROR(INDEX(Tabelle5[evidence_quote],MATCH(1,(Tabelle5[company_id]=Tabelle18[[#This Row],[company_id]])*(Tabelle5[value_id]=Tabelle18[[#This Row],[value_id]])*(Tabelle5[doc_id]=Tabelle18[[#This Row],[doc_id_strongest]]),0)),""))</f>
        <v/>
      </c>
    </row>
    <row r="158" spans="1:8" x14ac:dyDescent="0.25">
      <c r="A158" s="36">
        <v>9</v>
      </c>
      <c r="B158" t="s">
        <v>140</v>
      </c>
      <c r="C158" s="4">
        <f>IF(Tabelle18[[#This Row],[binding_level_company]]&gt;=1,1,0)</f>
        <v>0</v>
      </c>
      <c r="D158" s="4">
        <f>IFERROR(_xlfn.MAXIFS(Tabelle5[binding_level],Tabelle5[company_id],Tabelle18[[#This Row],[company_id]],Tabelle5[value_id],Tabelle18[[#This Row],[value_id]],Tabelle5[value_present],1),0)</f>
        <v>0</v>
      </c>
      <c r="E158" s="4">
        <f>IFERROR(_xlfn.MAXIFS(Tabelle5[value_points],Tabelle5[company_id],Tabelle18[[#This Row],[company_id]],Tabelle5[value_id],Tabelle18[[#This Row],[value_id]]),0)</f>
        <v>0</v>
      </c>
      <c r="F158" t="str">
        <f>IF(Tabelle18[[#This Row],[value_points_company]]=0,"",IFERROR(_xlfn.MINIFS(Tabelle5[doc_id],Tabelle5[company_id],Tabelle18[[#This Row],[company_id]],Tabelle5[value_id],Tabelle18[[#This Row],[value_id]],Tabelle5[value_points],Tabelle18[[#This Row],[value_points_company]]),""))</f>
        <v/>
      </c>
      <c r="G158" t="str" cm="1">
        <f t="array" ref="G158">IF(Tabelle18[[#This Row],[doc_id_strongest]]="","",IFERROR(INDEX(Tabelle5[evidence_location],MATCH(1,(Tabelle5[company_id]=Tabelle18[[#This Row],[company_id]])*(Tabelle5[value_id]=Tabelle18[[#This Row],[value_id]])*(Tabelle5[doc_id]=Tabelle18[[#This Row],[doc_id_strongest]]),0)),""))</f>
        <v/>
      </c>
      <c r="H158" s="33" t="str" cm="1">
        <f t="array" ref="H158">IF(Tabelle18[[#This Row],[doc_id_strongest]]="","",IFERROR(INDEX(Tabelle5[evidence_quote],MATCH(1,(Tabelle5[company_id]=Tabelle18[[#This Row],[company_id]])*(Tabelle5[value_id]=Tabelle18[[#This Row],[value_id]])*(Tabelle5[doc_id]=Tabelle18[[#This Row],[doc_id_strongest]]),0)),""))</f>
        <v/>
      </c>
    </row>
    <row r="159" spans="1:8" x14ac:dyDescent="0.25">
      <c r="A159" s="36">
        <v>9</v>
      </c>
      <c r="B159" t="s">
        <v>147</v>
      </c>
      <c r="C159" s="4">
        <f>IF(Tabelle18[[#This Row],[binding_level_company]]&gt;=1,1,0)</f>
        <v>1</v>
      </c>
      <c r="D159" s="4">
        <f>IFERROR(_xlfn.MAXIFS(Tabelle5[binding_level],Tabelle5[company_id],Tabelle18[[#This Row],[company_id]],Tabelle5[value_id],Tabelle18[[#This Row],[value_id]],Tabelle5[value_present],1),0)</f>
        <v>2</v>
      </c>
      <c r="E159" s="4">
        <f>IFERROR(_xlfn.MAXIFS(Tabelle5[value_points],Tabelle5[company_id],Tabelle18[[#This Row],[company_id]],Tabelle5[value_id],Tabelle18[[#This Row],[value_id]]),0)</f>
        <v>2</v>
      </c>
      <c r="F159">
        <f>IF(Tabelle18[[#This Row],[value_points_company]]=0,"",IFERROR(_xlfn.MINIFS(Tabelle5[doc_id],Tabelle5[company_id],Tabelle18[[#This Row],[company_id]],Tabelle5[value_id],Tabelle18[[#This Row],[value_id]],Tabelle5[value_points],Tabelle18[[#This Row],[value_points_company]]),""))</f>
        <v>46</v>
      </c>
      <c r="G159" t="str" cm="1">
        <f t="array" ref="G159">IF(Tabelle18[[#This Row],[doc_id_strongest]]="","",IFERROR(INDEX(Tabelle5[evidence_location],MATCH(1,(Tabelle5[company_id]=Tabelle18[[#This Row],[company_id]])*(Tabelle5[value_id]=Tabelle18[[#This Row],[value_id]])*(Tabelle5[doc_id]=Tabelle18[[#This Row],[doc_id_strongest]]),0)),""))</f>
        <v>S. 1</v>
      </c>
      <c r="H159" s="33" t="str" cm="1">
        <f t="array" ref="H159">IF(Tabelle18[[#This Row],[doc_id_strongest]]="","",IFERROR(INDEX(Tabelle5[evidence_quote],MATCH(1,(Tabelle5[company_id]=Tabelle18[[#This Row],[company_id]])*(Tabelle5[value_id]=Tabelle18[[#This Row],[value_id]])*(Tabelle5[doc_id]=Tabelle18[[#This Row],[doc_id_strongest]]),0)),""))</f>
        <v>“must take into account the fundamental rights … applicable laws and democratic values</v>
      </c>
    </row>
    <row r="160" spans="1:8" x14ac:dyDescent="0.25">
      <c r="A160" s="36">
        <v>9</v>
      </c>
      <c r="B160" t="s">
        <v>154</v>
      </c>
      <c r="C160" s="4">
        <f>IF(Tabelle18[[#This Row],[binding_level_company]]&gt;=1,1,0)</f>
        <v>1</v>
      </c>
      <c r="D160" s="4">
        <f>IFERROR(_xlfn.MAXIFS(Tabelle5[binding_level],Tabelle5[company_id],Tabelle18[[#This Row],[company_id]],Tabelle5[value_id],Tabelle18[[#This Row],[value_id]],Tabelle5[value_present],1),0)</f>
        <v>2</v>
      </c>
      <c r="E160" s="4">
        <f>IFERROR(_xlfn.MAXIFS(Tabelle5[value_points],Tabelle5[company_id],Tabelle18[[#This Row],[company_id]],Tabelle5[value_id],Tabelle18[[#This Row],[value_id]]),0)</f>
        <v>2</v>
      </c>
      <c r="F160">
        <f>IF(Tabelle18[[#This Row],[value_points_company]]=0,"",IFERROR(_xlfn.MINIFS(Tabelle5[doc_id],Tabelle5[company_id],Tabelle18[[#This Row],[company_id]],Tabelle5[value_id],Tabelle18[[#This Row],[value_id]],Tabelle5[value_points],Tabelle18[[#This Row],[value_points_company]]),""))</f>
        <v>46</v>
      </c>
      <c r="G160" t="str" cm="1">
        <f t="array" ref="G160">IF(Tabelle18[[#This Row],[doc_id_strongest]]="","",IFERROR(INDEX(Tabelle5[evidence_location],MATCH(1,(Tabelle5[company_id]=Tabelle18[[#This Row],[company_id]])*(Tabelle5[value_id]=Tabelle18[[#This Row],[value_id]])*(Tabelle5[doc_id]=Tabelle18[[#This Row],[doc_id_strongest]]),0)),""))</f>
        <v>S. 2</v>
      </c>
      <c r="H160" s="33" t="str" cm="1">
        <f t="array" ref="H160">IF(Tabelle18[[#This Row],[doc_id_strongest]]="","",IFERROR(INDEX(Tabelle5[evidence_quote],MATCH(1,(Tabelle5[company_id]=Tabelle18[[#This Row],[company_id]])*(Tabelle5[value_id]=Tabelle18[[#This Row],[value_id]])*(Tabelle5[doc_id]=Tabelle18[[#This Row],[doc_id_strongest]]),0)),""))</f>
        <v>“Any manipulative, exploitative and social control practices are not used”; “used in a trustworthy and responsible manner”</v>
      </c>
    </row>
    <row r="161" spans="1:8" x14ac:dyDescent="0.25">
      <c r="A161" s="36">
        <v>9</v>
      </c>
      <c r="B161" t="s">
        <v>161</v>
      </c>
      <c r="C161" s="4">
        <f>IF(Tabelle18[[#This Row],[binding_level_company]]&gt;=1,1,0)</f>
        <v>1</v>
      </c>
      <c r="D161" s="4">
        <f>IFERROR(_xlfn.MAXIFS(Tabelle5[binding_level],Tabelle5[company_id],Tabelle18[[#This Row],[company_id]],Tabelle5[value_id],Tabelle18[[#This Row],[value_id]],Tabelle5[value_present],1),0)</f>
        <v>1</v>
      </c>
      <c r="E161" s="4">
        <f>IFERROR(_xlfn.MAXIFS(Tabelle5[value_points],Tabelle5[company_id],Tabelle18[[#This Row],[company_id]],Tabelle5[value_id],Tabelle18[[#This Row],[value_id]]),0)</f>
        <v>1</v>
      </c>
      <c r="F161">
        <f>IF(Tabelle18[[#This Row],[value_points_company]]=0,"",IFERROR(_xlfn.MINIFS(Tabelle5[doc_id],Tabelle5[company_id],Tabelle18[[#This Row],[company_id]],Tabelle5[value_id],Tabelle18[[#This Row],[value_id]],Tabelle5[value_points],Tabelle18[[#This Row],[value_points_company]]),""))</f>
        <v>48</v>
      </c>
      <c r="G161" t="str" cm="1">
        <f t="array" ref="G161">IF(Tabelle18[[#This Row],[doc_id_strongest]]="","",IFERROR(INDEX(Tabelle5[evidence_location],MATCH(1,(Tabelle5[company_id]=Tabelle18[[#This Row],[company_id]])*(Tabelle5[value_id]=Tabelle18[[#This Row],[value_id]])*(Tabelle5[doc_id]=Tabelle18[[#This Row],[doc_id_strongest]]),0)),""))</f>
        <v>S. 4</v>
      </c>
      <c r="H161" s="33" t="str" cm="1">
        <f t="array" ref="H161">IF(Tabelle18[[#This Row],[doc_id_strongest]]="","",IFERROR(INDEX(Tabelle5[evidence_quote],MATCH(1,(Tabelle5[company_id]=Tabelle18[[#This Row],[company_id]])*(Tabelle5[value_id]=Tabelle18[[#This Row],[value_id]])*(Tabelle5[doc_id]=Tabelle18[[#This Row],[doc_id_strongest]]),0)),""))</f>
        <v>“A high level of data quality is a prerequisite”</v>
      </c>
    </row>
    <row r="162" spans="1:8" x14ac:dyDescent="0.25">
      <c r="A162" s="36">
        <v>9</v>
      </c>
      <c r="B162" t="s">
        <v>166</v>
      </c>
      <c r="C162" s="4">
        <f>IF(Tabelle18[[#This Row],[binding_level_company]]&gt;=1,1,0)</f>
        <v>1</v>
      </c>
      <c r="D162" s="4">
        <f>IFERROR(_xlfn.MAXIFS(Tabelle5[binding_level],Tabelle5[company_id],Tabelle18[[#This Row],[company_id]],Tabelle5[value_id],Tabelle18[[#This Row],[value_id]],Tabelle5[value_present],1),0)</f>
        <v>1</v>
      </c>
      <c r="E162" s="4">
        <f>IFERROR(_xlfn.MAXIFS(Tabelle5[value_points],Tabelle5[company_id],Tabelle18[[#This Row],[company_id]],Tabelle5[value_id],Tabelle18[[#This Row],[value_id]]),0)</f>
        <v>1</v>
      </c>
      <c r="F162">
        <f>IF(Tabelle18[[#This Row],[value_points_company]]=0,"",IFERROR(_xlfn.MINIFS(Tabelle5[doc_id],Tabelle5[company_id],Tabelle18[[#This Row],[company_id]],Tabelle5[value_id],Tabelle18[[#This Row],[value_id]],Tabelle5[value_points],Tabelle18[[#This Row],[value_points_company]]),""))</f>
        <v>46</v>
      </c>
      <c r="G162" t="str" cm="1">
        <f t="array" ref="G162">IF(Tabelle18[[#This Row],[doc_id_strongest]]="","",IFERROR(INDEX(Tabelle5[evidence_location],MATCH(1,(Tabelle5[company_id]=Tabelle18[[#This Row],[company_id]])*(Tabelle5[value_id]=Tabelle18[[#This Row],[value_id]])*(Tabelle5[doc_id]=Tabelle18[[#This Row],[doc_id_strongest]]),0)),""))</f>
        <v>S. 4</v>
      </c>
      <c r="H162" s="33" t="str" cm="1">
        <f t="array" ref="H162">IF(Tabelle18[[#This Row],[doc_id_strongest]]="","",IFERROR(INDEX(Tabelle5[evidence_quote],MATCH(1,(Tabelle5[company_id]=Tabelle18[[#This Row],[company_id]])*(Tabelle5[value_id]=Tabelle18[[#This Row],[value_id]])*(Tabelle5[doc_id]=Tabelle18[[#This Row],[doc_id_strongest]]),0)),""))</f>
        <v>“both the protection of personal data and business secrets”</v>
      </c>
    </row>
    <row r="163" spans="1:8" ht="15.75" thickBot="1" x14ac:dyDescent="0.3">
      <c r="A163" s="37">
        <v>9</v>
      </c>
      <c r="B163" s="30" t="s">
        <v>174</v>
      </c>
      <c r="C163" s="49">
        <f>IF(Tabelle18[[#This Row],[binding_level_company]]&gt;=1,1,0)</f>
        <v>1</v>
      </c>
      <c r="D163" s="49">
        <f>IFERROR(_xlfn.MAXIFS(Tabelle5[binding_level],Tabelle5[company_id],Tabelle18[[#This Row],[company_id]],Tabelle5[value_id],Tabelle18[[#This Row],[value_id]],Tabelle5[value_present],1),0)</f>
        <v>2</v>
      </c>
      <c r="E163" s="49">
        <f>IFERROR(_xlfn.MAXIFS(Tabelle5[value_points],Tabelle5[company_id],Tabelle18[[#This Row],[company_id]],Tabelle5[value_id],Tabelle18[[#This Row],[value_id]]),0)</f>
        <v>2</v>
      </c>
      <c r="F163" s="30">
        <f>IF(Tabelle18[[#This Row],[value_points_company]]=0,"",IFERROR(_xlfn.MINIFS(Tabelle5[doc_id],Tabelle5[company_id],Tabelle18[[#This Row],[company_id]],Tabelle5[value_id],Tabelle18[[#This Row],[value_id]],Tabelle5[value_points],Tabelle18[[#This Row],[value_points_company]]),""))</f>
        <v>46</v>
      </c>
      <c r="G163" s="30" t="str" cm="1">
        <f t="array" ref="G163">IF(Tabelle18[[#This Row],[doc_id_strongest]]="","",IFERROR(INDEX(Tabelle5[evidence_location],MATCH(1,(Tabelle5[company_id]=Tabelle18[[#This Row],[company_id]])*(Tabelle5[value_id]=Tabelle18[[#This Row],[value_id]])*(Tabelle5[doc_id]=Tabelle18[[#This Row],[doc_id_strongest]]),0)),""))</f>
        <v>S. 1</v>
      </c>
      <c r="H163" s="34" t="str" cm="1">
        <f t="array" ref="H163">IF(Tabelle18[[#This Row],[doc_id_strongest]]="","",IFERROR(INDEX(Tabelle5[evidence_quote],MATCH(1,(Tabelle5[company_id]=Tabelle18[[#This Row],[company_id]])*(Tabelle5[value_id]=Tabelle18[[#This Row],[value_id]])*(Tabelle5[doc_id]=Tabelle18[[#This Row],[doc_id_strongest]]),0)),""))</f>
        <v>“AI systems must take into account the fundamental rights of those affected”</v>
      </c>
    </row>
    <row r="164" spans="1:8" x14ac:dyDescent="0.25">
      <c r="A164" s="35">
        <v>10</v>
      </c>
      <c r="B164" s="22" t="s">
        <v>53</v>
      </c>
      <c r="C164" s="48">
        <f>IF(Tabelle18[[#This Row],[binding_level_company]]&gt;=1,1,0)</f>
        <v>0</v>
      </c>
      <c r="D164" s="48">
        <f>IFERROR(_xlfn.MAXIFS(Tabelle5[binding_level],Tabelle5[company_id],Tabelle18[[#This Row],[company_id]],Tabelle5[value_id],Tabelle18[[#This Row],[value_id]],Tabelle5[value_present],1),0)</f>
        <v>0</v>
      </c>
      <c r="E164" s="48">
        <f>IFERROR(_xlfn.MAXIFS(Tabelle5[value_points],Tabelle5[company_id],Tabelle18[[#This Row],[company_id]],Tabelle5[value_id],Tabelle18[[#This Row],[value_id]]),0)</f>
        <v>0</v>
      </c>
      <c r="F164" s="22" t="str">
        <f>IF(Tabelle18[[#This Row],[value_points_company]]=0,"",IFERROR(_xlfn.MINIFS(Tabelle5[doc_id],Tabelle5[company_id],Tabelle18[[#This Row],[company_id]],Tabelle5[value_id],Tabelle18[[#This Row],[value_id]],Tabelle5[value_points],Tabelle18[[#This Row],[value_points_company]]),""))</f>
        <v/>
      </c>
      <c r="G164" s="22" t="str" cm="1">
        <f t="array" ref="G164">IF(Tabelle18[[#This Row],[doc_id_strongest]]="","",IFERROR(INDEX(Tabelle5[evidence_location],MATCH(1,(Tabelle5[company_id]=Tabelle18[[#This Row],[company_id]])*(Tabelle5[value_id]=Tabelle18[[#This Row],[value_id]])*(Tabelle5[doc_id]=Tabelle18[[#This Row],[doc_id_strongest]]),0)),""))</f>
        <v/>
      </c>
      <c r="H164" s="32" t="str" cm="1">
        <f t="array" ref="H164">IF(Tabelle18[[#This Row],[doc_id_strongest]]="","",IFERROR(INDEX(Tabelle5[evidence_quote],MATCH(1,(Tabelle5[company_id]=Tabelle18[[#This Row],[company_id]])*(Tabelle5[value_id]=Tabelle18[[#This Row],[value_id]])*(Tabelle5[doc_id]=Tabelle18[[#This Row],[doc_id_strongest]]),0)),""))</f>
        <v/>
      </c>
    </row>
    <row r="165" spans="1:8" x14ac:dyDescent="0.25">
      <c r="A165" s="36">
        <v>10</v>
      </c>
      <c r="B165" t="s">
        <v>61</v>
      </c>
      <c r="C165" s="4">
        <f>IF(Tabelle18[[#This Row],[binding_level_company]]&gt;=1,1,0)</f>
        <v>1</v>
      </c>
      <c r="D165" s="4">
        <f>IFERROR(_xlfn.MAXIFS(Tabelle5[binding_level],Tabelle5[company_id],Tabelle18[[#This Row],[company_id]],Tabelle5[value_id],Tabelle18[[#This Row],[value_id]],Tabelle5[value_present],1),0)</f>
        <v>2</v>
      </c>
      <c r="E165" s="4">
        <f>IFERROR(_xlfn.MAXIFS(Tabelle5[value_points],Tabelle5[company_id],Tabelle18[[#This Row],[company_id]],Tabelle5[value_id],Tabelle18[[#This Row],[value_id]]),0)</f>
        <v>2</v>
      </c>
      <c r="F165">
        <f>IF(Tabelle18[[#This Row],[value_points_company]]=0,"",IFERROR(_xlfn.MINIFS(Tabelle5[doc_id],Tabelle5[company_id],Tabelle18[[#This Row],[company_id]],Tabelle5[value_id],Tabelle18[[#This Row],[value_id]],Tabelle5[value_points],Tabelle18[[#This Row],[value_points_company]]),""))</f>
        <v>53</v>
      </c>
      <c r="G165" t="str" cm="1">
        <f t="array" ref="G165">IF(Tabelle18[[#This Row],[doc_id_strongest]]="","",IFERROR(INDEX(Tabelle5[evidence_location],MATCH(1,(Tabelle5[company_id]=Tabelle18[[#This Row],[company_id]])*(Tabelle5[value_id]=Tabelle18[[#This Row],[value_id]])*(Tabelle5[doc_id]=Tabelle18[[#This Row],[doc_id_strongest]]),0)),""))</f>
        <v>S. 3</v>
      </c>
      <c r="H165" s="33" t="str" cm="1">
        <f t="array" ref="H165">IF(Tabelle18[[#This Row],[doc_id_strongest]]="","",IFERROR(INDEX(Tabelle5[evidence_quote],MATCH(1,(Tabelle5[company_id]=Tabelle18[[#This Row],[company_id]])*(Tabelle5[value_id]=Tabelle18[[#This Row],[value_id]])*(Tabelle5[doc_id]=Tabelle18[[#This Row],[doc_id_strongest]]),0)),""))</f>
        <v>“it will be done in an accountable”</v>
      </c>
    </row>
    <row r="166" spans="1:8" x14ac:dyDescent="0.25">
      <c r="A166" s="36">
        <v>10</v>
      </c>
      <c r="B166" t="s">
        <v>69</v>
      </c>
      <c r="C166" s="4">
        <f>IF(Tabelle18[[#This Row],[binding_level_company]]&gt;=1,1,0)</f>
        <v>1</v>
      </c>
      <c r="D166" s="4">
        <f>IFERROR(_xlfn.MAXIFS(Tabelle5[binding_level],Tabelle5[company_id],Tabelle18[[#This Row],[company_id]],Tabelle5[value_id],Tabelle18[[#This Row],[value_id]],Tabelle5[value_present],1),0)</f>
        <v>1</v>
      </c>
      <c r="E166" s="4">
        <f>IFERROR(_xlfn.MAXIFS(Tabelle5[value_points],Tabelle5[company_id],Tabelle18[[#This Row],[company_id]],Tabelle5[value_id],Tabelle18[[#This Row],[value_id]]),0)</f>
        <v>1</v>
      </c>
      <c r="F166">
        <f>IF(Tabelle18[[#This Row],[value_points_company]]=0,"",IFERROR(_xlfn.MINIFS(Tabelle5[doc_id],Tabelle5[company_id],Tabelle18[[#This Row],[company_id]],Tabelle5[value_id],Tabelle18[[#This Row],[value_id]],Tabelle5[value_points],Tabelle18[[#This Row],[value_points_company]]),""))</f>
        <v>52</v>
      </c>
      <c r="G166" t="str" cm="1">
        <f t="array" ref="G166">IF(Tabelle18[[#This Row],[doc_id_strongest]]="","",IFERROR(INDEX(Tabelle5[evidence_location],MATCH(1,(Tabelle5[company_id]=Tabelle18[[#This Row],[company_id]])*(Tabelle5[value_id]=Tabelle18[[#This Row],[value_id]])*(Tabelle5[doc_id]=Tabelle18[[#This Row],[doc_id_strongest]]),0)),""))</f>
        <v>S. 40</v>
      </c>
      <c r="H166" s="33" t="str" cm="1">
        <f t="array" ref="H166">IF(Tabelle18[[#This Row],[doc_id_strongest]]="","",IFERROR(INDEX(Tabelle5[evidence_quote],MATCH(1,(Tabelle5[company_id]=Tabelle18[[#This Row],[company_id]])*(Tabelle5[value_id]=Tabelle18[[#This Row],[value_id]])*(Tabelle5[doc_id]=Tabelle18[[#This Row],[doc_id_strongest]]),0)),""))</f>
        <v>“operate transparently under various conditions”</v>
      </c>
    </row>
    <row r="167" spans="1:8" x14ac:dyDescent="0.25">
      <c r="A167" s="36">
        <v>10</v>
      </c>
      <c r="B167" t="s">
        <v>76</v>
      </c>
      <c r="C167" s="4">
        <f>IF(Tabelle18[[#This Row],[binding_level_company]]&gt;=1,1,0)</f>
        <v>1</v>
      </c>
      <c r="D167" s="4">
        <f>IFERROR(_xlfn.MAXIFS(Tabelle5[binding_level],Tabelle5[company_id],Tabelle18[[#This Row],[company_id]],Tabelle5[value_id],Tabelle18[[#This Row],[value_id]],Tabelle5[value_present],1),0)</f>
        <v>2</v>
      </c>
      <c r="E167" s="4">
        <f>IFERROR(_xlfn.MAXIFS(Tabelle5[value_points],Tabelle5[company_id],Tabelle18[[#This Row],[company_id]],Tabelle5[value_id],Tabelle18[[#This Row],[value_id]]),0)</f>
        <v>2</v>
      </c>
      <c r="F167">
        <f>IF(Tabelle18[[#This Row],[value_points_company]]=0,"",IFERROR(_xlfn.MINIFS(Tabelle5[doc_id],Tabelle5[company_id],Tabelle18[[#This Row],[company_id]],Tabelle5[value_id],Tabelle18[[#This Row],[value_id]],Tabelle5[value_points],Tabelle18[[#This Row],[value_points_company]]),""))</f>
        <v>53</v>
      </c>
      <c r="G167" t="str" cm="1">
        <f t="array" ref="G167">IF(Tabelle18[[#This Row],[doc_id_strongest]]="","",IFERROR(INDEX(Tabelle5[evidence_location],MATCH(1,(Tabelle5[company_id]=Tabelle18[[#This Row],[company_id]])*(Tabelle5[value_id]=Tabelle18[[#This Row],[value_id]])*(Tabelle5[doc_id]=Tabelle18[[#This Row],[doc_id_strongest]]),0)),""))</f>
        <v>S. 3</v>
      </c>
      <c r="H167" s="33" t="str" cm="1">
        <f t="array" ref="H167">IF(Tabelle18[[#This Row],[doc_id_strongest]]="","",IFERROR(INDEX(Tabelle5[evidence_quote],MATCH(1,(Tabelle5[company_id]=Tabelle18[[#This Row],[company_id]])*(Tabelle5[value_id]=Tabelle18[[#This Row],[value_id]])*(Tabelle5[doc_id]=Tabelle18[[#This Row],[doc_id_strongest]]),0)),""))</f>
        <v>“fair”</v>
      </c>
    </row>
    <row r="168" spans="1:8" x14ac:dyDescent="0.25">
      <c r="A168" s="36">
        <v>10</v>
      </c>
      <c r="B168" t="s">
        <v>83</v>
      </c>
      <c r="C168" s="4">
        <f>IF(Tabelle18[[#This Row],[binding_level_company]]&gt;=1,1,0)</f>
        <v>1</v>
      </c>
      <c r="D168" s="4">
        <f>IFERROR(_xlfn.MAXIFS(Tabelle5[binding_level],Tabelle5[company_id],Tabelle18[[#This Row],[company_id]],Tabelle5[value_id],Tabelle18[[#This Row],[value_id]],Tabelle5[value_present],1),0)</f>
        <v>2</v>
      </c>
      <c r="E168" s="4">
        <f>IFERROR(_xlfn.MAXIFS(Tabelle5[value_points],Tabelle5[company_id],Tabelle18[[#This Row],[company_id]],Tabelle5[value_id],Tabelle18[[#This Row],[value_id]]),0)</f>
        <v>2</v>
      </c>
      <c r="F168">
        <f>IF(Tabelle18[[#This Row],[value_points_company]]=0,"",IFERROR(_xlfn.MINIFS(Tabelle5[doc_id],Tabelle5[company_id],Tabelle18[[#This Row],[company_id]],Tabelle5[value_id],Tabelle18[[#This Row],[value_id]],Tabelle5[value_points],Tabelle18[[#This Row],[value_points_company]]),""))</f>
        <v>53</v>
      </c>
      <c r="G168" t="str" cm="1">
        <f t="array" ref="G168">IF(Tabelle18[[#This Row],[doc_id_strongest]]="","",IFERROR(INDEX(Tabelle5[evidence_location],MATCH(1,(Tabelle5[company_id]=Tabelle18[[#This Row],[company_id]])*(Tabelle5[value_id]=Tabelle18[[#This Row],[value_id]])*(Tabelle5[doc_id]=Tabelle18[[#This Row],[doc_id_strongest]]),0)),""))</f>
        <v>S. 3</v>
      </c>
      <c r="H168" s="33" t="str" cm="1">
        <f t="array" ref="H168">IF(Tabelle18[[#This Row],[doc_id_strongest]]="","",IFERROR(INDEX(Tabelle5[evidence_quote],MATCH(1,(Tabelle5[company_id]=Tabelle18[[#This Row],[company_id]])*(Tabelle5[value_id]=Tabelle18[[#This Row],[value_id]])*(Tabelle5[doc_id]=Tabelle18[[#This Row],[doc_id_strongest]]),0)),""))</f>
        <v>“explainable”</v>
      </c>
    </row>
    <row r="169" spans="1:8" x14ac:dyDescent="0.25">
      <c r="A169" s="36">
        <v>10</v>
      </c>
      <c r="B169" t="s">
        <v>90</v>
      </c>
      <c r="C169" s="4">
        <f>IF(Tabelle18[[#This Row],[binding_level_company]]&gt;=1,1,0)</f>
        <v>0</v>
      </c>
      <c r="D169" s="4">
        <f>IFERROR(_xlfn.MAXIFS(Tabelle5[binding_level],Tabelle5[company_id],Tabelle18[[#This Row],[company_id]],Tabelle5[value_id],Tabelle18[[#This Row],[value_id]],Tabelle5[value_present],1),0)</f>
        <v>0</v>
      </c>
      <c r="E169" s="4">
        <f>IFERROR(_xlfn.MAXIFS(Tabelle5[value_points],Tabelle5[company_id],Tabelle18[[#This Row],[company_id]],Tabelle5[value_id],Tabelle18[[#This Row],[value_id]]),0)</f>
        <v>0</v>
      </c>
      <c r="F169" t="str">
        <f>IF(Tabelle18[[#This Row],[value_points_company]]=0,"",IFERROR(_xlfn.MINIFS(Tabelle5[doc_id],Tabelle5[company_id],Tabelle18[[#This Row],[company_id]],Tabelle5[value_id],Tabelle18[[#This Row],[value_id]],Tabelle5[value_points],Tabelle18[[#This Row],[value_points_company]]),""))</f>
        <v/>
      </c>
      <c r="G169" t="str" cm="1">
        <f t="array" ref="G169">IF(Tabelle18[[#This Row],[doc_id_strongest]]="","",IFERROR(INDEX(Tabelle5[evidence_location],MATCH(1,(Tabelle5[company_id]=Tabelle18[[#This Row],[company_id]])*(Tabelle5[value_id]=Tabelle18[[#This Row],[value_id]])*(Tabelle5[doc_id]=Tabelle18[[#This Row],[doc_id_strongest]]),0)),""))</f>
        <v/>
      </c>
      <c r="H169" s="33" t="str" cm="1">
        <f t="array" ref="H169">IF(Tabelle18[[#This Row],[doc_id_strongest]]="","",IFERROR(INDEX(Tabelle5[evidence_quote],MATCH(1,(Tabelle5[company_id]=Tabelle18[[#This Row],[company_id]])*(Tabelle5[value_id]=Tabelle18[[#This Row],[value_id]])*(Tabelle5[doc_id]=Tabelle18[[#This Row],[doc_id_strongest]]),0)),""))</f>
        <v/>
      </c>
    </row>
    <row r="170" spans="1:8" x14ac:dyDescent="0.25">
      <c r="A170" s="36">
        <v>10</v>
      </c>
      <c r="B170" t="s">
        <v>98</v>
      </c>
      <c r="C170" s="4">
        <f>IF(Tabelle18[[#This Row],[binding_level_company]]&gt;=1,1,0)</f>
        <v>0</v>
      </c>
      <c r="D170" s="4">
        <f>IFERROR(_xlfn.MAXIFS(Tabelle5[binding_level],Tabelle5[company_id],Tabelle18[[#This Row],[company_id]],Tabelle5[value_id],Tabelle18[[#This Row],[value_id]],Tabelle5[value_present],1),0)</f>
        <v>0</v>
      </c>
      <c r="E170" s="4">
        <f>IFERROR(_xlfn.MAXIFS(Tabelle5[value_points],Tabelle5[company_id],Tabelle18[[#This Row],[company_id]],Tabelle5[value_id],Tabelle18[[#This Row],[value_id]]),0)</f>
        <v>0</v>
      </c>
      <c r="F170" t="str">
        <f>IF(Tabelle18[[#This Row],[value_points_company]]=0,"",IFERROR(_xlfn.MINIFS(Tabelle5[doc_id],Tabelle5[company_id],Tabelle18[[#This Row],[company_id]],Tabelle5[value_id],Tabelle18[[#This Row],[value_id]],Tabelle5[value_points],Tabelle18[[#This Row],[value_points_company]]),""))</f>
        <v/>
      </c>
      <c r="G170" t="str" cm="1">
        <f t="array" ref="G170">IF(Tabelle18[[#This Row],[doc_id_strongest]]="","",IFERROR(INDEX(Tabelle5[evidence_location],MATCH(1,(Tabelle5[company_id]=Tabelle18[[#This Row],[company_id]])*(Tabelle5[value_id]=Tabelle18[[#This Row],[value_id]])*(Tabelle5[doc_id]=Tabelle18[[#This Row],[doc_id_strongest]]),0)),""))</f>
        <v/>
      </c>
      <c r="H170" s="33" t="str" cm="1">
        <f t="array" ref="H170">IF(Tabelle18[[#This Row],[doc_id_strongest]]="","",IFERROR(INDEX(Tabelle5[evidence_quote],MATCH(1,(Tabelle5[company_id]=Tabelle18[[#This Row],[company_id]])*(Tabelle5[value_id]=Tabelle18[[#This Row],[value_id]])*(Tabelle5[doc_id]=Tabelle18[[#This Row],[doc_id_strongest]]),0)),""))</f>
        <v/>
      </c>
    </row>
    <row r="171" spans="1:8" x14ac:dyDescent="0.25">
      <c r="A171" s="36">
        <v>10</v>
      </c>
      <c r="B171" t="s">
        <v>106</v>
      </c>
      <c r="C171" s="4">
        <f>IF(Tabelle18[[#This Row],[binding_level_company]]&gt;=1,1,0)</f>
        <v>1</v>
      </c>
      <c r="D171" s="4">
        <f>IFERROR(_xlfn.MAXIFS(Tabelle5[binding_level],Tabelle5[company_id],Tabelle18[[#This Row],[company_id]],Tabelle5[value_id],Tabelle18[[#This Row],[value_id]],Tabelle5[value_present],1),0)</f>
        <v>1</v>
      </c>
      <c r="E171" s="4">
        <f>IFERROR(_xlfn.MAXIFS(Tabelle5[value_points],Tabelle5[company_id],Tabelle18[[#This Row],[company_id]],Tabelle5[value_id],Tabelle18[[#This Row],[value_id]]),0)</f>
        <v>1</v>
      </c>
      <c r="F171">
        <f>IF(Tabelle18[[#This Row],[value_points_company]]=0,"",IFERROR(_xlfn.MINIFS(Tabelle5[doc_id],Tabelle5[company_id],Tabelle18[[#This Row],[company_id]],Tabelle5[value_id],Tabelle18[[#This Row],[value_id]],Tabelle5[value_points],Tabelle18[[#This Row],[value_points_company]]),""))</f>
        <v>52</v>
      </c>
      <c r="G171" t="str" cm="1">
        <f t="array" ref="G171">IF(Tabelle18[[#This Row],[doc_id_strongest]]="","",IFERROR(INDEX(Tabelle5[evidence_location],MATCH(1,(Tabelle5[company_id]=Tabelle18[[#This Row],[company_id]])*(Tabelle5[value_id]=Tabelle18[[#This Row],[value_id]])*(Tabelle5[doc_id]=Tabelle18[[#This Row],[doc_id_strongest]]),0)),""))</f>
        <v>S. 40</v>
      </c>
      <c r="H171" s="33" t="str" cm="1">
        <f t="array" ref="H171">IF(Tabelle18[[#This Row],[doc_id_strongest]]="","",IFERROR(INDEX(Tabelle5[evidence_quote],MATCH(1,(Tabelle5[company_id]=Tabelle18[[#This Row],[company_id]])*(Tabelle5[value_id]=Tabelle18[[#This Row],[value_id]])*(Tabelle5[doc_id]=Tabelle18[[#This Row],[doc_id_strongest]]),0)),""))</f>
        <v>“prevent its uncontrolled use”</v>
      </c>
    </row>
    <row r="172" spans="1:8" x14ac:dyDescent="0.25">
      <c r="A172" s="36">
        <v>10</v>
      </c>
      <c r="B172" t="s">
        <v>112</v>
      </c>
      <c r="C172" s="4">
        <f>IF(Tabelle18[[#This Row],[binding_level_company]]&gt;=1,1,0)</f>
        <v>0</v>
      </c>
      <c r="D172" s="4">
        <f>IFERROR(_xlfn.MAXIFS(Tabelle5[binding_level],Tabelle5[company_id],Tabelle18[[#This Row],[company_id]],Tabelle5[value_id],Tabelle18[[#This Row],[value_id]],Tabelle5[value_present],1),0)</f>
        <v>0</v>
      </c>
      <c r="E172" s="4">
        <f>IFERROR(_xlfn.MAXIFS(Tabelle5[value_points],Tabelle5[company_id],Tabelle18[[#This Row],[company_id]],Tabelle5[value_id],Tabelle18[[#This Row],[value_id]]),0)</f>
        <v>0</v>
      </c>
      <c r="F172" t="str">
        <f>IF(Tabelle18[[#This Row],[value_points_company]]=0,"",IFERROR(_xlfn.MINIFS(Tabelle5[doc_id],Tabelle5[company_id],Tabelle18[[#This Row],[company_id]],Tabelle5[value_id],Tabelle18[[#This Row],[value_id]],Tabelle5[value_points],Tabelle18[[#This Row],[value_points_company]]),""))</f>
        <v/>
      </c>
      <c r="G172" t="str" cm="1">
        <f t="array" ref="G172">IF(Tabelle18[[#This Row],[doc_id_strongest]]="","",IFERROR(INDEX(Tabelle5[evidence_location],MATCH(1,(Tabelle5[company_id]=Tabelle18[[#This Row],[company_id]])*(Tabelle5[value_id]=Tabelle18[[#This Row],[value_id]])*(Tabelle5[doc_id]=Tabelle18[[#This Row],[doc_id_strongest]]),0)),""))</f>
        <v/>
      </c>
      <c r="H172" s="33" t="str" cm="1">
        <f t="array" ref="H172">IF(Tabelle18[[#This Row],[doc_id_strongest]]="","",IFERROR(INDEX(Tabelle5[evidence_quote],MATCH(1,(Tabelle5[company_id]=Tabelle18[[#This Row],[company_id]])*(Tabelle5[value_id]=Tabelle18[[#This Row],[value_id]])*(Tabelle5[doc_id]=Tabelle18[[#This Row],[doc_id_strongest]]),0)),""))</f>
        <v/>
      </c>
    </row>
    <row r="173" spans="1:8" x14ac:dyDescent="0.25">
      <c r="A173" s="36">
        <v>10</v>
      </c>
      <c r="B173" t="s">
        <v>118</v>
      </c>
      <c r="C173" s="4">
        <f>IF(Tabelle18[[#This Row],[binding_level_company]]&gt;=1,1,0)</f>
        <v>0</v>
      </c>
      <c r="D173" s="4">
        <f>IFERROR(_xlfn.MAXIFS(Tabelle5[binding_level],Tabelle5[company_id],Tabelle18[[#This Row],[company_id]],Tabelle5[value_id],Tabelle18[[#This Row],[value_id]],Tabelle5[value_present],1),0)</f>
        <v>0</v>
      </c>
      <c r="E173" s="4">
        <f>IFERROR(_xlfn.MAXIFS(Tabelle5[value_points],Tabelle5[company_id],Tabelle18[[#This Row],[company_id]],Tabelle5[value_id],Tabelle18[[#This Row],[value_id]]),0)</f>
        <v>0</v>
      </c>
      <c r="F173" t="str">
        <f>IF(Tabelle18[[#This Row],[value_points_company]]=0,"",IFERROR(_xlfn.MINIFS(Tabelle5[doc_id],Tabelle5[company_id],Tabelle18[[#This Row],[company_id]],Tabelle5[value_id],Tabelle18[[#This Row],[value_id]],Tabelle5[value_points],Tabelle18[[#This Row],[value_points_company]]),""))</f>
        <v/>
      </c>
      <c r="G173" t="str" cm="1">
        <f t="array" ref="G173">IF(Tabelle18[[#This Row],[doc_id_strongest]]="","",IFERROR(INDEX(Tabelle5[evidence_location],MATCH(1,(Tabelle5[company_id]=Tabelle18[[#This Row],[company_id]])*(Tabelle5[value_id]=Tabelle18[[#This Row],[value_id]])*(Tabelle5[doc_id]=Tabelle18[[#This Row],[doc_id_strongest]]),0)),""))</f>
        <v/>
      </c>
      <c r="H173" s="33" t="str" cm="1">
        <f t="array" ref="H173">IF(Tabelle18[[#This Row],[doc_id_strongest]]="","",IFERROR(INDEX(Tabelle5[evidence_quote],MATCH(1,(Tabelle5[company_id]=Tabelle18[[#This Row],[company_id]])*(Tabelle5[value_id]=Tabelle18[[#This Row],[value_id]])*(Tabelle5[doc_id]=Tabelle18[[#This Row],[doc_id_strongest]]),0)),""))</f>
        <v/>
      </c>
    </row>
    <row r="174" spans="1:8" x14ac:dyDescent="0.25">
      <c r="A174" s="36">
        <v>10</v>
      </c>
      <c r="B174" t="s">
        <v>125</v>
      </c>
      <c r="C174" s="4">
        <f>IF(Tabelle18[[#This Row],[binding_level_company]]&gt;=1,1,0)</f>
        <v>0</v>
      </c>
      <c r="D174" s="4">
        <f>IFERROR(_xlfn.MAXIFS(Tabelle5[binding_level],Tabelle5[company_id],Tabelle18[[#This Row],[company_id]],Tabelle5[value_id],Tabelle18[[#This Row],[value_id]],Tabelle5[value_present],1),0)</f>
        <v>0</v>
      </c>
      <c r="E174" s="4">
        <f>IFERROR(_xlfn.MAXIFS(Tabelle5[value_points],Tabelle5[company_id],Tabelle18[[#This Row],[company_id]],Tabelle5[value_id],Tabelle18[[#This Row],[value_id]]),0)</f>
        <v>0</v>
      </c>
      <c r="F174" t="str">
        <f>IF(Tabelle18[[#This Row],[value_points_company]]=0,"",IFERROR(_xlfn.MINIFS(Tabelle5[doc_id],Tabelle5[company_id],Tabelle18[[#This Row],[company_id]],Tabelle5[value_id],Tabelle18[[#This Row],[value_id]],Tabelle5[value_points],Tabelle18[[#This Row],[value_points_company]]),""))</f>
        <v/>
      </c>
      <c r="G174" t="str" cm="1">
        <f t="array" ref="G174">IF(Tabelle18[[#This Row],[doc_id_strongest]]="","",IFERROR(INDEX(Tabelle5[evidence_location],MATCH(1,(Tabelle5[company_id]=Tabelle18[[#This Row],[company_id]])*(Tabelle5[value_id]=Tabelle18[[#This Row],[value_id]])*(Tabelle5[doc_id]=Tabelle18[[#This Row],[doc_id_strongest]]),0)),""))</f>
        <v/>
      </c>
      <c r="H174" s="33" t="str" cm="1">
        <f t="array" ref="H174">IF(Tabelle18[[#This Row],[doc_id_strongest]]="","",IFERROR(INDEX(Tabelle5[evidence_quote],MATCH(1,(Tabelle5[company_id]=Tabelle18[[#This Row],[company_id]])*(Tabelle5[value_id]=Tabelle18[[#This Row],[value_id]])*(Tabelle5[doc_id]=Tabelle18[[#This Row],[doc_id_strongest]]),0)),""))</f>
        <v/>
      </c>
    </row>
    <row r="175" spans="1:8" x14ac:dyDescent="0.25">
      <c r="A175" s="36">
        <v>10</v>
      </c>
      <c r="B175" t="s">
        <v>132</v>
      </c>
      <c r="C175" s="4">
        <f>IF(Tabelle18[[#This Row],[binding_level_company]]&gt;=1,1,0)</f>
        <v>0</v>
      </c>
      <c r="D175" s="4">
        <f>IFERROR(_xlfn.MAXIFS(Tabelle5[binding_level],Tabelle5[company_id],Tabelle18[[#This Row],[company_id]],Tabelle5[value_id],Tabelle18[[#This Row],[value_id]],Tabelle5[value_present],1),0)</f>
        <v>0</v>
      </c>
      <c r="E175" s="4">
        <f>IFERROR(_xlfn.MAXIFS(Tabelle5[value_points],Tabelle5[company_id],Tabelle18[[#This Row],[company_id]],Tabelle5[value_id],Tabelle18[[#This Row],[value_id]]),0)</f>
        <v>0</v>
      </c>
      <c r="F175" t="str">
        <f>IF(Tabelle18[[#This Row],[value_points_company]]=0,"",IFERROR(_xlfn.MINIFS(Tabelle5[doc_id],Tabelle5[company_id],Tabelle18[[#This Row],[company_id]],Tabelle5[value_id],Tabelle18[[#This Row],[value_id]],Tabelle5[value_points],Tabelle18[[#This Row],[value_points_company]]),""))</f>
        <v/>
      </c>
      <c r="G175" t="str" cm="1">
        <f t="array" ref="G175">IF(Tabelle18[[#This Row],[doc_id_strongest]]="","",IFERROR(INDEX(Tabelle5[evidence_location],MATCH(1,(Tabelle5[company_id]=Tabelle18[[#This Row],[company_id]])*(Tabelle5[value_id]=Tabelle18[[#This Row],[value_id]])*(Tabelle5[doc_id]=Tabelle18[[#This Row],[doc_id_strongest]]),0)),""))</f>
        <v/>
      </c>
      <c r="H175" s="33" t="str" cm="1">
        <f t="array" ref="H175">IF(Tabelle18[[#This Row],[doc_id_strongest]]="","",IFERROR(INDEX(Tabelle5[evidence_quote],MATCH(1,(Tabelle5[company_id]=Tabelle18[[#This Row],[company_id]])*(Tabelle5[value_id]=Tabelle18[[#This Row],[value_id]])*(Tabelle5[doc_id]=Tabelle18[[#This Row],[doc_id_strongest]]),0)),""))</f>
        <v/>
      </c>
    </row>
    <row r="176" spans="1:8" x14ac:dyDescent="0.25">
      <c r="A176" s="36">
        <v>10</v>
      </c>
      <c r="B176" t="s">
        <v>140</v>
      </c>
      <c r="C176" s="4">
        <f>IF(Tabelle18[[#This Row],[binding_level_company]]&gt;=1,1,0)</f>
        <v>1</v>
      </c>
      <c r="D176" s="4">
        <f>IFERROR(_xlfn.MAXIFS(Tabelle5[binding_level],Tabelle5[company_id],Tabelle18[[#This Row],[company_id]],Tabelle5[value_id],Tabelle18[[#This Row],[value_id]],Tabelle5[value_present],1),0)</f>
        <v>1</v>
      </c>
      <c r="E176" s="4">
        <f>IFERROR(_xlfn.MAXIFS(Tabelle5[value_points],Tabelle5[company_id],Tabelle18[[#This Row],[company_id]],Tabelle5[value_id],Tabelle18[[#This Row],[value_id]]),0)</f>
        <v>1</v>
      </c>
      <c r="F176">
        <f>IF(Tabelle18[[#This Row],[value_points_company]]=0,"",IFERROR(_xlfn.MINIFS(Tabelle5[doc_id],Tabelle5[company_id],Tabelle18[[#This Row],[company_id]],Tabelle5[value_id],Tabelle18[[#This Row],[value_id]],Tabelle5[value_points],Tabelle18[[#This Row],[value_points_company]]),""))</f>
        <v>52</v>
      </c>
      <c r="G176" t="str" cm="1">
        <f t="array" ref="G176">IF(Tabelle18[[#This Row],[doc_id_strongest]]="","",IFERROR(INDEX(Tabelle5[evidence_location],MATCH(1,(Tabelle5[company_id]=Tabelle18[[#This Row],[company_id]])*(Tabelle5[value_id]=Tabelle18[[#This Row],[value_id]])*(Tabelle5[doc_id]=Tabelle18[[#This Row],[doc_id_strongest]]),0)),""))</f>
        <v>S. 40</v>
      </c>
      <c r="H176" s="33" t="str" cm="1">
        <f t="array" ref="H176">IF(Tabelle18[[#This Row],[doc_id_strongest]]="","",IFERROR(INDEX(Tabelle5[evidence_quote],MATCH(1,(Tabelle5[company_id]=Tabelle18[[#This Row],[company_id]])*(Tabelle5[value_id]=Tabelle18[[#This Row],[value_id]])*(Tabelle5[doc_id]=Tabelle18[[#This Row],[doc_id_strongest]]),0)),""))</f>
        <v>“benefits for our stakeholders … and society at large”; “prioritize human well-being"</v>
      </c>
    </row>
    <row r="177" spans="1:8" x14ac:dyDescent="0.25">
      <c r="A177" s="36">
        <v>10</v>
      </c>
      <c r="B177" t="s">
        <v>147</v>
      </c>
      <c r="C177" s="4">
        <f>IF(Tabelle18[[#This Row],[binding_level_company]]&gt;=1,1,0)</f>
        <v>1</v>
      </c>
      <c r="D177" s="4">
        <f>IFERROR(_xlfn.MAXIFS(Tabelle5[binding_level],Tabelle5[company_id],Tabelle18[[#This Row],[company_id]],Tabelle5[value_id],Tabelle18[[#This Row],[value_id]],Tabelle5[value_present],1),0)</f>
        <v>2</v>
      </c>
      <c r="E177" s="4">
        <f>IFERROR(_xlfn.MAXIFS(Tabelle5[value_points],Tabelle5[company_id],Tabelle18[[#This Row],[company_id]],Tabelle5[value_id],Tabelle18[[#This Row],[value_id]]),0)</f>
        <v>2</v>
      </c>
      <c r="F177">
        <f>IF(Tabelle18[[#This Row],[value_points_company]]=0,"",IFERROR(_xlfn.MINIFS(Tabelle5[doc_id],Tabelle5[company_id],Tabelle18[[#This Row],[company_id]],Tabelle5[value_id],Tabelle18[[#This Row],[value_id]],Tabelle5[value_points],Tabelle18[[#This Row],[value_points_company]]),""))</f>
        <v>53</v>
      </c>
      <c r="G177" t="str" cm="1">
        <f t="array" ref="G177">IF(Tabelle18[[#This Row],[doc_id_strongest]]="","",IFERROR(INDEX(Tabelle5[evidence_location],MATCH(1,(Tabelle5[company_id]=Tabelle18[[#This Row],[company_id]])*(Tabelle5[value_id]=Tabelle18[[#This Row],[value_id]])*(Tabelle5[doc_id]=Tabelle18[[#This Row],[doc_id_strongest]]),0)),""))</f>
        <v>S. 3</v>
      </c>
      <c r="H177" s="33" t="str" cm="1">
        <f t="array" ref="H177">IF(Tabelle18[[#This Row],[doc_id_strongest]]="","",IFERROR(INDEX(Tabelle5[evidence_quote],MATCH(1,(Tabelle5[company_id]=Tabelle18[[#This Row],[company_id]])*(Tabelle5[value_id]=Tabelle18[[#This Row],[value_id]])*(Tabelle5[doc_id]=Tabelle18[[#This Row],[doc_id_strongest]]),0)),""))</f>
        <v>“complies with all applicable national and international laws and regulations”</v>
      </c>
    </row>
    <row r="178" spans="1:8" x14ac:dyDescent="0.25">
      <c r="A178" s="36">
        <v>10</v>
      </c>
      <c r="B178" t="s">
        <v>154</v>
      </c>
      <c r="C178" s="4">
        <f>IF(Tabelle18[[#This Row],[binding_level_company]]&gt;=1,1,0)</f>
        <v>1</v>
      </c>
      <c r="D178" s="4">
        <f>IFERROR(_xlfn.MAXIFS(Tabelle5[binding_level],Tabelle5[company_id],Tabelle18[[#This Row],[company_id]],Tabelle5[value_id],Tabelle18[[#This Row],[value_id]],Tabelle5[value_present],1),0)</f>
        <v>2</v>
      </c>
      <c r="E178" s="4">
        <f>IFERROR(_xlfn.MAXIFS(Tabelle5[value_points],Tabelle5[company_id],Tabelle18[[#This Row],[company_id]],Tabelle5[value_id],Tabelle18[[#This Row],[value_id]]),0)</f>
        <v>2</v>
      </c>
      <c r="F178">
        <f>IF(Tabelle18[[#This Row],[value_points_company]]=0,"",IFERROR(_xlfn.MINIFS(Tabelle5[doc_id],Tabelle5[company_id],Tabelle18[[#This Row],[company_id]],Tabelle5[value_id],Tabelle18[[#This Row],[value_id]],Tabelle5[value_points],Tabelle18[[#This Row],[value_points_company]]),""))</f>
        <v>53</v>
      </c>
      <c r="G178" t="str" cm="1">
        <f t="array" ref="G178">IF(Tabelle18[[#This Row],[doc_id_strongest]]="","",IFERROR(INDEX(Tabelle5[evidence_location],MATCH(1,(Tabelle5[company_id]=Tabelle18[[#This Row],[company_id]])*(Tabelle5[value_id]=Tabelle18[[#This Row],[value_id]])*(Tabelle5[doc_id]=Tabelle18[[#This Row],[doc_id_strongest]]),0)),""))</f>
        <v>S. 3</v>
      </c>
      <c r="H178" s="33" t="str" cm="1">
        <f t="array" ref="H178">IF(Tabelle18[[#This Row],[doc_id_strongest]]="","",IFERROR(INDEX(Tabelle5[evidence_quote],MATCH(1,(Tabelle5[company_id]=Tabelle18[[#This Row],[company_id]])*(Tabelle5[value_id]=Tabelle18[[#This Row],[value_id]])*(Tabelle5[doc_id]=Tabelle18[[#This Row],[doc_id_strongest]]),0)),""))</f>
        <v>“will respect ethical standards”</v>
      </c>
    </row>
    <row r="179" spans="1:8" x14ac:dyDescent="0.25">
      <c r="A179" s="36">
        <v>10</v>
      </c>
      <c r="B179" t="s">
        <v>161</v>
      </c>
      <c r="C179" s="4">
        <f>IF(Tabelle18[[#This Row],[binding_level_company]]&gt;=1,1,0)</f>
        <v>0</v>
      </c>
      <c r="D179" s="4">
        <f>IFERROR(_xlfn.MAXIFS(Tabelle5[binding_level],Tabelle5[company_id],Tabelle18[[#This Row],[company_id]],Tabelle5[value_id],Tabelle18[[#This Row],[value_id]],Tabelle5[value_present],1),0)</f>
        <v>0</v>
      </c>
      <c r="E179" s="4">
        <f>IFERROR(_xlfn.MAXIFS(Tabelle5[value_points],Tabelle5[company_id],Tabelle18[[#This Row],[company_id]],Tabelle5[value_id],Tabelle18[[#This Row],[value_id]]),0)</f>
        <v>0</v>
      </c>
      <c r="F179" t="str">
        <f>IF(Tabelle18[[#This Row],[value_points_company]]=0,"",IFERROR(_xlfn.MINIFS(Tabelle5[doc_id],Tabelle5[company_id],Tabelle18[[#This Row],[company_id]],Tabelle5[value_id],Tabelle18[[#This Row],[value_id]],Tabelle5[value_points],Tabelle18[[#This Row],[value_points_company]]),""))</f>
        <v/>
      </c>
      <c r="G179" t="str" cm="1">
        <f t="array" ref="G179">IF(Tabelle18[[#This Row],[doc_id_strongest]]="","",IFERROR(INDEX(Tabelle5[evidence_location],MATCH(1,(Tabelle5[company_id]=Tabelle18[[#This Row],[company_id]])*(Tabelle5[value_id]=Tabelle18[[#This Row],[value_id]])*(Tabelle5[doc_id]=Tabelle18[[#This Row],[doc_id_strongest]]),0)),""))</f>
        <v/>
      </c>
      <c r="H179" s="33" t="str" cm="1">
        <f t="array" ref="H179">IF(Tabelle18[[#This Row],[doc_id_strongest]]="","",IFERROR(INDEX(Tabelle5[evidence_quote],MATCH(1,(Tabelle5[company_id]=Tabelle18[[#This Row],[company_id]])*(Tabelle5[value_id]=Tabelle18[[#This Row],[value_id]])*(Tabelle5[doc_id]=Tabelle18[[#This Row],[doc_id_strongest]]),0)),""))</f>
        <v/>
      </c>
    </row>
    <row r="180" spans="1:8" x14ac:dyDescent="0.25">
      <c r="A180" s="36">
        <v>10</v>
      </c>
      <c r="B180" t="s">
        <v>166</v>
      </c>
      <c r="C180" s="4">
        <f>IF(Tabelle18[[#This Row],[binding_level_company]]&gt;=1,1,0)</f>
        <v>0</v>
      </c>
      <c r="D180" s="4">
        <f>IFERROR(_xlfn.MAXIFS(Tabelle5[binding_level],Tabelle5[company_id],Tabelle18[[#This Row],[company_id]],Tabelle5[value_id],Tabelle18[[#This Row],[value_id]],Tabelle5[value_present],1),0)</f>
        <v>0</v>
      </c>
      <c r="E180" s="4">
        <f>IFERROR(_xlfn.MAXIFS(Tabelle5[value_points],Tabelle5[company_id],Tabelle18[[#This Row],[company_id]],Tabelle5[value_id],Tabelle18[[#This Row],[value_id]]),0)</f>
        <v>0</v>
      </c>
      <c r="F180" t="str">
        <f>IF(Tabelle18[[#This Row],[value_points_company]]=0,"",IFERROR(_xlfn.MINIFS(Tabelle5[doc_id],Tabelle5[company_id],Tabelle18[[#This Row],[company_id]],Tabelle5[value_id],Tabelle18[[#This Row],[value_id]],Tabelle5[value_points],Tabelle18[[#This Row],[value_points_company]]),""))</f>
        <v/>
      </c>
      <c r="G180" t="str" cm="1">
        <f t="array" ref="G180">IF(Tabelle18[[#This Row],[doc_id_strongest]]="","",IFERROR(INDEX(Tabelle5[evidence_location],MATCH(1,(Tabelle5[company_id]=Tabelle18[[#This Row],[company_id]])*(Tabelle5[value_id]=Tabelle18[[#This Row],[value_id]])*(Tabelle5[doc_id]=Tabelle18[[#This Row],[doc_id_strongest]]),0)),""))</f>
        <v/>
      </c>
      <c r="H180" s="33" t="str" cm="1">
        <f t="array" ref="H180">IF(Tabelle18[[#This Row],[doc_id_strongest]]="","",IFERROR(INDEX(Tabelle5[evidence_quote],MATCH(1,(Tabelle5[company_id]=Tabelle18[[#This Row],[company_id]])*(Tabelle5[value_id]=Tabelle18[[#This Row],[value_id]])*(Tabelle5[doc_id]=Tabelle18[[#This Row],[doc_id_strongest]]),0)),""))</f>
        <v/>
      </c>
    </row>
    <row r="181" spans="1:8" ht="15.75" thickBot="1" x14ac:dyDescent="0.3">
      <c r="A181" s="37">
        <v>10</v>
      </c>
      <c r="B181" s="30" t="s">
        <v>174</v>
      </c>
      <c r="C181" s="49">
        <f>IF(Tabelle18[[#This Row],[binding_level_company]]&gt;=1,1,0)</f>
        <v>0</v>
      </c>
      <c r="D181" s="49">
        <f>IFERROR(_xlfn.MAXIFS(Tabelle5[binding_level],Tabelle5[company_id],Tabelle18[[#This Row],[company_id]],Tabelle5[value_id],Tabelle18[[#This Row],[value_id]],Tabelle5[value_present],1),0)</f>
        <v>0</v>
      </c>
      <c r="E181" s="49">
        <f>IFERROR(_xlfn.MAXIFS(Tabelle5[value_points],Tabelle5[company_id],Tabelle18[[#This Row],[company_id]],Tabelle5[value_id],Tabelle18[[#This Row],[value_id]]),0)</f>
        <v>0</v>
      </c>
      <c r="F181" s="30" t="str">
        <f>IF(Tabelle18[[#This Row],[value_points_company]]=0,"",IFERROR(_xlfn.MINIFS(Tabelle5[doc_id],Tabelle5[company_id],Tabelle18[[#This Row],[company_id]],Tabelle5[value_id],Tabelle18[[#This Row],[value_id]],Tabelle5[value_points],Tabelle18[[#This Row],[value_points_company]]),""))</f>
        <v/>
      </c>
      <c r="G181" s="30" t="str" cm="1">
        <f t="array" ref="G181">IF(Tabelle18[[#This Row],[doc_id_strongest]]="","",IFERROR(INDEX(Tabelle5[evidence_location],MATCH(1,(Tabelle5[company_id]=Tabelle18[[#This Row],[company_id]])*(Tabelle5[value_id]=Tabelle18[[#This Row],[value_id]])*(Tabelle5[doc_id]=Tabelle18[[#This Row],[doc_id_strongest]]),0)),""))</f>
        <v/>
      </c>
      <c r="H181" s="34" t="str" cm="1">
        <f t="array" ref="H181">IF(Tabelle18[[#This Row],[doc_id_strongest]]="","",IFERROR(INDEX(Tabelle5[evidence_quote],MATCH(1,(Tabelle5[company_id]=Tabelle18[[#This Row],[company_id]])*(Tabelle5[value_id]=Tabelle18[[#This Row],[value_id]])*(Tabelle5[doc_id]=Tabelle18[[#This Row],[doc_id_strongest]]),0)),""))</f>
        <v/>
      </c>
    </row>
    <row r="182" spans="1:8" x14ac:dyDescent="0.25">
      <c r="A182" s="35">
        <v>11</v>
      </c>
      <c r="B182" s="22" t="s">
        <v>53</v>
      </c>
      <c r="C182" s="48">
        <f>IF(Tabelle18[[#This Row],[binding_level_company]]&gt;=1,1,0)</f>
        <v>0</v>
      </c>
      <c r="D182" s="48">
        <f>IFERROR(_xlfn.MAXIFS(Tabelle5[binding_level],Tabelle5[company_id],Tabelle18[[#This Row],[company_id]],Tabelle5[value_id],Tabelle18[[#This Row],[value_id]],Tabelle5[value_present],1),0)</f>
        <v>0</v>
      </c>
      <c r="E182" s="48">
        <f>IFERROR(_xlfn.MAXIFS(Tabelle5[value_points],Tabelle5[company_id],Tabelle18[[#This Row],[company_id]],Tabelle5[value_id],Tabelle18[[#This Row],[value_id]]),0)</f>
        <v>0</v>
      </c>
      <c r="F182" s="22" t="str">
        <f>IF(Tabelle18[[#This Row],[value_points_company]]=0,"",IFERROR(_xlfn.MINIFS(Tabelle5[doc_id],Tabelle5[company_id],Tabelle18[[#This Row],[company_id]],Tabelle5[value_id],Tabelle18[[#This Row],[value_id]],Tabelle5[value_points],Tabelle18[[#This Row],[value_points_company]]),""))</f>
        <v/>
      </c>
      <c r="G182" s="22" t="str" cm="1">
        <f t="array" ref="G182">IF(Tabelle18[[#This Row],[doc_id_strongest]]="","",IFERROR(INDEX(Tabelle5[evidence_location],MATCH(1,(Tabelle5[company_id]=Tabelle18[[#This Row],[company_id]])*(Tabelle5[value_id]=Tabelle18[[#This Row],[value_id]])*(Tabelle5[doc_id]=Tabelle18[[#This Row],[doc_id_strongest]]),0)),""))</f>
        <v/>
      </c>
      <c r="H182" s="32" t="str" cm="1">
        <f t="array" ref="H182">IF(Tabelle18[[#This Row],[doc_id_strongest]]="","",IFERROR(INDEX(Tabelle5[evidence_quote],MATCH(1,(Tabelle5[company_id]=Tabelle18[[#This Row],[company_id]])*(Tabelle5[value_id]=Tabelle18[[#This Row],[value_id]])*(Tabelle5[doc_id]=Tabelle18[[#This Row],[doc_id_strongest]]),0)),""))</f>
        <v/>
      </c>
    </row>
    <row r="183" spans="1:8" x14ac:dyDescent="0.25">
      <c r="A183" s="36">
        <v>11</v>
      </c>
      <c r="B183" t="s">
        <v>61</v>
      </c>
      <c r="C183" s="4">
        <f>IF(Tabelle18[[#This Row],[binding_level_company]]&gt;=1,1,0)</f>
        <v>0</v>
      </c>
      <c r="D183" s="4">
        <f>IFERROR(_xlfn.MAXIFS(Tabelle5[binding_level],Tabelle5[company_id],Tabelle18[[#This Row],[company_id]],Tabelle5[value_id],Tabelle18[[#This Row],[value_id]],Tabelle5[value_present],1),0)</f>
        <v>0</v>
      </c>
      <c r="E183" s="4">
        <f>IFERROR(_xlfn.MAXIFS(Tabelle5[value_points],Tabelle5[company_id],Tabelle18[[#This Row],[company_id]],Tabelle5[value_id],Tabelle18[[#This Row],[value_id]]),0)</f>
        <v>0</v>
      </c>
      <c r="F183" t="str">
        <f>IF(Tabelle18[[#This Row],[value_points_company]]=0,"",IFERROR(_xlfn.MINIFS(Tabelle5[doc_id],Tabelle5[company_id],Tabelle18[[#This Row],[company_id]],Tabelle5[value_id],Tabelle18[[#This Row],[value_id]],Tabelle5[value_points],Tabelle18[[#This Row],[value_points_company]]),""))</f>
        <v/>
      </c>
      <c r="G183" t="str" cm="1">
        <f t="array" ref="G183">IF(Tabelle18[[#This Row],[doc_id_strongest]]="","",IFERROR(INDEX(Tabelle5[evidence_location],MATCH(1,(Tabelle5[company_id]=Tabelle18[[#This Row],[company_id]])*(Tabelle5[value_id]=Tabelle18[[#This Row],[value_id]])*(Tabelle5[doc_id]=Tabelle18[[#This Row],[doc_id_strongest]]),0)),""))</f>
        <v/>
      </c>
      <c r="H183" s="33" t="str" cm="1">
        <f t="array" ref="H183">IF(Tabelle18[[#This Row],[doc_id_strongest]]="","",IFERROR(INDEX(Tabelle5[evidence_quote],MATCH(1,(Tabelle5[company_id]=Tabelle18[[#This Row],[company_id]])*(Tabelle5[value_id]=Tabelle18[[#This Row],[value_id]])*(Tabelle5[doc_id]=Tabelle18[[#This Row],[doc_id_strongest]]),0)),""))</f>
        <v/>
      </c>
    </row>
    <row r="184" spans="1:8" x14ac:dyDescent="0.25">
      <c r="A184" s="36">
        <v>11</v>
      </c>
      <c r="B184" t="s">
        <v>69</v>
      </c>
      <c r="C184" s="4">
        <f>IF(Tabelle18[[#This Row],[binding_level_company]]&gt;=1,1,0)</f>
        <v>0</v>
      </c>
      <c r="D184" s="4">
        <f>IFERROR(_xlfn.MAXIFS(Tabelle5[binding_level],Tabelle5[company_id],Tabelle18[[#This Row],[company_id]],Tabelle5[value_id],Tabelle18[[#This Row],[value_id]],Tabelle5[value_present],1),0)</f>
        <v>0</v>
      </c>
      <c r="E184" s="4">
        <f>IFERROR(_xlfn.MAXIFS(Tabelle5[value_points],Tabelle5[company_id],Tabelle18[[#This Row],[company_id]],Tabelle5[value_id],Tabelle18[[#This Row],[value_id]]),0)</f>
        <v>0</v>
      </c>
      <c r="F184" t="str">
        <f>IF(Tabelle18[[#This Row],[value_points_company]]=0,"",IFERROR(_xlfn.MINIFS(Tabelle5[doc_id],Tabelle5[company_id],Tabelle18[[#This Row],[company_id]],Tabelle5[value_id],Tabelle18[[#This Row],[value_id]],Tabelle5[value_points],Tabelle18[[#This Row],[value_points_company]]),""))</f>
        <v/>
      </c>
      <c r="G184" t="str" cm="1">
        <f t="array" ref="G184">IF(Tabelle18[[#This Row],[doc_id_strongest]]="","",IFERROR(INDEX(Tabelle5[evidence_location],MATCH(1,(Tabelle5[company_id]=Tabelle18[[#This Row],[company_id]])*(Tabelle5[value_id]=Tabelle18[[#This Row],[value_id]])*(Tabelle5[doc_id]=Tabelle18[[#This Row],[doc_id_strongest]]),0)),""))</f>
        <v/>
      </c>
      <c r="H184" s="33" t="str" cm="1">
        <f t="array" ref="H184">IF(Tabelle18[[#This Row],[doc_id_strongest]]="","",IFERROR(INDEX(Tabelle5[evidence_quote],MATCH(1,(Tabelle5[company_id]=Tabelle18[[#This Row],[company_id]])*(Tabelle5[value_id]=Tabelle18[[#This Row],[value_id]])*(Tabelle5[doc_id]=Tabelle18[[#This Row],[doc_id_strongest]]),0)),""))</f>
        <v/>
      </c>
    </row>
    <row r="185" spans="1:8" x14ac:dyDescent="0.25">
      <c r="A185" s="36">
        <v>11</v>
      </c>
      <c r="B185" t="s">
        <v>76</v>
      </c>
      <c r="C185" s="4">
        <f>IF(Tabelle18[[#This Row],[binding_level_company]]&gt;=1,1,0)</f>
        <v>1</v>
      </c>
      <c r="D185" s="4">
        <f>IFERROR(_xlfn.MAXIFS(Tabelle5[binding_level],Tabelle5[company_id],Tabelle18[[#This Row],[company_id]],Tabelle5[value_id],Tabelle18[[#This Row],[value_id]],Tabelle5[value_present],1),0)</f>
        <v>1</v>
      </c>
      <c r="E185" s="4">
        <f>IFERROR(_xlfn.MAXIFS(Tabelle5[value_points],Tabelle5[company_id],Tabelle18[[#This Row],[company_id]],Tabelle5[value_id],Tabelle18[[#This Row],[value_id]]),0)</f>
        <v>1</v>
      </c>
      <c r="F185">
        <f>IF(Tabelle18[[#This Row],[value_points_company]]=0,"",IFERROR(_xlfn.MINIFS(Tabelle5[doc_id],Tabelle5[company_id],Tabelle18[[#This Row],[company_id]],Tabelle5[value_id],Tabelle18[[#This Row],[value_id]],Tabelle5[value_points],Tabelle18[[#This Row],[value_points_company]]),""))</f>
        <v>56</v>
      </c>
      <c r="G185" t="str" cm="1">
        <f t="array" ref="G185">IF(Tabelle18[[#This Row],[doc_id_strongest]]="","",IFERROR(INDEX(Tabelle5[evidence_location],MATCH(1,(Tabelle5[company_id]=Tabelle18[[#This Row],[company_id]])*(Tabelle5[value_id]=Tabelle18[[#This Row],[value_id]])*(Tabelle5[doc_id]=Tabelle18[[#This Row],[doc_id_strongest]]),0)),""))</f>
        <v>S. 33, Abschnitt „2.5.2 Handling data“</v>
      </c>
      <c r="H185" s="33" t="str" cm="1">
        <f t="array" ref="H185">IF(Tabelle18[[#This Row],[doc_id_strongest]]="","",IFERROR(INDEX(Tabelle5[evidence_quote],MATCH(1,(Tabelle5[company_id]=Tabelle18[[#This Row],[company_id]])*(Tabelle5[value_id]=Tabelle18[[#This Row],[value_id]])*(Tabelle5[doc_id]=Tabelle18[[#This Row],[doc_id_strongest]]),0)),""))</f>
        <v>“explainability”</v>
      </c>
    </row>
    <row r="186" spans="1:8" x14ac:dyDescent="0.25">
      <c r="A186" s="36">
        <v>11</v>
      </c>
      <c r="B186" t="s">
        <v>83</v>
      </c>
      <c r="C186" s="4">
        <f>IF(Tabelle18[[#This Row],[binding_level_company]]&gt;=1,1,0)</f>
        <v>1</v>
      </c>
      <c r="D186" s="4">
        <f>IFERROR(_xlfn.MAXIFS(Tabelle5[binding_level],Tabelle5[company_id],Tabelle18[[#This Row],[company_id]],Tabelle5[value_id],Tabelle18[[#This Row],[value_id]],Tabelle5[value_present],1),0)</f>
        <v>1</v>
      </c>
      <c r="E186" s="4">
        <f>IFERROR(_xlfn.MAXIFS(Tabelle5[value_points],Tabelle5[company_id],Tabelle18[[#This Row],[company_id]],Tabelle5[value_id],Tabelle18[[#This Row],[value_id]]),0)</f>
        <v>1</v>
      </c>
      <c r="F186">
        <f>IF(Tabelle18[[#This Row],[value_points_company]]=0,"",IFERROR(_xlfn.MINIFS(Tabelle5[doc_id],Tabelle5[company_id],Tabelle18[[#This Row],[company_id]],Tabelle5[value_id],Tabelle18[[#This Row],[value_id]],Tabelle5[value_points],Tabelle18[[#This Row],[value_points_company]]),""))</f>
        <v>56</v>
      </c>
      <c r="G186" t="str" cm="1">
        <f t="array" ref="G186">IF(Tabelle18[[#This Row],[doc_id_strongest]]="","",IFERROR(INDEX(Tabelle5[evidence_location],MATCH(1,(Tabelle5[company_id]=Tabelle18[[#This Row],[company_id]])*(Tabelle5[value_id]=Tabelle18[[#This Row],[value_id]])*(Tabelle5[doc_id]=Tabelle18[[#This Row],[doc_id_strongest]]),0)),""))</f>
        <v>S. 33, Abschnitt „2.5.2 Handling data“</v>
      </c>
      <c r="H186" s="33" t="str" cm="1">
        <f t="array" ref="H186">IF(Tabelle18[[#This Row],[doc_id_strongest]]="","",IFERROR(INDEX(Tabelle5[evidence_quote],MATCH(1,(Tabelle5[company_id]=Tabelle18[[#This Row],[company_id]])*(Tabelle5[value_id]=Tabelle18[[#This Row],[value_id]])*(Tabelle5[doc_id]=Tabelle18[[#This Row],[doc_id_strongest]]),0)),""))</f>
        <v>“equal opportunities”</v>
      </c>
    </row>
    <row r="187" spans="1:8" x14ac:dyDescent="0.25">
      <c r="A187" s="36">
        <v>11</v>
      </c>
      <c r="B187" t="s">
        <v>90</v>
      </c>
      <c r="C187" s="4">
        <f>IF(Tabelle18[[#This Row],[binding_level_company]]&gt;=1,1,0)</f>
        <v>1</v>
      </c>
      <c r="D187" s="4">
        <f>IFERROR(_xlfn.MAXIFS(Tabelle5[binding_level],Tabelle5[company_id],Tabelle18[[#This Row],[company_id]],Tabelle5[value_id],Tabelle18[[#This Row],[value_id]],Tabelle5[value_present],1),0)</f>
        <v>1</v>
      </c>
      <c r="E187" s="4">
        <f>IFERROR(_xlfn.MAXIFS(Tabelle5[value_points],Tabelle5[company_id],Tabelle18[[#This Row],[company_id]],Tabelle5[value_id],Tabelle18[[#This Row],[value_id]]),0)</f>
        <v>1</v>
      </c>
      <c r="F187">
        <f>IF(Tabelle18[[#This Row],[value_points_company]]=0,"",IFERROR(_xlfn.MINIFS(Tabelle5[doc_id],Tabelle5[company_id],Tabelle18[[#This Row],[company_id]],Tabelle5[value_id],Tabelle18[[#This Row],[value_id]],Tabelle5[value_points],Tabelle18[[#This Row],[value_points_company]]),""))</f>
        <v>56</v>
      </c>
      <c r="G187" t="str" cm="1">
        <f t="array" ref="G187">IF(Tabelle18[[#This Row],[doc_id_strongest]]="","",IFERROR(INDEX(Tabelle5[evidence_location],MATCH(1,(Tabelle5[company_id]=Tabelle18[[#This Row],[company_id]])*(Tabelle5[value_id]=Tabelle18[[#This Row],[value_id]])*(Tabelle5[doc_id]=Tabelle18[[#This Row],[doc_id_strongest]]),0)),""))</f>
        <v>S. 33, Abschnitt „2.5.2 Handling data“</v>
      </c>
      <c r="H187" s="33" t="str" cm="1">
        <f t="array" ref="H187">IF(Tabelle18[[#This Row],[doc_id_strongest]]="","",IFERROR(INDEX(Tabelle5[evidence_quote],MATCH(1,(Tabelle5[company_id]=Tabelle18[[#This Row],[company_id]])*(Tabelle5[value_id]=Tabelle18[[#This Row],[value_id]])*(Tabelle5[doc_id]=Tabelle18[[#This Row],[doc_id_strongest]]),0)),""))</f>
        <v>“protection of privacy”</v>
      </c>
    </row>
    <row r="188" spans="1:8" x14ac:dyDescent="0.25">
      <c r="A188" s="36">
        <v>11</v>
      </c>
      <c r="B188" t="s">
        <v>98</v>
      </c>
      <c r="C188" s="4">
        <f>IF(Tabelle18[[#This Row],[binding_level_company]]&gt;=1,1,0)</f>
        <v>1</v>
      </c>
      <c r="D188" s="4">
        <f>IFERROR(_xlfn.MAXIFS(Tabelle5[binding_level],Tabelle5[company_id],Tabelle18[[#This Row],[company_id]],Tabelle5[value_id],Tabelle18[[#This Row],[value_id]],Tabelle5[value_present],1),0)</f>
        <v>1</v>
      </c>
      <c r="E188" s="4">
        <f>IFERROR(_xlfn.MAXIFS(Tabelle5[value_points],Tabelle5[company_id],Tabelle18[[#This Row],[company_id]],Tabelle5[value_id],Tabelle18[[#This Row],[value_id]]),0)</f>
        <v>1</v>
      </c>
      <c r="F188">
        <f>IF(Tabelle18[[#This Row],[value_points_company]]=0,"",IFERROR(_xlfn.MINIFS(Tabelle5[doc_id],Tabelle5[company_id],Tabelle18[[#This Row],[company_id]],Tabelle5[value_id],Tabelle18[[#This Row],[value_id]],Tabelle5[value_points],Tabelle18[[#This Row],[value_points_company]]),""))</f>
        <v>56</v>
      </c>
      <c r="G188" t="str" cm="1">
        <f t="array" ref="G188">IF(Tabelle18[[#This Row],[doc_id_strongest]]="","",IFERROR(INDEX(Tabelle5[evidence_location],MATCH(1,(Tabelle5[company_id]=Tabelle18[[#This Row],[company_id]])*(Tabelle5[value_id]=Tabelle18[[#This Row],[value_id]])*(Tabelle5[doc_id]=Tabelle18[[#This Row],[doc_id_strongest]]),0)),""))</f>
        <v>S. 33, Abschnitt „2.5.2 Handling data“</v>
      </c>
      <c r="H188" s="33" t="str" cm="1">
        <f t="array" ref="H188">IF(Tabelle18[[#This Row],[doc_id_strongest]]="","",IFERROR(INDEX(Tabelle5[evidence_quote],MATCH(1,(Tabelle5[company_id]=Tabelle18[[#This Row],[company_id]])*(Tabelle5[value_id]=Tabelle18[[#This Row],[value_id]])*(Tabelle5[doc_id]=Tabelle18[[#This Row],[doc_id_strongest]]),0)),""))</f>
        <v>“security”</v>
      </c>
    </row>
    <row r="189" spans="1:8" x14ac:dyDescent="0.25">
      <c r="A189" s="36">
        <v>11</v>
      </c>
      <c r="B189" t="s">
        <v>106</v>
      </c>
      <c r="C189" s="4">
        <f>IF(Tabelle18[[#This Row],[binding_level_company]]&gt;=1,1,0)</f>
        <v>0</v>
      </c>
      <c r="D189" s="4">
        <f>IFERROR(_xlfn.MAXIFS(Tabelle5[binding_level],Tabelle5[company_id],Tabelle18[[#This Row],[company_id]],Tabelle5[value_id],Tabelle18[[#This Row],[value_id]],Tabelle5[value_present],1),0)</f>
        <v>0</v>
      </c>
      <c r="E189" s="4">
        <f>IFERROR(_xlfn.MAXIFS(Tabelle5[value_points],Tabelle5[company_id],Tabelle18[[#This Row],[company_id]],Tabelle5[value_id],Tabelle18[[#This Row],[value_id]]),0)</f>
        <v>0</v>
      </c>
      <c r="F189" t="str">
        <f>IF(Tabelle18[[#This Row],[value_points_company]]=0,"",IFERROR(_xlfn.MINIFS(Tabelle5[doc_id],Tabelle5[company_id],Tabelle18[[#This Row],[company_id]],Tabelle5[value_id],Tabelle18[[#This Row],[value_id]],Tabelle5[value_points],Tabelle18[[#This Row],[value_points_company]]),""))</f>
        <v/>
      </c>
      <c r="G189" t="str" cm="1">
        <f t="array" ref="G189">IF(Tabelle18[[#This Row],[doc_id_strongest]]="","",IFERROR(INDEX(Tabelle5[evidence_location],MATCH(1,(Tabelle5[company_id]=Tabelle18[[#This Row],[company_id]])*(Tabelle5[value_id]=Tabelle18[[#This Row],[value_id]])*(Tabelle5[doc_id]=Tabelle18[[#This Row],[doc_id_strongest]]),0)),""))</f>
        <v/>
      </c>
      <c r="H189" s="33" t="str" cm="1">
        <f t="array" ref="H189">IF(Tabelle18[[#This Row],[doc_id_strongest]]="","",IFERROR(INDEX(Tabelle5[evidence_quote],MATCH(1,(Tabelle5[company_id]=Tabelle18[[#This Row],[company_id]])*(Tabelle5[value_id]=Tabelle18[[#This Row],[value_id]])*(Tabelle5[doc_id]=Tabelle18[[#This Row],[doc_id_strongest]]),0)),""))</f>
        <v/>
      </c>
    </row>
    <row r="190" spans="1:8" x14ac:dyDescent="0.25">
      <c r="A190" s="36">
        <v>11</v>
      </c>
      <c r="B190" t="s">
        <v>112</v>
      </c>
      <c r="C190" s="4">
        <f>IF(Tabelle18[[#This Row],[binding_level_company]]&gt;=1,1,0)</f>
        <v>1</v>
      </c>
      <c r="D190" s="4">
        <f>IFERROR(_xlfn.MAXIFS(Tabelle5[binding_level],Tabelle5[company_id],Tabelle18[[#This Row],[company_id]],Tabelle5[value_id],Tabelle18[[#This Row],[value_id]],Tabelle5[value_present],1),0)</f>
        <v>1</v>
      </c>
      <c r="E190" s="4">
        <f>IFERROR(_xlfn.MAXIFS(Tabelle5[value_points],Tabelle5[company_id],Tabelle18[[#This Row],[company_id]],Tabelle5[value_id],Tabelle18[[#This Row],[value_id]]),0)</f>
        <v>1</v>
      </c>
      <c r="F190">
        <f>IF(Tabelle18[[#This Row],[value_points_company]]=0,"",IFERROR(_xlfn.MINIFS(Tabelle5[doc_id],Tabelle5[company_id],Tabelle18[[#This Row],[company_id]],Tabelle5[value_id],Tabelle18[[#This Row],[value_id]],Tabelle5[value_points],Tabelle18[[#This Row],[value_points_company]]),""))</f>
        <v>56</v>
      </c>
      <c r="G190" t="str" cm="1">
        <f t="array" ref="G190">IF(Tabelle18[[#This Row],[doc_id_strongest]]="","",IFERROR(INDEX(Tabelle5[evidence_location],MATCH(1,(Tabelle5[company_id]=Tabelle18[[#This Row],[company_id]])*(Tabelle5[value_id]=Tabelle18[[#This Row],[value_id]])*(Tabelle5[doc_id]=Tabelle18[[#This Row],[doc_id_strongest]]),0)),""))</f>
        <v>S. 33, Abschnitt „2.5.2 Handling data“</v>
      </c>
      <c r="H190" s="33" t="str" cm="1">
        <f t="array" ref="H190">IF(Tabelle18[[#This Row],[doc_id_strongest]]="","",IFERROR(INDEX(Tabelle5[evidence_quote],MATCH(1,(Tabelle5[company_id]=Tabelle18[[#This Row],[company_id]])*(Tabelle5[value_id]=Tabelle18[[#This Row],[value_id]])*(Tabelle5[doc_id]=Tabelle18[[#This Row],[doc_id_strongest]]),0)),""))</f>
        <v>“reliability”</v>
      </c>
    </row>
    <row r="191" spans="1:8" x14ac:dyDescent="0.25">
      <c r="A191" s="36">
        <v>11</v>
      </c>
      <c r="B191" t="s">
        <v>118</v>
      </c>
      <c r="C191" s="4">
        <f>IF(Tabelle18[[#This Row],[binding_level_company]]&gt;=1,1,0)</f>
        <v>0</v>
      </c>
      <c r="D191" s="4">
        <f>IFERROR(_xlfn.MAXIFS(Tabelle5[binding_level],Tabelle5[company_id],Tabelle18[[#This Row],[company_id]],Tabelle5[value_id],Tabelle18[[#This Row],[value_id]],Tabelle5[value_present],1),0)</f>
        <v>0</v>
      </c>
      <c r="E191" s="4">
        <f>IFERROR(_xlfn.MAXIFS(Tabelle5[value_points],Tabelle5[company_id],Tabelle18[[#This Row],[company_id]],Tabelle5[value_id],Tabelle18[[#This Row],[value_id]]),0)</f>
        <v>0</v>
      </c>
      <c r="F191" t="str">
        <f>IF(Tabelle18[[#This Row],[value_points_company]]=0,"",IFERROR(_xlfn.MINIFS(Tabelle5[doc_id],Tabelle5[company_id],Tabelle18[[#This Row],[company_id]],Tabelle5[value_id],Tabelle18[[#This Row],[value_id]],Tabelle5[value_points],Tabelle18[[#This Row],[value_points_company]]),""))</f>
        <v/>
      </c>
      <c r="G191" t="str" cm="1">
        <f t="array" ref="G191">IF(Tabelle18[[#This Row],[doc_id_strongest]]="","",IFERROR(INDEX(Tabelle5[evidence_location],MATCH(1,(Tabelle5[company_id]=Tabelle18[[#This Row],[company_id]])*(Tabelle5[value_id]=Tabelle18[[#This Row],[value_id]])*(Tabelle5[doc_id]=Tabelle18[[#This Row],[doc_id_strongest]]),0)),""))</f>
        <v/>
      </c>
      <c r="H191" s="33" t="str" cm="1">
        <f t="array" ref="H191">IF(Tabelle18[[#This Row],[doc_id_strongest]]="","",IFERROR(INDEX(Tabelle5[evidence_quote],MATCH(1,(Tabelle5[company_id]=Tabelle18[[#This Row],[company_id]])*(Tabelle5[value_id]=Tabelle18[[#This Row],[value_id]])*(Tabelle5[doc_id]=Tabelle18[[#This Row],[doc_id_strongest]]),0)),""))</f>
        <v/>
      </c>
    </row>
    <row r="192" spans="1:8" x14ac:dyDescent="0.25">
      <c r="A192" s="36">
        <v>11</v>
      </c>
      <c r="B192" t="s">
        <v>125</v>
      </c>
      <c r="C192" s="4">
        <f>IF(Tabelle18[[#This Row],[binding_level_company]]&gt;=1,1,0)</f>
        <v>0</v>
      </c>
      <c r="D192" s="4">
        <f>IFERROR(_xlfn.MAXIFS(Tabelle5[binding_level],Tabelle5[company_id],Tabelle18[[#This Row],[company_id]],Tabelle5[value_id],Tabelle18[[#This Row],[value_id]],Tabelle5[value_present],1),0)</f>
        <v>0</v>
      </c>
      <c r="E192" s="4">
        <f>IFERROR(_xlfn.MAXIFS(Tabelle5[value_points],Tabelle5[company_id],Tabelle18[[#This Row],[company_id]],Tabelle5[value_id],Tabelle18[[#This Row],[value_id]]),0)</f>
        <v>0</v>
      </c>
      <c r="F192" t="str">
        <f>IF(Tabelle18[[#This Row],[value_points_company]]=0,"",IFERROR(_xlfn.MINIFS(Tabelle5[doc_id],Tabelle5[company_id],Tabelle18[[#This Row],[company_id]],Tabelle5[value_id],Tabelle18[[#This Row],[value_id]],Tabelle5[value_points],Tabelle18[[#This Row],[value_points_company]]),""))</f>
        <v/>
      </c>
      <c r="G192" t="str" cm="1">
        <f t="array" ref="G192">IF(Tabelle18[[#This Row],[doc_id_strongest]]="","",IFERROR(INDEX(Tabelle5[evidence_location],MATCH(1,(Tabelle5[company_id]=Tabelle18[[#This Row],[company_id]])*(Tabelle5[value_id]=Tabelle18[[#This Row],[value_id]])*(Tabelle5[doc_id]=Tabelle18[[#This Row],[doc_id_strongest]]),0)),""))</f>
        <v/>
      </c>
      <c r="H192" s="33" t="str" cm="1">
        <f t="array" ref="H192">IF(Tabelle18[[#This Row],[doc_id_strongest]]="","",IFERROR(INDEX(Tabelle5[evidence_quote],MATCH(1,(Tabelle5[company_id]=Tabelle18[[#This Row],[company_id]])*(Tabelle5[value_id]=Tabelle18[[#This Row],[value_id]])*(Tabelle5[doc_id]=Tabelle18[[#This Row],[doc_id_strongest]]),0)),""))</f>
        <v/>
      </c>
    </row>
    <row r="193" spans="1:8" x14ac:dyDescent="0.25">
      <c r="A193" s="36">
        <v>11</v>
      </c>
      <c r="B193" t="s">
        <v>132</v>
      </c>
      <c r="C193" s="4">
        <f>IF(Tabelle18[[#This Row],[binding_level_company]]&gt;=1,1,0)</f>
        <v>0</v>
      </c>
      <c r="D193" s="4">
        <f>IFERROR(_xlfn.MAXIFS(Tabelle5[binding_level],Tabelle5[company_id],Tabelle18[[#This Row],[company_id]],Tabelle5[value_id],Tabelle18[[#This Row],[value_id]],Tabelle5[value_present],1),0)</f>
        <v>0</v>
      </c>
      <c r="E193" s="4">
        <f>IFERROR(_xlfn.MAXIFS(Tabelle5[value_points],Tabelle5[company_id],Tabelle18[[#This Row],[company_id]],Tabelle5[value_id],Tabelle18[[#This Row],[value_id]]),0)</f>
        <v>0</v>
      </c>
      <c r="F193" t="str">
        <f>IF(Tabelle18[[#This Row],[value_points_company]]=0,"",IFERROR(_xlfn.MINIFS(Tabelle5[doc_id],Tabelle5[company_id],Tabelle18[[#This Row],[company_id]],Tabelle5[value_id],Tabelle18[[#This Row],[value_id]],Tabelle5[value_points],Tabelle18[[#This Row],[value_points_company]]),""))</f>
        <v/>
      </c>
      <c r="G193" t="str" cm="1">
        <f t="array" ref="G193">IF(Tabelle18[[#This Row],[doc_id_strongest]]="","",IFERROR(INDEX(Tabelle5[evidence_location],MATCH(1,(Tabelle5[company_id]=Tabelle18[[#This Row],[company_id]])*(Tabelle5[value_id]=Tabelle18[[#This Row],[value_id]])*(Tabelle5[doc_id]=Tabelle18[[#This Row],[doc_id_strongest]]),0)),""))</f>
        <v/>
      </c>
      <c r="H193" s="33" t="str" cm="1">
        <f t="array" ref="H193">IF(Tabelle18[[#This Row],[doc_id_strongest]]="","",IFERROR(INDEX(Tabelle5[evidence_quote],MATCH(1,(Tabelle5[company_id]=Tabelle18[[#This Row],[company_id]])*(Tabelle5[value_id]=Tabelle18[[#This Row],[value_id]])*(Tabelle5[doc_id]=Tabelle18[[#This Row],[doc_id_strongest]]),0)),""))</f>
        <v/>
      </c>
    </row>
    <row r="194" spans="1:8" x14ac:dyDescent="0.25">
      <c r="A194" s="36">
        <v>11</v>
      </c>
      <c r="B194" t="s">
        <v>140</v>
      </c>
      <c r="C194" s="4">
        <f>IF(Tabelle18[[#This Row],[binding_level_company]]&gt;=1,1,0)</f>
        <v>0</v>
      </c>
      <c r="D194" s="4">
        <f>IFERROR(_xlfn.MAXIFS(Tabelle5[binding_level],Tabelle5[company_id],Tabelle18[[#This Row],[company_id]],Tabelle5[value_id],Tabelle18[[#This Row],[value_id]],Tabelle5[value_present],1),0)</f>
        <v>0</v>
      </c>
      <c r="E194" s="4">
        <f>IFERROR(_xlfn.MAXIFS(Tabelle5[value_points],Tabelle5[company_id],Tabelle18[[#This Row],[company_id]],Tabelle5[value_id],Tabelle18[[#This Row],[value_id]]),0)</f>
        <v>0</v>
      </c>
      <c r="F194" t="str">
        <f>IF(Tabelle18[[#This Row],[value_points_company]]=0,"",IFERROR(_xlfn.MINIFS(Tabelle5[doc_id],Tabelle5[company_id],Tabelle18[[#This Row],[company_id]],Tabelle5[value_id],Tabelle18[[#This Row],[value_id]],Tabelle5[value_points],Tabelle18[[#This Row],[value_points_company]]),""))</f>
        <v/>
      </c>
      <c r="G194" t="str" cm="1">
        <f t="array" ref="G194">IF(Tabelle18[[#This Row],[doc_id_strongest]]="","",IFERROR(INDEX(Tabelle5[evidence_location],MATCH(1,(Tabelle5[company_id]=Tabelle18[[#This Row],[company_id]])*(Tabelle5[value_id]=Tabelle18[[#This Row],[value_id]])*(Tabelle5[doc_id]=Tabelle18[[#This Row],[doc_id_strongest]]),0)),""))</f>
        <v/>
      </c>
      <c r="H194" s="33" t="str" cm="1">
        <f t="array" ref="H194">IF(Tabelle18[[#This Row],[doc_id_strongest]]="","",IFERROR(INDEX(Tabelle5[evidence_quote],MATCH(1,(Tabelle5[company_id]=Tabelle18[[#This Row],[company_id]])*(Tabelle5[value_id]=Tabelle18[[#This Row],[value_id]])*(Tabelle5[doc_id]=Tabelle18[[#This Row],[doc_id_strongest]]),0)),""))</f>
        <v/>
      </c>
    </row>
    <row r="195" spans="1:8" x14ac:dyDescent="0.25">
      <c r="A195" s="36">
        <v>11</v>
      </c>
      <c r="B195" t="s">
        <v>147</v>
      </c>
      <c r="C195" s="4">
        <f>IF(Tabelle18[[#This Row],[binding_level_company]]&gt;=1,1,0)</f>
        <v>0</v>
      </c>
      <c r="D195" s="4">
        <f>IFERROR(_xlfn.MAXIFS(Tabelle5[binding_level],Tabelle5[company_id],Tabelle18[[#This Row],[company_id]],Tabelle5[value_id],Tabelle18[[#This Row],[value_id]],Tabelle5[value_present],1),0)</f>
        <v>0</v>
      </c>
      <c r="E195" s="4">
        <f>IFERROR(_xlfn.MAXIFS(Tabelle5[value_points],Tabelle5[company_id],Tabelle18[[#This Row],[company_id]],Tabelle5[value_id],Tabelle18[[#This Row],[value_id]]),0)</f>
        <v>0</v>
      </c>
      <c r="F195" t="str">
        <f>IF(Tabelle18[[#This Row],[value_points_company]]=0,"",IFERROR(_xlfn.MINIFS(Tabelle5[doc_id],Tabelle5[company_id],Tabelle18[[#This Row],[company_id]],Tabelle5[value_id],Tabelle18[[#This Row],[value_id]],Tabelle5[value_points],Tabelle18[[#This Row],[value_points_company]]),""))</f>
        <v/>
      </c>
      <c r="G195" t="str" cm="1">
        <f t="array" ref="G195">IF(Tabelle18[[#This Row],[doc_id_strongest]]="","",IFERROR(INDEX(Tabelle5[evidence_location],MATCH(1,(Tabelle5[company_id]=Tabelle18[[#This Row],[company_id]])*(Tabelle5[value_id]=Tabelle18[[#This Row],[value_id]])*(Tabelle5[doc_id]=Tabelle18[[#This Row],[doc_id_strongest]]),0)),""))</f>
        <v/>
      </c>
      <c r="H195" s="33" t="str" cm="1">
        <f t="array" ref="H195">IF(Tabelle18[[#This Row],[doc_id_strongest]]="","",IFERROR(INDEX(Tabelle5[evidence_quote],MATCH(1,(Tabelle5[company_id]=Tabelle18[[#This Row],[company_id]])*(Tabelle5[value_id]=Tabelle18[[#This Row],[value_id]])*(Tabelle5[doc_id]=Tabelle18[[#This Row],[doc_id_strongest]]),0)),""))</f>
        <v/>
      </c>
    </row>
    <row r="196" spans="1:8" x14ac:dyDescent="0.25">
      <c r="A196" s="36">
        <v>11</v>
      </c>
      <c r="B196" t="s">
        <v>154</v>
      </c>
      <c r="C196" s="4">
        <f>IF(Tabelle18[[#This Row],[binding_level_company]]&gt;=1,1,0)</f>
        <v>1</v>
      </c>
      <c r="D196" s="4">
        <f>IFERROR(_xlfn.MAXIFS(Tabelle5[binding_level],Tabelle5[company_id],Tabelle18[[#This Row],[company_id]],Tabelle5[value_id],Tabelle18[[#This Row],[value_id]],Tabelle5[value_present],1),0)</f>
        <v>1</v>
      </c>
      <c r="E196" s="4">
        <f>IFERROR(_xlfn.MAXIFS(Tabelle5[value_points],Tabelle5[company_id],Tabelle18[[#This Row],[company_id]],Tabelle5[value_id],Tabelle18[[#This Row],[value_id]]),0)</f>
        <v>1</v>
      </c>
      <c r="F196">
        <f>IF(Tabelle18[[#This Row],[value_points_company]]=0,"",IFERROR(_xlfn.MINIFS(Tabelle5[doc_id],Tabelle5[company_id],Tabelle18[[#This Row],[company_id]],Tabelle5[value_id],Tabelle18[[#This Row],[value_id]],Tabelle5[value_points],Tabelle18[[#This Row],[value_points_company]]),""))</f>
        <v>56</v>
      </c>
      <c r="G196" t="str" cm="1">
        <f t="array" ref="G196">IF(Tabelle18[[#This Row],[doc_id_strongest]]="","",IFERROR(INDEX(Tabelle5[evidence_location],MATCH(1,(Tabelle5[company_id]=Tabelle18[[#This Row],[company_id]])*(Tabelle5[value_id]=Tabelle18[[#This Row],[value_id]])*(Tabelle5[doc_id]=Tabelle18[[#This Row],[doc_id_strongest]]),0)),""))</f>
        <v>S. 33, Abschnitt „2.5.2 Handling data“</v>
      </c>
      <c r="H196" s="33" t="str" cm="1">
        <f t="array" ref="H196">IF(Tabelle18[[#This Row],[doc_id_strongest]]="","",IFERROR(INDEX(Tabelle5[evidence_quote],MATCH(1,(Tabelle5[company_id]=Tabelle18[[#This Row],[company_id]])*(Tabelle5[value_id]=Tabelle18[[#This Row],[value_id]])*(Tabelle5[doc_id]=Tabelle18[[#This Row],[doc_id_strongest]]),0)),""))</f>
        <v>“responsible use of artificial intelligence”</v>
      </c>
    </row>
    <row r="197" spans="1:8" x14ac:dyDescent="0.25">
      <c r="A197" s="36">
        <v>11</v>
      </c>
      <c r="B197" t="s">
        <v>161</v>
      </c>
      <c r="C197" s="4">
        <f>IF(Tabelle18[[#This Row],[binding_level_company]]&gt;=1,1,0)</f>
        <v>0</v>
      </c>
      <c r="D197" s="4">
        <f>IFERROR(_xlfn.MAXIFS(Tabelle5[binding_level],Tabelle5[company_id],Tabelle18[[#This Row],[company_id]],Tabelle5[value_id],Tabelle18[[#This Row],[value_id]],Tabelle5[value_present],1),0)</f>
        <v>0</v>
      </c>
      <c r="E197" s="4">
        <f>IFERROR(_xlfn.MAXIFS(Tabelle5[value_points],Tabelle5[company_id],Tabelle18[[#This Row],[company_id]],Tabelle5[value_id],Tabelle18[[#This Row],[value_id]]),0)</f>
        <v>0</v>
      </c>
      <c r="F197" t="str">
        <f>IF(Tabelle18[[#This Row],[value_points_company]]=0,"",IFERROR(_xlfn.MINIFS(Tabelle5[doc_id],Tabelle5[company_id],Tabelle18[[#This Row],[company_id]],Tabelle5[value_id],Tabelle18[[#This Row],[value_id]],Tabelle5[value_points],Tabelle18[[#This Row],[value_points_company]]),""))</f>
        <v/>
      </c>
      <c r="G197" t="str" cm="1">
        <f t="array" ref="G197">IF(Tabelle18[[#This Row],[doc_id_strongest]]="","",IFERROR(INDEX(Tabelle5[evidence_location],MATCH(1,(Tabelle5[company_id]=Tabelle18[[#This Row],[company_id]])*(Tabelle5[value_id]=Tabelle18[[#This Row],[value_id]])*(Tabelle5[doc_id]=Tabelle18[[#This Row],[doc_id_strongest]]),0)),""))</f>
        <v/>
      </c>
      <c r="H197" s="33" t="str" cm="1">
        <f t="array" ref="H197">IF(Tabelle18[[#This Row],[doc_id_strongest]]="","",IFERROR(INDEX(Tabelle5[evidence_quote],MATCH(1,(Tabelle5[company_id]=Tabelle18[[#This Row],[company_id]])*(Tabelle5[value_id]=Tabelle18[[#This Row],[value_id]])*(Tabelle5[doc_id]=Tabelle18[[#This Row],[doc_id_strongest]]),0)),""))</f>
        <v/>
      </c>
    </row>
    <row r="198" spans="1:8" x14ac:dyDescent="0.25">
      <c r="A198" s="36">
        <v>11</v>
      </c>
      <c r="B198" t="s">
        <v>166</v>
      </c>
      <c r="C198" s="4">
        <f>IF(Tabelle18[[#This Row],[binding_level_company]]&gt;=1,1,0)</f>
        <v>0</v>
      </c>
      <c r="D198" s="4">
        <f>IFERROR(_xlfn.MAXIFS(Tabelle5[binding_level],Tabelle5[company_id],Tabelle18[[#This Row],[company_id]],Tabelle5[value_id],Tabelle18[[#This Row],[value_id]],Tabelle5[value_present],1),0)</f>
        <v>0</v>
      </c>
      <c r="E198" s="4">
        <f>IFERROR(_xlfn.MAXIFS(Tabelle5[value_points],Tabelle5[company_id],Tabelle18[[#This Row],[company_id]],Tabelle5[value_id],Tabelle18[[#This Row],[value_id]]),0)</f>
        <v>0</v>
      </c>
      <c r="F198" t="str">
        <f>IF(Tabelle18[[#This Row],[value_points_company]]=0,"",IFERROR(_xlfn.MINIFS(Tabelle5[doc_id],Tabelle5[company_id],Tabelle18[[#This Row],[company_id]],Tabelle5[value_id],Tabelle18[[#This Row],[value_id]],Tabelle5[value_points],Tabelle18[[#This Row],[value_points_company]]),""))</f>
        <v/>
      </c>
      <c r="G198" t="str" cm="1">
        <f t="array" ref="G198">IF(Tabelle18[[#This Row],[doc_id_strongest]]="","",IFERROR(INDEX(Tabelle5[evidence_location],MATCH(1,(Tabelle5[company_id]=Tabelle18[[#This Row],[company_id]])*(Tabelle5[value_id]=Tabelle18[[#This Row],[value_id]])*(Tabelle5[doc_id]=Tabelle18[[#This Row],[doc_id_strongest]]),0)),""))</f>
        <v/>
      </c>
      <c r="H198" s="33" t="str" cm="1">
        <f t="array" ref="H198">IF(Tabelle18[[#This Row],[doc_id_strongest]]="","",IFERROR(INDEX(Tabelle5[evidence_quote],MATCH(1,(Tabelle5[company_id]=Tabelle18[[#This Row],[company_id]])*(Tabelle5[value_id]=Tabelle18[[#This Row],[value_id]])*(Tabelle5[doc_id]=Tabelle18[[#This Row],[doc_id_strongest]]),0)),""))</f>
        <v/>
      </c>
    </row>
    <row r="199" spans="1:8" ht="15.75" thickBot="1" x14ac:dyDescent="0.3">
      <c r="A199" s="37">
        <v>11</v>
      </c>
      <c r="B199" s="30" t="s">
        <v>174</v>
      </c>
      <c r="C199" s="49">
        <f>IF(Tabelle18[[#This Row],[binding_level_company]]&gt;=1,1,0)</f>
        <v>0</v>
      </c>
      <c r="D199" s="49">
        <f>IFERROR(_xlfn.MAXIFS(Tabelle5[binding_level],Tabelle5[company_id],Tabelle18[[#This Row],[company_id]],Tabelle5[value_id],Tabelle18[[#This Row],[value_id]],Tabelle5[value_present],1),0)</f>
        <v>0</v>
      </c>
      <c r="E199" s="49">
        <f>IFERROR(_xlfn.MAXIFS(Tabelle5[value_points],Tabelle5[company_id],Tabelle18[[#This Row],[company_id]],Tabelle5[value_id],Tabelle18[[#This Row],[value_id]]),0)</f>
        <v>0</v>
      </c>
      <c r="F199" s="30" t="str">
        <f>IF(Tabelle18[[#This Row],[value_points_company]]=0,"",IFERROR(_xlfn.MINIFS(Tabelle5[doc_id],Tabelle5[company_id],Tabelle18[[#This Row],[company_id]],Tabelle5[value_id],Tabelle18[[#This Row],[value_id]],Tabelle5[value_points],Tabelle18[[#This Row],[value_points_company]]),""))</f>
        <v/>
      </c>
      <c r="G199" s="30" t="str" cm="1">
        <f t="array" ref="G199">IF(Tabelle18[[#This Row],[doc_id_strongest]]="","",IFERROR(INDEX(Tabelle5[evidence_location],MATCH(1,(Tabelle5[company_id]=Tabelle18[[#This Row],[company_id]])*(Tabelle5[value_id]=Tabelle18[[#This Row],[value_id]])*(Tabelle5[doc_id]=Tabelle18[[#This Row],[doc_id_strongest]]),0)),""))</f>
        <v/>
      </c>
      <c r="H199" s="34" t="str" cm="1">
        <f t="array" ref="H199">IF(Tabelle18[[#This Row],[doc_id_strongest]]="","",IFERROR(INDEX(Tabelle5[evidence_quote],MATCH(1,(Tabelle5[company_id]=Tabelle18[[#This Row],[company_id]])*(Tabelle5[value_id]=Tabelle18[[#This Row],[value_id]])*(Tabelle5[doc_id]=Tabelle18[[#This Row],[doc_id_strongest]]),0)),""))</f>
        <v/>
      </c>
    </row>
    <row r="200" spans="1:8" x14ac:dyDescent="0.25">
      <c r="A200" s="35">
        <v>12</v>
      </c>
      <c r="B200" s="22" t="s">
        <v>53</v>
      </c>
      <c r="C200" s="48">
        <f>IF(Tabelle18[[#This Row],[binding_level_company]]&gt;=1,1,0)</f>
        <v>1</v>
      </c>
      <c r="D200" s="48">
        <f>IFERROR(_xlfn.MAXIFS(Tabelle5[binding_level],Tabelle5[company_id],Tabelle18[[#This Row],[company_id]],Tabelle5[value_id],Tabelle18[[#This Row],[value_id]],Tabelle5[value_present],1),0)</f>
        <v>3</v>
      </c>
      <c r="E200" s="48">
        <f>IFERROR(_xlfn.MAXIFS(Tabelle5[value_points],Tabelle5[company_id],Tabelle18[[#This Row],[company_id]],Tabelle5[value_id],Tabelle18[[#This Row],[value_id]]),0)</f>
        <v>3</v>
      </c>
      <c r="F200" s="22">
        <f>IF(Tabelle18[[#This Row],[value_points_company]]=0,"",IFERROR(_xlfn.MINIFS(Tabelle5[doc_id],Tabelle5[company_id],Tabelle18[[#This Row],[company_id]],Tabelle5[value_id],Tabelle18[[#This Row],[value_id]],Tabelle5[value_points],Tabelle18[[#This Row],[value_points_company]]),""))</f>
        <v>64</v>
      </c>
      <c r="G200" s="22" t="str" cm="1">
        <f t="array" ref="G200">IF(Tabelle18[[#This Row],[doc_id_strongest]]="","",IFERROR(INDEX(Tabelle5[evidence_location],MATCH(1,(Tabelle5[company_id]=Tabelle18[[#This Row],[company_id]])*(Tabelle5[value_id]=Tabelle18[[#This Row],[value_id]])*(Tabelle5[doc_id]=Tabelle18[[#This Row],[doc_id_strongest]]),0)),""))</f>
        <v>S. 132, “Digitization and innovation”</v>
      </c>
      <c r="H200" s="32" t="str" cm="1">
        <f t="array" ref="H200">IF(Tabelle18[[#This Row],[doc_id_strongest]]="","",IFERROR(INDEX(Tabelle5[evidence_quote],MATCH(1,(Tabelle5[company_id]=Tabelle18[[#This Row],[company_id]])*(Tabelle5[value_id]=Tabelle18[[#This Row],[value_id]])*(Tabelle5[doc_id]=Tabelle18[[#This Row],[doc_id_strongest]]),0)),""))</f>
        <v>“formation of an Artificial Intelligence Oversight Forum (AIOF)”</v>
      </c>
    </row>
    <row r="201" spans="1:8" x14ac:dyDescent="0.25">
      <c r="A201" s="36">
        <v>12</v>
      </c>
      <c r="B201" t="s">
        <v>61</v>
      </c>
      <c r="C201" s="4">
        <f>IF(Tabelle18[[#This Row],[binding_level_company]]&gt;=1,1,0)</f>
        <v>1</v>
      </c>
      <c r="D201" s="4">
        <f>IFERROR(_xlfn.MAXIFS(Tabelle5[binding_level],Tabelle5[company_id],Tabelle18[[#This Row],[company_id]],Tabelle5[value_id],Tabelle18[[#This Row],[value_id]],Tabelle5[value_present],1),0)</f>
        <v>1</v>
      </c>
      <c r="E201" s="4">
        <f>IFERROR(_xlfn.MAXIFS(Tabelle5[value_points],Tabelle5[company_id],Tabelle18[[#This Row],[company_id]],Tabelle5[value_id],Tabelle18[[#This Row],[value_id]]),0)</f>
        <v>1</v>
      </c>
      <c r="F201">
        <f>IF(Tabelle18[[#This Row],[value_points_company]]=0,"",IFERROR(_xlfn.MINIFS(Tabelle5[doc_id],Tabelle5[company_id],Tabelle18[[#This Row],[company_id]],Tabelle5[value_id],Tabelle18[[#This Row],[value_id]],Tabelle5[value_points],Tabelle18[[#This Row],[value_points_company]]),""))</f>
        <v>62</v>
      </c>
      <c r="G201" t="str" cm="1">
        <f t="array" ref="G201">IF(Tabelle18[[#This Row],[doc_id_strongest]]="","",IFERROR(INDEX(Tabelle5[evidence_location],MATCH(1,(Tabelle5[company_id]=Tabelle18[[#This Row],[company_id]])*(Tabelle5[value_id]=Tabelle18[[#This Row],[value_id]])*(Tabelle5[doc_id]=Tabelle18[[#This Row],[doc_id_strongest]]),0)),""))</f>
        <v>S. 5, Abschnitt 10</v>
      </c>
      <c r="H201" s="33" t="str" cm="1">
        <f t="array" ref="H201">IF(Tabelle18[[#This Row],[doc_id_strongest]]="","",IFERROR(INDEX(Tabelle5[evidence_quote],MATCH(1,(Tabelle5[company_id]=Tabelle18[[#This Row],[company_id]])*(Tabelle5[value_id]=Tabelle18[[#This Row],[value_id]])*(Tabelle5[doc_id]=Tabelle18[[#This Row],[doc_id_strongest]]),0)),""))</f>
        <v>“Establish clear accountability and ownership for AI solutions”</v>
      </c>
    </row>
    <row r="202" spans="1:8" x14ac:dyDescent="0.25">
      <c r="A202" s="36">
        <v>12</v>
      </c>
      <c r="B202" t="s">
        <v>69</v>
      </c>
      <c r="C202" s="4">
        <f>IF(Tabelle18[[#This Row],[binding_level_company]]&gt;=1,1,0)</f>
        <v>1</v>
      </c>
      <c r="D202" s="4">
        <f>IFERROR(_xlfn.MAXIFS(Tabelle5[binding_level],Tabelle5[company_id],Tabelle18[[#This Row],[company_id]],Tabelle5[value_id],Tabelle18[[#This Row],[value_id]],Tabelle5[value_present],1),0)</f>
        <v>1</v>
      </c>
      <c r="E202" s="4">
        <f>IFERROR(_xlfn.MAXIFS(Tabelle5[value_points],Tabelle5[company_id],Tabelle18[[#This Row],[company_id]],Tabelle5[value_id],Tabelle18[[#This Row],[value_id]]),0)</f>
        <v>1</v>
      </c>
      <c r="F202">
        <f>IF(Tabelle18[[#This Row],[value_points_company]]=0,"",IFERROR(_xlfn.MINIFS(Tabelle5[doc_id],Tabelle5[company_id],Tabelle18[[#This Row],[company_id]],Tabelle5[value_id],Tabelle18[[#This Row],[value_id]],Tabelle5[value_points],Tabelle18[[#This Row],[value_points_company]]),""))</f>
        <v>62</v>
      </c>
      <c r="G202" t="str" cm="1">
        <f t="array" ref="G202">IF(Tabelle18[[#This Row],[doc_id_strongest]]="","",IFERROR(INDEX(Tabelle5[evidence_location],MATCH(1,(Tabelle5[company_id]=Tabelle18[[#This Row],[company_id]])*(Tabelle5[value_id]=Tabelle18[[#This Row],[value_id]])*(Tabelle5[doc_id]=Tabelle18[[#This Row],[doc_id_strongest]]),0)),""))</f>
        <v>S. 6, Abschnitt 10</v>
      </c>
      <c r="H202" s="33" t="str" cm="1">
        <f t="array" ref="H202">IF(Tabelle18[[#This Row],[doc_id_strongest]]="","",IFERROR(INDEX(Tabelle5[evidence_quote],MATCH(1,(Tabelle5[company_id]=Tabelle18[[#This Row],[company_id]])*(Tabelle5[value_id]=Tabelle18[[#This Row],[value_id]])*(Tabelle5[doc_id]=Tabelle18[[#This Row],[doc_id_strongest]]),0)),""))</f>
        <v>“transparency and Explainability of AI Models and workflows”</v>
      </c>
    </row>
    <row r="203" spans="1:8" x14ac:dyDescent="0.25">
      <c r="A203" s="36">
        <v>12</v>
      </c>
      <c r="B203" t="s">
        <v>76</v>
      </c>
      <c r="C203" s="4">
        <f>IF(Tabelle18[[#This Row],[binding_level_company]]&gt;=1,1,0)</f>
        <v>1</v>
      </c>
      <c r="D203" s="4">
        <f>IFERROR(_xlfn.MAXIFS(Tabelle5[binding_level],Tabelle5[company_id],Tabelle18[[#This Row],[company_id]],Tabelle5[value_id],Tabelle18[[#This Row],[value_id]],Tabelle5[value_present],1),0)</f>
        <v>1</v>
      </c>
      <c r="E203" s="4">
        <f>IFERROR(_xlfn.MAXIFS(Tabelle5[value_points],Tabelle5[company_id],Tabelle18[[#This Row],[company_id]],Tabelle5[value_id],Tabelle18[[#This Row],[value_id]]),0)</f>
        <v>1</v>
      </c>
      <c r="F203">
        <f>IF(Tabelle18[[#This Row],[value_points_company]]=0,"",IFERROR(_xlfn.MINIFS(Tabelle5[doc_id],Tabelle5[company_id],Tabelle18[[#This Row],[company_id]],Tabelle5[value_id],Tabelle18[[#This Row],[value_id]],Tabelle5[value_points],Tabelle18[[#This Row],[value_points_company]]),""))</f>
        <v>62</v>
      </c>
      <c r="G203" t="str" cm="1">
        <f t="array" ref="G203">IF(Tabelle18[[#This Row],[doc_id_strongest]]="","",IFERROR(INDEX(Tabelle5[evidence_location],MATCH(1,(Tabelle5[company_id]=Tabelle18[[#This Row],[company_id]])*(Tabelle5[value_id]=Tabelle18[[#This Row],[value_id]])*(Tabelle5[doc_id]=Tabelle18[[#This Row],[doc_id_strongest]]),0)),""))</f>
        <v>S. 6, Abschnitt 10</v>
      </c>
      <c r="H203" s="33" t="str" cm="1">
        <f t="array" ref="H203">IF(Tabelle18[[#This Row],[doc_id_strongest]]="","",IFERROR(INDEX(Tabelle5[evidence_quote],MATCH(1,(Tabelle5[company_id]=Tabelle18[[#This Row],[company_id]])*(Tabelle5[value_id]=Tabelle18[[#This Row],[value_id]])*(Tabelle5[doc_id]=Tabelle18[[#This Row],[doc_id_strongest]]),0)),""))</f>
        <v>“transparency and Explainability of AI Models and workflows”</v>
      </c>
    </row>
    <row r="204" spans="1:8" x14ac:dyDescent="0.25">
      <c r="A204" s="36">
        <v>12</v>
      </c>
      <c r="B204" t="s">
        <v>83</v>
      </c>
      <c r="C204" s="4">
        <f>IF(Tabelle18[[#This Row],[binding_level_company]]&gt;=1,1,0)</f>
        <v>1</v>
      </c>
      <c r="D204" s="4">
        <f>IFERROR(_xlfn.MAXIFS(Tabelle5[binding_level],Tabelle5[company_id],Tabelle18[[#This Row],[company_id]],Tabelle5[value_id],Tabelle18[[#This Row],[value_id]],Tabelle5[value_present],1),0)</f>
        <v>1</v>
      </c>
      <c r="E204" s="4">
        <f>IFERROR(_xlfn.MAXIFS(Tabelle5[value_points],Tabelle5[company_id],Tabelle18[[#This Row],[company_id]],Tabelle5[value_id],Tabelle18[[#This Row],[value_id]]),0)</f>
        <v>1</v>
      </c>
      <c r="F204">
        <f>IF(Tabelle18[[#This Row],[value_points_company]]=0,"",IFERROR(_xlfn.MINIFS(Tabelle5[doc_id],Tabelle5[company_id],Tabelle18[[#This Row],[company_id]],Tabelle5[value_id],Tabelle18[[#This Row],[value_id]],Tabelle5[value_points],Tabelle18[[#This Row],[value_points_company]]),""))</f>
        <v>62</v>
      </c>
      <c r="G204" t="str" cm="1">
        <f t="array" ref="G204">IF(Tabelle18[[#This Row],[doc_id_strongest]]="","",IFERROR(INDEX(Tabelle5[evidence_location],MATCH(1,(Tabelle5[company_id]=Tabelle18[[#This Row],[company_id]])*(Tabelle5[value_id]=Tabelle18[[#This Row],[value_id]])*(Tabelle5[doc_id]=Tabelle18[[#This Row],[doc_id_strongest]]),0)),""))</f>
        <v>S. 5, Abschnitt 10</v>
      </c>
      <c r="H204" s="33" t="str" cm="1">
        <f t="array" ref="H204">IF(Tabelle18[[#This Row],[doc_id_strongest]]="","",IFERROR(INDEX(Tabelle5[evidence_quote],MATCH(1,(Tabelle5[company_id]=Tabelle18[[#This Row],[company_id]])*(Tabelle5[value_id]=Tabelle18[[#This Row],[value_id]])*(Tabelle5[doc_id]=Tabelle18[[#This Row],[doc_id_strongest]]),0)),""))</f>
        <v>“Strive to make AI solutions fair”</v>
      </c>
    </row>
    <row r="205" spans="1:8" x14ac:dyDescent="0.25">
      <c r="A205" s="36">
        <v>12</v>
      </c>
      <c r="B205" t="s">
        <v>90</v>
      </c>
      <c r="C205" s="4">
        <f>IF(Tabelle18[[#This Row],[binding_level_company]]&gt;=1,1,0)</f>
        <v>1</v>
      </c>
      <c r="D205" s="4">
        <f>IFERROR(_xlfn.MAXIFS(Tabelle5[binding_level],Tabelle5[company_id],Tabelle18[[#This Row],[company_id]],Tabelle5[value_id],Tabelle18[[#This Row],[value_id]],Tabelle5[value_present],1),0)</f>
        <v>1</v>
      </c>
      <c r="E205" s="4">
        <f>IFERROR(_xlfn.MAXIFS(Tabelle5[value_points],Tabelle5[company_id],Tabelle18[[#This Row],[company_id]],Tabelle5[value_id],Tabelle18[[#This Row],[value_id]]),0)</f>
        <v>1</v>
      </c>
      <c r="F205">
        <f>IF(Tabelle18[[#This Row],[value_points_company]]=0,"",IFERROR(_xlfn.MINIFS(Tabelle5[doc_id],Tabelle5[company_id],Tabelle18[[#This Row],[company_id]],Tabelle5[value_id],Tabelle18[[#This Row],[value_id]],Tabelle5[value_points],Tabelle18[[#This Row],[value_points_company]]),""))</f>
        <v>62</v>
      </c>
      <c r="G205" t="str" cm="1">
        <f t="array" ref="G205">IF(Tabelle18[[#This Row],[doc_id_strongest]]="","",IFERROR(INDEX(Tabelle5[evidence_location],MATCH(1,(Tabelle5[company_id]=Tabelle18[[#This Row],[company_id]])*(Tabelle5[value_id]=Tabelle18[[#This Row],[value_id]])*(Tabelle5[doc_id]=Tabelle18[[#This Row],[doc_id_strongest]]),0)),""))</f>
        <v>S. 6, Abschnitt 10</v>
      </c>
      <c r="H205" s="33" t="str" cm="1">
        <f t="array" ref="H205">IF(Tabelle18[[#This Row],[doc_id_strongest]]="","",IFERROR(INDEX(Tabelle5[evidence_quote],MATCH(1,(Tabelle5[company_id]=Tabelle18[[#This Row],[company_id]])*(Tabelle5[value_id]=Tabelle18[[#This Row],[value_id]])*(Tabelle5[doc_id]=Tabelle18[[#This Row],[doc_id_strongest]]),0)),""))</f>
        <v>“complying with applicable data protection laws”</v>
      </c>
    </row>
    <row r="206" spans="1:8" x14ac:dyDescent="0.25">
      <c r="A206" s="36">
        <v>12</v>
      </c>
      <c r="B206" t="s">
        <v>98</v>
      </c>
      <c r="C206" s="4">
        <f>IF(Tabelle18[[#This Row],[binding_level_company]]&gt;=1,1,0)</f>
        <v>1</v>
      </c>
      <c r="D206" s="4">
        <f>IFERROR(_xlfn.MAXIFS(Tabelle5[binding_level],Tabelle5[company_id],Tabelle18[[#This Row],[company_id]],Tabelle5[value_id],Tabelle18[[#This Row],[value_id]],Tabelle5[value_present],1),0)</f>
        <v>1</v>
      </c>
      <c r="E206" s="4">
        <f>IFERROR(_xlfn.MAXIFS(Tabelle5[value_points],Tabelle5[company_id],Tabelle18[[#This Row],[company_id]],Tabelle5[value_id],Tabelle18[[#This Row],[value_id]]),0)</f>
        <v>1</v>
      </c>
      <c r="F206">
        <f>IF(Tabelle18[[#This Row],[value_points_company]]=0,"",IFERROR(_xlfn.MINIFS(Tabelle5[doc_id],Tabelle5[company_id],Tabelle18[[#This Row],[company_id]],Tabelle5[value_id],Tabelle18[[#This Row],[value_id]],Tabelle5[value_points],Tabelle18[[#This Row],[value_points_company]]),""))</f>
        <v>62</v>
      </c>
      <c r="G206" t="str" cm="1">
        <f t="array" ref="G206">IF(Tabelle18[[#This Row],[doc_id_strongest]]="","",IFERROR(INDEX(Tabelle5[evidence_location],MATCH(1,(Tabelle5[company_id]=Tabelle18[[#This Row],[company_id]])*(Tabelle5[value_id]=Tabelle18[[#This Row],[value_id]])*(Tabelle5[doc_id]=Tabelle18[[#This Row],[doc_id_strongest]]),0)),""))</f>
        <v>S. 5, Abschnitt 10</v>
      </c>
      <c r="H206" s="33" t="str" cm="1">
        <f t="array" ref="H206">IF(Tabelle18[[#This Row],[doc_id_strongest]]="","",IFERROR(INDEX(Tabelle5[evidence_quote],MATCH(1,(Tabelle5[company_id]=Tabelle18[[#This Row],[company_id]])*(Tabelle5[value_id]=Tabelle18[[#This Row],[value_id]])*(Tabelle5[doc_id]=Tabelle18[[#This Row],[doc_id_strongest]]),0)),""))</f>
        <v>“prevent Information Security risks and threats”</v>
      </c>
    </row>
    <row r="207" spans="1:8" x14ac:dyDescent="0.25">
      <c r="A207" s="36">
        <v>12</v>
      </c>
      <c r="B207" t="s">
        <v>106</v>
      </c>
      <c r="C207" s="4">
        <f>IF(Tabelle18[[#This Row],[binding_level_company]]&gt;=1,1,0)</f>
        <v>1</v>
      </c>
      <c r="D207" s="4">
        <f>IFERROR(_xlfn.MAXIFS(Tabelle5[binding_level],Tabelle5[company_id],Tabelle18[[#This Row],[company_id]],Tabelle5[value_id],Tabelle18[[#This Row],[value_id]],Tabelle5[value_present],1),0)</f>
        <v>1</v>
      </c>
      <c r="E207" s="4">
        <f>IFERROR(_xlfn.MAXIFS(Tabelle5[value_points],Tabelle5[company_id],Tabelle18[[#This Row],[company_id]],Tabelle5[value_id],Tabelle18[[#This Row],[value_id]]),0)</f>
        <v>1</v>
      </c>
      <c r="F207">
        <f>IF(Tabelle18[[#This Row],[value_points_company]]=0,"",IFERROR(_xlfn.MINIFS(Tabelle5[doc_id],Tabelle5[company_id],Tabelle18[[#This Row],[company_id]],Tabelle5[value_id],Tabelle18[[#This Row],[value_id]],Tabelle5[value_points],Tabelle18[[#This Row],[value_points_company]]),""))</f>
        <v>62</v>
      </c>
      <c r="G207" t="str" cm="1">
        <f t="array" ref="G207">IF(Tabelle18[[#This Row],[doc_id_strongest]]="","",IFERROR(INDEX(Tabelle5[evidence_location],MATCH(1,(Tabelle5[company_id]=Tabelle18[[#This Row],[company_id]])*(Tabelle5[value_id]=Tabelle18[[#This Row],[value_id]])*(Tabelle5[doc_id]=Tabelle18[[#This Row],[doc_id_strongest]]),0)),""))</f>
        <v>S. 5, Abschnitt 10</v>
      </c>
      <c r="H207" s="33" t="str" cm="1">
        <f t="array" ref="H207">IF(Tabelle18[[#This Row],[doc_id_strongest]]="","",IFERROR(INDEX(Tabelle5[evidence_quote],MATCH(1,(Tabelle5[company_id]=Tabelle18[[#This Row],[company_id]])*(Tabelle5[value_id]=Tabelle18[[#This Row],[value_id]])*(Tabelle5[doc_id]=Tabelle18[[#This Row],[doc_id_strongest]]),0)),""))</f>
        <v>“avoid potential risks and issues around safety and abuse”</v>
      </c>
    </row>
    <row r="208" spans="1:8" x14ac:dyDescent="0.25">
      <c r="A208" s="36">
        <v>12</v>
      </c>
      <c r="B208" t="s">
        <v>112</v>
      </c>
      <c r="C208" s="4">
        <f>IF(Tabelle18[[#This Row],[binding_level_company]]&gt;=1,1,0)</f>
        <v>1</v>
      </c>
      <c r="D208" s="4">
        <f>IFERROR(_xlfn.MAXIFS(Tabelle5[binding_level],Tabelle5[company_id],Tabelle18[[#This Row],[company_id]],Tabelle5[value_id],Tabelle18[[#This Row],[value_id]],Tabelle5[value_present],1),0)</f>
        <v>1</v>
      </c>
      <c r="E208" s="4">
        <f>IFERROR(_xlfn.MAXIFS(Tabelle5[value_points],Tabelle5[company_id],Tabelle18[[#This Row],[company_id]],Tabelle5[value_id],Tabelle18[[#This Row],[value_id]]),0)</f>
        <v>1</v>
      </c>
      <c r="F208">
        <f>IF(Tabelle18[[#This Row],[value_points_company]]=0,"",IFERROR(_xlfn.MINIFS(Tabelle5[doc_id],Tabelle5[company_id],Tabelle18[[#This Row],[company_id]],Tabelle5[value_id],Tabelle18[[#This Row],[value_id]],Tabelle5[value_points],Tabelle18[[#This Row],[value_points_company]]),""))</f>
        <v>62</v>
      </c>
      <c r="G208" t="str" cm="1">
        <f t="array" ref="G208">IF(Tabelle18[[#This Row],[doc_id_strongest]]="","",IFERROR(INDEX(Tabelle5[evidence_location],MATCH(1,(Tabelle5[company_id]=Tabelle18[[#This Row],[company_id]])*(Tabelle5[value_id]=Tabelle18[[#This Row],[value_id]])*(Tabelle5[doc_id]=Tabelle18[[#This Row],[doc_id_strongest]]),0)),""))</f>
        <v>S. 5, Abschnitt 10</v>
      </c>
      <c r="H208" s="33" t="str" cm="1">
        <f t="array" ref="H208">IF(Tabelle18[[#This Row],[doc_id_strongest]]="","",IFERROR(INDEX(Tabelle5[evidence_quote],MATCH(1,(Tabelle5[company_id]=Tabelle18[[#This Row],[company_id]])*(Tabelle5[value_id]=Tabelle18[[#This Row],[value_id]])*(Tabelle5[doc_id]=Tabelle18[[#This Row],[doc_id_strongest]]),0)),""))</f>
        <v>“Security, Safety &amp; Technical Robustness.”</v>
      </c>
    </row>
    <row r="209" spans="1:8" x14ac:dyDescent="0.25">
      <c r="A209" s="36">
        <v>12</v>
      </c>
      <c r="B209" t="s">
        <v>118</v>
      </c>
      <c r="C209" s="4">
        <f>IF(Tabelle18[[#This Row],[binding_level_company]]&gt;=1,1,0)</f>
        <v>0</v>
      </c>
      <c r="D209" s="4">
        <f>IFERROR(_xlfn.MAXIFS(Tabelle5[binding_level],Tabelle5[company_id],Tabelle18[[#This Row],[company_id]],Tabelle5[value_id],Tabelle18[[#This Row],[value_id]],Tabelle5[value_present],1),0)</f>
        <v>0</v>
      </c>
      <c r="E209" s="4">
        <f>IFERROR(_xlfn.MAXIFS(Tabelle5[value_points],Tabelle5[company_id],Tabelle18[[#This Row],[company_id]],Tabelle5[value_id],Tabelle18[[#This Row],[value_id]]),0)</f>
        <v>0</v>
      </c>
      <c r="F209" t="str">
        <f>IF(Tabelle18[[#This Row],[value_points_company]]=0,"",IFERROR(_xlfn.MINIFS(Tabelle5[doc_id],Tabelle5[company_id],Tabelle18[[#This Row],[company_id]],Tabelle5[value_id],Tabelle18[[#This Row],[value_id]],Tabelle5[value_points],Tabelle18[[#This Row],[value_points_company]]),""))</f>
        <v/>
      </c>
      <c r="G209" t="str" cm="1">
        <f t="array" ref="G209">IF(Tabelle18[[#This Row],[doc_id_strongest]]="","",IFERROR(INDEX(Tabelle5[evidence_location],MATCH(1,(Tabelle5[company_id]=Tabelle18[[#This Row],[company_id]])*(Tabelle5[value_id]=Tabelle18[[#This Row],[value_id]])*(Tabelle5[doc_id]=Tabelle18[[#This Row],[doc_id_strongest]]),0)),""))</f>
        <v/>
      </c>
      <c r="H209" s="33" t="str" cm="1">
        <f t="array" ref="H209">IF(Tabelle18[[#This Row],[doc_id_strongest]]="","",IFERROR(INDEX(Tabelle5[evidence_quote],MATCH(1,(Tabelle5[company_id]=Tabelle18[[#This Row],[company_id]])*(Tabelle5[value_id]=Tabelle18[[#This Row],[value_id]])*(Tabelle5[doc_id]=Tabelle18[[#This Row],[doc_id_strongest]]),0)),""))</f>
        <v/>
      </c>
    </row>
    <row r="210" spans="1:8" x14ac:dyDescent="0.25">
      <c r="A210" s="36">
        <v>12</v>
      </c>
      <c r="B210" t="s">
        <v>125</v>
      </c>
      <c r="C210" s="4">
        <f>IF(Tabelle18[[#This Row],[binding_level_company]]&gt;=1,1,0)</f>
        <v>1</v>
      </c>
      <c r="D210" s="4">
        <f>IFERROR(_xlfn.MAXIFS(Tabelle5[binding_level],Tabelle5[company_id],Tabelle18[[#This Row],[company_id]],Tabelle5[value_id],Tabelle18[[#This Row],[value_id]],Tabelle5[value_present],1),0)</f>
        <v>1</v>
      </c>
      <c r="E210" s="4">
        <f>IFERROR(_xlfn.MAXIFS(Tabelle5[value_points],Tabelle5[company_id],Tabelle18[[#This Row],[company_id]],Tabelle5[value_id],Tabelle18[[#This Row],[value_id]]),0)</f>
        <v>1</v>
      </c>
      <c r="F210">
        <f>IF(Tabelle18[[#This Row],[value_points_company]]=0,"",IFERROR(_xlfn.MINIFS(Tabelle5[doc_id],Tabelle5[company_id],Tabelle18[[#This Row],[company_id]],Tabelle5[value_id],Tabelle18[[#This Row],[value_id]],Tabelle5[value_points],Tabelle18[[#This Row],[value_points_company]]),""))</f>
        <v>62</v>
      </c>
      <c r="G210" t="str" cm="1">
        <f t="array" ref="G210">IF(Tabelle18[[#This Row],[doc_id_strongest]]="","",IFERROR(INDEX(Tabelle5[evidence_location],MATCH(1,(Tabelle5[company_id]=Tabelle18[[#This Row],[company_id]])*(Tabelle5[value_id]=Tabelle18[[#This Row],[value_id]])*(Tabelle5[doc_id]=Tabelle18[[#This Row],[doc_id_strongest]]),0)),""))</f>
        <v>S. 5, Abschnitt 10</v>
      </c>
      <c r="H210" s="33" t="str" cm="1">
        <f t="array" ref="H210">IF(Tabelle18[[#This Row],[doc_id_strongest]]="","",IFERROR(INDEX(Tabelle5[evidence_quote],MATCH(1,(Tabelle5[company_id]=Tabelle18[[#This Row],[company_id]])*(Tabelle5[value_id]=Tabelle18[[#This Row],[value_id]])*(Tabelle5[doc_id]=Tabelle18[[#This Row],[doc_id_strongest]]),0)),""))</f>
        <v>“innovate responsibly and inclusively and to consider accessibility”</v>
      </c>
    </row>
    <row r="211" spans="1:8" x14ac:dyDescent="0.25">
      <c r="A211" s="36">
        <v>12</v>
      </c>
      <c r="B211" t="s">
        <v>132</v>
      </c>
      <c r="C211" s="4">
        <f>IF(Tabelle18[[#This Row],[binding_level_company]]&gt;=1,1,0)</f>
        <v>0</v>
      </c>
      <c r="D211" s="4">
        <f>IFERROR(_xlfn.MAXIFS(Tabelle5[binding_level],Tabelle5[company_id],Tabelle18[[#This Row],[company_id]],Tabelle5[value_id],Tabelle18[[#This Row],[value_id]],Tabelle5[value_present],1),0)</f>
        <v>0</v>
      </c>
      <c r="E211" s="4">
        <f>IFERROR(_xlfn.MAXIFS(Tabelle5[value_points],Tabelle5[company_id],Tabelle18[[#This Row],[company_id]],Tabelle5[value_id],Tabelle18[[#This Row],[value_id]]),0)</f>
        <v>0</v>
      </c>
      <c r="F211" t="str">
        <f>IF(Tabelle18[[#This Row],[value_points_company]]=0,"",IFERROR(_xlfn.MINIFS(Tabelle5[doc_id],Tabelle5[company_id],Tabelle18[[#This Row],[company_id]],Tabelle5[value_id],Tabelle18[[#This Row],[value_id]],Tabelle5[value_points],Tabelle18[[#This Row],[value_points_company]]),""))</f>
        <v/>
      </c>
      <c r="G211" t="str" cm="1">
        <f t="array" ref="G211">IF(Tabelle18[[#This Row],[doc_id_strongest]]="","",IFERROR(INDEX(Tabelle5[evidence_location],MATCH(1,(Tabelle5[company_id]=Tabelle18[[#This Row],[company_id]])*(Tabelle5[value_id]=Tabelle18[[#This Row],[value_id]])*(Tabelle5[doc_id]=Tabelle18[[#This Row],[doc_id_strongest]]),0)),""))</f>
        <v/>
      </c>
      <c r="H211" s="33" t="str" cm="1">
        <f t="array" ref="H211">IF(Tabelle18[[#This Row],[doc_id_strongest]]="","",IFERROR(INDEX(Tabelle5[evidence_quote],MATCH(1,(Tabelle5[company_id]=Tabelle18[[#This Row],[company_id]])*(Tabelle5[value_id]=Tabelle18[[#This Row],[value_id]])*(Tabelle5[doc_id]=Tabelle18[[#This Row],[doc_id_strongest]]),0)),""))</f>
        <v/>
      </c>
    </row>
    <row r="212" spans="1:8" x14ac:dyDescent="0.25">
      <c r="A212" s="36">
        <v>12</v>
      </c>
      <c r="B212" t="s">
        <v>140</v>
      </c>
      <c r="C212" s="4">
        <f>IF(Tabelle18[[#This Row],[binding_level_company]]&gt;=1,1,0)</f>
        <v>0</v>
      </c>
      <c r="D212" s="4">
        <f>IFERROR(_xlfn.MAXIFS(Tabelle5[binding_level],Tabelle5[company_id],Tabelle18[[#This Row],[company_id]],Tabelle5[value_id],Tabelle18[[#This Row],[value_id]],Tabelle5[value_present],1),0)</f>
        <v>0</v>
      </c>
      <c r="E212" s="4">
        <f>IFERROR(_xlfn.MAXIFS(Tabelle5[value_points],Tabelle5[company_id],Tabelle18[[#This Row],[company_id]],Tabelle5[value_id],Tabelle18[[#This Row],[value_id]]),0)</f>
        <v>0</v>
      </c>
      <c r="F212" t="str">
        <f>IF(Tabelle18[[#This Row],[value_points_company]]=0,"",IFERROR(_xlfn.MINIFS(Tabelle5[doc_id],Tabelle5[company_id],Tabelle18[[#This Row],[company_id]],Tabelle5[value_id],Tabelle18[[#This Row],[value_id]],Tabelle5[value_points],Tabelle18[[#This Row],[value_points_company]]),""))</f>
        <v/>
      </c>
      <c r="G212" t="str" cm="1">
        <f t="array" ref="G212">IF(Tabelle18[[#This Row],[doc_id_strongest]]="","",IFERROR(INDEX(Tabelle5[evidence_location],MATCH(1,(Tabelle5[company_id]=Tabelle18[[#This Row],[company_id]])*(Tabelle5[value_id]=Tabelle18[[#This Row],[value_id]])*(Tabelle5[doc_id]=Tabelle18[[#This Row],[doc_id_strongest]]),0)),""))</f>
        <v/>
      </c>
      <c r="H212" s="33" t="str" cm="1">
        <f t="array" ref="H212">IF(Tabelle18[[#This Row],[doc_id_strongest]]="","",IFERROR(INDEX(Tabelle5[evidence_quote],MATCH(1,(Tabelle5[company_id]=Tabelle18[[#This Row],[company_id]])*(Tabelle5[value_id]=Tabelle18[[#This Row],[value_id]])*(Tabelle5[doc_id]=Tabelle18[[#This Row],[doc_id_strongest]]),0)),""))</f>
        <v/>
      </c>
    </row>
    <row r="213" spans="1:8" x14ac:dyDescent="0.25">
      <c r="A213" s="36">
        <v>12</v>
      </c>
      <c r="B213" t="s">
        <v>147</v>
      </c>
      <c r="C213" s="4">
        <f>IF(Tabelle18[[#This Row],[binding_level_company]]&gt;=1,1,0)</f>
        <v>1</v>
      </c>
      <c r="D213" s="4">
        <f>IFERROR(_xlfn.MAXIFS(Tabelle5[binding_level],Tabelle5[company_id],Tabelle18[[#This Row],[company_id]],Tabelle5[value_id],Tabelle18[[#This Row],[value_id]],Tabelle5[value_present],1),0)</f>
        <v>1</v>
      </c>
      <c r="E213" s="4">
        <f>IFERROR(_xlfn.MAXIFS(Tabelle5[value_points],Tabelle5[company_id],Tabelle18[[#This Row],[company_id]],Tabelle5[value_id],Tabelle18[[#This Row],[value_id]]),0)</f>
        <v>1</v>
      </c>
      <c r="F213">
        <f>IF(Tabelle18[[#This Row],[value_points_company]]=0,"",IFERROR(_xlfn.MINIFS(Tabelle5[doc_id],Tabelle5[company_id],Tabelle18[[#This Row],[company_id]],Tabelle5[value_id],Tabelle18[[#This Row],[value_id]],Tabelle5[value_points],Tabelle18[[#This Row],[value_points_company]]),""))</f>
        <v>62</v>
      </c>
      <c r="G213" t="str" cm="1">
        <f t="array" ref="G213">IF(Tabelle18[[#This Row],[doc_id_strongest]]="","",IFERROR(INDEX(Tabelle5[evidence_location],MATCH(1,(Tabelle5[company_id]=Tabelle18[[#This Row],[company_id]])*(Tabelle5[value_id]=Tabelle18[[#This Row],[value_id]])*(Tabelle5[doc_id]=Tabelle18[[#This Row],[doc_id_strongest]]),0)),""))</f>
        <v>S. 5, Abschnitt 10</v>
      </c>
      <c r="H213" s="33" t="str" cm="1">
        <f t="array" ref="H213">IF(Tabelle18[[#This Row],[doc_id_strongest]]="","",IFERROR(INDEX(Tabelle5[evidence_quote],MATCH(1,(Tabelle5[company_id]=Tabelle18[[#This Row],[company_id]])*(Tabelle5[value_id]=Tabelle18[[#This Row],[value_id]])*(Tabelle5[doc_id]=Tabelle18[[#This Row],[doc_id_strongest]]),0)),""))</f>
        <v>“committed to fully complying with all AI regulations”</v>
      </c>
    </row>
    <row r="214" spans="1:8" x14ac:dyDescent="0.25">
      <c r="A214" s="36">
        <v>12</v>
      </c>
      <c r="B214" t="s">
        <v>154</v>
      </c>
      <c r="C214" s="4">
        <f>IF(Tabelle18[[#This Row],[binding_level_company]]&gt;=1,1,0)</f>
        <v>1</v>
      </c>
      <c r="D214" s="4">
        <f>IFERROR(_xlfn.MAXIFS(Tabelle5[binding_level],Tabelle5[company_id],Tabelle18[[#This Row],[company_id]],Tabelle5[value_id],Tabelle18[[#This Row],[value_id]],Tabelle5[value_present],1),0)</f>
        <v>1</v>
      </c>
      <c r="E214" s="4">
        <f>IFERROR(_xlfn.MAXIFS(Tabelle5[value_points],Tabelle5[company_id],Tabelle18[[#This Row],[company_id]],Tabelle5[value_id],Tabelle18[[#This Row],[value_id]]),0)</f>
        <v>1</v>
      </c>
      <c r="F214">
        <f>IF(Tabelle18[[#This Row],[value_points_company]]=0,"",IFERROR(_xlfn.MINIFS(Tabelle5[doc_id],Tabelle5[company_id],Tabelle18[[#This Row],[company_id]],Tabelle5[value_id],Tabelle18[[#This Row],[value_id]],Tabelle5[value_points],Tabelle18[[#This Row],[value_points_company]]),""))</f>
        <v>62</v>
      </c>
      <c r="G214" t="str" cm="1">
        <f t="array" ref="G214">IF(Tabelle18[[#This Row],[doc_id_strongest]]="","",IFERROR(INDEX(Tabelle5[evidence_location],MATCH(1,(Tabelle5[company_id]=Tabelle18[[#This Row],[company_id]])*(Tabelle5[value_id]=Tabelle18[[#This Row],[value_id]])*(Tabelle5[doc_id]=Tabelle18[[#This Row],[doc_id_strongest]]),0)),""))</f>
        <v>S. 6, Abschnitt 10</v>
      </c>
      <c r="H214" s="33" t="str" cm="1">
        <f t="array" ref="H214">IF(Tabelle18[[#This Row],[doc_id_strongest]]="","",IFERROR(INDEX(Tabelle5[evidence_quote],MATCH(1,(Tabelle5[company_id]=Tabelle18[[#This Row],[company_id]])*(Tabelle5[value_id]=Tabelle18[[#This Row],[value_id]])*(Tabelle5[doc_id]=Tabelle18[[#This Row],[doc_id_strongest]]),0)),""))</f>
        <v>“aligned at all times with Deutsche Bank’s values”</v>
      </c>
    </row>
    <row r="215" spans="1:8" x14ac:dyDescent="0.25">
      <c r="A215" s="36">
        <v>12</v>
      </c>
      <c r="B215" t="s">
        <v>161</v>
      </c>
      <c r="C215" s="4">
        <f>IF(Tabelle18[[#This Row],[binding_level_company]]&gt;=1,1,0)</f>
        <v>1</v>
      </c>
      <c r="D215" s="4">
        <f>IFERROR(_xlfn.MAXIFS(Tabelle5[binding_level],Tabelle5[company_id],Tabelle18[[#This Row],[company_id]],Tabelle5[value_id],Tabelle18[[#This Row],[value_id]],Tabelle5[value_present],1),0)</f>
        <v>1</v>
      </c>
      <c r="E215" s="4">
        <f>IFERROR(_xlfn.MAXIFS(Tabelle5[value_points],Tabelle5[company_id],Tabelle18[[#This Row],[company_id]],Tabelle5[value_id],Tabelle18[[#This Row],[value_id]]),0)</f>
        <v>1</v>
      </c>
      <c r="F215">
        <f>IF(Tabelle18[[#This Row],[value_points_company]]=0,"",IFERROR(_xlfn.MINIFS(Tabelle5[doc_id],Tabelle5[company_id],Tabelle18[[#This Row],[company_id]],Tabelle5[value_id],Tabelle18[[#This Row],[value_id]],Tabelle5[value_points],Tabelle18[[#This Row],[value_points_company]]),""))</f>
        <v>69</v>
      </c>
      <c r="G215" t="str" cm="1">
        <f t="array" ref="G215">IF(Tabelle18[[#This Row],[doc_id_strongest]]="","",IFERROR(INDEX(Tabelle5[evidence_location],MATCH(1,(Tabelle5[company_id]=Tabelle18[[#This Row],[company_id]])*(Tabelle5[value_id]=Tabelle18[[#This Row],[value_id]])*(Tabelle5[doc_id]=Tabelle18[[#This Row],[doc_id_strongest]]),0)),""))</f>
        <v>S. 7, Abschnitt 2.1.1</v>
      </c>
      <c r="H215" s="33" t="str" cm="1">
        <f t="array" ref="H215">IF(Tabelle18[[#This Row],[doc_id_strongest]]="","",IFERROR(INDEX(Tabelle5[evidence_quote],MATCH(1,(Tabelle5[company_id]=Tabelle18[[#This Row],[company_id]])*(Tabelle5[value_id]=Tabelle18[[#This Row],[value_id]])*(Tabelle5[doc_id]=Tabelle18[[#This Row],[doc_id_strongest]]),0)),""))</f>
        <v>“training and live data being high-quality and reliable”</v>
      </c>
    </row>
    <row r="216" spans="1:8" x14ac:dyDescent="0.25">
      <c r="A216" s="36">
        <v>12</v>
      </c>
      <c r="B216" t="s">
        <v>166</v>
      </c>
      <c r="C216" s="4">
        <f>IF(Tabelle18[[#This Row],[binding_level_company]]&gt;=1,1,0)</f>
        <v>1</v>
      </c>
      <c r="D216" s="4">
        <f>IFERROR(_xlfn.MAXIFS(Tabelle5[binding_level],Tabelle5[company_id],Tabelle18[[#This Row],[company_id]],Tabelle5[value_id],Tabelle18[[#This Row],[value_id]],Tabelle5[value_present],1),0)</f>
        <v>1</v>
      </c>
      <c r="E216" s="4">
        <f>IFERROR(_xlfn.MAXIFS(Tabelle5[value_points],Tabelle5[company_id],Tabelle18[[#This Row],[company_id]],Tabelle5[value_id],Tabelle18[[#This Row],[value_id]]),0)</f>
        <v>1</v>
      </c>
      <c r="F216">
        <f>IF(Tabelle18[[#This Row],[value_points_company]]=0,"",IFERROR(_xlfn.MINIFS(Tabelle5[doc_id],Tabelle5[company_id],Tabelle18[[#This Row],[company_id]],Tabelle5[value_id],Tabelle18[[#This Row],[value_id]],Tabelle5[value_points],Tabelle18[[#This Row],[value_points_company]]),""))</f>
        <v>69</v>
      </c>
      <c r="G216" t="str" cm="1">
        <f t="array" ref="G216">IF(Tabelle18[[#This Row],[doc_id_strongest]]="","",IFERROR(INDEX(Tabelle5[evidence_location],MATCH(1,(Tabelle5[company_id]=Tabelle18[[#This Row],[company_id]])*(Tabelle5[value_id]=Tabelle18[[#This Row],[value_id]])*(Tabelle5[doc_id]=Tabelle18[[#This Row],[doc_id_strongest]]),0)),""))</f>
        <v>S. 21, Abschnitt 4.4</v>
      </c>
      <c r="H216" s="33" t="str" cm="1">
        <f t="array" ref="H216">IF(Tabelle18[[#This Row],[doc_id_strongest]]="","",IFERROR(INDEX(Tabelle5[evidence_quote],MATCH(1,(Tabelle5[company_id]=Tabelle18[[#This Row],[company_id]])*(Tabelle5[value_id]=Tabelle18[[#This Row],[value_id]])*(Tabelle5[doc_id]=Tabelle18[[#This Row],[doc_id_strongest]]),0)),""))</f>
        <v>“data confidentiality, outsourcing and product liability”</v>
      </c>
    </row>
    <row r="217" spans="1:8" ht="15.75" thickBot="1" x14ac:dyDescent="0.3">
      <c r="A217" s="37">
        <v>12</v>
      </c>
      <c r="B217" s="30" t="s">
        <v>174</v>
      </c>
      <c r="C217" s="49">
        <f>IF(Tabelle18[[#This Row],[binding_level_company]]&gt;=1,1,0)</f>
        <v>0</v>
      </c>
      <c r="D217" s="49">
        <f>IFERROR(_xlfn.MAXIFS(Tabelle5[binding_level],Tabelle5[company_id],Tabelle18[[#This Row],[company_id]],Tabelle5[value_id],Tabelle18[[#This Row],[value_id]],Tabelle5[value_present],1),0)</f>
        <v>0</v>
      </c>
      <c r="E217" s="49">
        <f>IFERROR(_xlfn.MAXIFS(Tabelle5[value_points],Tabelle5[company_id],Tabelle18[[#This Row],[company_id]],Tabelle5[value_id],Tabelle18[[#This Row],[value_id]]),0)</f>
        <v>0</v>
      </c>
      <c r="F217" s="30" t="str">
        <f>IF(Tabelle18[[#This Row],[value_points_company]]=0,"",IFERROR(_xlfn.MINIFS(Tabelle5[doc_id],Tabelle5[company_id],Tabelle18[[#This Row],[company_id]],Tabelle5[value_id],Tabelle18[[#This Row],[value_id]],Tabelle5[value_points],Tabelle18[[#This Row],[value_points_company]]),""))</f>
        <v/>
      </c>
      <c r="G217" s="30" t="str" cm="1">
        <f t="array" ref="G217">IF(Tabelle18[[#This Row],[doc_id_strongest]]="","",IFERROR(INDEX(Tabelle5[evidence_location],MATCH(1,(Tabelle5[company_id]=Tabelle18[[#This Row],[company_id]])*(Tabelle5[value_id]=Tabelle18[[#This Row],[value_id]])*(Tabelle5[doc_id]=Tabelle18[[#This Row],[doc_id_strongest]]),0)),""))</f>
        <v/>
      </c>
      <c r="H217" s="34" t="str" cm="1">
        <f t="array" ref="H217">IF(Tabelle18[[#This Row],[doc_id_strongest]]="","",IFERROR(INDEX(Tabelle5[evidence_quote],MATCH(1,(Tabelle5[company_id]=Tabelle18[[#This Row],[company_id]])*(Tabelle5[value_id]=Tabelle18[[#This Row],[value_id]])*(Tabelle5[doc_id]=Tabelle18[[#This Row],[doc_id_strongest]]),0)),""))</f>
        <v/>
      </c>
    </row>
    <row r="218" spans="1:8" x14ac:dyDescent="0.25">
      <c r="A218" s="35">
        <v>13</v>
      </c>
      <c r="B218" s="22" t="s">
        <v>53</v>
      </c>
      <c r="C218" s="48">
        <f>IF(Tabelle18[[#This Row],[binding_level_company]]&gt;=1,1,0)</f>
        <v>0</v>
      </c>
      <c r="D218" s="48">
        <f>IFERROR(_xlfn.MAXIFS(Tabelle5[binding_level],Tabelle5[company_id],Tabelle18[[#This Row],[company_id]],Tabelle5[value_id],Tabelle18[[#This Row],[value_id]],Tabelle5[value_present],1),0)</f>
        <v>0</v>
      </c>
      <c r="E218" s="48">
        <f>IFERROR(_xlfn.MAXIFS(Tabelle5[value_points],Tabelle5[company_id],Tabelle18[[#This Row],[company_id]],Tabelle5[value_id],Tabelle18[[#This Row],[value_id]]),0)</f>
        <v>0</v>
      </c>
      <c r="F218" s="22" t="str">
        <f>IF(Tabelle18[[#This Row],[value_points_company]]=0,"",IFERROR(_xlfn.MINIFS(Tabelle5[doc_id],Tabelle5[company_id],Tabelle18[[#This Row],[company_id]],Tabelle5[value_id],Tabelle18[[#This Row],[value_id]],Tabelle5[value_points],Tabelle18[[#This Row],[value_points_company]]),""))</f>
        <v/>
      </c>
      <c r="G218" s="22" t="str" cm="1">
        <f t="array" ref="G218">IF(Tabelle18[[#This Row],[doc_id_strongest]]="","",IFERROR(INDEX(Tabelle5[evidence_location],MATCH(1,(Tabelle5[company_id]=Tabelle18[[#This Row],[company_id]])*(Tabelle5[value_id]=Tabelle18[[#This Row],[value_id]])*(Tabelle5[doc_id]=Tabelle18[[#This Row],[doc_id_strongest]]),0)),""))</f>
        <v/>
      </c>
      <c r="H218" s="32" t="str" cm="1">
        <f t="array" ref="H218">IF(Tabelle18[[#This Row],[doc_id_strongest]]="","",IFERROR(INDEX(Tabelle5[evidence_quote],MATCH(1,(Tabelle5[company_id]=Tabelle18[[#This Row],[company_id]])*(Tabelle5[value_id]=Tabelle18[[#This Row],[value_id]])*(Tabelle5[doc_id]=Tabelle18[[#This Row],[doc_id_strongest]]),0)),""))</f>
        <v/>
      </c>
    </row>
    <row r="219" spans="1:8" x14ac:dyDescent="0.25">
      <c r="A219" s="36">
        <v>13</v>
      </c>
      <c r="B219" t="s">
        <v>61</v>
      </c>
      <c r="C219" s="4">
        <f>IF(Tabelle18[[#This Row],[binding_level_company]]&gt;=1,1,0)</f>
        <v>0</v>
      </c>
      <c r="D219" s="4">
        <f>IFERROR(_xlfn.MAXIFS(Tabelle5[binding_level],Tabelle5[company_id],Tabelle18[[#This Row],[company_id]],Tabelle5[value_id],Tabelle18[[#This Row],[value_id]],Tabelle5[value_present],1),0)</f>
        <v>0</v>
      </c>
      <c r="E219" s="4">
        <f>IFERROR(_xlfn.MAXIFS(Tabelle5[value_points],Tabelle5[company_id],Tabelle18[[#This Row],[company_id]],Tabelle5[value_id],Tabelle18[[#This Row],[value_id]]),0)</f>
        <v>0</v>
      </c>
      <c r="F219" t="str">
        <f>IF(Tabelle18[[#This Row],[value_points_company]]=0,"",IFERROR(_xlfn.MINIFS(Tabelle5[doc_id],Tabelle5[company_id],Tabelle18[[#This Row],[company_id]],Tabelle5[value_id],Tabelle18[[#This Row],[value_id]],Tabelle5[value_points],Tabelle18[[#This Row],[value_points_company]]),""))</f>
        <v/>
      </c>
      <c r="G219" t="str" cm="1">
        <f t="array" ref="G219">IF(Tabelle18[[#This Row],[doc_id_strongest]]="","",IFERROR(INDEX(Tabelle5[evidence_location],MATCH(1,(Tabelle5[company_id]=Tabelle18[[#This Row],[company_id]])*(Tabelle5[value_id]=Tabelle18[[#This Row],[value_id]])*(Tabelle5[doc_id]=Tabelle18[[#This Row],[doc_id_strongest]]),0)),""))</f>
        <v/>
      </c>
      <c r="H219" s="33" t="str" cm="1">
        <f t="array" ref="H219">IF(Tabelle18[[#This Row],[doc_id_strongest]]="","",IFERROR(INDEX(Tabelle5[evidence_quote],MATCH(1,(Tabelle5[company_id]=Tabelle18[[#This Row],[company_id]])*(Tabelle5[value_id]=Tabelle18[[#This Row],[value_id]])*(Tabelle5[doc_id]=Tabelle18[[#This Row],[doc_id_strongest]]),0)),""))</f>
        <v/>
      </c>
    </row>
    <row r="220" spans="1:8" x14ac:dyDescent="0.25">
      <c r="A220" s="36">
        <v>13</v>
      </c>
      <c r="B220" t="s">
        <v>69</v>
      </c>
      <c r="C220" s="4">
        <f>IF(Tabelle18[[#This Row],[binding_level_company]]&gt;=1,1,0)</f>
        <v>1</v>
      </c>
      <c r="D220" s="4">
        <f>IFERROR(_xlfn.MAXIFS(Tabelle5[binding_level],Tabelle5[company_id],Tabelle18[[#This Row],[company_id]],Tabelle5[value_id],Tabelle18[[#This Row],[value_id]],Tabelle5[value_present],1),0)</f>
        <v>1</v>
      </c>
      <c r="E220" s="4">
        <f>IFERROR(_xlfn.MAXIFS(Tabelle5[value_points],Tabelle5[company_id],Tabelle18[[#This Row],[company_id]],Tabelle5[value_id],Tabelle18[[#This Row],[value_id]]),0)</f>
        <v>1</v>
      </c>
      <c r="F220">
        <f>IF(Tabelle18[[#This Row],[value_points_company]]=0,"",IFERROR(_xlfn.MINIFS(Tabelle5[doc_id],Tabelle5[company_id],Tabelle18[[#This Row],[company_id]],Tabelle5[value_id],Tabelle18[[#This Row],[value_id]],Tabelle5[value_points],Tabelle18[[#This Row],[value_points_company]]),""))</f>
        <v>73</v>
      </c>
      <c r="G220" t="str" cm="1">
        <f t="array" ref="G220">IF(Tabelle18[[#This Row],[doc_id_strongest]]="","",IFERROR(INDEX(Tabelle5[evidence_location],MATCH(1,(Tabelle5[company_id]=Tabelle18[[#This Row],[company_id]])*(Tabelle5[value_id]=Tabelle18[[#This Row],[value_id]])*(Tabelle5[doc_id]=Tabelle18[[#This Row],[doc_id_strongest]]),0)),""))</f>
        <v>S. 9, Q2; S. 23, Q18.2</v>
      </c>
      <c r="H220" s="33" t="str" cm="1">
        <f t="array" ref="H220">IF(Tabelle18[[#This Row],[doc_id_strongest]]="","",IFERROR(INDEX(Tabelle5[evidence_quote],MATCH(1,(Tabelle5[company_id]=Tabelle18[[#This Row],[company_id]])*(Tabelle5[value_id]=Tabelle18[[#This Row],[value_id]])*(Tabelle5[doc_id]=Tabelle18[[#This Row],[doc_id_strongest]]),0)),""))</f>
        <v>“guaranteeing transparency, stability, and investor protection at all times”; “more transparency as regards the derivation of ‘synthetic data’"</v>
      </c>
    </row>
    <row r="221" spans="1:8" x14ac:dyDescent="0.25">
      <c r="A221" s="36">
        <v>13</v>
      </c>
      <c r="B221" t="s">
        <v>76</v>
      </c>
      <c r="C221" s="4">
        <f>IF(Tabelle18[[#This Row],[binding_level_company]]&gt;=1,1,0)</f>
        <v>1</v>
      </c>
      <c r="D221" s="4">
        <f>IFERROR(_xlfn.MAXIFS(Tabelle5[binding_level],Tabelle5[company_id],Tabelle18[[#This Row],[company_id]],Tabelle5[value_id],Tabelle18[[#This Row],[value_id]],Tabelle5[value_present],1),0)</f>
        <v>1</v>
      </c>
      <c r="E221" s="4">
        <f>IFERROR(_xlfn.MAXIFS(Tabelle5[value_points],Tabelle5[company_id],Tabelle18[[#This Row],[company_id]],Tabelle5[value_id],Tabelle18[[#This Row],[value_id]]),0)</f>
        <v>1</v>
      </c>
      <c r="F221">
        <f>IF(Tabelle18[[#This Row],[value_points_company]]=0,"",IFERROR(_xlfn.MINIFS(Tabelle5[doc_id],Tabelle5[company_id],Tabelle18[[#This Row],[company_id]],Tabelle5[value_id],Tabelle18[[#This Row],[value_id]],Tabelle5[value_points],Tabelle18[[#This Row],[value_points_company]]),""))</f>
        <v>73</v>
      </c>
      <c r="G221" t="str" cm="1">
        <f t="array" ref="G221">IF(Tabelle18[[#This Row],[doc_id_strongest]]="","",IFERROR(INDEX(Tabelle5[evidence_location],MATCH(1,(Tabelle5[company_id]=Tabelle18[[#This Row],[company_id]])*(Tabelle5[value_id]=Tabelle18[[#This Row],[value_id]])*(Tabelle5[doc_id]=Tabelle18[[#This Row],[doc_id_strongest]]),0)),""))</f>
        <v>S. 9, Q3</v>
      </c>
      <c r="H221" s="33" t="str" cm="1">
        <f t="array" ref="H221">IF(Tabelle18[[#This Row],[doc_id_strongest]]="","",IFERROR(INDEX(Tabelle5[evidence_quote],MATCH(1,(Tabelle5[company_id]=Tabelle18[[#This Row],[company_id]])*(Tabelle5[value_id]=Tabelle18[[#This Row],[value_id]])*(Tabelle5[doc_id]=Tabelle18[[#This Row],[doc_id_strongest]]),0)),""))</f>
        <v>“outcomes difficult to understand (the ‘black box’ problem)”</v>
      </c>
    </row>
    <row r="222" spans="1:8" x14ac:dyDescent="0.25">
      <c r="A222" s="36">
        <v>13</v>
      </c>
      <c r="B222" t="s">
        <v>83</v>
      </c>
      <c r="C222" s="4">
        <f>IF(Tabelle18[[#This Row],[binding_level_company]]&gt;=1,1,0)</f>
        <v>1</v>
      </c>
      <c r="D222" s="4">
        <f>IFERROR(_xlfn.MAXIFS(Tabelle5[binding_level],Tabelle5[company_id],Tabelle18[[#This Row],[company_id]],Tabelle5[value_id],Tabelle18[[#This Row],[value_id]],Tabelle5[value_present],1),0)</f>
        <v>1</v>
      </c>
      <c r="E222" s="4">
        <f>IFERROR(_xlfn.MAXIFS(Tabelle5[value_points],Tabelle5[company_id],Tabelle18[[#This Row],[company_id]],Tabelle5[value_id],Tabelle18[[#This Row],[value_id]]),0)</f>
        <v>1</v>
      </c>
      <c r="F222">
        <f>IF(Tabelle18[[#This Row],[value_points_company]]=0,"",IFERROR(_xlfn.MINIFS(Tabelle5[doc_id],Tabelle5[company_id],Tabelle18[[#This Row],[company_id]],Tabelle5[value_id],Tabelle18[[#This Row],[value_id]],Tabelle5[value_points],Tabelle18[[#This Row],[value_points_company]]),""))</f>
        <v>73</v>
      </c>
      <c r="G222" t="str" cm="1">
        <f t="array" ref="G222">IF(Tabelle18[[#This Row],[doc_id_strongest]]="","",IFERROR(INDEX(Tabelle5[evidence_location],MATCH(1,(Tabelle5[company_id]=Tabelle18[[#This Row],[company_id]])*(Tabelle5[value_id]=Tabelle18[[#This Row],[value_id]])*(Tabelle5[doc_id]=Tabelle18[[#This Row],[doc_id_strongest]]),0)),""))</f>
        <v>S. 9, Q3</v>
      </c>
      <c r="H222" s="33" t="str" cm="1">
        <f t="array" ref="H222">IF(Tabelle18[[#This Row],[doc_id_strongest]]="","",IFERROR(INDEX(Tabelle5[evidence_quote],MATCH(1,(Tabelle5[company_id]=Tabelle18[[#This Row],[company_id]])*(Tabelle5[value_id]=Tabelle18[[#This Row],[value_id]])*(Tabelle5[doc_id]=Tabelle18[[#This Row],[doc_id_strongest]]),0)),""))</f>
        <v>“AI models can perpetuate existing biases present in the data”</v>
      </c>
    </row>
    <row r="223" spans="1:8" x14ac:dyDescent="0.25">
      <c r="A223" s="36">
        <v>13</v>
      </c>
      <c r="B223" t="s">
        <v>90</v>
      </c>
      <c r="C223" s="4">
        <f>IF(Tabelle18[[#This Row],[binding_level_company]]&gt;=1,1,0)</f>
        <v>0</v>
      </c>
      <c r="D223" s="4">
        <f>IFERROR(_xlfn.MAXIFS(Tabelle5[binding_level],Tabelle5[company_id],Tabelle18[[#This Row],[company_id]],Tabelle5[value_id],Tabelle18[[#This Row],[value_id]],Tabelle5[value_present],1),0)</f>
        <v>0</v>
      </c>
      <c r="E223" s="4">
        <f>IFERROR(_xlfn.MAXIFS(Tabelle5[value_points],Tabelle5[company_id],Tabelle18[[#This Row],[company_id]],Tabelle5[value_id],Tabelle18[[#This Row],[value_id]]),0)</f>
        <v>0</v>
      </c>
      <c r="F223" t="str">
        <f>IF(Tabelle18[[#This Row],[value_points_company]]=0,"",IFERROR(_xlfn.MINIFS(Tabelle5[doc_id],Tabelle5[company_id],Tabelle18[[#This Row],[company_id]],Tabelle5[value_id],Tabelle18[[#This Row],[value_id]],Tabelle5[value_points],Tabelle18[[#This Row],[value_points_company]]),""))</f>
        <v/>
      </c>
      <c r="G223" t="str" cm="1">
        <f t="array" ref="G223">IF(Tabelle18[[#This Row],[doc_id_strongest]]="","",IFERROR(INDEX(Tabelle5[evidence_location],MATCH(1,(Tabelle5[company_id]=Tabelle18[[#This Row],[company_id]])*(Tabelle5[value_id]=Tabelle18[[#This Row],[value_id]])*(Tabelle5[doc_id]=Tabelle18[[#This Row],[doc_id_strongest]]),0)),""))</f>
        <v/>
      </c>
      <c r="H223" s="33" t="str" cm="1">
        <f t="array" ref="H223">IF(Tabelle18[[#This Row],[doc_id_strongest]]="","",IFERROR(INDEX(Tabelle5[evidence_quote],MATCH(1,(Tabelle5[company_id]=Tabelle18[[#This Row],[company_id]])*(Tabelle5[value_id]=Tabelle18[[#This Row],[value_id]])*(Tabelle5[doc_id]=Tabelle18[[#This Row],[doc_id_strongest]]),0)),""))</f>
        <v/>
      </c>
    </row>
    <row r="224" spans="1:8" x14ac:dyDescent="0.25">
      <c r="A224" s="36">
        <v>13</v>
      </c>
      <c r="B224" t="s">
        <v>98</v>
      </c>
      <c r="C224" s="4">
        <f>IF(Tabelle18[[#This Row],[binding_level_company]]&gt;=1,1,0)</f>
        <v>0</v>
      </c>
      <c r="D224" s="4">
        <f>IFERROR(_xlfn.MAXIFS(Tabelle5[binding_level],Tabelle5[company_id],Tabelle18[[#This Row],[company_id]],Tabelle5[value_id],Tabelle18[[#This Row],[value_id]],Tabelle5[value_present],1),0)</f>
        <v>0</v>
      </c>
      <c r="E224" s="4">
        <f>IFERROR(_xlfn.MAXIFS(Tabelle5[value_points],Tabelle5[company_id],Tabelle18[[#This Row],[company_id]],Tabelle5[value_id],Tabelle18[[#This Row],[value_id]]),0)</f>
        <v>0</v>
      </c>
      <c r="F224" t="str">
        <f>IF(Tabelle18[[#This Row],[value_points_company]]=0,"",IFERROR(_xlfn.MINIFS(Tabelle5[doc_id],Tabelle5[company_id],Tabelle18[[#This Row],[company_id]],Tabelle5[value_id],Tabelle18[[#This Row],[value_id]],Tabelle5[value_points],Tabelle18[[#This Row],[value_points_company]]),""))</f>
        <v/>
      </c>
      <c r="G224" t="str" cm="1">
        <f t="array" ref="G224">IF(Tabelle18[[#This Row],[doc_id_strongest]]="","",IFERROR(INDEX(Tabelle5[evidence_location],MATCH(1,(Tabelle5[company_id]=Tabelle18[[#This Row],[company_id]])*(Tabelle5[value_id]=Tabelle18[[#This Row],[value_id]])*(Tabelle5[doc_id]=Tabelle18[[#This Row],[doc_id_strongest]]),0)),""))</f>
        <v/>
      </c>
      <c r="H224" s="33" t="str" cm="1">
        <f t="array" ref="H224">IF(Tabelle18[[#This Row],[doc_id_strongest]]="","",IFERROR(INDEX(Tabelle5[evidence_quote],MATCH(1,(Tabelle5[company_id]=Tabelle18[[#This Row],[company_id]])*(Tabelle5[value_id]=Tabelle18[[#This Row],[value_id]])*(Tabelle5[doc_id]=Tabelle18[[#This Row],[doc_id_strongest]]),0)),""))</f>
        <v/>
      </c>
    </row>
    <row r="225" spans="1:8" x14ac:dyDescent="0.25">
      <c r="A225" s="36">
        <v>13</v>
      </c>
      <c r="B225" t="s">
        <v>106</v>
      </c>
      <c r="C225" s="4">
        <f>IF(Tabelle18[[#This Row],[binding_level_company]]&gt;=1,1,0)</f>
        <v>0</v>
      </c>
      <c r="D225" s="4">
        <f>IFERROR(_xlfn.MAXIFS(Tabelle5[binding_level],Tabelle5[company_id],Tabelle18[[#This Row],[company_id]],Tabelle5[value_id],Tabelle18[[#This Row],[value_id]],Tabelle5[value_present],1),0)</f>
        <v>0</v>
      </c>
      <c r="E225" s="4">
        <f>IFERROR(_xlfn.MAXIFS(Tabelle5[value_points],Tabelle5[company_id],Tabelle18[[#This Row],[company_id]],Tabelle5[value_id],Tabelle18[[#This Row],[value_id]]),0)</f>
        <v>0</v>
      </c>
      <c r="F225" t="str">
        <f>IF(Tabelle18[[#This Row],[value_points_company]]=0,"",IFERROR(_xlfn.MINIFS(Tabelle5[doc_id],Tabelle5[company_id],Tabelle18[[#This Row],[company_id]],Tabelle5[value_id],Tabelle18[[#This Row],[value_id]],Tabelle5[value_points],Tabelle18[[#This Row],[value_points_company]]),""))</f>
        <v/>
      </c>
      <c r="G225" t="str" cm="1">
        <f t="array" ref="G225">IF(Tabelle18[[#This Row],[doc_id_strongest]]="","",IFERROR(INDEX(Tabelle5[evidence_location],MATCH(1,(Tabelle5[company_id]=Tabelle18[[#This Row],[company_id]])*(Tabelle5[value_id]=Tabelle18[[#This Row],[value_id]])*(Tabelle5[doc_id]=Tabelle18[[#This Row],[doc_id_strongest]]),0)),""))</f>
        <v/>
      </c>
      <c r="H225" s="33" t="str" cm="1">
        <f t="array" ref="H225">IF(Tabelle18[[#This Row],[doc_id_strongest]]="","",IFERROR(INDEX(Tabelle5[evidence_quote],MATCH(1,(Tabelle5[company_id]=Tabelle18[[#This Row],[company_id]])*(Tabelle5[value_id]=Tabelle18[[#This Row],[value_id]])*(Tabelle5[doc_id]=Tabelle18[[#This Row],[doc_id_strongest]]),0)),""))</f>
        <v/>
      </c>
    </row>
    <row r="226" spans="1:8" x14ac:dyDescent="0.25">
      <c r="A226" s="36">
        <v>13</v>
      </c>
      <c r="B226" t="s">
        <v>112</v>
      </c>
      <c r="C226" s="4">
        <f>IF(Tabelle18[[#This Row],[binding_level_company]]&gt;=1,1,0)</f>
        <v>1</v>
      </c>
      <c r="D226" s="4">
        <f>IFERROR(_xlfn.MAXIFS(Tabelle5[binding_level],Tabelle5[company_id],Tabelle18[[#This Row],[company_id]],Tabelle5[value_id],Tabelle18[[#This Row],[value_id]],Tabelle5[value_present],1),0)</f>
        <v>1</v>
      </c>
      <c r="E226" s="4">
        <f>IFERROR(_xlfn.MAXIFS(Tabelle5[value_points],Tabelle5[company_id],Tabelle18[[#This Row],[company_id]],Tabelle5[value_id],Tabelle18[[#This Row],[value_id]]),0)</f>
        <v>1</v>
      </c>
      <c r="F226">
        <f>IF(Tabelle18[[#This Row],[value_points_company]]=0,"",IFERROR(_xlfn.MINIFS(Tabelle5[doc_id],Tabelle5[company_id],Tabelle18[[#This Row],[company_id]],Tabelle5[value_id],Tabelle18[[#This Row],[value_id]],Tabelle5[value_points],Tabelle18[[#This Row],[value_points_company]]),""))</f>
        <v>73</v>
      </c>
      <c r="G226" t="str" cm="1">
        <f t="array" ref="G226">IF(Tabelle18[[#This Row],[doc_id_strongest]]="","",IFERROR(INDEX(Tabelle5[evidence_location],MATCH(1,(Tabelle5[company_id]=Tabelle18[[#This Row],[company_id]])*(Tabelle5[value_id]=Tabelle18[[#This Row],[value_id]])*(Tabelle5[doc_id]=Tabelle18[[#This Row],[doc_id_strongest]]),0)),""))</f>
        <v>S. 22, Q15; S. 27, Q26</v>
      </c>
      <c r="H226" s="33" t="str" cm="1">
        <f t="array" ref="H226">IF(Tabelle18[[#This Row],[doc_id_strongest]]="","",IFERROR(INDEX(Tabelle5[evidence_quote],MATCH(1,(Tabelle5[company_id]=Tabelle18[[#This Row],[company_id]])*(Tabelle5[value_id]=Tabelle18[[#This Row],[value_id]])*(Tabelle5[doc_id]=Tabelle18[[#This Row],[doc_id_strongest]]),0)),""))</f>
        <v>“High data (information) quality is at the heart of reliable and useful AI”; “ensure reliable and trustworthy application"</v>
      </c>
    </row>
    <row r="227" spans="1:8" x14ac:dyDescent="0.25">
      <c r="A227" s="36">
        <v>13</v>
      </c>
      <c r="B227" t="s">
        <v>118</v>
      </c>
      <c r="C227" s="4">
        <f>IF(Tabelle18[[#This Row],[binding_level_company]]&gt;=1,1,0)</f>
        <v>0</v>
      </c>
      <c r="D227" s="4">
        <f>IFERROR(_xlfn.MAXIFS(Tabelle5[binding_level],Tabelle5[company_id],Tabelle18[[#This Row],[company_id]],Tabelle5[value_id],Tabelle18[[#This Row],[value_id]],Tabelle5[value_present],1),0)</f>
        <v>0</v>
      </c>
      <c r="E227" s="4">
        <f>IFERROR(_xlfn.MAXIFS(Tabelle5[value_points],Tabelle5[company_id],Tabelle18[[#This Row],[company_id]],Tabelle5[value_id],Tabelle18[[#This Row],[value_id]]),0)</f>
        <v>0</v>
      </c>
      <c r="F227" t="str">
        <f>IF(Tabelle18[[#This Row],[value_points_company]]=0,"",IFERROR(_xlfn.MINIFS(Tabelle5[doc_id],Tabelle5[company_id],Tabelle18[[#This Row],[company_id]],Tabelle5[value_id],Tabelle18[[#This Row],[value_id]],Tabelle5[value_points],Tabelle18[[#This Row],[value_points_company]]),""))</f>
        <v/>
      </c>
      <c r="G227" t="str" cm="1">
        <f t="array" ref="G227">IF(Tabelle18[[#This Row],[doc_id_strongest]]="","",IFERROR(INDEX(Tabelle5[evidence_location],MATCH(1,(Tabelle5[company_id]=Tabelle18[[#This Row],[company_id]])*(Tabelle5[value_id]=Tabelle18[[#This Row],[value_id]])*(Tabelle5[doc_id]=Tabelle18[[#This Row],[doc_id_strongest]]),0)),""))</f>
        <v/>
      </c>
      <c r="H227" s="33" t="str" cm="1">
        <f t="array" ref="H227">IF(Tabelle18[[#This Row],[doc_id_strongest]]="","",IFERROR(INDEX(Tabelle5[evidence_quote],MATCH(1,(Tabelle5[company_id]=Tabelle18[[#This Row],[company_id]])*(Tabelle5[value_id]=Tabelle18[[#This Row],[value_id]])*(Tabelle5[doc_id]=Tabelle18[[#This Row],[doc_id_strongest]]),0)),""))</f>
        <v/>
      </c>
    </row>
    <row r="228" spans="1:8" x14ac:dyDescent="0.25">
      <c r="A228" s="36">
        <v>13</v>
      </c>
      <c r="B228" t="s">
        <v>125</v>
      </c>
      <c r="C228" s="4">
        <f>IF(Tabelle18[[#This Row],[binding_level_company]]&gt;=1,1,0)</f>
        <v>0</v>
      </c>
      <c r="D228" s="4">
        <f>IFERROR(_xlfn.MAXIFS(Tabelle5[binding_level],Tabelle5[company_id],Tabelle18[[#This Row],[company_id]],Tabelle5[value_id],Tabelle18[[#This Row],[value_id]],Tabelle5[value_present],1),0)</f>
        <v>0</v>
      </c>
      <c r="E228" s="4">
        <f>IFERROR(_xlfn.MAXIFS(Tabelle5[value_points],Tabelle5[company_id],Tabelle18[[#This Row],[company_id]],Tabelle5[value_id],Tabelle18[[#This Row],[value_id]]),0)</f>
        <v>0</v>
      </c>
      <c r="F228" t="str">
        <f>IF(Tabelle18[[#This Row],[value_points_company]]=0,"",IFERROR(_xlfn.MINIFS(Tabelle5[doc_id],Tabelle5[company_id],Tabelle18[[#This Row],[company_id]],Tabelle5[value_id],Tabelle18[[#This Row],[value_id]],Tabelle5[value_points],Tabelle18[[#This Row],[value_points_company]]),""))</f>
        <v/>
      </c>
      <c r="G228" t="str" cm="1">
        <f t="array" ref="G228">IF(Tabelle18[[#This Row],[doc_id_strongest]]="","",IFERROR(INDEX(Tabelle5[evidence_location],MATCH(1,(Tabelle5[company_id]=Tabelle18[[#This Row],[company_id]])*(Tabelle5[value_id]=Tabelle18[[#This Row],[value_id]])*(Tabelle5[doc_id]=Tabelle18[[#This Row],[doc_id_strongest]]),0)),""))</f>
        <v/>
      </c>
      <c r="H228" s="33" t="str" cm="1">
        <f t="array" ref="H228">IF(Tabelle18[[#This Row],[doc_id_strongest]]="","",IFERROR(INDEX(Tabelle5[evidence_quote],MATCH(1,(Tabelle5[company_id]=Tabelle18[[#This Row],[company_id]])*(Tabelle5[value_id]=Tabelle18[[#This Row],[value_id]])*(Tabelle5[doc_id]=Tabelle18[[#This Row],[doc_id_strongest]]),0)),""))</f>
        <v/>
      </c>
    </row>
    <row r="229" spans="1:8" x14ac:dyDescent="0.25">
      <c r="A229" s="36">
        <v>13</v>
      </c>
      <c r="B229" t="s">
        <v>132</v>
      </c>
      <c r="C229" s="4">
        <f>IF(Tabelle18[[#This Row],[binding_level_company]]&gt;=1,1,0)</f>
        <v>0</v>
      </c>
      <c r="D229" s="4">
        <f>IFERROR(_xlfn.MAXIFS(Tabelle5[binding_level],Tabelle5[company_id],Tabelle18[[#This Row],[company_id]],Tabelle5[value_id],Tabelle18[[#This Row],[value_id]],Tabelle5[value_present],1),0)</f>
        <v>0</v>
      </c>
      <c r="E229" s="4">
        <f>IFERROR(_xlfn.MAXIFS(Tabelle5[value_points],Tabelle5[company_id],Tabelle18[[#This Row],[company_id]],Tabelle5[value_id],Tabelle18[[#This Row],[value_id]]),0)</f>
        <v>0</v>
      </c>
      <c r="F229" t="str">
        <f>IF(Tabelle18[[#This Row],[value_points_company]]=0,"",IFERROR(_xlfn.MINIFS(Tabelle5[doc_id],Tabelle5[company_id],Tabelle18[[#This Row],[company_id]],Tabelle5[value_id],Tabelle18[[#This Row],[value_id]],Tabelle5[value_points],Tabelle18[[#This Row],[value_points_company]]),""))</f>
        <v/>
      </c>
      <c r="G229" t="str" cm="1">
        <f t="array" ref="G229">IF(Tabelle18[[#This Row],[doc_id_strongest]]="","",IFERROR(INDEX(Tabelle5[evidence_location],MATCH(1,(Tabelle5[company_id]=Tabelle18[[#This Row],[company_id]])*(Tabelle5[value_id]=Tabelle18[[#This Row],[value_id]])*(Tabelle5[doc_id]=Tabelle18[[#This Row],[doc_id_strongest]]),0)),""))</f>
        <v/>
      </c>
      <c r="H229" s="33" t="str" cm="1">
        <f t="array" ref="H229">IF(Tabelle18[[#This Row],[doc_id_strongest]]="","",IFERROR(INDEX(Tabelle5[evidence_quote],MATCH(1,(Tabelle5[company_id]=Tabelle18[[#This Row],[company_id]])*(Tabelle5[value_id]=Tabelle18[[#This Row],[value_id]])*(Tabelle5[doc_id]=Tabelle18[[#This Row],[doc_id_strongest]]),0)),""))</f>
        <v/>
      </c>
    </row>
    <row r="230" spans="1:8" x14ac:dyDescent="0.25">
      <c r="A230" s="36">
        <v>13</v>
      </c>
      <c r="B230" t="s">
        <v>140</v>
      </c>
      <c r="C230" s="4">
        <f>IF(Tabelle18[[#This Row],[binding_level_company]]&gt;=1,1,0)</f>
        <v>0</v>
      </c>
      <c r="D230" s="4">
        <f>IFERROR(_xlfn.MAXIFS(Tabelle5[binding_level],Tabelle5[company_id],Tabelle18[[#This Row],[company_id]],Tabelle5[value_id],Tabelle18[[#This Row],[value_id]],Tabelle5[value_present],1),0)</f>
        <v>0</v>
      </c>
      <c r="E230" s="4">
        <f>IFERROR(_xlfn.MAXIFS(Tabelle5[value_points],Tabelle5[company_id],Tabelle18[[#This Row],[company_id]],Tabelle5[value_id],Tabelle18[[#This Row],[value_id]]),0)</f>
        <v>0</v>
      </c>
      <c r="F230" t="str">
        <f>IF(Tabelle18[[#This Row],[value_points_company]]=0,"",IFERROR(_xlfn.MINIFS(Tabelle5[doc_id],Tabelle5[company_id],Tabelle18[[#This Row],[company_id]],Tabelle5[value_id],Tabelle18[[#This Row],[value_id]],Tabelle5[value_points],Tabelle18[[#This Row],[value_points_company]]),""))</f>
        <v/>
      </c>
      <c r="G230" t="str" cm="1">
        <f t="array" ref="G230">IF(Tabelle18[[#This Row],[doc_id_strongest]]="","",IFERROR(INDEX(Tabelle5[evidence_location],MATCH(1,(Tabelle5[company_id]=Tabelle18[[#This Row],[company_id]])*(Tabelle5[value_id]=Tabelle18[[#This Row],[value_id]])*(Tabelle5[doc_id]=Tabelle18[[#This Row],[doc_id_strongest]]),0)),""))</f>
        <v/>
      </c>
      <c r="H230" s="33" t="str" cm="1">
        <f t="array" ref="H230">IF(Tabelle18[[#This Row],[doc_id_strongest]]="","",IFERROR(INDEX(Tabelle5[evidence_quote],MATCH(1,(Tabelle5[company_id]=Tabelle18[[#This Row],[company_id]])*(Tabelle5[value_id]=Tabelle18[[#This Row],[value_id]])*(Tabelle5[doc_id]=Tabelle18[[#This Row],[doc_id_strongest]]),0)),""))</f>
        <v/>
      </c>
    </row>
    <row r="231" spans="1:8" x14ac:dyDescent="0.25">
      <c r="A231" s="36">
        <v>13</v>
      </c>
      <c r="B231" t="s">
        <v>147</v>
      </c>
      <c r="C231" s="4">
        <f>IF(Tabelle18[[#This Row],[binding_level_company]]&gt;=1,1,0)</f>
        <v>1</v>
      </c>
      <c r="D231" s="4">
        <f>IFERROR(_xlfn.MAXIFS(Tabelle5[binding_level],Tabelle5[company_id],Tabelle18[[#This Row],[company_id]],Tabelle5[value_id],Tabelle18[[#This Row],[value_id]],Tabelle5[value_present],1),0)</f>
        <v>2</v>
      </c>
      <c r="E231" s="4">
        <f>IFERROR(_xlfn.MAXIFS(Tabelle5[value_points],Tabelle5[company_id],Tabelle18[[#This Row],[company_id]],Tabelle5[value_id],Tabelle18[[#This Row],[value_id]]),0)</f>
        <v>2</v>
      </c>
      <c r="F231">
        <f>IF(Tabelle18[[#This Row],[value_points_company]]=0,"",IFERROR(_xlfn.MINIFS(Tabelle5[doc_id],Tabelle5[company_id],Tabelle18[[#This Row],[company_id]],Tabelle5[value_id],Tabelle18[[#This Row],[value_id]],Tabelle5[value_points],Tabelle18[[#This Row],[value_points_company]]),""))</f>
        <v>74</v>
      </c>
      <c r="G231" t="str" cm="1">
        <f t="array" ref="G231">IF(Tabelle18[[#This Row],[doc_id_strongest]]="","",IFERROR(INDEX(Tabelle5[evidence_location],MATCH(1,(Tabelle5[company_id]=Tabelle18[[#This Row],[company_id]])*(Tabelle5[value_id]=Tabelle18[[#This Row],[value_id]])*(Tabelle5[doc_id]=Tabelle18[[#This Row],[doc_id_strongest]]),0)),""))</f>
        <v>S. 23, Abschnitt 10</v>
      </c>
      <c r="H231" s="33" t="str" cm="1">
        <f t="array" ref="H231">IF(Tabelle18[[#This Row],[doc_id_strongest]]="","",IFERROR(INDEX(Tabelle5[evidence_quote],MATCH(1,(Tabelle5[company_id]=Tabelle18[[#This Row],[company_id]])*(Tabelle5[value_id]=Tabelle18[[#This Row],[value_id]])*(Tabelle5[doc_id]=Tabelle18[[#This Row],[doc_id_strongest]]),0)),""))</f>
        <v xml:space="preserve">“including use of Information in AI solutions is properly licensed”; “Customers are required to have the appropriate NDDU license in place”; </v>
      </c>
    </row>
    <row r="232" spans="1:8" x14ac:dyDescent="0.25">
      <c r="A232" s="36">
        <v>13</v>
      </c>
      <c r="B232" t="s">
        <v>154</v>
      </c>
      <c r="C232" s="4">
        <f>IF(Tabelle18[[#This Row],[binding_level_company]]&gt;=1,1,0)</f>
        <v>0</v>
      </c>
      <c r="D232" s="4">
        <f>IFERROR(_xlfn.MAXIFS(Tabelle5[binding_level],Tabelle5[company_id],Tabelle18[[#This Row],[company_id]],Tabelle5[value_id],Tabelle18[[#This Row],[value_id]],Tabelle5[value_present],1),0)</f>
        <v>0</v>
      </c>
      <c r="E232" s="4">
        <f>IFERROR(_xlfn.MAXIFS(Tabelle5[value_points],Tabelle5[company_id],Tabelle18[[#This Row],[company_id]],Tabelle5[value_id],Tabelle18[[#This Row],[value_id]]),0)</f>
        <v>0</v>
      </c>
      <c r="F232" t="str">
        <f>IF(Tabelle18[[#This Row],[value_points_company]]=0,"",IFERROR(_xlfn.MINIFS(Tabelle5[doc_id],Tabelle5[company_id],Tabelle18[[#This Row],[company_id]],Tabelle5[value_id],Tabelle18[[#This Row],[value_id]],Tabelle5[value_points],Tabelle18[[#This Row],[value_points_company]]),""))</f>
        <v/>
      </c>
      <c r="G232" t="str" cm="1">
        <f t="array" ref="G232">IF(Tabelle18[[#This Row],[doc_id_strongest]]="","",IFERROR(INDEX(Tabelle5[evidence_location],MATCH(1,(Tabelle5[company_id]=Tabelle18[[#This Row],[company_id]])*(Tabelle5[value_id]=Tabelle18[[#This Row],[value_id]])*(Tabelle5[doc_id]=Tabelle18[[#This Row],[doc_id_strongest]]),0)),""))</f>
        <v/>
      </c>
      <c r="H232" s="33" t="str" cm="1">
        <f t="array" ref="H232">IF(Tabelle18[[#This Row],[doc_id_strongest]]="","",IFERROR(INDEX(Tabelle5[evidence_quote],MATCH(1,(Tabelle5[company_id]=Tabelle18[[#This Row],[company_id]])*(Tabelle5[value_id]=Tabelle18[[#This Row],[value_id]])*(Tabelle5[doc_id]=Tabelle18[[#This Row],[doc_id_strongest]]),0)),""))</f>
        <v/>
      </c>
    </row>
    <row r="233" spans="1:8" x14ac:dyDescent="0.25">
      <c r="A233" s="36">
        <v>13</v>
      </c>
      <c r="B233" t="s">
        <v>161</v>
      </c>
      <c r="C233" s="4">
        <f>IF(Tabelle18[[#This Row],[binding_level_company]]&gt;=1,1,0)</f>
        <v>1</v>
      </c>
      <c r="D233" s="4">
        <f>IFERROR(_xlfn.MAXIFS(Tabelle5[binding_level],Tabelle5[company_id],Tabelle18[[#This Row],[company_id]],Tabelle5[value_id],Tabelle18[[#This Row],[value_id]],Tabelle5[value_present],1),0)</f>
        <v>1</v>
      </c>
      <c r="E233" s="4">
        <f>IFERROR(_xlfn.MAXIFS(Tabelle5[value_points],Tabelle5[company_id],Tabelle18[[#This Row],[company_id]],Tabelle5[value_id],Tabelle18[[#This Row],[value_id]]),0)</f>
        <v>1</v>
      </c>
      <c r="F233">
        <f>IF(Tabelle18[[#This Row],[value_points_company]]=0,"",IFERROR(_xlfn.MINIFS(Tabelle5[doc_id],Tabelle5[company_id],Tabelle18[[#This Row],[company_id]],Tabelle5[value_id],Tabelle18[[#This Row],[value_id]],Tabelle5[value_points],Tabelle18[[#This Row],[value_points_company]]),""))</f>
        <v>73</v>
      </c>
      <c r="G233" t="str" cm="1">
        <f t="array" ref="G233">IF(Tabelle18[[#This Row],[doc_id_strongest]]="","",IFERROR(INDEX(Tabelle5[evidence_location],MATCH(1,(Tabelle5[company_id]=Tabelle18[[#This Row],[company_id]])*(Tabelle5[value_id]=Tabelle18[[#This Row],[value_id]])*(Tabelle5[doc_id]=Tabelle18[[#This Row],[doc_id_strongest]]),0)),""))</f>
        <v>S. 9, Q3; S. 22, Q15</v>
      </c>
      <c r="H233" s="33" t="str" cm="1">
        <f t="array" ref="H233">IF(Tabelle18[[#This Row],[doc_id_strongest]]="","",IFERROR(INDEX(Tabelle5[evidence_quote],MATCH(1,(Tabelle5[company_id]=Tabelle18[[#This Row],[company_id]])*(Tabelle5[value_id]=Tabelle18[[#This Row],[value_id]])*(Tabelle5[doc_id]=Tabelle18[[#This Row],[doc_id_strongest]]),0)),""))</f>
        <v>“a solid data governance”; “clear and strict data governance is being set-up and maintained”</v>
      </c>
    </row>
    <row r="234" spans="1:8" x14ac:dyDescent="0.25">
      <c r="A234" s="36">
        <v>13</v>
      </c>
      <c r="B234" t="s">
        <v>166</v>
      </c>
      <c r="C234" s="4">
        <f>IF(Tabelle18[[#This Row],[binding_level_company]]&gt;=1,1,0)</f>
        <v>0</v>
      </c>
      <c r="D234" s="4">
        <f>IFERROR(_xlfn.MAXIFS(Tabelle5[binding_level],Tabelle5[company_id],Tabelle18[[#This Row],[company_id]],Tabelle5[value_id],Tabelle18[[#This Row],[value_id]],Tabelle5[value_present],1),0)</f>
        <v>0</v>
      </c>
      <c r="E234" s="4">
        <f>IFERROR(_xlfn.MAXIFS(Tabelle5[value_points],Tabelle5[company_id],Tabelle18[[#This Row],[company_id]],Tabelle5[value_id],Tabelle18[[#This Row],[value_id]]),0)</f>
        <v>0</v>
      </c>
      <c r="F234" t="str">
        <f>IF(Tabelle18[[#This Row],[value_points_company]]=0,"",IFERROR(_xlfn.MINIFS(Tabelle5[doc_id],Tabelle5[company_id],Tabelle18[[#This Row],[company_id]],Tabelle5[value_id],Tabelle18[[#This Row],[value_id]],Tabelle5[value_points],Tabelle18[[#This Row],[value_points_company]]),""))</f>
        <v/>
      </c>
      <c r="G234" t="str" cm="1">
        <f t="array" ref="G234">IF(Tabelle18[[#This Row],[doc_id_strongest]]="","",IFERROR(INDEX(Tabelle5[evidence_location],MATCH(1,(Tabelle5[company_id]=Tabelle18[[#This Row],[company_id]])*(Tabelle5[value_id]=Tabelle18[[#This Row],[value_id]])*(Tabelle5[doc_id]=Tabelle18[[#This Row],[doc_id_strongest]]),0)),""))</f>
        <v/>
      </c>
      <c r="H234" s="33" t="str" cm="1">
        <f t="array" ref="H234">IF(Tabelle18[[#This Row],[doc_id_strongest]]="","",IFERROR(INDEX(Tabelle5[evidence_quote],MATCH(1,(Tabelle5[company_id]=Tabelle18[[#This Row],[company_id]])*(Tabelle5[value_id]=Tabelle18[[#This Row],[value_id]])*(Tabelle5[doc_id]=Tabelle18[[#This Row],[doc_id_strongest]]),0)),""))</f>
        <v/>
      </c>
    </row>
    <row r="235" spans="1:8" ht="15.75" thickBot="1" x14ac:dyDescent="0.3">
      <c r="A235" s="37">
        <v>13</v>
      </c>
      <c r="B235" s="30" t="s">
        <v>174</v>
      </c>
      <c r="C235" s="49">
        <f>IF(Tabelle18[[#This Row],[binding_level_company]]&gt;=1,1,0)</f>
        <v>0</v>
      </c>
      <c r="D235" s="49">
        <f>IFERROR(_xlfn.MAXIFS(Tabelle5[binding_level],Tabelle5[company_id],Tabelle18[[#This Row],[company_id]],Tabelle5[value_id],Tabelle18[[#This Row],[value_id]],Tabelle5[value_present],1),0)</f>
        <v>0</v>
      </c>
      <c r="E235" s="49">
        <f>IFERROR(_xlfn.MAXIFS(Tabelle5[value_points],Tabelle5[company_id],Tabelle18[[#This Row],[company_id]],Tabelle5[value_id],Tabelle18[[#This Row],[value_id]]),0)</f>
        <v>0</v>
      </c>
      <c r="F235" s="30" t="str">
        <f>IF(Tabelle18[[#This Row],[value_points_company]]=0,"",IFERROR(_xlfn.MINIFS(Tabelle5[doc_id],Tabelle5[company_id],Tabelle18[[#This Row],[company_id]],Tabelle5[value_id],Tabelle18[[#This Row],[value_id]],Tabelle5[value_points],Tabelle18[[#This Row],[value_points_company]]),""))</f>
        <v/>
      </c>
      <c r="G235" s="30" t="str" cm="1">
        <f t="array" ref="G235">IF(Tabelle18[[#This Row],[doc_id_strongest]]="","",IFERROR(INDEX(Tabelle5[evidence_location],MATCH(1,(Tabelle5[company_id]=Tabelle18[[#This Row],[company_id]])*(Tabelle5[value_id]=Tabelle18[[#This Row],[value_id]])*(Tabelle5[doc_id]=Tabelle18[[#This Row],[doc_id_strongest]]),0)),""))</f>
        <v/>
      </c>
      <c r="H235" s="34" t="str" cm="1">
        <f t="array" ref="H235">IF(Tabelle18[[#This Row],[doc_id_strongest]]="","",IFERROR(INDEX(Tabelle5[evidence_quote],MATCH(1,(Tabelle5[company_id]=Tabelle18[[#This Row],[company_id]])*(Tabelle5[value_id]=Tabelle18[[#This Row],[value_id]])*(Tabelle5[doc_id]=Tabelle18[[#This Row],[doc_id_strongest]]),0)),""))</f>
        <v/>
      </c>
    </row>
    <row r="236" spans="1:8" x14ac:dyDescent="0.25">
      <c r="A236" s="35">
        <v>14</v>
      </c>
      <c r="B236" s="22" t="s">
        <v>53</v>
      </c>
      <c r="C236" s="48">
        <f>IF(Tabelle18[[#This Row],[binding_level_company]]&gt;=1,1,0)</f>
        <v>0</v>
      </c>
      <c r="D236" s="48">
        <f>IFERROR(_xlfn.MAXIFS(Tabelle5[binding_level],Tabelle5[company_id],Tabelle18[[#This Row],[company_id]],Tabelle5[value_id],Tabelle18[[#This Row],[value_id]],Tabelle5[value_present],1),0)</f>
        <v>0</v>
      </c>
      <c r="E236" s="48">
        <f>IFERROR(_xlfn.MAXIFS(Tabelle5[value_points],Tabelle5[company_id],Tabelle18[[#This Row],[company_id]],Tabelle5[value_id],Tabelle18[[#This Row],[value_id]]),0)</f>
        <v>0</v>
      </c>
      <c r="F236" s="22" t="str">
        <f>IF(Tabelle18[[#This Row],[value_points_company]]=0,"",IFERROR(_xlfn.MINIFS(Tabelle5[doc_id],Tabelle5[company_id],Tabelle18[[#This Row],[company_id]],Tabelle5[value_id],Tabelle18[[#This Row],[value_id]],Tabelle5[value_points],Tabelle18[[#This Row],[value_points_company]]),""))</f>
        <v/>
      </c>
      <c r="G236" s="22" t="str" cm="1">
        <f t="array" ref="G236">IF(Tabelle18[[#This Row],[doc_id_strongest]]="","",IFERROR(INDEX(Tabelle5[evidence_location],MATCH(1,(Tabelle5[company_id]=Tabelle18[[#This Row],[company_id]])*(Tabelle5[value_id]=Tabelle18[[#This Row],[value_id]])*(Tabelle5[doc_id]=Tabelle18[[#This Row],[doc_id_strongest]]),0)),""))</f>
        <v/>
      </c>
      <c r="H236" s="32" t="str" cm="1">
        <f t="array" ref="H236">IF(Tabelle18[[#This Row],[doc_id_strongest]]="","",IFERROR(INDEX(Tabelle5[evidence_quote],MATCH(1,(Tabelle5[company_id]=Tabelle18[[#This Row],[company_id]])*(Tabelle5[value_id]=Tabelle18[[#This Row],[value_id]])*(Tabelle5[doc_id]=Tabelle18[[#This Row],[doc_id_strongest]]),0)),""))</f>
        <v/>
      </c>
    </row>
    <row r="237" spans="1:8" x14ac:dyDescent="0.25">
      <c r="A237" s="36">
        <v>14</v>
      </c>
      <c r="B237" t="s">
        <v>61</v>
      </c>
      <c r="C237" s="4">
        <f>IF(Tabelle18[[#This Row],[binding_level_company]]&gt;=1,1,0)</f>
        <v>0</v>
      </c>
      <c r="D237" s="4">
        <f>IFERROR(_xlfn.MAXIFS(Tabelle5[binding_level],Tabelle5[company_id],Tabelle18[[#This Row],[company_id]],Tabelle5[value_id],Tabelle18[[#This Row],[value_id]],Tabelle5[value_present],1),0)</f>
        <v>0</v>
      </c>
      <c r="E237" s="4">
        <f>IFERROR(_xlfn.MAXIFS(Tabelle5[value_points],Tabelle5[company_id],Tabelle18[[#This Row],[company_id]],Tabelle5[value_id],Tabelle18[[#This Row],[value_id]]),0)</f>
        <v>0</v>
      </c>
      <c r="F237" t="str">
        <f>IF(Tabelle18[[#This Row],[value_points_company]]=0,"",IFERROR(_xlfn.MINIFS(Tabelle5[doc_id],Tabelle5[company_id],Tabelle18[[#This Row],[company_id]],Tabelle5[value_id],Tabelle18[[#This Row],[value_id]],Tabelle5[value_points],Tabelle18[[#This Row],[value_points_company]]),""))</f>
        <v/>
      </c>
      <c r="G237" t="str" cm="1">
        <f t="array" ref="G237">IF(Tabelle18[[#This Row],[doc_id_strongest]]="","",IFERROR(INDEX(Tabelle5[evidence_location],MATCH(1,(Tabelle5[company_id]=Tabelle18[[#This Row],[company_id]])*(Tabelle5[value_id]=Tabelle18[[#This Row],[value_id]])*(Tabelle5[doc_id]=Tabelle18[[#This Row],[doc_id_strongest]]),0)),""))</f>
        <v/>
      </c>
      <c r="H237" s="33" t="str" cm="1">
        <f t="array" ref="H237">IF(Tabelle18[[#This Row],[doc_id_strongest]]="","",IFERROR(INDEX(Tabelle5[evidence_quote],MATCH(1,(Tabelle5[company_id]=Tabelle18[[#This Row],[company_id]])*(Tabelle5[value_id]=Tabelle18[[#This Row],[value_id]])*(Tabelle5[doc_id]=Tabelle18[[#This Row],[doc_id_strongest]]),0)),""))</f>
        <v/>
      </c>
    </row>
    <row r="238" spans="1:8" x14ac:dyDescent="0.25">
      <c r="A238" s="36">
        <v>14</v>
      </c>
      <c r="B238" t="s">
        <v>69</v>
      </c>
      <c r="C238" s="4">
        <f>IF(Tabelle18[[#This Row],[binding_level_company]]&gt;=1,1,0)</f>
        <v>0</v>
      </c>
      <c r="D238" s="4">
        <f>IFERROR(_xlfn.MAXIFS(Tabelle5[binding_level],Tabelle5[company_id],Tabelle18[[#This Row],[company_id]],Tabelle5[value_id],Tabelle18[[#This Row],[value_id]],Tabelle5[value_present],1),0)</f>
        <v>0</v>
      </c>
      <c r="E238" s="4">
        <f>IFERROR(_xlfn.MAXIFS(Tabelle5[value_points],Tabelle5[company_id],Tabelle18[[#This Row],[company_id]],Tabelle5[value_id],Tabelle18[[#This Row],[value_id]]),0)</f>
        <v>0</v>
      </c>
      <c r="F238" t="str">
        <f>IF(Tabelle18[[#This Row],[value_points_company]]=0,"",IFERROR(_xlfn.MINIFS(Tabelle5[doc_id],Tabelle5[company_id],Tabelle18[[#This Row],[company_id]],Tabelle5[value_id],Tabelle18[[#This Row],[value_id]],Tabelle5[value_points],Tabelle18[[#This Row],[value_points_company]]),""))</f>
        <v/>
      </c>
      <c r="G238" t="str" cm="1">
        <f t="array" ref="G238">IF(Tabelle18[[#This Row],[doc_id_strongest]]="","",IFERROR(INDEX(Tabelle5[evidence_location],MATCH(1,(Tabelle5[company_id]=Tabelle18[[#This Row],[company_id]])*(Tabelle5[value_id]=Tabelle18[[#This Row],[value_id]])*(Tabelle5[doc_id]=Tabelle18[[#This Row],[doc_id_strongest]]),0)),""))</f>
        <v/>
      </c>
      <c r="H238" s="33" t="str" cm="1">
        <f t="array" ref="H238">IF(Tabelle18[[#This Row],[doc_id_strongest]]="","",IFERROR(INDEX(Tabelle5[evidence_quote],MATCH(1,(Tabelle5[company_id]=Tabelle18[[#This Row],[company_id]])*(Tabelle5[value_id]=Tabelle18[[#This Row],[value_id]])*(Tabelle5[doc_id]=Tabelle18[[#This Row],[doc_id_strongest]]),0)),""))</f>
        <v/>
      </c>
    </row>
    <row r="239" spans="1:8" x14ac:dyDescent="0.25">
      <c r="A239" s="36">
        <v>14</v>
      </c>
      <c r="B239" t="s">
        <v>76</v>
      </c>
      <c r="C239" s="4">
        <f>IF(Tabelle18[[#This Row],[binding_level_company]]&gt;=1,1,0)</f>
        <v>0</v>
      </c>
      <c r="D239" s="4">
        <f>IFERROR(_xlfn.MAXIFS(Tabelle5[binding_level],Tabelle5[company_id],Tabelle18[[#This Row],[company_id]],Tabelle5[value_id],Tabelle18[[#This Row],[value_id]],Tabelle5[value_present],1),0)</f>
        <v>0</v>
      </c>
      <c r="E239" s="4">
        <f>IFERROR(_xlfn.MAXIFS(Tabelle5[value_points],Tabelle5[company_id],Tabelle18[[#This Row],[company_id]],Tabelle5[value_id],Tabelle18[[#This Row],[value_id]]),0)</f>
        <v>0</v>
      </c>
      <c r="F239" t="str">
        <f>IF(Tabelle18[[#This Row],[value_points_company]]=0,"",IFERROR(_xlfn.MINIFS(Tabelle5[doc_id],Tabelle5[company_id],Tabelle18[[#This Row],[company_id]],Tabelle5[value_id],Tabelle18[[#This Row],[value_id]],Tabelle5[value_points],Tabelle18[[#This Row],[value_points_company]]),""))</f>
        <v/>
      </c>
      <c r="G239" t="str" cm="1">
        <f t="array" ref="G239">IF(Tabelle18[[#This Row],[doc_id_strongest]]="","",IFERROR(INDEX(Tabelle5[evidence_location],MATCH(1,(Tabelle5[company_id]=Tabelle18[[#This Row],[company_id]])*(Tabelle5[value_id]=Tabelle18[[#This Row],[value_id]])*(Tabelle5[doc_id]=Tabelle18[[#This Row],[doc_id_strongest]]),0)),""))</f>
        <v/>
      </c>
      <c r="H239" s="33" t="str" cm="1">
        <f t="array" ref="H239">IF(Tabelle18[[#This Row],[doc_id_strongest]]="","",IFERROR(INDEX(Tabelle5[evidence_quote],MATCH(1,(Tabelle5[company_id]=Tabelle18[[#This Row],[company_id]])*(Tabelle5[value_id]=Tabelle18[[#This Row],[value_id]])*(Tabelle5[doc_id]=Tabelle18[[#This Row],[doc_id_strongest]]),0)),""))</f>
        <v/>
      </c>
    </row>
    <row r="240" spans="1:8" x14ac:dyDescent="0.25">
      <c r="A240" s="36">
        <v>14</v>
      </c>
      <c r="B240" t="s">
        <v>83</v>
      </c>
      <c r="C240" s="4">
        <f>IF(Tabelle18[[#This Row],[binding_level_company]]&gt;=1,1,0)</f>
        <v>0</v>
      </c>
      <c r="D240" s="4">
        <f>IFERROR(_xlfn.MAXIFS(Tabelle5[binding_level],Tabelle5[company_id],Tabelle18[[#This Row],[company_id]],Tabelle5[value_id],Tabelle18[[#This Row],[value_id]],Tabelle5[value_present],1),0)</f>
        <v>0</v>
      </c>
      <c r="E240" s="4">
        <f>IFERROR(_xlfn.MAXIFS(Tabelle5[value_points],Tabelle5[company_id],Tabelle18[[#This Row],[company_id]],Tabelle5[value_id],Tabelle18[[#This Row],[value_id]]),0)</f>
        <v>0</v>
      </c>
      <c r="F240" t="str">
        <f>IF(Tabelle18[[#This Row],[value_points_company]]=0,"",IFERROR(_xlfn.MINIFS(Tabelle5[doc_id],Tabelle5[company_id],Tabelle18[[#This Row],[company_id]],Tabelle5[value_id],Tabelle18[[#This Row],[value_id]],Tabelle5[value_points],Tabelle18[[#This Row],[value_points_company]]),""))</f>
        <v/>
      </c>
      <c r="G240" t="str" cm="1">
        <f t="array" ref="G240">IF(Tabelle18[[#This Row],[doc_id_strongest]]="","",IFERROR(INDEX(Tabelle5[evidence_location],MATCH(1,(Tabelle5[company_id]=Tabelle18[[#This Row],[company_id]])*(Tabelle5[value_id]=Tabelle18[[#This Row],[value_id]])*(Tabelle5[doc_id]=Tabelle18[[#This Row],[doc_id_strongest]]),0)),""))</f>
        <v/>
      </c>
      <c r="H240" s="33" t="str" cm="1">
        <f t="array" ref="H240">IF(Tabelle18[[#This Row],[doc_id_strongest]]="","",IFERROR(INDEX(Tabelle5[evidence_quote],MATCH(1,(Tabelle5[company_id]=Tabelle18[[#This Row],[company_id]])*(Tabelle5[value_id]=Tabelle18[[#This Row],[value_id]])*(Tabelle5[doc_id]=Tabelle18[[#This Row],[doc_id_strongest]]),0)),""))</f>
        <v/>
      </c>
    </row>
    <row r="241" spans="1:8" x14ac:dyDescent="0.25">
      <c r="A241" s="36">
        <v>14</v>
      </c>
      <c r="B241" t="s">
        <v>90</v>
      </c>
      <c r="C241" s="4">
        <f>IF(Tabelle18[[#This Row],[binding_level_company]]&gt;=1,1,0)</f>
        <v>0</v>
      </c>
      <c r="D241" s="4">
        <f>IFERROR(_xlfn.MAXIFS(Tabelle5[binding_level],Tabelle5[company_id],Tabelle18[[#This Row],[company_id]],Tabelle5[value_id],Tabelle18[[#This Row],[value_id]],Tabelle5[value_present],1),0)</f>
        <v>0</v>
      </c>
      <c r="E241" s="4">
        <f>IFERROR(_xlfn.MAXIFS(Tabelle5[value_points],Tabelle5[company_id],Tabelle18[[#This Row],[company_id]],Tabelle5[value_id],Tabelle18[[#This Row],[value_id]]),0)</f>
        <v>0</v>
      </c>
      <c r="F241" t="str">
        <f>IF(Tabelle18[[#This Row],[value_points_company]]=0,"",IFERROR(_xlfn.MINIFS(Tabelle5[doc_id],Tabelle5[company_id],Tabelle18[[#This Row],[company_id]],Tabelle5[value_id],Tabelle18[[#This Row],[value_id]],Tabelle5[value_points],Tabelle18[[#This Row],[value_points_company]]),""))</f>
        <v/>
      </c>
      <c r="G241" t="str" cm="1">
        <f t="array" ref="G241">IF(Tabelle18[[#This Row],[doc_id_strongest]]="","",IFERROR(INDEX(Tabelle5[evidence_location],MATCH(1,(Tabelle5[company_id]=Tabelle18[[#This Row],[company_id]])*(Tabelle5[value_id]=Tabelle18[[#This Row],[value_id]])*(Tabelle5[doc_id]=Tabelle18[[#This Row],[doc_id_strongest]]),0)),""))</f>
        <v/>
      </c>
      <c r="H241" s="33" t="str" cm="1">
        <f t="array" ref="H241">IF(Tabelle18[[#This Row],[doc_id_strongest]]="","",IFERROR(INDEX(Tabelle5[evidence_quote],MATCH(1,(Tabelle5[company_id]=Tabelle18[[#This Row],[company_id]])*(Tabelle5[value_id]=Tabelle18[[#This Row],[value_id]])*(Tabelle5[doc_id]=Tabelle18[[#This Row],[doc_id_strongest]]),0)),""))</f>
        <v/>
      </c>
    </row>
    <row r="242" spans="1:8" x14ac:dyDescent="0.25">
      <c r="A242" s="36">
        <v>14</v>
      </c>
      <c r="B242" t="s">
        <v>98</v>
      </c>
      <c r="C242" s="4">
        <f>IF(Tabelle18[[#This Row],[binding_level_company]]&gt;=1,1,0)</f>
        <v>0</v>
      </c>
      <c r="D242" s="4">
        <f>IFERROR(_xlfn.MAXIFS(Tabelle5[binding_level],Tabelle5[company_id],Tabelle18[[#This Row],[company_id]],Tabelle5[value_id],Tabelle18[[#This Row],[value_id]],Tabelle5[value_present],1),0)</f>
        <v>0</v>
      </c>
      <c r="E242" s="4">
        <f>IFERROR(_xlfn.MAXIFS(Tabelle5[value_points],Tabelle5[company_id],Tabelle18[[#This Row],[company_id]],Tabelle5[value_id],Tabelle18[[#This Row],[value_id]]),0)</f>
        <v>0</v>
      </c>
      <c r="F242" t="str">
        <f>IF(Tabelle18[[#This Row],[value_points_company]]=0,"",IFERROR(_xlfn.MINIFS(Tabelle5[doc_id],Tabelle5[company_id],Tabelle18[[#This Row],[company_id]],Tabelle5[value_id],Tabelle18[[#This Row],[value_id]],Tabelle5[value_points],Tabelle18[[#This Row],[value_points_company]]),""))</f>
        <v/>
      </c>
      <c r="G242" t="str" cm="1">
        <f t="array" ref="G242">IF(Tabelle18[[#This Row],[doc_id_strongest]]="","",IFERROR(INDEX(Tabelle5[evidence_location],MATCH(1,(Tabelle5[company_id]=Tabelle18[[#This Row],[company_id]])*(Tabelle5[value_id]=Tabelle18[[#This Row],[value_id]])*(Tabelle5[doc_id]=Tabelle18[[#This Row],[doc_id_strongest]]),0)),""))</f>
        <v/>
      </c>
      <c r="H242" s="33" t="str" cm="1">
        <f t="array" ref="H242">IF(Tabelle18[[#This Row],[doc_id_strongest]]="","",IFERROR(INDEX(Tabelle5[evidence_quote],MATCH(1,(Tabelle5[company_id]=Tabelle18[[#This Row],[company_id]])*(Tabelle5[value_id]=Tabelle18[[#This Row],[value_id]])*(Tabelle5[doc_id]=Tabelle18[[#This Row],[doc_id_strongest]]),0)),""))</f>
        <v/>
      </c>
    </row>
    <row r="243" spans="1:8" x14ac:dyDescent="0.25">
      <c r="A243" s="36">
        <v>14</v>
      </c>
      <c r="B243" t="s">
        <v>106</v>
      </c>
      <c r="C243" s="4">
        <f>IF(Tabelle18[[#This Row],[binding_level_company]]&gt;=1,1,0)</f>
        <v>0</v>
      </c>
      <c r="D243" s="4">
        <f>IFERROR(_xlfn.MAXIFS(Tabelle5[binding_level],Tabelle5[company_id],Tabelle18[[#This Row],[company_id]],Tabelle5[value_id],Tabelle18[[#This Row],[value_id]],Tabelle5[value_present],1),0)</f>
        <v>0</v>
      </c>
      <c r="E243" s="4">
        <f>IFERROR(_xlfn.MAXIFS(Tabelle5[value_points],Tabelle5[company_id],Tabelle18[[#This Row],[company_id]],Tabelle5[value_id],Tabelle18[[#This Row],[value_id]]),0)</f>
        <v>0</v>
      </c>
      <c r="F243" t="str">
        <f>IF(Tabelle18[[#This Row],[value_points_company]]=0,"",IFERROR(_xlfn.MINIFS(Tabelle5[doc_id],Tabelle5[company_id],Tabelle18[[#This Row],[company_id]],Tabelle5[value_id],Tabelle18[[#This Row],[value_id]],Tabelle5[value_points],Tabelle18[[#This Row],[value_points_company]]),""))</f>
        <v/>
      </c>
      <c r="G243" t="str" cm="1">
        <f t="array" ref="G243">IF(Tabelle18[[#This Row],[doc_id_strongest]]="","",IFERROR(INDEX(Tabelle5[evidence_location],MATCH(1,(Tabelle5[company_id]=Tabelle18[[#This Row],[company_id]])*(Tabelle5[value_id]=Tabelle18[[#This Row],[value_id]])*(Tabelle5[doc_id]=Tabelle18[[#This Row],[doc_id_strongest]]),0)),""))</f>
        <v/>
      </c>
      <c r="H243" s="33" t="str" cm="1">
        <f t="array" ref="H243">IF(Tabelle18[[#This Row],[doc_id_strongest]]="","",IFERROR(INDEX(Tabelle5[evidence_quote],MATCH(1,(Tabelle5[company_id]=Tabelle18[[#This Row],[company_id]])*(Tabelle5[value_id]=Tabelle18[[#This Row],[value_id]])*(Tabelle5[doc_id]=Tabelle18[[#This Row],[doc_id_strongest]]),0)),""))</f>
        <v/>
      </c>
    </row>
    <row r="244" spans="1:8" x14ac:dyDescent="0.25">
      <c r="A244" s="36">
        <v>14</v>
      </c>
      <c r="B244" t="s">
        <v>112</v>
      </c>
      <c r="C244" s="4">
        <f>IF(Tabelle18[[#This Row],[binding_level_company]]&gt;=1,1,0)</f>
        <v>0</v>
      </c>
      <c r="D244" s="4">
        <f>IFERROR(_xlfn.MAXIFS(Tabelle5[binding_level],Tabelle5[company_id],Tabelle18[[#This Row],[company_id]],Tabelle5[value_id],Tabelle18[[#This Row],[value_id]],Tabelle5[value_present],1),0)</f>
        <v>0</v>
      </c>
      <c r="E244" s="4">
        <f>IFERROR(_xlfn.MAXIFS(Tabelle5[value_points],Tabelle5[company_id],Tabelle18[[#This Row],[company_id]],Tabelle5[value_id],Tabelle18[[#This Row],[value_id]]),0)</f>
        <v>0</v>
      </c>
      <c r="F244" t="str">
        <f>IF(Tabelle18[[#This Row],[value_points_company]]=0,"",IFERROR(_xlfn.MINIFS(Tabelle5[doc_id],Tabelle5[company_id],Tabelle18[[#This Row],[company_id]],Tabelle5[value_id],Tabelle18[[#This Row],[value_id]],Tabelle5[value_points],Tabelle18[[#This Row],[value_points_company]]),""))</f>
        <v/>
      </c>
      <c r="G244" t="str" cm="1">
        <f t="array" ref="G244">IF(Tabelle18[[#This Row],[doc_id_strongest]]="","",IFERROR(INDEX(Tabelle5[evidence_location],MATCH(1,(Tabelle5[company_id]=Tabelle18[[#This Row],[company_id]])*(Tabelle5[value_id]=Tabelle18[[#This Row],[value_id]])*(Tabelle5[doc_id]=Tabelle18[[#This Row],[doc_id_strongest]]),0)),""))</f>
        <v/>
      </c>
      <c r="H244" s="33" t="str" cm="1">
        <f t="array" ref="H244">IF(Tabelle18[[#This Row],[doc_id_strongest]]="","",IFERROR(INDEX(Tabelle5[evidence_quote],MATCH(1,(Tabelle5[company_id]=Tabelle18[[#This Row],[company_id]])*(Tabelle5[value_id]=Tabelle18[[#This Row],[value_id]])*(Tabelle5[doc_id]=Tabelle18[[#This Row],[doc_id_strongest]]),0)),""))</f>
        <v/>
      </c>
    </row>
    <row r="245" spans="1:8" x14ac:dyDescent="0.25">
      <c r="A245" s="36">
        <v>14</v>
      </c>
      <c r="B245" t="s">
        <v>118</v>
      </c>
      <c r="C245" s="4">
        <f>IF(Tabelle18[[#This Row],[binding_level_company]]&gt;=1,1,0)</f>
        <v>0</v>
      </c>
      <c r="D245" s="4">
        <f>IFERROR(_xlfn.MAXIFS(Tabelle5[binding_level],Tabelle5[company_id],Tabelle18[[#This Row],[company_id]],Tabelle5[value_id],Tabelle18[[#This Row],[value_id]],Tabelle5[value_present],1),0)</f>
        <v>0</v>
      </c>
      <c r="E245" s="4">
        <f>IFERROR(_xlfn.MAXIFS(Tabelle5[value_points],Tabelle5[company_id],Tabelle18[[#This Row],[company_id]],Tabelle5[value_id],Tabelle18[[#This Row],[value_id]]),0)</f>
        <v>0</v>
      </c>
      <c r="F245" t="str">
        <f>IF(Tabelle18[[#This Row],[value_points_company]]=0,"",IFERROR(_xlfn.MINIFS(Tabelle5[doc_id],Tabelle5[company_id],Tabelle18[[#This Row],[company_id]],Tabelle5[value_id],Tabelle18[[#This Row],[value_id]],Tabelle5[value_points],Tabelle18[[#This Row],[value_points_company]]),""))</f>
        <v/>
      </c>
      <c r="G245" t="str" cm="1">
        <f t="array" ref="G245">IF(Tabelle18[[#This Row],[doc_id_strongest]]="","",IFERROR(INDEX(Tabelle5[evidence_location],MATCH(1,(Tabelle5[company_id]=Tabelle18[[#This Row],[company_id]])*(Tabelle5[value_id]=Tabelle18[[#This Row],[value_id]])*(Tabelle5[doc_id]=Tabelle18[[#This Row],[doc_id_strongest]]),0)),""))</f>
        <v/>
      </c>
      <c r="H245" s="33" t="str" cm="1">
        <f t="array" ref="H245">IF(Tabelle18[[#This Row],[doc_id_strongest]]="","",IFERROR(INDEX(Tabelle5[evidence_quote],MATCH(1,(Tabelle5[company_id]=Tabelle18[[#This Row],[company_id]])*(Tabelle5[value_id]=Tabelle18[[#This Row],[value_id]])*(Tabelle5[doc_id]=Tabelle18[[#This Row],[doc_id_strongest]]),0)),""))</f>
        <v/>
      </c>
    </row>
    <row r="246" spans="1:8" x14ac:dyDescent="0.25">
      <c r="A246" s="36">
        <v>14</v>
      </c>
      <c r="B246" t="s">
        <v>125</v>
      </c>
      <c r="C246" s="4">
        <f>IF(Tabelle18[[#This Row],[binding_level_company]]&gt;=1,1,0)</f>
        <v>0</v>
      </c>
      <c r="D246" s="4">
        <f>IFERROR(_xlfn.MAXIFS(Tabelle5[binding_level],Tabelle5[company_id],Tabelle18[[#This Row],[company_id]],Tabelle5[value_id],Tabelle18[[#This Row],[value_id]],Tabelle5[value_present],1),0)</f>
        <v>0</v>
      </c>
      <c r="E246" s="4">
        <f>IFERROR(_xlfn.MAXIFS(Tabelle5[value_points],Tabelle5[company_id],Tabelle18[[#This Row],[company_id]],Tabelle5[value_id],Tabelle18[[#This Row],[value_id]]),0)</f>
        <v>0</v>
      </c>
      <c r="F246" t="str">
        <f>IF(Tabelle18[[#This Row],[value_points_company]]=0,"",IFERROR(_xlfn.MINIFS(Tabelle5[doc_id],Tabelle5[company_id],Tabelle18[[#This Row],[company_id]],Tabelle5[value_id],Tabelle18[[#This Row],[value_id]],Tabelle5[value_points],Tabelle18[[#This Row],[value_points_company]]),""))</f>
        <v/>
      </c>
      <c r="G246" t="str" cm="1">
        <f t="array" ref="G246">IF(Tabelle18[[#This Row],[doc_id_strongest]]="","",IFERROR(INDEX(Tabelle5[evidence_location],MATCH(1,(Tabelle5[company_id]=Tabelle18[[#This Row],[company_id]])*(Tabelle5[value_id]=Tabelle18[[#This Row],[value_id]])*(Tabelle5[doc_id]=Tabelle18[[#This Row],[doc_id_strongest]]),0)),""))</f>
        <v/>
      </c>
      <c r="H246" s="33" t="str" cm="1">
        <f t="array" ref="H246">IF(Tabelle18[[#This Row],[doc_id_strongest]]="","",IFERROR(INDEX(Tabelle5[evidence_quote],MATCH(1,(Tabelle5[company_id]=Tabelle18[[#This Row],[company_id]])*(Tabelle5[value_id]=Tabelle18[[#This Row],[value_id]])*(Tabelle5[doc_id]=Tabelle18[[#This Row],[doc_id_strongest]]),0)),""))</f>
        <v/>
      </c>
    </row>
    <row r="247" spans="1:8" x14ac:dyDescent="0.25">
      <c r="A247" s="36">
        <v>14</v>
      </c>
      <c r="B247" t="s">
        <v>132</v>
      </c>
      <c r="C247" s="4">
        <f>IF(Tabelle18[[#This Row],[binding_level_company]]&gt;=1,1,0)</f>
        <v>0</v>
      </c>
      <c r="D247" s="4">
        <f>IFERROR(_xlfn.MAXIFS(Tabelle5[binding_level],Tabelle5[company_id],Tabelle18[[#This Row],[company_id]],Tabelle5[value_id],Tabelle18[[#This Row],[value_id]],Tabelle5[value_present],1),0)</f>
        <v>0</v>
      </c>
      <c r="E247" s="4">
        <f>IFERROR(_xlfn.MAXIFS(Tabelle5[value_points],Tabelle5[company_id],Tabelle18[[#This Row],[company_id]],Tabelle5[value_id],Tabelle18[[#This Row],[value_id]]),0)</f>
        <v>0</v>
      </c>
      <c r="F247" t="str">
        <f>IF(Tabelle18[[#This Row],[value_points_company]]=0,"",IFERROR(_xlfn.MINIFS(Tabelle5[doc_id],Tabelle5[company_id],Tabelle18[[#This Row],[company_id]],Tabelle5[value_id],Tabelle18[[#This Row],[value_id]],Tabelle5[value_points],Tabelle18[[#This Row],[value_points_company]]),""))</f>
        <v/>
      </c>
      <c r="G247" t="str" cm="1">
        <f t="array" ref="G247">IF(Tabelle18[[#This Row],[doc_id_strongest]]="","",IFERROR(INDEX(Tabelle5[evidence_location],MATCH(1,(Tabelle5[company_id]=Tabelle18[[#This Row],[company_id]])*(Tabelle5[value_id]=Tabelle18[[#This Row],[value_id]])*(Tabelle5[doc_id]=Tabelle18[[#This Row],[doc_id_strongest]]),0)),""))</f>
        <v/>
      </c>
      <c r="H247" s="33" t="str" cm="1">
        <f t="array" ref="H247">IF(Tabelle18[[#This Row],[doc_id_strongest]]="","",IFERROR(INDEX(Tabelle5[evidence_quote],MATCH(1,(Tabelle5[company_id]=Tabelle18[[#This Row],[company_id]])*(Tabelle5[value_id]=Tabelle18[[#This Row],[value_id]])*(Tabelle5[doc_id]=Tabelle18[[#This Row],[doc_id_strongest]]),0)),""))</f>
        <v/>
      </c>
    </row>
    <row r="248" spans="1:8" x14ac:dyDescent="0.25">
      <c r="A248" s="36">
        <v>14</v>
      </c>
      <c r="B248" t="s">
        <v>140</v>
      </c>
      <c r="C248" s="4">
        <f>IF(Tabelle18[[#This Row],[binding_level_company]]&gt;=1,1,0)</f>
        <v>0</v>
      </c>
      <c r="D248" s="4">
        <f>IFERROR(_xlfn.MAXIFS(Tabelle5[binding_level],Tabelle5[company_id],Tabelle18[[#This Row],[company_id]],Tabelle5[value_id],Tabelle18[[#This Row],[value_id]],Tabelle5[value_present],1),0)</f>
        <v>0</v>
      </c>
      <c r="E248" s="4">
        <f>IFERROR(_xlfn.MAXIFS(Tabelle5[value_points],Tabelle5[company_id],Tabelle18[[#This Row],[company_id]],Tabelle5[value_id],Tabelle18[[#This Row],[value_id]]),0)</f>
        <v>0</v>
      </c>
      <c r="F248" t="str">
        <f>IF(Tabelle18[[#This Row],[value_points_company]]=0,"",IFERROR(_xlfn.MINIFS(Tabelle5[doc_id],Tabelle5[company_id],Tabelle18[[#This Row],[company_id]],Tabelle5[value_id],Tabelle18[[#This Row],[value_id]],Tabelle5[value_points],Tabelle18[[#This Row],[value_points_company]]),""))</f>
        <v/>
      </c>
      <c r="G248" t="str" cm="1">
        <f t="array" ref="G248">IF(Tabelle18[[#This Row],[doc_id_strongest]]="","",IFERROR(INDEX(Tabelle5[evidence_location],MATCH(1,(Tabelle5[company_id]=Tabelle18[[#This Row],[company_id]])*(Tabelle5[value_id]=Tabelle18[[#This Row],[value_id]])*(Tabelle5[doc_id]=Tabelle18[[#This Row],[doc_id_strongest]]),0)),""))</f>
        <v/>
      </c>
      <c r="H248" s="33" t="str" cm="1">
        <f t="array" ref="H248">IF(Tabelle18[[#This Row],[doc_id_strongest]]="","",IFERROR(INDEX(Tabelle5[evidence_quote],MATCH(1,(Tabelle5[company_id]=Tabelle18[[#This Row],[company_id]])*(Tabelle5[value_id]=Tabelle18[[#This Row],[value_id]])*(Tabelle5[doc_id]=Tabelle18[[#This Row],[doc_id_strongest]]),0)),""))</f>
        <v/>
      </c>
    </row>
    <row r="249" spans="1:8" x14ac:dyDescent="0.25">
      <c r="A249" s="36">
        <v>14</v>
      </c>
      <c r="B249" t="s">
        <v>147</v>
      </c>
      <c r="C249" s="4">
        <f>IF(Tabelle18[[#This Row],[binding_level_company]]&gt;=1,1,0)</f>
        <v>0</v>
      </c>
      <c r="D249" s="4">
        <f>IFERROR(_xlfn.MAXIFS(Tabelle5[binding_level],Tabelle5[company_id],Tabelle18[[#This Row],[company_id]],Tabelle5[value_id],Tabelle18[[#This Row],[value_id]],Tabelle5[value_present],1),0)</f>
        <v>0</v>
      </c>
      <c r="E249" s="4">
        <f>IFERROR(_xlfn.MAXIFS(Tabelle5[value_points],Tabelle5[company_id],Tabelle18[[#This Row],[company_id]],Tabelle5[value_id],Tabelle18[[#This Row],[value_id]]),0)</f>
        <v>0</v>
      </c>
      <c r="F249" t="str">
        <f>IF(Tabelle18[[#This Row],[value_points_company]]=0,"",IFERROR(_xlfn.MINIFS(Tabelle5[doc_id],Tabelle5[company_id],Tabelle18[[#This Row],[company_id]],Tabelle5[value_id],Tabelle18[[#This Row],[value_id]],Tabelle5[value_points],Tabelle18[[#This Row],[value_points_company]]),""))</f>
        <v/>
      </c>
      <c r="G249" t="str" cm="1">
        <f t="array" ref="G249">IF(Tabelle18[[#This Row],[doc_id_strongest]]="","",IFERROR(INDEX(Tabelle5[evidence_location],MATCH(1,(Tabelle5[company_id]=Tabelle18[[#This Row],[company_id]])*(Tabelle5[value_id]=Tabelle18[[#This Row],[value_id]])*(Tabelle5[doc_id]=Tabelle18[[#This Row],[doc_id_strongest]]),0)),""))</f>
        <v/>
      </c>
      <c r="H249" s="33" t="str" cm="1">
        <f t="array" ref="H249">IF(Tabelle18[[#This Row],[doc_id_strongest]]="","",IFERROR(INDEX(Tabelle5[evidence_quote],MATCH(1,(Tabelle5[company_id]=Tabelle18[[#This Row],[company_id]])*(Tabelle5[value_id]=Tabelle18[[#This Row],[value_id]])*(Tabelle5[doc_id]=Tabelle18[[#This Row],[doc_id_strongest]]),0)),""))</f>
        <v/>
      </c>
    </row>
    <row r="250" spans="1:8" x14ac:dyDescent="0.25">
      <c r="A250" s="36">
        <v>14</v>
      </c>
      <c r="B250" t="s">
        <v>154</v>
      </c>
      <c r="C250" s="4">
        <f>IF(Tabelle18[[#This Row],[binding_level_company]]&gt;=1,1,0)</f>
        <v>0</v>
      </c>
      <c r="D250" s="4">
        <f>IFERROR(_xlfn.MAXIFS(Tabelle5[binding_level],Tabelle5[company_id],Tabelle18[[#This Row],[company_id]],Tabelle5[value_id],Tabelle18[[#This Row],[value_id]],Tabelle5[value_present],1),0)</f>
        <v>0</v>
      </c>
      <c r="E250" s="4">
        <f>IFERROR(_xlfn.MAXIFS(Tabelle5[value_points],Tabelle5[company_id],Tabelle18[[#This Row],[company_id]],Tabelle5[value_id],Tabelle18[[#This Row],[value_id]]),0)</f>
        <v>0</v>
      </c>
      <c r="F250" t="str">
        <f>IF(Tabelle18[[#This Row],[value_points_company]]=0,"",IFERROR(_xlfn.MINIFS(Tabelle5[doc_id],Tabelle5[company_id],Tabelle18[[#This Row],[company_id]],Tabelle5[value_id],Tabelle18[[#This Row],[value_id]],Tabelle5[value_points],Tabelle18[[#This Row],[value_points_company]]),""))</f>
        <v/>
      </c>
      <c r="G250" t="str" cm="1">
        <f t="array" ref="G250">IF(Tabelle18[[#This Row],[doc_id_strongest]]="","",IFERROR(INDEX(Tabelle5[evidence_location],MATCH(1,(Tabelle5[company_id]=Tabelle18[[#This Row],[company_id]])*(Tabelle5[value_id]=Tabelle18[[#This Row],[value_id]])*(Tabelle5[doc_id]=Tabelle18[[#This Row],[doc_id_strongest]]),0)),""))</f>
        <v/>
      </c>
      <c r="H250" s="33" t="str" cm="1">
        <f t="array" ref="H250">IF(Tabelle18[[#This Row],[doc_id_strongest]]="","",IFERROR(INDEX(Tabelle5[evidence_quote],MATCH(1,(Tabelle5[company_id]=Tabelle18[[#This Row],[company_id]])*(Tabelle5[value_id]=Tabelle18[[#This Row],[value_id]])*(Tabelle5[doc_id]=Tabelle18[[#This Row],[doc_id_strongest]]),0)),""))</f>
        <v/>
      </c>
    </row>
    <row r="251" spans="1:8" x14ac:dyDescent="0.25">
      <c r="A251" s="36">
        <v>14</v>
      </c>
      <c r="B251" t="s">
        <v>161</v>
      </c>
      <c r="C251" s="4">
        <f>IF(Tabelle18[[#This Row],[binding_level_company]]&gt;=1,1,0)</f>
        <v>0</v>
      </c>
      <c r="D251" s="4">
        <f>IFERROR(_xlfn.MAXIFS(Tabelle5[binding_level],Tabelle5[company_id],Tabelle18[[#This Row],[company_id]],Tabelle5[value_id],Tabelle18[[#This Row],[value_id]],Tabelle5[value_present],1),0)</f>
        <v>0</v>
      </c>
      <c r="E251" s="4">
        <f>IFERROR(_xlfn.MAXIFS(Tabelle5[value_points],Tabelle5[company_id],Tabelle18[[#This Row],[company_id]],Tabelle5[value_id],Tabelle18[[#This Row],[value_id]]),0)</f>
        <v>0</v>
      </c>
      <c r="F251" t="str">
        <f>IF(Tabelle18[[#This Row],[value_points_company]]=0,"",IFERROR(_xlfn.MINIFS(Tabelle5[doc_id],Tabelle5[company_id],Tabelle18[[#This Row],[company_id]],Tabelle5[value_id],Tabelle18[[#This Row],[value_id]],Tabelle5[value_points],Tabelle18[[#This Row],[value_points_company]]),""))</f>
        <v/>
      </c>
      <c r="G251" t="str" cm="1">
        <f t="array" ref="G251">IF(Tabelle18[[#This Row],[doc_id_strongest]]="","",IFERROR(INDEX(Tabelle5[evidence_location],MATCH(1,(Tabelle5[company_id]=Tabelle18[[#This Row],[company_id]])*(Tabelle5[value_id]=Tabelle18[[#This Row],[value_id]])*(Tabelle5[doc_id]=Tabelle18[[#This Row],[doc_id_strongest]]),0)),""))</f>
        <v/>
      </c>
      <c r="H251" s="33" t="str" cm="1">
        <f t="array" ref="H251">IF(Tabelle18[[#This Row],[doc_id_strongest]]="","",IFERROR(INDEX(Tabelle5[evidence_quote],MATCH(1,(Tabelle5[company_id]=Tabelle18[[#This Row],[company_id]])*(Tabelle5[value_id]=Tabelle18[[#This Row],[value_id]])*(Tabelle5[doc_id]=Tabelle18[[#This Row],[doc_id_strongest]]),0)),""))</f>
        <v/>
      </c>
    </row>
    <row r="252" spans="1:8" x14ac:dyDescent="0.25">
      <c r="A252" s="36">
        <v>14</v>
      </c>
      <c r="B252" t="s">
        <v>166</v>
      </c>
      <c r="C252" s="4">
        <f>IF(Tabelle18[[#This Row],[binding_level_company]]&gt;=1,1,0)</f>
        <v>0</v>
      </c>
      <c r="D252" s="4">
        <f>IFERROR(_xlfn.MAXIFS(Tabelle5[binding_level],Tabelle5[company_id],Tabelle18[[#This Row],[company_id]],Tabelle5[value_id],Tabelle18[[#This Row],[value_id]],Tabelle5[value_present],1),0)</f>
        <v>0</v>
      </c>
      <c r="E252" s="4">
        <f>IFERROR(_xlfn.MAXIFS(Tabelle5[value_points],Tabelle5[company_id],Tabelle18[[#This Row],[company_id]],Tabelle5[value_id],Tabelle18[[#This Row],[value_id]]),0)</f>
        <v>0</v>
      </c>
      <c r="F252" t="str">
        <f>IF(Tabelle18[[#This Row],[value_points_company]]=0,"",IFERROR(_xlfn.MINIFS(Tabelle5[doc_id],Tabelle5[company_id],Tabelle18[[#This Row],[company_id]],Tabelle5[value_id],Tabelle18[[#This Row],[value_id]],Tabelle5[value_points],Tabelle18[[#This Row],[value_points_company]]),""))</f>
        <v/>
      </c>
      <c r="G252" t="str" cm="1">
        <f t="array" ref="G252">IF(Tabelle18[[#This Row],[doc_id_strongest]]="","",IFERROR(INDEX(Tabelle5[evidence_location],MATCH(1,(Tabelle5[company_id]=Tabelle18[[#This Row],[company_id]])*(Tabelle5[value_id]=Tabelle18[[#This Row],[value_id]])*(Tabelle5[doc_id]=Tabelle18[[#This Row],[doc_id_strongest]]),0)),""))</f>
        <v/>
      </c>
      <c r="H252" s="33" t="str" cm="1">
        <f t="array" ref="H252">IF(Tabelle18[[#This Row],[doc_id_strongest]]="","",IFERROR(INDEX(Tabelle5[evidence_quote],MATCH(1,(Tabelle5[company_id]=Tabelle18[[#This Row],[company_id]])*(Tabelle5[value_id]=Tabelle18[[#This Row],[value_id]])*(Tabelle5[doc_id]=Tabelle18[[#This Row],[doc_id_strongest]]),0)),""))</f>
        <v/>
      </c>
    </row>
    <row r="253" spans="1:8" ht="15.75" thickBot="1" x14ac:dyDescent="0.3">
      <c r="A253" s="37">
        <v>14</v>
      </c>
      <c r="B253" s="30" t="s">
        <v>174</v>
      </c>
      <c r="C253" s="49">
        <f>IF(Tabelle18[[#This Row],[binding_level_company]]&gt;=1,1,0)</f>
        <v>0</v>
      </c>
      <c r="D253" s="49">
        <f>IFERROR(_xlfn.MAXIFS(Tabelle5[binding_level],Tabelle5[company_id],Tabelle18[[#This Row],[company_id]],Tabelle5[value_id],Tabelle18[[#This Row],[value_id]],Tabelle5[value_present],1),0)</f>
        <v>0</v>
      </c>
      <c r="E253" s="49">
        <f>IFERROR(_xlfn.MAXIFS(Tabelle5[value_points],Tabelle5[company_id],Tabelle18[[#This Row],[company_id]],Tabelle5[value_id],Tabelle18[[#This Row],[value_id]]),0)</f>
        <v>0</v>
      </c>
      <c r="F253" s="30" t="str">
        <f>IF(Tabelle18[[#This Row],[value_points_company]]=0,"",IFERROR(_xlfn.MINIFS(Tabelle5[doc_id],Tabelle5[company_id],Tabelle18[[#This Row],[company_id]],Tabelle5[value_id],Tabelle18[[#This Row],[value_id]],Tabelle5[value_points],Tabelle18[[#This Row],[value_points_company]]),""))</f>
        <v/>
      </c>
      <c r="G253" s="30" t="str" cm="1">
        <f t="array" ref="G253">IF(Tabelle18[[#This Row],[doc_id_strongest]]="","",IFERROR(INDEX(Tabelle5[evidence_location],MATCH(1,(Tabelle5[company_id]=Tabelle18[[#This Row],[company_id]])*(Tabelle5[value_id]=Tabelle18[[#This Row],[value_id]])*(Tabelle5[doc_id]=Tabelle18[[#This Row],[doc_id_strongest]]),0)),""))</f>
        <v/>
      </c>
      <c r="H253" s="34" t="str" cm="1">
        <f t="array" ref="H253">IF(Tabelle18[[#This Row],[doc_id_strongest]]="","",IFERROR(INDEX(Tabelle5[evidence_quote],MATCH(1,(Tabelle5[company_id]=Tabelle18[[#This Row],[company_id]])*(Tabelle5[value_id]=Tabelle18[[#This Row],[value_id]])*(Tabelle5[doc_id]=Tabelle18[[#This Row],[doc_id_strongest]]),0)),""))</f>
        <v/>
      </c>
    </row>
    <row r="254" spans="1:8" x14ac:dyDescent="0.25">
      <c r="A254" s="35">
        <v>15</v>
      </c>
      <c r="B254" s="22" t="s">
        <v>53</v>
      </c>
      <c r="C254" s="48">
        <f>IF(Tabelle18[[#This Row],[binding_level_company]]&gt;=1,1,0)</f>
        <v>1</v>
      </c>
      <c r="D254" s="48">
        <f>IFERROR(_xlfn.MAXIFS(Tabelle5[binding_level],Tabelle5[company_id],Tabelle18[[#This Row],[company_id]],Tabelle5[value_id],Tabelle18[[#This Row],[value_id]],Tabelle5[value_present],1),0)</f>
        <v>3</v>
      </c>
      <c r="E254" s="48">
        <f>IFERROR(_xlfn.MAXIFS(Tabelle5[value_points],Tabelle5[company_id],Tabelle18[[#This Row],[company_id]],Tabelle5[value_id],Tabelle18[[#This Row],[value_id]]),0)</f>
        <v>3</v>
      </c>
      <c r="F254" s="22">
        <f>IF(Tabelle18[[#This Row],[value_points_company]]=0,"",IFERROR(_xlfn.MINIFS(Tabelle5[doc_id],Tabelle5[company_id],Tabelle18[[#This Row],[company_id]],Tabelle5[value_id],Tabelle18[[#This Row],[value_id]],Tabelle5[value_points],Tabelle18[[#This Row],[value_points_company]]),""))</f>
        <v>86</v>
      </c>
      <c r="G254" s="22" t="str" cm="1">
        <f t="array" ref="G254">IF(Tabelle18[[#This Row],[doc_id_strongest]]="","",IFERROR(INDEX(Tabelle5[evidence_location],MATCH(1,(Tabelle5[company_id]=Tabelle18[[#This Row],[company_id]])*(Tabelle5[value_id]=Tabelle18[[#This Row],[value_id]])*(Tabelle5[doc_id]=Tabelle18[[#This Row],[doc_id_strongest]]),0)),""))</f>
        <v>S. 9, Abschnitt 7</v>
      </c>
      <c r="H254" s="32" t="str" cm="1">
        <f t="array" ref="H254">IF(Tabelle18[[#This Row],[doc_id_strongest]]="","",IFERROR(INDEX(Tabelle5[evidence_quote],MATCH(1,(Tabelle5[company_id]=Tabelle18[[#This Row],[company_id]])*(Tabelle5[value_id]=Tabelle18[[#This Row],[value_id]])*(Tabelle5[doc_id]=Tabelle18[[#This Row],[doc_id_strongest]]),0)),""))</f>
        <v>“deactivate and stop AI systems at any time (kill switch)”</v>
      </c>
    </row>
    <row r="255" spans="1:8" x14ac:dyDescent="0.25">
      <c r="A255" s="36">
        <v>15</v>
      </c>
      <c r="B255" t="s">
        <v>61</v>
      </c>
      <c r="C255" s="4">
        <f>IF(Tabelle18[[#This Row],[binding_level_company]]&gt;=1,1,0)</f>
        <v>1</v>
      </c>
      <c r="D255" s="4">
        <f>IFERROR(_xlfn.MAXIFS(Tabelle5[binding_level],Tabelle5[company_id],Tabelle18[[#This Row],[company_id]],Tabelle5[value_id],Tabelle18[[#This Row],[value_id]],Tabelle5[value_present],1),0)</f>
        <v>3</v>
      </c>
      <c r="E255" s="4">
        <f>IFERROR(_xlfn.MAXIFS(Tabelle5[value_points],Tabelle5[company_id],Tabelle18[[#This Row],[company_id]],Tabelle5[value_id],Tabelle18[[#This Row],[value_id]]),0)</f>
        <v>3</v>
      </c>
      <c r="F255">
        <f>IF(Tabelle18[[#This Row],[value_points_company]]=0,"",IFERROR(_xlfn.MINIFS(Tabelle5[doc_id],Tabelle5[company_id],Tabelle18[[#This Row],[company_id]],Tabelle5[value_id],Tabelle18[[#This Row],[value_id]],Tabelle5[value_points],Tabelle18[[#This Row],[value_points_company]]),""))</f>
        <v>86</v>
      </c>
      <c r="G255" t="str" cm="1">
        <f t="array" ref="G255">IF(Tabelle18[[#This Row],[doc_id_strongest]]="","",IFERROR(INDEX(Tabelle5[evidence_location],MATCH(1,(Tabelle5[company_id]=Tabelle18[[#This Row],[company_id]])*(Tabelle5[value_id]=Tabelle18[[#This Row],[value_id]])*(Tabelle5[doc_id]=Tabelle18[[#This Row],[doc_id_strongest]]),0)),""))</f>
        <v>S. 3, Abschnitt 1</v>
      </c>
      <c r="H255" s="33" t="str" cm="1">
        <f t="array" ref="H255">IF(Tabelle18[[#This Row],[doc_id_strongest]]="","",IFERROR(INDEX(Tabelle5[evidence_quote],MATCH(1,(Tabelle5[company_id]=Tabelle18[[#This Row],[company_id]])*(Tabelle5[value_id]=Tabelle18[[#This Row],[value_id]])*(Tabelle5[doc_id]=Tabelle18[[#This Row],[doc_id_strongest]]),0)),""))</f>
        <v>“clear definition of who is responsible for which AI system or feature”</v>
      </c>
    </row>
    <row r="256" spans="1:8" x14ac:dyDescent="0.25">
      <c r="A256" s="36">
        <v>15</v>
      </c>
      <c r="B256" t="s">
        <v>69</v>
      </c>
      <c r="C256" s="4">
        <f>IF(Tabelle18[[#This Row],[binding_level_company]]&gt;=1,1,0)</f>
        <v>1</v>
      </c>
      <c r="D256" s="4">
        <f>IFERROR(_xlfn.MAXIFS(Tabelle5[binding_level],Tabelle5[company_id],Tabelle18[[#This Row],[company_id]],Tabelle5[value_id],Tabelle18[[#This Row],[value_id]],Tabelle5[value_present],1),0)</f>
        <v>3</v>
      </c>
      <c r="E256" s="4">
        <f>IFERROR(_xlfn.MAXIFS(Tabelle5[value_points],Tabelle5[company_id],Tabelle18[[#This Row],[company_id]],Tabelle5[value_id],Tabelle18[[#This Row],[value_id]]),0)</f>
        <v>3</v>
      </c>
      <c r="F256">
        <f>IF(Tabelle18[[#This Row],[value_points_company]]=0,"",IFERROR(_xlfn.MINIFS(Tabelle5[doc_id],Tabelle5[company_id],Tabelle18[[#This Row],[company_id]],Tabelle5[value_id],Tabelle18[[#This Row],[value_id]],Tabelle5[value_points],Tabelle18[[#This Row],[value_points_company]]),""))</f>
        <v>86</v>
      </c>
      <c r="G256" t="str" cm="1">
        <f t="array" ref="G256">IF(Tabelle18[[#This Row],[doc_id_strongest]]="","",IFERROR(INDEX(Tabelle5[evidence_location],MATCH(1,(Tabelle5[company_id]=Tabelle18[[#This Row],[company_id]])*(Tabelle5[value_id]=Tabelle18[[#This Row],[value_id]])*(Tabelle5[doc_id]=Tabelle18[[#This Row],[doc_id_strongest]]),0)),""))</f>
        <v>S. 6, Abschnitt 4; S. 8, Abschnitt 6</v>
      </c>
      <c r="H256" s="33" t="str" cm="1">
        <f t="array" ref="H256">IF(Tabelle18[[#This Row],[doc_id_strongest]]="","",IFERROR(INDEX(Tabelle5[evidence_quote],MATCH(1,(Tabelle5[company_id]=Tabelle18[[#This Row],[company_id]])*(Tabelle5[value_id]=Tabelle18[[#This Row],[value_id]])*(Tabelle5[doc_id]=Tabelle18[[#This Row],[doc_id_strongest]]),0)),""))</f>
        <v>“In no case we hide it when the customer’s counterpart is an AI”; “transparent, auditable, fair, and fully documented”</v>
      </c>
    </row>
    <row r="257" spans="1:8" x14ac:dyDescent="0.25">
      <c r="A257" s="36">
        <v>15</v>
      </c>
      <c r="B257" t="s">
        <v>76</v>
      </c>
      <c r="C257" s="4">
        <f>IF(Tabelle18[[#This Row],[binding_level_company]]&gt;=1,1,0)</f>
        <v>1</v>
      </c>
      <c r="D257" s="4">
        <f>IFERROR(_xlfn.MAXIFS(Tabelle5[binding_level],Tabelle5[company_id],Tabelle18[[#This Row],[company_id]],Tabelle5[value_id],Tabelle18[[#This Row],[value_id]],Tabelle5[value_present],1),0)</f>
        <v>3</v>
      </c>
      <c r="E257" s="4">
        <f>IFERROR(_xlfn.MAXIFS(Tabelle5[value_points],Tabelle5[company_id],Tabelle18[[#This Row],[company_id]],Tabelle5[value_id],Tabelle18[[#This Row],[value_id]]),0)</f>
        <v>3</v>
      </c>
      <c r="F257">
        <f>IF(Tabelle18[[#This Row],[value_points_company]]=0,"",IFERROR(_xlfn.MINIFS(Tabelle5[doc_id],Tabelle5[company_id],Tabelle18[[#This Row],[company_id]],Tabelle5[value_id],Tabelle18[[#This Row],[value_id]],Tabelle5[value_points],Tabelle18[[#This Row],[value_points_company]]),""))</f>
        <v>86</v>
      </c>
      <c r="G257" t="str" cm="1">
        <f t="array" ref="G257">IF(Tabelle18[[#This Row],[doc_id_strongest]]="","",IFERROR(INDEX(Tabelle5[evidence_location],MATCH(1,(Tabelle5[company_id]=Tabelle18[[#This Row],[company_id]])*(Tabelle5[value_id]=Tabelle18[[#This Row],[value_id]])*(Tabelle5[doc_id]=Tabelle18[[#This Row],[doc_id_strongest]]),0)),""))</f>
        <v>S. 8, Abschnitt 6</v>
      </c>
      <c r="H257" s="33" t="str" cm="1">
        <f t="array" ref="H257">IF(Tabelle18[[#This Row],[doc_id_strongest]]="","",IFERROR(INDEX(Tabelle5[evidence_quote],MATCH(1,(Tabelle5[company_id]=Tabelle18[[#This Row],[company_id]])*(Tabelle5[value_id]=Tabelle18[[#This Row],[value_id]])*(Tabelle5[doc_id]=Tabelle18[[#This Row],[doc_id_strongest]]),0)),""))</f>
        <v>“prevent so called ‘Black Boxes’”</v>
      </c>
    </row>
    <row r="258" spans="1:8" x14ac:dyDescent="0.25">
      <c r="A258" s="36">
        <v>15</v>
      </c>
      <c r="B258" t="s">
        <v>83</v>
      </c>
      <c r="C258" s="4">
        <f>IF(Tabelle18[[#This Row],[binding_level_company]]&gt;=1,1,0)</f>
        <v>1</v>
      </c>
      <c r="D258" s="4">
        <f>IFERROR(_xlfn.MAXIFS(Tabelle5[binding_level],Tabelle5[company_id],Tabelle18[[#This Row],[company_id]],Tabelle5[value_id],Tabelle18[[#This Row],[value_id]],Tabelle5[value_present],1),0)</f>
        <v>3</v>
      </c>
      <c r="E258" s="4">
        <f>IFERROR(_xlfn.MAXIFS(Tabelle5[value_points],Tabelle5[company_id],Tabelle18[[#This Row],[company_id]],Tabelle5[value_id],Tabelle18[[#This Row],[value_id]]),0)</f>
        <v>3</v>
      </c>
      <c r="F258">
        <f>IF(Tabelle18[[#This Row],[value_points_company]]=0,"",IFERROR(_xlfn.MINIFS(Tabelle5[doc_id],Tabelle5[company_id],Tabelle18[[#This Row],[company_id]],Tabelle5[value_id],Tabelle18[[#This Row],[value_id]],Tabelle5[value_points],Tabelle18[[#This Row],[value_points_company]]),""))</f>
        <v>86</v>
      </c>
      <c r="G258" t="str" cm="1">
        <f t="array" ref="G258">IF(Tabelle18[[#This Row],[doc_id_strongest]]="","",IFERROR(INDEX(Tabelle5[evidence_location],MATCH(1,(Tabelle5[company_id]=Tabelle18[[#This Row],[company_id]])*(Tabelle5[value_id]=Tabelle18[[#This Row],[value_id]])*(Tabelle5[doc_id]=Tabelle18[[#This Row],[doc_id_strongest]]),0)),""))</f>
        <v>S. 8, Abschnitt 6; S. 9, Abschnitt 7</v>
      </c>
      <c r="H258" s="33" t="str" cm="1">
        <f t="array" ref="H258">IF(Tabelle18[[#This Row],[doc_id_strongest]]="","",IFERROR(INDEX(Tabelle5[evidence_quote],MATCH(1,(Tabelle5[company_id]=Tabelle18[[#This Row],[company_id]])*(Tabelle5[value_id]=Tabelle18[[#This Row],[value_id]])*(Tabelle5[doc_id]=Tabelle18[[#This Row],[doc_id_strongest]]),0)),""))</f>
        <v>“transparent, auditable, fair, and fully documented”; “remove inappropriate data to avoid bias”</v>
      </c>
    </row>
    <row r="259" spans="1:8" x14ac:dyDescent="0.25">
      <c r="A259" s="36">
        <v>15</v>
      </c>
      <c r="B259" t="s">
        <v>90</v>
      </c>
      <c r="C259" s="4">
        <f>IF(Tabelle18[[#This Row],[binding_level_company]]&gt;=1,1,0)</f>
        <v>1</v>
      </c>
      <c r="D259" s="4">
        <f>IFERROR(_xlfn.MAXIFS(Tabelle5[binding_level],Tabelle5[company_id],Tabelle18[[#This Row],[company_id]],Tabelle5[value_id],Tabelle18[[#This Row],[value_id]],Tabelle5[value_present],1),0)</f>
        <v>3</v>
      </c>
      <c r="E259" s="4">
        <f>IFERROR(_xlfn.MAXIFS(Tabelle5[value_points],Tabelle5[company_id],Tabelle18[[#This Row],[company_id]],Tabelle5[value_id],Tabelle18[[#This Row],[value_id]]),0)</f>
        <v>3</v>
      </c>
      <c r="F259">
        <f>IF(Tabelle18[[#This Row],[value_points_company]]=0,"",IFERROR(_xlfn.MINIFS(Tabelle5[doc_id],Tabelle5[company_id],Tabelle18[[#This Row],[company_id]],Tabelle5[value_id],Tabelle18[[#This Row],[value_id]],Tabelle5[value_points],Tabelle18[[#This Row],[value_points_company]]),""))</f>
        <v>86</v>
      </c>
      <c r="G259" t="str" cm="1">
        <f t="array" ref="G259">IF(Tabelle18[[#This Row],[doc_id_strongest]]="","",IFERROR(INDEX(Tabelle5[evidence_location],MATCH(1,(Tabelle5[company_id]=Tabelle18[[#This Row],[company_id]])*(Tabelle5[value_id]=Tabelle18[[#This Row],[value_id]])*(Tabelle5[doc_id]=Tabelle18[[#This Row],[doc_id_strongest]]),0)),""))</f>
        <v>S. 6, Abschnitt 4; S. 7, Abschnitt 5; S. 8, Abschnitt 6</v>
      </c>
      <c r="H259" s="33" t="str" cm="1">
        <f t="array" ref="H259">IF(Tabelle18[[#This Row],[doc_id_strongest]]="","",IFERROR(INDEX(Tabelle5[evidence_quote],MATCH(1,(Tabelle5[company_id]=Tabelle18[[#This Row],[company_id]])*(Tabelle5[value_id]=Tabelle18[[#This Row],[value_id]])*(Tabelle5[doc_id]=Tabelle18[[#This Row],[doc_id_strongest]]),0)),""))</f>
        <v>“how and to which extent they can choose the way of further processing their personal data”; “privacy und security by design”; “We never process privacy-relevant data without legal permission”</v>
      </c>
    </row>
    <row r="260" spans="1:8" x14ac:dyDescent="0.25">
      <c r="A260" s="36">
        <v>15</v>
      </c>
      <c r="B260" t="s">
        <v>98</v>
      </c>
      <c r="C260" s="4">
        <f>IF(Tabelle18[[#This Row],[binding_level_company]]&gt;=1,1,0)</f>
        <v>1</v>
      </c>
      <c r="D260" s="4">
        <f>IFERROR(_xlfn.MAXIFS(Tabelle5[binding_level],Tabelle5[company_id],Tabelle18[[#This Row],[company_id]],Tabelle5[value_id],Tabelle18[[#This Row],[value_id]],Tabelle5[value_present],1),0)</f>
        <v>3</v>
      </c>
      <c r="E260" s="4">
        <f>IFERROR(_xlfn.MAXIFS(Tabelle5[value_points],Tabelle5[company_id],Tabelle18[[#This Row],[company_id]],Tabelle5[value_id],Tabelle18[[#This Row],[value_id]]),0)</f>
        <v>3</v>
      </c>
      <c r="F260">
        <f>IF(Tabelle18[[#This Row],[value_points_company]]=0,"",IFERROR(_xlfn.MINIFS(Tabelle5[doc_id],Tabelle5[company_id],Tabelle18[[#This Row],[company_id]],Tabelle5[value_id],Tabelle18[[#This Row],[value_id]],Tabelle5[value_points],Tabelle18[[#This Row],[value_points_company]]),""))</f>
        <v>86</v>
      </c>
      <c r="G260" t="str" cm="1">
        <f t="array" ref="G260">IF(Tabelle18[[#This Row],[doc_id_strongest]]="","",IFERROR(INDEX(Tabelle5[evidence_location],MATCH(1,(Tabelle5[company_id]=Tabelle18[[#This Row],[company_id]])*(Tabelle5[value_id]=Tabelle18[[#This Row],[value_id]])*(Tabelle5[doc_id]=Tabelle18[[#This Row],[doc_id_strongest]]),0)),""))</f>
        <v>S. 4, Abschnitt 2; S. 7, Abschnitt 5; S. 8, Abschnitt 6</v>
      </c>
      <c r="H260" s="33" t="str" cm="1">
        <f t="array" ref="H260">IF(Tabelle18[[#This Row],[doc_id_strongest]]="","",IFERROR(INDEX(Tabelle5[evidence_quote],MATCH(1,(Tabelle5[company_id]=Tabelle18[[#This Row],[company_id]])*(Tabelle5[value_id]=Tabelle18[[#This Row],[value_id]])*(Tabelle5[doc_id]=Tabelle18[[#This Row],[doc_id_strongest]]),0)),""))</f>
        <v>“security, robustness, etc.”; “privacy und security by design”; “full overview of how customer related data is used and who has access"</v>
      </c>
    </row>
    <row r="261" spans="1:8" x14ac:dyDescent="0.25">
      <c r="A261" s="36">
        <v>15</v>
      </c>
      <c r="B261" t="s">
        <v>106</v>
      </c>
      <c r="C261" s="4">
        <f>IF(Tabelle18[[#This Row],[binding_level_company]]&gt;=1,1,0)</f>
        <v>1</v>
      </c>
      <c r="D261" s="4">
        <f>IFERROR(_xlfn.MAXIFS(Tabelle5[binding_level],Tabelle5[company_id],Tabelle18[[#This Row],[company_id]],Tabelle5[value_id],Tabelle18[[#This Row],[value_id]],Tabelle5[value_present],1),0)</f>
        <v>3</v>
      </c>
      <c r="E261" s="4">
        <f>IFERROR(_xlfn.MAXIFS(Tabelle5[value_points],Tabelle5[company_id],Tabelle18[[#This Row],[company_id]],Tabelle5[value_id],Tabelle18[[#This Row],[value_id]]),0)</f>
        <v>3</v>
      </c>
      <c r="F261">
        <f>IF(Tabelle18[[#This Row],[value_points_company]]=0,"",IFERROR(_xlfn.MINIFS(Tabelle5[doc_id],Tabelle5[company_id],Tabelle18[[#This Row],[company_id]],Tabelle5[value_id],Tabelle18[[#This Row],[value_id]],Tabelle5[value_points],Tabelle18[[#This Row],[value_points_company]]),""))</f>
        <v>86</v>
      </c>
      <c r="G261" t="str" cm="1">
        <f t="array" ref="G261">IF(Tabelle18[[#This Row],[doc_id_strongest]]="","",IFERROR(INDEX(Tabelle5[evidence_location],MATCH(1,(Tabelle5[company_id]=Tabelle18[[#This Row],[company_id]])*(Tabelle5[value_id]=Tabelle18[[#This Row],[value_id]])*(Tabelle5[doc_id]=Tabelle18[[#This Row],[doc_id_strongest]]),0)),""))</f>
        <v>S. 8, Abschnitt 6; S. 9, Abschnitt 7</v>
      </c>
      <c r="H261" s="33" t="str" cm="1">
        <f t="array" ref="H261">IF(Tabelle18[[#This Row],[doc_id_strongest]]="","",IFERROR(INDEX(Tabelle5[evidence_quote],MATCH(1,(Tabelle5[company_id]=Tabelle18[[#This Row],[company_id]])*(Tabelle5[value_id]=Tabelle18[[#This Row],[value_id]])*(Tabelle5[doc_id]=Tabelle18[[#This Row],[doc_id_strongest]]),0)),""))</f>
        <v>“systems shall not unintentionally harm the users”; “we rather stop the AI system”</v>
      </c>
    </row>
    <row r="262" spans="1:8" x14ac:dyDescent="0.25">
      <c r="A262" s="36">
        <v>15</v>
      </c>
      <c r="B262" t="s">
        <v>112</v>
      </c>
      <c r="C262" s="4">
        <f>IF(Tabelle18[[#This Row],[binding_level_company]]&gt;=1,1,0)</f>
        <v>1</v>
      </c>
      <c r="D262" s="4">
        <f>IFERROR(_xlfn.MAXIFS(Tabelle5[binding_level],Tabelle5[company_id],Tabelle18[[#This Row],[company_id]],Tabelle5[value_id],Tabelle18[[#This Row],[value_id]],Tabelle5[value_present],1),0)</f>
        <v>3</v>
      </c>
      <c r="E262" s="4">
        <f>IFERROR(_xlfn.MAXIFS(Tabelle5[value_points],Tabelle5[company_id],Tabelle18[[#This Row],[company_id]],Tabelle5[value_id],Tabelle18[[#This Row],[value_id]]),0)</f>
        <v>3</v>
      </c>
      <c r="F262">
        <f>IF(Tabelle18[[#This Row],[value_points_company]]=0,"",IFERROR(_xlfn.MINIFS(Tabelle5[doc_id],Tabelle5[company_id],Tabelle18[[#This Row],[company_id]],Tabelle5[value_id],Tabelle18[[#This Row],[value_id]],Tabelle5[value_points],Tabelle18[[#This Row],[value_points_company]]),""))</f>
        <v>86</v>
      </c>
      <c r="G262" t="str" cm="1">
        <f t="array" ref="G262">IF(Tabelle18[[#This Row],[doc_id_strongest]]="","",IFERROR(INDEX(Tabelle5[evidence_location],MATCH(1,(Tabelle5[company_id]=Tabelle18[[#This Row],[company_id]])*(Tabelle5[value_id]=Tabelle18[[#This Row],[value_id]])*(Tabelle5[doc_id]=Tabelle18[[#This Row],[doc_id_strongest]]),0)),""))</f>
        <v>S. 4, Abschnitt 2; S. 8, Abschnitt 6; S. 9, Abschnitt 7</v>
      </c>
      <c r="H262" s="33" t="str" cm="1">
        <f t="array" ref="H262">IF(Tabelle18[[#This Row],[doc_id_strongest]]="","",IFERROR(INDEX(Tabelle5[evidence_quote],MATCH(1,(Tabelle5[company_id]=Tabelle18[[#This Row],[company_id]])*(Tabelle5[value_id]=Tabelle18[[#This Row],[value_id]])*(Tabelle5[doc_id]=Tabelle18[[#This Row],[doc_id_strongest]]),0)),""))</f>
        <v>“security, robustness, etc.”; “we rather stop the AI system”; “risks and chances scenarios or reliable disaster scenarios”</v>
      </c>
    </row>
    <row r="263" spans="1:8" x14ac:dyDescent="0.25">
      <c r="A263" s="36">
        <v>15</v>
      </c>
      <c r="B263" t="s">
        <v>118</v>
      </c>
      <c r="C263" s="4">
        <f>IF(Tabelle18[[#This Row],[binding_level_company]]&gt;=1,1,0)</f>
        <v>1</v>
      </c>
      <c r="D263" s="4">
        <f>IFERROR(_xlfn.MAXIFS(Tabelle5[binding_level],Tabelle5[company_id],Tabelle18[[#This Row],[company_id]],Tabelle5[value_id],Tabelle18[[#This Row],[value_id]],Tabelle5[value_present],1),0)</f>
        <v>3</v>
      </c>
      <c r="E263" s="4">
        <f>IFERROR(_xlfn.MAXIFS(Tabelle5[value_points],Tabelle5[company_id],Tabelle18[[#This Row],[company_id]],Tabelle5[value_id],Tabelle18[[#This Row],[value_id]]),0)</f>
        <v>3</v>
      </c>
      <c r="F263">
        <f>IF(Tabelle18[[#This Row],[value_points_company]]=0,"",IFERROR(_xlfn.MINIFS(Tabelle5[doc_id],Tabelle5[company_id],Tabelle18[[#This Row],[company_id]],Tabelle5[value_id],Tabelle18[[#This Row],[value_id]],Tabelle5[value_points],Tabelle18[[#This Row],[value_points_company]]),""))</f>
        <v>94</v>
      </c>
      <c r="G263" t="str" cm="1">
        <f t="array" ref="G263">IF(Tabelle18[[#This Row],[doc_id_strongest]]="","",IFERROR(INDEX(Tabelle5[evidence_location],MATCH(1,(Tabelle5[company_id]=Tabelle18[[#This Row],[company_id]])*(Tabelle5[value_id]=Tabelle18[[#This Row],[value_id]])*(Tabelle5[doc_id]=Tabelle18[[#This Row],[doc_id_strongest]]),0)),""))</f>
        <v>S. 41</v>
      </c>
      <c r="H263" s="33" t="str" cm="1">
        <f t="array" ref="H263">IF(Tabelle18[[#This Row],[doc_id_strongest]]="","",IFERROR(INDEX(Tabelle5[evidence_quote],MATCH(1,(Tabelle5[company_id]=Tabelle18[[#This Row],[company_id]])*(Tabelle5[value_id]=Tabelle18[[#This Row],[value_id]])*(Tabelle5[doc_id]=Tabelle18[[#This Row],[doc_id_strongest]]),0)),""))</f>
        <v>“must be possible to reverse any delegation”</v>
      </c>
    </row>
    <row r="264" spans="1:8" x14ac:dyDescent="0.25">
      <c r="A264" s="36">
        <v>15</v>
      </c>
      <c r="B264" t="s">
        <v>125</v>
      </c>
      <c r="C264" s="4">
        <f>IF(Tabelle18[[#This Row],[binding_level_company]]&gt;=1,1,0)</f>
        <v>1</v>
      </c>
      <c r="D264" s="4">
        <f>IFERROR(_xlfn.MAXIFS(Tabelle5[binding_level],Tabelle5[company_id],Tabelle18[[#This Row],[company_id]],Tabelle5[value_id],Tabelle18[[#This Row],[value_id]],Tabelle5[value_present],1),0)</f>
        <v>3</v>
      </c>
      <c r="E264" s="4">
        <f>IFERROR(_xlfn.MAXIFS(Tabelle5[value_points],Tabelle5[company_id],Tabelle18[[#This Row],[company_id]],Tabelle5[value_id],Tabelle18[[#This Row],[value_id]]),0)</f>
        <v>3</v>
      </c>
      <c r="F264">
        <f>IF(Tabelle18[[#This Row],[value_points_company]]=0,"",IFERROR(_xlfn.MINIFS(Tabelle5[doc_id],Tabelle5[company_id],Tabelle18[[#This Row],[company_id]],Tabelle5[value_id],Tabelle18[[#This Row],[value_id]],Tabelle5[value_points],Tabelle18[[#This Row],[value_points_company]]),""))</f>
        <v>94</v>
      </c>
      <c r="G264" t="str" cm="1">
        <f t="array" ref="G264">IF(Tabelle18[[#This Row],[doc_id_strongest]]="","",IFERROR(INDEX(Tabelle5[evidence_location],MATCH(1,(Tabelle5[company_id]=Tabelle18[[#This Row],[company_id]])*(Tabelle5[value_id]=Tabelle18[[#This Row],[value_id]])*(Tabelle5[doc_id]=Tabelle18[[#This Row],[doc_id_strongest]]),0)),""))</f>
        <v>S. 13-14</v>
      </c>
      <c r="H264" s="33" t="str" cm="1">
        <f t="array" ref="H264">IF(Tabelle18[[#This Row],[doc_id_strongest]]="","",IFERROR(INDEX(Tabelle5[evidence_quote],MATCH(1,(Tabelle5[company_id]=Tabelle18[[#This Row],[company_id]])*(Tabelle5[value_id]=Tabelle18[[#This Row],[value_id]])*(Tabelle5[doc_id]=Tabelle18[[#This Row],[doc_id_strongest]]),0)),""))</f>
        <v>“people of all ages and people with disabilities”</v>
      </c>
    </row>
    <row r="265" spans="1:8" x14ac:dyDescent="0.25">
      <c r="A265" s="36">
        <v>15</v>
      </c>
      <c r="B265" t="s">
        <v>132</v>
      </c>
      <c r="C265" s="4">
        <f>IF(Tabelle18[[#This Row],[binding_level_company]]&gt;=1,1,0)</f>
        <v>1</v>
      </c>
      <c r="D265" s="4">
        <f>IFERROR(_xlfn.MAXIFS(Tabelle5[binding_level],Tabelle5[company_id],Tabelle18[[#This Row],[company_id]],Tabelle5[value_id],Tabelle18[[#This Row],[value_id]],Tabelle5[value_present],1),0)</f>
        <v>2</v>
      </c>
      <c r="E265" s="4">
        <f>IFERROR(_xlfn.MAXIFS(Tabelle5[value_points],Tabelle5[company_id],Tabelle18[[#This Row],[company_id]],Tabelle5[value_id],Tabelle18[[#This Row],[value_id]]),0)</f>
        <v>2</v>
      </c>
      <c r="F265">
        <f>IF(Tabelle18[[#This Row],[value_points_company]]=0,"",IFERROR(_xlfn.MINIFS(Tabelle5[doc_id],Tabelle5[company_id],Tabelle18[[#This Row],[company_id]],Tabelle5[value_id],Tabelle18[[#This Row],[value_id]],Tabelle5[value_points],Tabelle18[[#This Row],[value_points_company]]),""))</f>
        <v>94</v>
      </c>
      <c r="G265" t="str" cm="1">
        <f t="array" ref="G265">IF(Tabelle18[[#This Row],[doc_id_strongest]]="","",IFERROR(INDEX(Tabelle5[evidence_location],MATCH(1,(Tabelle5[company_id]=Tabelle18[[#This Row],[company_id]])*(Tabelle5[value_id]=Tabelle18[[#This Row],[value_id]])*(Tabelle5[doc_id]=Tabelle18[[#This Row],[doc_id_strongest]]),0)),""))</f>
        <v>S. 47</v>
      </c>
      <c r="H265" s="33" t="str" cm="1">
        <f t="array" ref="H265">IF(Tabelle18[[#This Row],[doc_id_strongest]]="","",IFERROR(INDEX(Tabelle5[evidence_quote],MATCH(1,(Tabelle5[company_id]=Tabelle18[[#This Row],[company_id]])*(Tabelle5[value_id]=Tabelle18[[#This Row],[value_id]])*(Tabelle5[doc_id]=Tabelle18[[#This Row],[doc_id_strongest]]),0)),""))</f>
        <v>“align your developments with the Sustainable Development Goals”</v>
      </c>
    </row>
    <row r="266" spans="1:8" x14ac:dyDescent="0.25">
      <c r="A266" s="36">
        <v>15</v>
      </c>
      <c r="B266" t="s">
        <v>140</v>
      </c>
      <c r="C266" s="4">
        <f>IF(Tabelle18[[#This Row],[binding_level_company]]&gt;=1,1,0)</f>
        <v>1</v>
      </c>
      <c r="D266" s="4">
        <f>IFERROR(_xlfn.MAXIFS(Tabelle5[binding_level],Tabelle5[company_id],Tabelle18[[#This Row],[company_id]],Tabelle5[value_id],Tabelle18[[#This Row],[value_id]],Tabelle5[value_present],1),0)</f>
        <v>2</v>
      </c>
      <c r="E266" s="4">
        <f>IFERROR(_xlfn.MAXIFS(Tabelle5[value_points],Tabelle5[company_id],Tabelle18[[#This Row],[company_id]],Tabelle5[value_id],Tabelle18[[#This Row],[value_id]]),0)</f>
        <v>2</v>
      </c>
      <c r="F266">
        <f>IF(Tabelle18[[#This Row],[value_points_company]]=0,"",IFERROR(_xlfn.MINIFS(Tabelle5[doc_id],Tabelle5[company_id],Tabelle18[[#This Row],[company_id]],Tabelle5[value_id],Tabelle18[[#This Row],[value_id]],Tabelle5[value_points],Tabelle18[[#This Row],[value_points_company]]),""))</f>
        <v>86</v>
      </c>
      <c r="G266" t="str" cm="1">
        <f t="array" ref="G266">IF(Tabelle18[[#This Row],[doc_id_strongest]]="","",IFERROR(INDEX(Tabelle5[evidence_location],MATCH(1,(Tabelle5[company_id]=Tabelle18[[#This Row],[company_id]])*(Tabelle5[value_id]=Tabelle18[[#This Row],[value_id]])*(Tabelle5[doc_id]=Tabelle18[[#This Row],[doc_id_strongest]]),0)),""))</f>
        <v>S. 5, Abschnitt 3; S. 11, Abschnitt 9</v>
      </c>
      <c r="H266" s="33" t="str" cm="1">
        <f t="array" ref="H266">IF(Tabelle18[[#This Row],[doc_id_strongest]]="","",IFERROR(INDEX(Tabelle5[evidence_quote],MATCH(1,(Tabelle5[company_id]=Tabelle18[[#This Row],[company_id]])*(Tabelle5[value_id]=Tabelle18[[#This Row],[value_id]])*(Tabelle5[doc_id]=Tabelle18[[#This Row],[doc_id_strongest]]),0)),""))</f>
        <v>“serve a useful purpose towards our customers”; “enabling our colleagues and employees”</v>
      </c>
    </row>
    <row r="267" spans="1:8" x14ac:dyDescent="0.25">
      <c r="A267" s="36">
        <v>15</v>
      </c>
      <c r="B267" t="s">
        <v>147</v>
      </c>
      <c r="C267" s="4">
        <f>IF(Tabelle18[[#This Row],[binding_level_company]]&gt;=1,1,0)</f>
        <v>1</v>
      </c>
      <c r="D267" s="4">
        <f>IFERROR(_xlfn.MAXIFS(Tabelle5[binding_level],Tabelle5[company_id],Tabelle18[[#This Row],[company_id]],Tabelle5[value_id],Tabelle18[[#This Row],[value_id]],Tabelle5[value_present],1),0)</f>
        <v>3</v>
      </c>
      <c r="E267" s="4">
        <f>IFERROR(_xlfn.MAXIFS(Tabelle5[value_points],Tabelle5[company_id],Tabelle18[[#This Row],[company_id]],Tabelle5[value_id],Tabelle18[[#This Row],[value_id]]),0)</f>
        <v>3</v>
      </c>
      <c r="F267">
        <f>IF(Tabelle18[[#This Row],[value_points_company]]=0,"",IFERROR(_xlfn.MINIFS(Tabelle5[doc_id],Tabelle5[company_id],Tabelle18[[#This Row],[company_id]],Tabelle5[value_id],Tabelle18[[#This Row],[value_id]],Tabelle5[value_points],Tabelle18[[#This Row],[value_points_company]]),""))</f>
        <v>91</v>
      </c>
      <c r="G267" t="str" cm="1">
        <f t="array" ref="G267">IF(Tabelle18[[#This Row],[doc_id_strongest]]="","",IFERROR(INDEX(Tabelle5[evidence_location],MATCH(1,(Tabelle5[company_id]=Tabelle18[[#This Row],[company_id]])*(Tabelle5[value_id]=Tabelle18[[#This Row],[value_id]])*(Tabelle5[doc_id]=Tabelle18[[#This Row],[doc_id_strongest]]),0)),""))</f>
        <v>S. 2, “Responsible use of artificial intelligence” / “AIICARE Check”</v>
      </c>
      <c r="H267" s="33" t="str" cm="1">
        <f t="array" ref="H267">IF(Tabelle18[[#This Row],[doc_id_strongest]]="","",IFERROR(INDEX(Tabelle5[evidence_quote],MATCH(1,(Tabelle5[company_id]=Tabelle18[[#This Row],[company_id]])*(Tabelle5[value_id]=Tabelle18[[#This Row],[value_id]])*(Tabelle5[doc_id]=Tabelle18[[#This Row],[doc_id_strongest]]),0)),""))</f>
        <v>“we joined the EU Commission’s AI Pact”; “Does the AI meet all relevant legal and internal requirements”</v>
      </c>
    </row>
    <row r="268" spans="1:8" x14ac:dyDescent="0.25">
      <c r="A268" s="36">
        <v>15</v>
      </c>
      <c r="B268" t="s">
        <v>154</v>
      </c>
      <c r="C268" s="4">
        <f>IF(Tabelle18[[#This Row],[binding_level_company]]&gt;=1,1,0)</f>
        <v>1</v>
      </c>
      <c r="D268" s="4">
        <f>IFERROR(_xlfn.MAXIFS(Tabelle5[binding_level],Tabelle5[company_id],Tabelle18[[#This Row],[company_id]],Tabelle5[value_id],Tabelle18[[#This Row],[value_id]],Tabelle5[value_present],1),0)</f>
        <v>3</v>
      </c>
      <c r="E268" s="4">
        <f>IFERROR(_xlfn.MAXIFS(Tabelle5[value_points],Tabelle5[company_id],Tabelle18[[#This Row],[company_id]],Tabelle5[value_id],Tabelle18[[#This Row],[value_id]]),0)</f>
        <v>3</v>
      </c>
      <c r="F268">
        <f>IF(Tabelle18[[#This Row],[value_points_company]]=0,"",IFERROR(_xlfn.MINIFS(Tabelle5[doc_id],Tabelle5[company_id],Tabelle18[[#This Row],[company_id]],Tabelle5[value_id],Tabelle18[[#This Row],[value_id]],Tabelle5[value_points],Tabelle18[[#This Row],[value_points_company]]),""))</f>
        <v>91</v>
      </c>
      <c r="G268" t="str" cm="1">
        <f t="array" ref="G268">IF(Tabelle18[[#This Row],[doc_id_strongest]]="","",IFERROR(INDEX(Tabelle5[evidence_location],MATCH(1,(Tabelle5[company_id]=Tabelle18[[#This Row],[company_id]])*(Tabelle5[value_id]=Tabelle18[[#This Row],[value_id]])*(Tabelle5[doc_id]=Tabelle18[[#This Row],[doc_id_strongest]]),0)),""))</f>
        <v>S. 1–2, AI-Abschnitt / AI*ICARE Check</v>
      </c>
      <c r="H268" s="33" t="str" cm="1">
        <f t="array" ref="H268">IF(Tabelle18[[#This Row],[doc_id_strongest]]="","",IFERROR(INDEX(Tabelle5[evidence_quote],MATCH(1,(Tabelle5[company_id]=Tabelle18[[#This Row],[company_id]])*(Tabelle5[value_id]=Tabelle18[[#This Row],[value_id]])*(Tabelle5[doc_id]=Tabelle18[[#This Row],[doc_id_strongest]]),0)),""))</f>
        <v>“introduce AI guidelines on digital ethics”; “integrated into our Supplier Code of Conduct”; “legal and in line with our corporate values?”</v>
      </c>
    </row>
    <row r="269" spans="1:8" x14ac:dyDescent="0.25">
      <c r="A269" s="36">
        <v>15</v>
      </c>
      <c r="B269" t="s">
        <v>161</v>
      </c>
      <c r="C269" s="4">
        <f>IF(Tabelle18[[#This Row],[binding_level_company]]&gt;=1,1,0)</f>
        <v>1</v>
      </c>
      <c r="D269" s="4">
        <f>IFERROR(_xlfn.MAXIFS(Tabelle5[binding_level],Tabelle5[company_id],Tabelle18[[#This Row],[company_id]],Tabelle5[value_id],Tabelle18[[#This Row],[value_id]],Tabelle5[value_present],1),0)</f>
        <v>3</v>
      </c>
      <c r="E269" s="4">
        <f>IFERROR(_xlfn.MAXIFS(Tabelle5[value_points],Tabelle5[company_id],Tabelle18[[#This Row],[company_id]],Tabelle5[value_id],Tabelle18[[#This Row],[value_id]]),0)</f>
        <v>3</v>
      </c>
      <c r="F269">
        <f>IF(Tabelle18[[#This Row],[value_points_company]]=0,"",IFERROR(_xlfn.MINIFS(Tabelle5[doc_id],Tabelle5[company_id],Tabelle18[[#This Row],[company_id]],Tabelle5[value_id],Tabelle18[[#This Row],[value_id]],Tabelle5[value_points],Tabelle18[[#This Row],[value_points_company]]),""))</f>
        <v>86</v>
      </c>
      <c r="G269" t="str" cm="1">
        <f t="array" ref="G269">IF(Tabelle18[[#This Row],[doc_id_strongest]]="","",IFERROR(INDEX(Tabelle5[evidence_location],MATCH(1,(Tabelle5[company_id]=Tabelle18[[#This Row],[company_id]])*(Tabelle5[value_id]=Tabelle18[[#This Row],[value_id]])*(Tabelle5[doc_id]=Tabelle18[[#This Row],[doc_id_strongest]]),0)),""))</f>
        <v>S. 7, Abschnitt 5; S. 9, Abschnitt 7</v>
      </c>
      <c r="H269" s="33" t="str" cm="1">
        <f t="array" ref="H269">IF(Tabelle18[[#This Row],[doc_id_strongest]]="","",IFERROR(INDEX(Tabelle5[evidence_quote],MATCH(1,(Tabelle5[company_id]=Tabelle18[[#This Row],[company_id]])*(Tabelle5[value_id]=Tabelle18[[#This Row],[value_id]])*(Tabelle5[doc_id]=Tabelle18[[#This Row],[doc_id_strongest]]),0)),""))</f>
        <v>“remove inappropriate data to avoid bias”; “diverse and appropriate data input”; “full overview of how customer related data is used and who has access”</v>
      </c>
    </row>
    <row r="270" spans="1:8" x14ac:dyDescent="0.25">
      <c r="A270" s="36">
        <v>15</v>
      </c>
      <c r="B270" t="s">
        <v>166</v>
      </c>
      <c r="C270" s="4">
        <f>IF(Tabelle18[[#This Row],[binding_level_company]]&gt;=1,1,0)</f>
        <v>1</v>
      </c>
      <c r="D270" s="4">
        <f>IFERROR(_xlfn.MAXIFS(Tabelle5[binding_level],Tabelle5[company_id],Tabelle18[[#This Row],[company_id]],Tabelle5[value_id],Tabelle18[[#This Row],[value_id]],Tabelle5[value_present],1),0)</f>
        <v>2</v>
      </c>
      <c r="E270" s="4">
        <f>IFERROR(_xlfn.MAXIFS(Tabelle5[value_points],Tabelle5[company_id],Tabelle18[[#This Row],[company_id]],Tabelle5[value_id],Tabelle18[[#This Row],[value_id]]),0)</f>
        <v>2</v>
      </c>
      <c r="F270">
        <f>IF(Tabelle18[[#This Row],[value_points_company]]=0,"",IFERROR(_xlfn.MINIFS(Tabelle5[doc_id],Tabelle5[company_id],Tabelle18[[#This Row],[company_id]],Tabelle5[value_id],Tabelle18[[#This Row],[value_id]],Tabelle5[value_points],Tabelle18[[#This Row],[value_points_company]]),""))</f>
        <v>93</v>
      </c>
      <c r="G270" t="str" cm="1">
        <f t="array" ref="G270">IF(Tabelle18[[#This Row],[doc_id_strongest]]="","",IFERROR(INDEX(Tabelle5[evidence_location],MATCH(1,(Tabelle5[company_id]=Tabelle18[[#This Row],[company_id]])*(Tabelle5[value_id]=Tabelle18[[#This Row],[value_id]])*(Tabelle5[doc_id]=Tabelle18[[#This Row],[doc_id_strongest]]),0)),""))</f>
        <v>S. 6, ChatGPT Framework</v>
      </c>
      <c r="H270" s="33" t="str" cm="1">
        <f t="array" ref="H270">IF(Tabelle18[[#This Row],[doc_id_strongest]]="","",IFERROR(INDEX(Tabelle5[evidence_quote],MATCH(1,(Tabelle5[company_id]=Tabelle18[[#This Row],[company_id]])*(Tabelle5[value_id]=Tabelle18[[#This Row],[value_id]])*(Tabelle5[doc_id]=Tabelle18[[#This Row],[doc_id_strongest]]),0)),""))</f>
        <v>“neither internal nor personal data!”</v>
      </c>
    </row>
    <row r="271" spans="1:8" ht="15.75" thickBot="1" x14ac:dyDescent="0.3">
      <c r="A271" s="37">
        <v>15</v>
      </c>
      <c r="B271" s="30" t="s">
        <v>174</v>
      </c>
      <c r="C271" s="49">
        <f>IF(Tabelle18[[#This Row],[binding_level_company]]&gt;=1,1,0)</f>
        <v>1</v>
      </c>
      <c r="D271" s="49">
        <f>IFERROR(_xlfn.MAXIFS(Tabelle5[binding_level],Tabelle5[company_id],Tabelle18[[#This Row],[company_id]],Tabelle5[value_id],Tabelle18[[#This Row],[value_id]],Tabelle5[value_present],1),0)</f>
        <v>1</v>
      </c>
      <c r="E271" s="49">
        <f>IFERROR(_xlfn.MAXIFS(Tabelle5[value_points],Tabelle5[company_id],Tabelle18[[#This Row],[company_id]],Tabelle5[value_id],Tabelle18[[#This Row],[value_id]]),0)</f>
        <v>1</v>
      </c>
      <c r="F271" s="30">
        <f>IF(Tabelle18[[#This Row],[value_points_company]]=0,"",IFERROR(_xlfn.MINIFS(Tabelle5[doc_id],Tabelle5[company_id],Tabelle18[[#This Row],[company_id]],Tabelle5[value_id],Tabelle18[[#This Row],[value_id]],Tabelle5[value_points],Tabelle18[[#This Row],[value_points_company]]),""))</f>
        <v>96</v>
      </c>
      <c r="G271" s="30" t="str" cm="1">
        <f t="array" ref="G271">IF(Tabelle18[[#This Row],[doc_id_strongest]]="","",IFERROR(INDEX(Tabelle5[evidence_location],MATCH(1,(Tabelle5[company_id]=Tabelle18[[#This Row],[company_id]])*(Tabelle5[value_id]=Tabelle18[[#This Row],[value_id]])*(Tabelle5[doc_id]=Tabelle18[[#This Row],[doc_id_strongest]]),0)),""))</f>
        <v>S. 111 Digital values – Deep Dive</v>
      </c>
      <c r="H271" s="34" t="str" cm="1">
        <f t="array" ref="H271">IF(Tabelle18[[#This Row],[doc_id_strongest]]="","",IFERROR(INDEX(Tabelle5[evidence_quote],MATCH(1,(Tabelle5[company_id]=Tabelle18[[#This Row],[company_id]])*(Tabelle5[value_id]=Tabelle18[[#This Row],[value_id]])*(Tabelle5[doc_id]=Tabelle18[[#This Row],[doc_id_strongest]]),0)),""))</f>
        <v>“principles for Green AI”; “respecting and promoting human rights and taking responsibility”</v>
      </c>
    </row>
    <row r="272" spans="1:8" x14ac:dyDescent="0.25">
      <c r="A272" s="35">
        <v>16</v>
      </c>
      <c r="B272" s="22" t="s">
        <v>53</v>
      </c>
      <c r="C272" s="48">
        <f>IF(Tabelle18[[#This Row],[binding_level_company]]&gt;=1,1,0)</f>
        <v>0</v>
      </c>
      <c r="D272" s="48">
        <f>IFERROR(_xlfn.MAXIFS(Tabelle5[binding_level],Tabelle5[company_id],Tabelle18[[#This Row],[company_id]],Tabelle5[value_id],Tabelle18[[#This Row],[value_id]],Tabelle5[value_present],1),0)</f>
        <v>0</v>
      </c>
      <c r="E272" s="48">
        <f>IFERROR(_xlfn.MAXIFS(Tabelle5[value_points],Tabelle5[company_id],Tabelle18[[#This Row],[company_id]],Tabelle5[value_id],Tabelle18[[#This Row],[value_id]]),0)</f>
        <v>0</v>
      </c>
      <c r="F272" s="22" t="str">
        <f>IF(Tabelle18[[#This Row],[value_points_company]]=0,"",IFERROR(_xlfn.MINIFS(Tabelle5[doc_id],Tabelle5[company_id],Tabelle18[[#This Row],[company_id]],Tabelle5[value_id],Tabelle18[[#This Row],[value_id]],Tabelle5[value_points],Tabelle18[[#This Row],[value_points_company]]),""))</f>
        <v/>
      </c>
      <c r="G272" s="22" t="str" cm="1">
        <f t="array" ref="G272">IF(Tabelle18[[#This Row],[doc_id_strongest]]="","",IFERROR(INDEX(Tabelle5[evidence_location],MATCH(1,(Tabelle5[company_id]=Tabelle18[[#This Row],[company_id]])*(Tabelle5[value_id]=Tabelle18[[#This Row],[value_id]])*(Tabelle5[doc_id]=Tabelle18[[#This Row],[doc_id_strongest]]),0)),""))</f>
        <v/>
      </c>
      <c r="H272" s="32" t="str" cm="1">
        <f t="array" ref="H272">IF(Tabelle18[[#This Row],[doc_id_strongest]]="","",IFERROR(INDEX(Tabelle5[evidence_quote],MATCH(1,(Tabelle5[company_id]=Tabelle18[[#This Row],[company_id]])*(Tabelle5[value_id]=Tabelle18[[#This Row],[value_id]])*(Tabelle5[doc_id]=Tabelle18[[#This Row],[doc_id_strongest]]),0)),""))</f>
        <v/>
      </c>
    </row>
    <row r="273" spans="1:8" x14ac:dyDescent="0.25">
      <c r="A273" s="36">
        <v>16</v>
      </c>
      <c r="B273" t="s">
        <v>61</v>
      </c>
      <c r="C273" s="4">
        <f>IF(Tabelle18[[#This Row],[binding_level_company]]&gt;=1,1,0)</f>
        <v>0</v>
      </c>
      <c r="D273" s="4">
        <f>IFERROR(_xlfn.MAXIFS(Tabelle5[binding_level],Tabelle5[company_id],Tabelle18[[#This Row],[company_id]],Tabelle5[value_id],Tabelle18[[#This Row],[value_id]],Tabelle5[value_present],1),0)</f>
        <v>0</v>
      </c>
      <c r="E273" s="4">
        <f>IFERROR(_xlfn.MAXIFS(Tabelle5[value_points],Tabelle5[company_id],Tabelle18[[#This Row],[company_id]],Tabelle5[value_id],Tabelle18[[#This Row],[value_id]]),0)</f>
        <v>0</v>
      </c>
      <c r="F273" t="str">
        <f>IF(Tabelle18[[#This Row],[value_points_company]]=0,"",IFERROR(_xlfn.MINIFS(Tabelle5[doc_id],Tabelle5[company_id],Tabelle18[[#This Row],[company_id]],Tabelle5[value_id],Tabelle18[[#This Row],[value_id]],Tabelle5[value_points],Tabelle18[[#This Row],[value_points_company]]),""))</f>
        <v/>
      </c>
      <c r="G273" t="str" cm="1">
        <f t="array" ref="G273">IF(Tabelle18[[#This Row],[doc_id_strongest]]="","",IFERROR(INDEX(Tabelle5[evidence_location],MATCH(1,(Tabelle5[company_id]=Tabelle18[[#This Row],[company_id]])*(Tabelle5[value_id]=Tabelle18[[#This Row],[value_id]])*(Tabelle5[doc_id]=Tabelle18[[#This Row],[doc_id_strongest]]),0)),""))</f>
        <v/>
      </c>
      <c r="H273" s="33" t="str" cm="1">
        <f t="array" ref="H273">IF(Tabelle18[[#This Row],[doc_id_strongest]]="","",IFERROR(INDEX(Tabelle5[evidence_quote],MATCH(1,(Tabelle5[company_id]=Tabelle18[[#This Row],[company_id]])*(Tabelle5[value_id]=Tabelle18[[#This Row],[value_id]])*(Tabelle5[doc_id]=Tabelle18[[#This Row],[doc_id_strongest]]),0)),""))</f>
        <v/>
      </c>
    </row>
    <row r="274" spans="1:8" x14ac:dyDescent="0.25">
      <c r="A274" s="36">
        <v>16</v>
      </c>
      <c r="B274" t="s">
        <v>69</v>
      </c>
      <c r="C274" s="4">
        <f>IF(Tabelle18[[#This Row],[binding_level_company]]&gt;=1,1,0)</f>
        <v>0</v>
      </c>
      <c r="D274" s="4">
        <f>IFERROR(_xlfn.MAXIFS(Tabelle5[binding_level],Tabelle5[company_id],Tabelle18[[#This Row],[company_id]],Tabelle5[value_id],Tabelle18[[#This Row],[value_id]],Tabelle5[value_present],1),0)</f>
        <v>0</v>
      </c>
      <c r="E274" s="4">
        <f>IFERROR(_xlfn.MAXIFS(Tabelle5[value_points],Tabelle5[company_id],Tabelle18[[#This Row],[company_id]],Tabelle5[value_id],Tabelle18[[#This Row],[value_id]]),0)</f>
        <v>0</v>
      </c>
      <c r="F274" t="str">
        <f>IF(Tabelle18[[#This Row],[value_points_company]]=0,"",IFERROR(_xlfn.MINIFS(Tabelle5[doc_id],Tabelle5[company_id],Tabelle18[[#This Row],[company_id]],Tabelle5[value_id],Tabelle18[[#This Row],[value_id]],Tabelle5[value_points],Tabelle18[[#This Row],[value_points_company]]),""))</f>
        <v/>
      </c>
      <c r="G274" t="str" cm="1">
        <f t="array" ref="G274">IF(Tabelle18[[#This Row],[doc_id_strongest]]="","",IFERROR(INDEX(Tabelle5[evidence_location],MATCH(1,(Tabelle5[company_id]=Tabelle18[[#This Row],[company_id]])*(Tabelle5[value_id]=Tabelle18[[#This Row],[value_id]])*(Tabelle5[doc_id]=Tabelle18[[#This Row],[doc_id_strongest]]),0)),""))</f>
        <v/>
      </c>
      <c r="H274" s="33" t="str" cm="1">
        <f t="array" ref="H274">IF(Tabelle18[[#This Row],[doc_id_strongest]]="","",IFERROR(INDEX(Tabelle5[evidence_quote],MATCH(1,(Tabelle5[company_id]=Tabelle18[[#This Row],[company_id]])*(Tabelle5[value_id]=Tabelle18[[#This Row],[value_id]])*(Tabelle5[doc_id]=Tabelle18[[#This Row],[doc_id_strongest]]),0)),""))</f>
        <v/>
      </c>
    </row>
    <row r="275" spans="1:8" x14ac:dyDescent="0.25">
      <c r="A275" s="36">
        <v>16</v>
      </c>
      <c r="B275" t="s">
        <v>76</v>
      </c>
      <c r="C275" s="4">
        <f>IF(Tabelle18[[#This Row],[binding_level_company]]&gt;=1,1,0)</f>
        <v>0</v>
      </c>
      <c r="D275" s="4">
        <f>IFERROR(_xlfn.MAXIFS(Tabelle5[binding_level],Tabelle5[company_id],Tabelle18[[#This Row],[company_id]],Tabelle5[value_id],Tabelle18[[#This Row],[value_id]],Tabelle5[value_present],1),0)</f>
        <v>0</v>
      </c>
      <c r="E275" s="4">
        <f>IFERROR(_xlfn.MAXIFS(Tabelle5[value_points],Tabelle5[company_id],Tabelle18[[#This Row],[company_id]],Tabelle5[value_id],Tabelle18[[#This Row],[value_id]]),0)</f>
        <v>0</v>
      </c>
      <c r="F275" t="str">
        <f>IF(Tabelle18[[#This Row],[value_points_company]]=0,"",IFERROR(_xlfn.MINIFS(Tabelle5[doc_id],Tabelle5[company_id],Tabelle18[[#This Row],[company_id]],Tabelle5[value_id],Tabelle18[[#This Row],[value_id]],Tabelle5[value_points],Tabelle18[[#This Row],[value_points_company]]),""))</f>
        <v/>
      </c>
      <c r="G275" t="str" cm="1">
        <f t="array" ref="G275">IF(Tabelle18[[#This Row],[doc_id_strongest]]="","",IFERROR(INDEX(Tabelle5[evidence_location],MATCH(1,(Tabelle5[company_id]=Tabelle18[[#This Row],[company_id]])*(Tabelle5[value_id]=Tabelle18[[#This Row],[value_id]])*(Tabelle5[doc_id]=Tabelle18[[#This Row],[doc_id_strongest]]),0)),""))</f>
        <v/>
      </c>
      <c r="H275" s="33" t="str" cm="1">
        <f t="array" ref="H275">IF(Tabelle18[[#This Row],[doc_id_strongest]]="","",IFERROR(INDEX(Tabelle5[evidence_quote],MATCH(1,(Tabelle5[company_id]=Tabelle18[[#This Row],[company_id]])*(Tabelle5[value_id]=Tabelle18[[#This Row],[value_id]])*(Tabelle5[doc_id]=Tabelle18[[#This Row],[doc_id_strongest]]),0)),""))</f>
        <v/>
      </c>
    </row>
    <row r="276" spans="1:8" x14ac:dyDescent="0.25">
      <c r="A276" s="36">
        <v>16</v>
      </c>
      <c r="B276" t="s">
        <v>83</v>
      </c>
      <c r="C276" s="4">
        <f>IF(Tabelle18[[#This Row],[binding_level_company]]&gt;=1,1,0)</f>
        <v>0</v>
      </c>
      <c r="D276" s="4">
        <f>IFERROR(_xlfn.MAXIFS(Tabelle5[binding_level],Tabelle5[company_id],Tabelle18[[#This Row],[company_id]],Tabelle5[value_id],Tabelle18[[#This Row],[value_id]],Tabelle5[value_present],1),0)</f>
        <v>0</v>
      </c>
      <c r="E276" s="4">
        <f>IFERROR(_xlfn.MAXIFS(Tabelle5[value_points],Tabelle5[company_id],Tabelle18[[#This Row],[company_id]],Tabelle5[value_id],Tabelle18[[#This Row],[value_id]]),0)</f>
        <v>0</v>
      </c>
      <c r="F276" t="str">
        <f>IF(Tabelle18[[#This Row],[value_points_company]]=0,"",IFERROR(_xlfn.MINIFS(Tabelle5[doc_id],Tabelle5[company_id],Tabelle18[[#This Row],[company_id]],Tabelle5[value_id],Tabelle18[[#This Row],[value_id]],Tabelle5[value_points],Tabelle18[[#This Row],[value_points_company]]),""))</f>
        <v/>
      </c>
      <c r="G276" t="str" cm="1">
        <f t="array" ref="G276">IF(Tabelle18[[#This Row],[doc_id_strongest]]="","",IFERROR(INDEX(Tabelle5[evidence_location],MATCH(1,(Tabelle5[company_id]=Tabelle18[[#This Row],[company_id]])*(Tabelle5[value_id]=Tabelle18[[#This Row],[value_id]])*(Tabelle5[doc_id]=Tabelle18[[#This Row],[doc_id_strongest]]),0)),""))</f>
        <v/>
      </c>
      <c r="H276" s="33" t="str" cm="1">
        <f t="array" ref="H276">IF(Tabelle18[[#This Row],[doc_id_strongest]]="","",IFERROR(INDEX(Tabelle5[evidence_quote],MATCH(1,(Tabelle5[company_id]=Tabelle18[[#This Row],[company_id]])*(Tabelle5[value_id]=Tabelle18[[#This Row],[value_id]])*(Tabelle5[doc_id]=Tabelle18[[#This Row],[doc_id_strongest]]),0)),""))</f>
        <v/>
      </c>
    </row>
    <row r="277" spans="1:8" x14ac:dyDescent="0.25">
      <c r="A277" s="36">
        <v>16</v>
      </c>
      <c r="B277" t="s">
        <v>90</v>
      </c>
      <c r="C277" s="4">
        <f>IF(Tabelle18[[#This Row],[binding_level_company]]&gt;=1,1,0)</f>
        <v>0</v>
      </c>
      <c r="D277" s="4">
        <f>IFERROR(_xlfn.MAXIFS(Tabelle5[binding_level],Tabelle5[company_id],Tabelle18[[#This Row],[company_id]],Tabelle5[value_id],Tabelle18[[#This Row],[value_id]],Tabelle5[value_present],1),0)</f>
        <v>0</v>
      </c>
      <c r="E277" s="4">
        <f>IFERROR(_xlfn.MAXIFS(Tabelle5[value_points],Tabelle5[company_id],Tabelle18[[#This Row],[company_id]],Tabelle5[value_id],Tabelle18[[#This Row],[value_id]]),0)</f>
        <v>0</v>
      </c>
      <c r="F277" t="str">
        <f>IF(Tabelle18[[#This Row],[value_points_company]]=0,"",IFERROR(_xlfn.MINIFS(Tabelle5[doc_id],Tabelle5[company_id],Tabelle18[[#This Row],[company_id]],Tabelle5[value_id],Tabelle18[[#This Row],[value_id]],Tabelle5[value_points],Tabelle18[[#This Row],[value_points_company]]),""))</f>
        <v/>
      </c>
      <c r="G277" t="str" cm="1">
        <f t="array" ref="G277">IF(Tabelle18[[#This Row],[doc_id_strongest]]="","",IFERROR(INDEX(Tabelle5[evidence_location],MATCH(1,(Tabelle5[company_id]=Tabelle18[[#This Row],[company_id]])*(Tabelle5[value_id]=Tabelle18[[#This Row],[value_id]])*(Tabelle5[doc_id]=Tabelle18[[#This Row],[doc_id_strongest]]),0)),""))</f>
        <v/>
      </c>
      <c r="H277" s="33" t="str" cm="1">
        <f t="array" ref="H277">IF(Tabelle18[[#This Row],[doc_id_strongest]]="","",IFERROR(INDEX(Tabelle5[evidence_quote],MATCH(1,(Tabelle5[company_id]=Tabelle18[[#This Row],[company_id]])*(Tabelle5[value_id]=Tabelle18[[#This Row],[value_id]])*(Tabelle5[doc_id]=Tabelle18[[#This Row],[doc_id_strongest]]),0)),""))</f>
        <v/>
      </c>
    </row>
    <row r="278" spans="1:8" x14ac:dyDescent="0.25">
      <c r="A278" s="36">
        <v>16</v>
      </c>
      <c r="B278" t="s">
        <v>98</v>
      </c>
      <c r="C278" s="4">
        <f>IF(Tabelle18[[#This Row],[binding_level_company]]&gt;=1,1,0)</f>
        <v>0</v>
      </c>
      <c r="D278" s="4">
        <f>IFERROR(_xlfn.MAXIFS(Tabelle5[binding_level],Tabelle5[company_id],Tabelle18[[#This Row],[company_id]],Tabelle5[value_id],Tabelle18[[#This Row],[value_id]],Tabelle5[value_present],1),0)</f>
        <v>0</v>
      </c>
      <c r="E278" s="4">
        <f>IFERROR(_xlfn.MAXIFS(Tabelle5[value_points],Tabelle5[company_id],Tabelle18[[#This Row],[company_id]],Tabelle5[value_id],Tabelle18[[#This Row],[value_id]]),0)</f>
        <v>0</v>
      </c>
      <c r="F278" t="str">
        <f>IF(Tabelle18[[#This Row],[value_points_company]]=0,"",IFERROR(_xlfn.MINIFS(Tabelle5[doc_id],Tabelle5[company_id],Tabelle18[[#This Row],[company_id]],Tabelle5[value_id],Tabelle18[[#This Row],[value_id]],Tabelle5[value_points],Tabelle18[[#This Row],[value_points_company]]),""))</f>
        <v/>
      </c>
      <c r="G278" t="str" cm="1">
        <f t="array" ref="G278">IF(Tabelle18[[#This Row],[doc_id_strongest]]="","",IFERROR(INDEX(Tabelle5[evidence_location],MATCH(1,(Tabelle5[company_id]=Tabelle18[[#This Row],[company_id]])*(Tabelle5[value_id]=Tabelle18[[#This Row],[value_id]])*(Tabelle5[doc_id]=Tabelle18[[#This Row],[doc_id_strongest]]),0)),""))</f>
        <v/>
      </c>
      <c r="H278" s="33" t="str" cm="1">
        <f t="array" ref="H278">IF(Tabelle18[[#This Row],[doc_id_strongest]]="","",IFERROR(INDEX(Tabelle5[evidence_quote],MATCH(1,(Tabelle5[company_id]=Tabelle18[[#This Row],[company_id]])*(Tabelle5[value_id]=Tabelle18[[#This Row],[value_id]])*(Tabelle5[doc_id]=Tabelle18[[#This Row],[doc_id_strongest]]),0)),""))</f>
        <v/>
      </c>
    </row>
    <row r="279" spans="1:8" x14ac:dyDescent="0.25">
      <c r="A279" s="36">
        <v>16</v>
      </c>
      <c r="B279" t="s">
        <v>106</v>
      </c>
      <c r="C279" s="4">
        <f>IF(Tabelle18[[#This Row],[binding_level_company]]&gt;=1,1,0)</f>
        <v>0</v>
      </c>
      <c r="D279" s="4">
        <f>IFERROR(_xlfn.MAXIFS(Tabelle5[binding_level],Tabelle5[company_id],Tabelle18[[#This Row],[company_id]],Tabelle5[value_id],Tabelle18[[#This Row],[value_id]],Tabelle5[value_present],1),0)</f>
        <v>0</v>
      </c>
      <c r="E279" s="4">
        <f>IFERROR(_xlfn.MAXIFS(Tabelle5[value_points],Tabelle5[company_id],Tabelle18[[#This Row],[company_id]],Tabelle5[value_id],Tabelle18[[#This Row],[value_id]]),0)</f>
        <v>0</v>
      </c>
      <c r="F279" t="str">
        <f>IF(Tabelle18[[#This Row],[value_points_company]]=0,"",IFERROR(_xlfn.MINIFS(Tabelle5[doc_id],Tabelle5[company_id],Tabelle18[[#This Row],[company_id]],Tabelle5[value_id],Tabelle18[[#This Row],[value_id]],Tabelle5[value_points],Tabelle18[[#This Row],[value_points_company]]),""))</f>
        <v/>
      </c>
      <c r="G279" t="str" cm="1">
        <f t="array" ref="G279">IF(Tabelle18[[#This Row],[doc_id_strongest]]="","",IFERROR(INDEX(Tabelle5[evidence_location],MATCH(1,(Tabelle5[company_id]=Tabelle18[[#This Row],[company_id]])*(Tabelle5[value_id]=Tabelle18[[#This Row],[value_id]])*(Tabelle5[doc_id]=Tabelle18[[#This Row],[doc_id_strongest]]),0)),""))</f>
        <v/>
      </c>
      <c r="H279" s="33" t="str" cm="1">
        <f t="array" ref="H279">IF(Tabelle18[[#This Row],[doc_id_strongest]]="","",IFERROR(INDEX(Tabelle5[evidence_quote],MATCH(1,(Tabelle5[company_id]=Tabelle18[[#This Row],[company_id]])*(Tabelle5[value_id]=Tabelle18[[#This Row],[value_id]])*(Tabelle5[doc_id]=Tabelle18[[#This Row],[doc_id_strongest]]),0)),""))</f>
        <v/>
      </c>
    </row>
    <row r="280" spans="1:8" x14ac:dyDescent="0.25">
      <c r="A280" s="36">
        <v>16</v>
      </c>
      <c r="B280" t="s">
        <v>112</v>
      </c>
      <c r="C280" s="4">
        <f>IF(Tabelle18[[#This Row],[binding_level_company]]&gt;=1,1,0)</f>
        <v>0</v>
      </c>
      <c r="D280" s="4">
        <f>IFERROR(_xlfn.MAXIFS(Tabelle5[binding_level],Tabelle5[company_id],Tabelle18[[#This Row],[company_id]],Tabelle5[value_id],Tabelle18[[#This Row],[value_id]],Tabelle5[value_present],1),0)</f>
        <v>0</v>
      </c>
      <c r="E280" s="4">
        <f>IFERROR(_xlfn.MAXIFS(Tabelle5[value_points],Tabelle5[company_id],Tabelle18[[#This Row],[company_id]],Tabelle5[value_id],Tabelle18[[#This Row],[value_id]]),0)</f>
        <v>0</v>
      </c>
      <c r="F280" t="str">
        <f>IF(Tabelle18[[#This Row],[value_points_company]]=0,"",IFERROR(_xlfn.MINIFS(Tabelle5[doc_id],Tabelle5[company_id],Tabelle18[[#This Row],[company_id]],Tabelle5[value_id],Tabelle18[[#This Row],[value_id]],Tabelle5[value_points],Tabelle18[[#This Row],[value_points_company]]),""))</f>
        <v/>
      </c>
      <c r="G280" t="str" cm="1">
        <f t="array" ref="G280">IF(Tabelle18[[#This Row],[doc_id_strongest]]="","",IFERROR(INDEX(Tabelle5[evidence_location],MATCH(1,(Tabelle5[company_id]=Tabelle18[[#This Row],[company_id]])*(Tabelle5[value_id]=Tabelle18[[#This Row],[value_id]])*(Tabelle5[doc_id]=Tabelle18[[#This Row],[doc_id_strongest]]),0)),""))</f>
        <v/>
      </c>
      <c r="H280" s="33" t="str" cm="1">
        <f t="array" ref="H280">IF(Tabelle18[[#This Row],[doc_id_strongest]]="","",IFERROR(INDEX(Tabelle5[evidence_quote],MATCH(1,(Tabelle5[company_id]=Tabelle18[[#This Row],[company_id]])*(Tabelle5[value_id]=Tabelle18[[#This Row],[value_id]])*(Tabelle5[doc_id]=Tabelle18[[#This Row],[doc_id_strongest]]),0)),""))</f>
        <v/>
      </c>
    </row>
    <row r="281" spans="1:8" x14ac:dyDescent="0.25">
      <c r="A281" s="36">
        <v>16</v>
      </c>
      <c r="B281" t="s">
        <v>118</v>
      </c>
      <c r="C281" s="4">
        <f>IF(Tabelle18[[#This Row],[binding_level_company]]&gt;=1,1,0)</f>
        <v>0</v>
      </c>
      <c r="D281" s="4">
        <f>IFERROR(_xlfn.MAXIFS(Tabelle5[binding_level],Tabelle5[company_id],Tabelle18[[#This Row],[company_id]],Tabelle5[value_id],Tabelle18[[#This Row],[value_id]],Tabelle5[value_present],1),0)</f>
        <v>0</v>
      </c>
      <c r="E281" s="4">
        <f>IFERROR(_xlfn.MAXIFS(Tabelle5[value_points],Tabelle5[company_id],Tabelle18[[#This Row],[company_id]],Tabelle5[value_id],Tabelle18[[#This Row],[value_id]]),0)</f>
        <v>0</v>
      </c>
      <c r="F281" t="str">
        <f>IF(Tabelle18[[#This Row],[value_points_company]]=0,"",IFERROR(_xlfn.MINIFS(Tabelle5[doc_id],Tabelle5[company_id],Tabelle18[[#This Row],[company_id]],Tabelle5[value_id],Tabelle18[[#This Row],[value_id]],Tabelle5[value_points],Tabelle18[[#This Row],[value_points_company]]),""))</f>
        <v/>
      </c>
      <c r="G281" t="str" cm="1">
        <f t="array" ref="G281">IF(Tabelle18[[#This Row],[doc_id_strongest]]="","",IFERROR(INDEX(Tabelle5[evidence_location],MATCH(1,(Tabelle5[company_id]=Tabelle18[[#This Row],[company_id]])*(Tabelle5[value_id]=Tabelle18[[#This Row],[value_id]])*(Tabelle5[doc_id]=Tabelle18[[#This Row],[doc_id_strongest]]),0)),""))</f>
        <v/>
      </c>
      <c r="H281" s="33" t="str" cm="1">
        <f t="array" ref="H281">IF(Tabelle18[[#This Row],[doc_id_strongest]]="","",IFERROR(INDEX(Tabelle5[evidence_quote],MATCH(1,(Tabelle5[company_id]=Tabelle18[[#This Row],[company_id]])*(Tabelle5[value_id]=Tabelle18[[#This Row],[value_id]])*(Tabelle5[doc_id]=Tabelle18[[#This Row],[doc_id_strongest]]),0)),""))</f>
        <v/>
      </c>
    </row>
    <row r="282" spans="1:8" x14ac:dyDescent="0.25">
      <c r="A282" s="36">
        <v>16</v>
      </c>
      <c r="B282" t="s">
        <v>125</v>
      </c>
      <c r="C282" s="4">
        <f>IF(Tabelle18[[#This Row],[binding_level_company]]&gt;=1,1,0)</f>
        <v>0</v>
      </c>
      <c r="D282" s="4">
        <f>IFERROR(_xlfn.MAXIFS(Tabelle5[binding_level],Tabelle5[company_id],Tabelle18[[#This Row],[company_id]],Tabelle5[value_id],Tabelle18[[#This Row],[value_id]],Tabelle5[value_present],1),0)</f>
        <v>0</v>
      </c>
      <c r="E282" s="4">
        <f>IFERROR(_xlfn.MAXIFS(Tabelle5[value_points],Tabelle5[company_id],Tabelle18[[#This Row],[company_id]],Tabelle5[value_id],Tabelle18[[#This Row],[value_id]]),0)</f>
        <v>0</v>
      </c>
      <c r="F282" t="str">
        <f>IF(Tabelle18[[#This Row],[value_points_company]]=0,"",IFERROR(_xlfn.MINIFS(Tabelle5[doc_id],Tabelle5[company_id],Tabelle18[[#This Row],[company_id]],Tabelle5[value_id],Tabelle18[[#This Row],[value_id]],Tabelle5[value_points],Tabelle18[[#This Row],[value_points_company]]),""))</f>
        <v/>
      </c>
      <c r="G282" t="str" cm="1">
        <f t="array" ref="G282">IF(Tabelle18[[#This Row],[doc_id_strongest]]="","",IFERROR(INDEX(Tabelle5[evidence_location],MATCH(1,(Tabelle5[company_id]=Tabelle18[[#This Row],[company_id]])*(Tabelle5[value_id]=Tabelle18[[#This Row],[value_id]])*(Tabelle5[doc_id]=Tabelle18[[#This Row],[doc_id_strongest]]),0)),""))</f>
        <v/>
      </c>
      <c r="H282" s="33" t="str" cm="1">
        <f t="array" ref="H282">IF(Tabelle18[[#This Row],[doc_id_strongest]]="","",IFERROR(INDEX(Tabelle5[evidence_quote],MATCH(1,(Tabelle5[company_id]=Tabelle18[[#This Row],[company_id]])*(Tabelle5[value_id]=Tabelle18[[#This Row],[value_id]])*(Tabelle5[doc_id]=Tabelle18[[#This Row],[doc_id_strongest]]),0)),""))</f>
        <v/>
      </c>
    </row>
    <row r="283" spans="1:8" x14ac:dyDescent="0.25">
      <c r="A283" s="36">
        <v>16</v>
      </c>
      <c r="B283" t="s">
        <v>132</v>
      </c>
      <c r="C283" s="4">
        <f>IF(Tabelle18[[#This Row],[binding_level_company]]&gt;=1,1,0)</f>
        <v>0</v>
      </c>
      <c r="D283" s="4">
        <f>IFERROR(_xlfn.MAXIFS(Tabelle5[binding_level],Tabelle5[company_id],Tabelle18[[#This Row],[company_id]],Tabelle5[value_id],Tabelle18[[#This Row],[value_id]],Tabelle5[value_present],1),0)</f>
        <v>0</v>
      </c>
      <c r="E283" s="4">
        <f>IFERROR(_xlfn.MAXIFS(Tabelle5[value_points],Tabelle5[company_id],Tabelle18[[#This Row],[company_id]],Tabelle5[value_id],Tabelle18[[#This Row],[value_id]]),0)</f>
        <v>0</v>
      </c>
      <c r="F283" t="str">
        <f>IF(Tabelle18[[#This Row],[value_points_company]]=0,"",IFERROR(_xlfn.MINIFS(Tabelle5[doc_id],Tabelle5[company_id],Tabelle18[[#This Row],[company_id]],Tabelle5[value_id],Tabelle18[[#This Row],[value_id]],Tabelle5[value_points],Tabelle18[[#This Row],[value_points_company]]),""))</f>
        <v/>
      </c>
      <c r="G283" t="str" cm="1">
        <f t="array" ref="G283">IF(Tabelle18[[#This Row],[doc_id_strongest]]="","",IFERROR(INDEX(Tabelle5[evidence_location],MATCH(1,(Tabelle5[company_id]=Tabelle18[[#This Row],[company_id]])*(Tabelle5[value_id]=Tabelle18[[#This Row],[value_id]])*(Tabelle5[doc_id]=Tabelle18[[#This Row],[doc_id_strongest]]),0)),""))</f>
        <v/>
      </c>
      <c r="H283" s="33" t="str" cm="1">
        <f t="array" ref="H283">IF(Tabelle18[[#This Row],[doc_id_strongest]]="","",IFERROR(INDEX(Tabelle5[evidence_quote],MATCH(1,(Tabelle5[company_id]=Tabelle18[[#This Row],[company_id]])*(Tabelle5[value_id]=Tabelle18[[#This Row],[value_id]])*(Tabelle5[doc_id]=Tabelle18[[#This Row],[doc_id_strongest]]),0)),""))</f>
        <v/>
      </c>
    </row>
    <row r="284" spans="1:8" x14ac:dyDescent="0.25">
      <c r="A284" s="36">
        <v>16</v>
      </c>
      <c r="B284" t="s">
        <v>140</v>
      </c>
      <c r="C284" s="4">
        <f>IF(Tabelle18[[#This Row],[binding_level_company]]&gt;=1,1,0)</f>
        <v>0</v>
      </c>
      <c r="D284" s="4">
        <f>IFERROR(_xlfn.MAXIFS(Tabelle5[binding_level],Tabelle5[company_id],Tabelle18[[#This Row],[company_id]],Tabelle5[value_id],Tabelle18[[#This Row],[value_id]],Tabelle5[value_present],1),0)</f>
        <v>0</v>
      </c>
      <c r="E284" s="4">
        <f>IFERROR(_xlfn.MAXIFS(Tabelle5[value_points],Tabelle5[company_id],Tabelle18[[#This Row],[company_id]],Tabelle5[value_id],Tabelle18[[#This Row],[value_id]]),0)</f>
        <v>0</v>
      </c>
      <c r="F284" t="str">
        <f>IF(Tabelle18[[#This Row],[value_points_company]]=0,"",IFERROR(_xlfn.MINIFS(Tabelle5[doc_id],Tabelle5[company_id],Tabelle18[[#This Row],[company_id]],Tabelle5[value_id],Tabelle18[[#This Row],[value_id]],Tabelle5[value_points],Tabelle18[[#This Row],[value_points_company]]),""))</f>
        <v/>
      </c>
      <c r="G284" t="str" cm="1">
        <f t="array" ref="G284">IF(Tabelle18[[#This Row],[doc_id_strongest]]="","",IFERROR(INDEX(Tabelle5[evidence_location],MATCH(1,(Tabelle5[company_id]=Tabelle18[[#This Row],[company_id]])*(Tabelle5[value_id]=Tabelle18[[#This Row],[value_id]])*(Tabelle5[doc_id]=Tabelle18[[#This Row],[doc_id_strongest]]),0)),""))</f>
        <v/>
      </c>
      <c r="H284" s="33" t="str" cm="1">
        <f t="array" ref="H284">IF(Tabelle18[[#This Row],[doc_id_strongest]]="","",IFERROR(INDEX(Tabelle5[evidence_quote],MATCH(1,(Tabelle5[company_id]=Tabelle18[[#This Row],[company_id]])*(Tabelle5[value_id]=Tabelle18[[#This Row],[value_id]])*(Tabelle5[doc_id]=Tabelle18[[#This Row],[doc_id_strongest]]),0)),""))</f>
        <v/>
      </c>
    </row>
    <row r="285" spans="1:8" x14ac:dyDescent="0.25">
      <c r="A285" s="36">
        <v>16</v>
      </c>
      <c r="B285" t="s">
        <v>147</v>
      </c>
      <c r="C285" s="4">
        <f>IF(Tabelle18[[#This Row],[binding_level_company]]&gt;=1,1,0)</f>
        <v>0</v>
      </c>
      <c r="D285" s="4">
        <f>IFERROR(_xlfn.MAXIFS(Tabelle5[binding_level],Tabelle5[company_id],Tabelle18[[#This Row],[company_id]],Tabelle5[value_id],Tabelle18[[#This Row],[value_id]],Tabelle5[value_present],1),0)</f>
        <v>0</v>
      </c>
      <c r="E285" s="4">
        <f>IFERROR(_xlfn.MAXIFS(Tabelle5[value_points],Tabelle5[company_id],Tabelle18[[#This Row],[company_id]],Tabelle5[value_id],Tabelle18[[#This Row],[value_id]]),0)</f>
        <v>0</v>
      </c>
      <c r="F285" t="str">
        <f>IF(Tabelle18[[#This Row],[value_points_company]]=0,"",IFERROR(_xlfn.MINIFS(Tabelle5[doc_id],Tabelle5[company_id],Tabelle18[[#This Row],[company_id]],Tabelle5[value_id],Tabelle18[[#This Row],[value_id]],Tabelle5[value_points],Tabelle18[[#This Row],[value_points_company]]),""))</f>
        <v/>
      </c>
      <c r="G285" t="str" cm="1">
        <f t="array" ref="G285">IF(Tabelle18[[#This Row],[doc_id_strongest]]="","",IFERROR(INDEX(Tabelle5[evidence_location],MATCH(1,(Tabelle5[company_id]=Tabelle18[[#This Row],[company_id]])*(Tabelle5[value_id]=Tabelle18[[#This Row],[value_id]])*(Tabelle5[doc_id]=Tabelle18[[#This Row],[doc_id_strongest]]),0)),""))</f>
        <v/>
      </c>
      <c r="H285" s="33" t="str" cm="1">
        <f t="array" ref="H285">IF(Tabelle18[[#This Row],[doc_id_strongest]]="","",IFERROR(INDEX(Tabelle5[evidence_quote],MATCH(1,(Tabelle5[company_id]=Tabelle18[[#This Row],[company_id]])*(Tabelle5[value_id]=Tabelle18[[#This Row],[value_id]])*(Tabelle5[doc_id]=Tabelle18[[#This Row],[doc_id_strongest]]),0)),""))</f>
        <v/>
      </c>
    </row>
    <row r="286" spans="1:8" x14ac:dyDescent="0.25">
      <c r="A286" s="36">
        <v>16</v>
      </c>
      <c r="B286" t="s">
        <v>154</v>
      </c>
      <c r="C286" s="4">
        <f>IF(Tabelle18[[#This Row],[binding_level_company]]&gt;=1,1,0)</f>
        <v>0</v>
      </c>
      <c r="D286" s="4">
        <f>IFERROR(_xlfn.MAXIFS(Tabelle5[binding_level],Tabelle5[company_id],Tabelle18[[#This Row],[company_id]],Tabelle5[value_id],Tabelle18[[#This Row],[value_id]],Tabelle5[value_present],1),0)</f>
        <v>0</v>
      </c>
      <c r="E286" s="4">
        <f>IFERROR(_xlfn.MAXIFS(Tabelle5[value_points],Tabelle5[company_id],Tabelle18[[#This Row],[company_id]],Tabelle5[value_id],Tabelle18[[#This Row],[value_id]]),0)</f>
        <v>0</v>
      </c>
      <c r="F286" t="str">
        <f>IF(Tabelle18[[#This Row],[value_points_company]]=0,"",IFERROR(_xlfn.MINIFS(Tabelle5[doc_id],Tabelle5[company_id],Tabelle18[[#This Row],[company_id]],Tabelle5[value_id],Tabelle18[[#This Row],[value_id]],Tabelle5[value_points],Tabelle18[[#This Row],[value_points_company]]),""))</f>
        <v/>
      </c>
      <c r="G286" t="str" cm="1">
        <f t="array" ref="G286">IF(Tabelle18[[#This Row],[doc_id_strongest]]="","",IFERROR(INDEX(Tabelle5[evidence_location],MATCH(1,(Tabelle5[company_id]=Tabelle18[[#This Row],[company_id]])*(Tabelle5[value_id]=Tabelle18[[#This Row],[value_id]])*(Tabelle5[doc_id]=Tabelle18[[#This Row],[doc_id_strongest]]),0)),""))</f>
        <v/>
      </c>
      <c r="H286" s="33" t="str" cm="1">
        <f t="array" ref="H286">IF(Tabelle18[[#This Row],[doc_id_strongest]]="","",IFERROR(INDEX(Tabelle5[evidence_quote],MATCH(1,(Tabelle5[company_id]=Tabelle18[[#This Row],[company_id]])*(Tabelle5[value_id]=Tabelle18[[#This Row],[value_id]])*(Tabelle5[doc_id]=Tabelle18[[#This Row],[doc_id_strongest]]),0)),""))</f>
        <v/>
      </c>
    </row>
    <row r="287" spans="1:8" x14ac:dyDescent="0.25">
      <c r="A287" s="36">
        <v>16</v>
      </c>
      <c r="B287" t="s">
        <v>161</v>
      </c>
      <c r="C287" s="4">
        <f>IF(Tabelle18[[#This Row],[binding_level_company]]&gt;=1,1,0)</f>
        <v>0</v>
      </c>
      <c r="D287" s="4">
        <f>IFERROR(_xlfn.MAXIFS(Tabelle5[binding_level],Tabelle5[company_id],Tabelle18[[#This Row],[company_id]],Tabelle5[value_id],Tabelle18[[#This Row],[value_id]],Tabelle5[value_present],1),0)</f>
        <v>0</v>
      </c>
      <c r="E287" s="4">
        <f>IFERROR(_xlfn.MAXIFS(Tabelle5[value_points],Tabelle5[company_id],Tabelle18[[#This Row],[company_id]],Tabelle5[value_id],Tabelle18[[#This Row],[value_id]]),0)</f>
        <v>0</v>
      </c>
      <c r="F287" t="str">
        <f>IF(Tabelle18[[#This Row],[value_points_company]]=0,"",IFERROR(_xlfn.MINIFS(Tabelle5[doc_id],Tabelle5[company_id],Tabelle18[[#This Row],[company_id]],Tabelle5[value_id],Tabelle18[[#This Row],[value_id]],Tabelle5[value_points],Tabelle18[[#This Row],[value_points_company]]),""))</f>
        <v/>
      </c>
      <c r="G287" t="str" cm="1">
        <f t="array" ref="G287">IF(Tabelle18[[#This Row],[doc_id_strongest]]="","",IFERROR(INDEX(Tabelle5[evidence_location],MATCH(1,(Tabelle5[company_id]=Tabelle18[[#This Row],[company_id]])*(Tabelle5[value_id]=Tabelle18[[#This Row],[value_id]])*(Tabelle5[doc_id]=Tabelle18[[#This Row],[doc_id_strongest]]),0)),""))</f>
        <v/>
      </c>
      <c r="H287" s="33" t="str" cm="1">
        <f t="array" ref="H287">IF(Tabelle18[[#This Row],[doc_id_strongest]]="","",IFERROR(INDEX(Tabelle5[evidence_quote],MATCH(1,(Tabelle5[company_id]=Tabelle18[[#This Row],[company_id]])*(Tabelle5[value_id]=Tabelle18[[#This Row],[value_id]])*(Tabelle5[doc_id]=Tabelle18[[#This Row],[doc_id_strongest]]),0)),""))</f>
        <v/>
      </c>
    </row>
    <row r="288" spans="1:8" x14ac:dyDescent="0.25">
      <c r="A288" s="36">
        <v>16</v>
      </c>
      <c r="B288" t="s">
        <v>166</v>
      </c>
      <c r="C288" s="4">
        <f>IF(Tabelle18[[#This Row],[binding_level_company]]&gt;=1,1,0)</f>
        <v>0</v>
      </c>
      <c r="D288" s="4">
        <f>IFERROR(_xlfn.MAXIFS(Tabelle5[binding_level],Tabelle5[company_id],Tabelle18[[#This Row],[company_id]],Tabelle5[value_id],Tabelle18[[#This Row],[value_id]],Tabelle5[value_present],1),0)</f>
        <v>0</v>
      </c>
      <c r="E288" s="4">
        <f>IFERROR(_xlfn.MAXIFS(Tabelle5[value_points],Tabelle5[company_id],Tabelle18[[#This Row],[company_id]],Tabelle5[value_id],Tabelle18[[#This Row],[value_id]]),0)</f>
        <v>0</v>
      </c>
      <c r="F288" t="str">
        <f>IF(Tabelle18[[#This Row],[value_points_company]]=0,"",IFERROR(_xlfn.MINIFS(Tabelle5[doc_id],Tabelle5[company_id],Tabelle18[[#This Row],[company_id]],Tabelle5[value_id],Tabelle18[[#This Row],[value_id]],Tabelle5[value_points],Tabelle18[[#This Row],[value_points_company]]),""))</f>
        <v/>
      </c>
      <c r="G288" t="str" cm="1">
        <f t="array" ref="G288">IF(Tabelle18[[#This Row],[doc_id_strongest]]="","",IFERROR(INDEX(Tabelle5[evidence_location],MATCH(1,(Tabelle5[company_id]=Tabelle18[[#This Row],[company_id]])*(Tabelle5[value_id]=Tabelle18[[#This Row],[value_id]])*(Tabelle5[doc_id]=Tabelle18[[#This Row],[doc_id_strongest]]),0)),""))</f>
        <v/>
      </c>
      <c r="H288" s="33" t="str" cm="1">
        <f t="array" ref="H288">IF(Tabelle18[[#This Row],[doc_id_strongest]]="","",IFERROR(INDEX(Tabelle5[evidence_quote],MATCH(1,(Tabelle5[company_id]=Tabelle18[[#This Row],[company_id]])*(Tabelle5[value_id]=Tabelle18[[#This Row],[value_id]])*(Tabelle5[doc_id]=Tabelle18[[#This Row],[doc_id_strongest]]),0)),""))</f>
        <v/>
      </c>
    </row>
    <row r="289" spans="1:8" ht="15.75" thickBot="1" x14ac:dyDescent="0.3">
      <c r="A289" s="37">
        <v>16</v>
      </c>
      <c r="B289" s="30" t="s">
        <v>174</v>
      </c>
      <c r="C289" s="49">
        <f>IF(Tabelle18[[#This Row],[binding_level_company]]&gt;=1,1,0)</f>
        <v>0</v>
      </c>
      <c r="D289" s="49">
        <f>IFERROR(_xlfn.MAXIFS(Tabelle5[binding_level],Tabelle5[company_id],Tabelle18[[#This Row],[company_id]],Tabelle5[value_id],Tabelle18[[#This Row],[value_id]],Tabelle5[value_present],1),0)</f>
        <v>0</v>
      </c>
      <c r="E289" s="49">
        <f>IFERROR(_xlfn.MAXIFS(Tabelle5[value_points],Tabelle5[company_id],Tabelle18[[#This Row],[company_id]],Tabelle5[value_id],Tabelle18[[#This Row],[value_id]]),0)</f>
        <v>0</v>
      </c>
      <c r="F289" s="30" t="str">
        <f>IF(Tabelle18[[#This Row],[value_points_company]]=0,"",IFERROR(_xlfn.MINIFS(Tabelle5[doc_id],Tabelle5[company_id],Tabelle18[[#This Row],[company_id]],Tabelle5[value_id],Tabelle18[[#This Row],[value_id]],Tabelle5[value_points],Tabelle18[[#This Row],[value_points_company]]),""))</f>
        <v/>
      </c>
      <c r="G289" s="30" t="str" cm="1">
        <f t="array" ref="G289">IF(Tabelle18[[#This Row],[doc_id_strongest]]="","",IFERROR(INDEX(Tabelle5[evidence_location],MATCH(1,(Tabelle5[company_id]=Tabelle18[[#This Row],[company_id]])*(Tabelle5[value_id]=Tabelle18[[#This Row],[value_id]])*(Tabelle5[doc_id]=Tabelle18[[#This Row],[doc_id_strongest]]),0)),""))</f>
        <v/>
      </c>
      <c r="H289" s="34" t="str" cm="1">
        <f t="array" ref="H289">IF(Tabelle18[[#This Row],[doc_id_strongest]]="","",IFERROR(INDEX(Tabelle5[evidence_quote],MATCH(1,(Tabelle5[company_id]=Tabelle18[[#This Row],[company_id]])*(Tabelle5[value_id]=Tabelle18[[#This Row],[value_id]])*(Tabelle5[doc_id]=Tabelle18[[#This Row],[doc_id_strongest]]),0)),""))</f>
        <v/>
      </c>
    </row>
    <row r="290" spans="1:8" x14ac:dyDescent="0.25">
      <c r="A290" s="35">
        <v>17</v>
      </c>
      <c r="B290" s="22" t="s">
        <v>53</v>
      </c>
      <c r="C290" s="48">
        <f>IF(Tabelle18[[#This Row],[binding_level_company]]&gt;=1,1,0)</f>
        <v>1</v>
      </c>
      <c r="D290" s="48">
        <f>IFERROR(_xlfn.MAXIFS(Tabelle5[binding_level],Tabelle5[company_id],Tabelle18[[#This Row],[company_id]],Tabelle5[value_id],Tabelle18[[#This Row],[value_id]],Tabelle5[value_present],1),0)</f>
        <v>3</v>
      </c>
      <c r="E290" s="48">
        <f>IFERROR(_xlfn.MAXIFS(Tabelle5[value_points],Tabelle5[company_id],Tabelle18[[#This Row],[company_id]],Tabelle5[value_id],Tabelle18[[#This Row],[value_id]]),0)</f>
        <v>3</v>
      </c>
      <c r="F290" s="22">
        <f>IF(Tabelle18[[#This Row],[value_points_company]]=0,"",IFERROR(_xlfn.MINIFS(Tabelle5[doc_id],Tabelle5[company_id],Tabelle18[[#This Row],[company_id]],Tabelle5[value_id],Tabelle18[[#This Row],[value_id]],Tabelle5[value_points],Tabelle18[[#This Row],[value_points_company]]),""))</f>
        <v>102</v>
      </c>
      <c r="G290" s="22" t="str" cm="1">
        <f t="array" ref="G290">IF(Tabelle18[[#This Row],[doc_id_strongest]]="","",IFERROR(INDEX(Tabelle5[evidence_location],MATCH(1,(Tabelle5[company_id]=Tabelle18[[#This Row],[company_id]])*(Tabelle5[value_id]=Tabelle18[[#This Row],[value_id]])*(Tabelle5[doc_id]=Tabelle18[[#This Row],[doc_id_strongest]]),0)),""))</f>
        <v>S. 2 HUMAN-CENTRIC APPROACH / GUIDELINE; S. 4 WHEN DEVELOPING OR PROCURING AI</v>
      </c>
      <c r="H290" s="32" t="str" cm="1">
        <f t="array" ref="H290">IF(Tabelle18[[#This Row],[doc_id_strongest]]="","",IFERROR(INDEX(Tabelle5[evidence_quote],MATCH(1,(Tabelle5[company_id]=Tabelle18[[#This Row],[company_id]])*(Tabelle5[value_id]=Tabelle18[[#This Row],[value_id]])*(Tabelle5[doc_id]=Tabelle18[[#This Row],[doc_id_strongest]]),0)),""))</f>
        <v>“Humans shall always be placed at the centre”; “sufficient safeguards and human oversight"; “humans maintain meaningful control”</v>
      </c>
    </row>
    <row r="291" spans="1:8" x14ac:dyDescent="0.25">
      <c r="A291" s="36">
        <v>17</v>
      </c>
      <c r="B291" t="s">
        <v>61</v>
      </c>
      <c r="C291" s="4">
        <f>IF(Tabelle18[[#This Row],[binding_level_company]]&gt;=1,1,0)</f>
        <v>1</v>
      </c>
      <c r="D291" s="4">
        <f>IFERROR(_xlfn.MAXIFS(Tabelle5[binding_level],Tabelle5[company_id],Tabelle18[[#This Row],[company_id]],Tabelle5[value_id],Tabelle18[[#This Row],[value_id]],Tabelle5[value_present],1),0)</f>
        <v>2</v>
      </c>
      <c r="E291" s="4">
        <f>IFERROR(_xlfn.MAXIFS(Tabelle5[value_points],Tabelle5[company_id],Tabelle18[[#This Row],[company_id]],Tabelle5[value_id],Tabelle18[[#This Row],[value_id]]),0)</f>
        <v>2</v>
      </c>
      <c r="F291">
        <f>IF(Tabelle18[[#This Row],[value_points_company]]=0,"",IFERROR(_xlfn.MINIFS(Tabelle5[doc_id],Tabelle5[company_id],Tabelle18[[#This Row],[company_id]],Tabelle5[value_id],Tabelle18[[#This Row],[value_id]],Tabelle5[value_points],Tabelle18[[#This Row],[value_points_company]]),""))</f>
        <v>102</v>
      </c>
      <c r="G291" t="str" cm="1">
        <f t="array" ref="G291">IF(Tabelle18[[#This Row],[doc_id_strongest]]="","",IFERROR(INDEX(Tabelle5[evidence_location],MATCH(1,(Tabelle5[company_id]=Tabelle18[[#This Row],[company_id]])*(Tabelle5[value_id]=Tabelle18[[#This Row],[value_id]])*(Tabelle5[doc_id]=Tabelle18[[#This Row],[doc_id_strongest]]),0)),""))</f>
        <v>S. 4 GUIDELINE / WHEN DEVELOPING OR PROCURING AI</v>
      </c>
      <c r="H291" s="33" t="str" cm="1">
        <f t="array" ref="H291">IF(Tabelle18[[#This Row],[doc_id_strongest]]="","",IFERROR(INDEX(Tabelle5[evidence_quote],MATCH(1,(Tabelle5[company_id]=Tabelle18[[#This Row],[company_id]])*(Tabelle5[value_id]=Tabelle18[[#This Row],[value_id]])*(Tabelle5[doc_id]=Tabelle18[[#This Row],[doc_id_strongest]]),0)),""))</f>
        <v>“We are accountable for the decision to use an AI system”; “humans maintain meaningful control”</v>
      </c>
    </row>
    <row r="292" spans="1:8" x14ac:dyDescent="0.25">
      <c r="A292" s="36">
        <v>17</v>
      </c>
      <c r="B292" t="s">
        <v>69</v>
      </c>
      <c r="C292" s="4">
        <f>IF(Tabelle18[[#This Row],[binding_level_company]]&gt;=1,1,0)</f>
        <v>1</v>
      </c>
      <c r="D292" s="4">
        <f>IFERROR(_xlfn.MAXIFS(Tabelle5[binding_level],Tabelle5[company_id],Tabelle18[[#This Row],[company_id]],Tabelle5[value_id],Tabelle18[[#This Row],[value_id]],Tabelle5[value_present],1),0)</f>
        <v>3</v>
      </c>
      <c r="E292" s="4">
        <f>IFERROR(_xlfn.MAXIFS(Tabelle5[value_points],Tabelle5[company_id],Tabelle18[[#This Row],[company_id]],Tabelle5[value_id],Tabelle18[[#This Row],[value_id]]),0)</f>
        <v>3</v>
      </c>
      <c r="F292">
        <f>IF(Tabelle18[[#This Row],[value_points_company]]=0,"",IFERROR(_xlfn.MINIFS(Tabelle5[doc_id],Tabelle5[company_id],Tabelle18[[#This Row],[company_id]],Tabelle5[value_id],Tabelle18[[#This Row],[value_id]],Tabelle5[value_points],Tabelle18[[#This Row],[value_points_company]]),""))</f>
        <v>102</v>
      </c>
      <c r="G292" t="str" cm="1">
        <f t="array" ref="G292">IF(Tabelle18[[#This Row],[doc_id_strongest]]="","",IFERROR(INDEX(Tabelle5[evidence_location],MATCH(1,(Tabelle5[company_id]=Tabelle18[[#This Row],[company_id]])*(Tabelle5[value_id]=Tabelle18[[#This Row],[value_id]])*(Tabelle5[doc_id]=Tabelle18[[#This Row],[doc_id_strongest]]),0)),""))</f>
        <v>S. 3 WHEN USING / DEVELOPING OR PROCURING AI; S. 5 WHEN DEVELOPING OR PROCURING AI</v>
      </c>
      <c r="H292" s="33" t="str" cm="1">
        <f t="array" ref="H292">IF(Tabelle18[[#This Row],[doc_id_strongest]]="","",IFERROR(INDEX(Tabelle5[evidence_quote],MATCH(1,(Tabelle5[company_id]=Tabelle18[[#This Row],[company_id]])*(Tabelle5[value_id]=Tabelle18[[#This Row],[value_id]])*(Tabelle5[doc_id]=Tabelle18[[#This Row],[doc_id_strongest]]),0)),""))</f>
        <v>“We disclose the use of AI as a source”; “We document data sets and processes”; Entwicklung/Beschaffung von KI muss privacy by design, Nutzerkontrollen und rechtliche Basis sicherstellen.</v>
      </c>
    </row>
    <row r="293" spans="1:8" x14ac:dyDescent="0.25">
      <c r="A293" s="36">
        <v>17</v>
      </c>
      <c r="B293" t="s">
        <v>76</v>
      </c>
      <c r="C293" s="4">
        <f>IF(Tabelle18[[#This Row],[binding_level_company]]&gt;=1,1,0)</f>
        <v>1</v>
      </c>
      <c r="D293" s="4">
        <f>IFERROR(_xlfn.MAXIFS(Tabelle5[binding_level],Tabelle5[company_id],Tabelle18[[#This Row],[company_id]],Tabelle5[value_id],Tabelle18[[#This Row],[value_id]],Tabelle5[value_present],1),0)</f>
        <v>3</v>
      </c>
      <c r="E293" s="4">
        <f>IFERROR(_xlfn.MAXIFS(Tabelle5[value_points],Tabelle5[company_id],Tabelle18[[#This Row],[company_id]],Tabelle5[value_id],Tabelle18[[#This Row],[value_id]]),0)</f>
        <v>3</v>
      </c>
      <c r="F293">
        <f>IF(Tabelle18[[#This Row],[value_points_company]]=0,"",IFERROR(_xlfn.MINIFS(Tabelle5[doc_id],Tabelle5[company_id],Tabelle18[[#This Row],[company_id]],Tabelle5[value_id],Tabelle18[[#This Row],[value_id]],Tabelle5[value_points],Tabelle18[[#This Row],[value_points_company]]),""))</f>
        <v>102</v>
      </c>
      <c r="G293" t="str" cm="1">
        <f t="array" ref="G293">IF(Tabelle18[[#This Row],[doc_id_strongest]]="","",IFERROR(INDEX(Tabelle5[evidence_location],MATCH(1,(Tabelle5[company_id]=Tabelle18[[#This Row],[company_id]])*(Tabelle5[value_id]=Tabelle18[[#This Row],[value_id]])*(Tabelle5[doc_id]=Tabelle18[[#This Row],[doc_id_strongest]]),0)),""))</f>
        <v>S. 3, WHEN DEVELOPING OR PROCURING AI</v>
      </c>
      <c r="H293" s="33" t="str" cm="1">
        <f t="array" ref="H293">IF(Tabelle18[[#This Row],[doc_id_strongest]]="","",IFERROR(INDEX(Tabelle5[evidence_quote],MATCH(1,(Tabelle5[company_id]=Tabelle18[[#This Row],[company_id]])*(Tabelle5[value_id]=Tabelle18[[#This Row],[value_id]])*(Tabelle5[doc_id]=Tabelle18[[#This Row],[doc_id_strongest]]),0)),""))</f>
        <v>“can be understood by the people affected”</v>
      </c>
    </row>
    <row r="294" spans="1:8" x14ac:dyDescent="0.25">
      <c r="A294" s="36">
        <v>17</v>
      </c>
      <c r="B294" t="s">
        <v>83</v>
      </c>
      <c r="C294" s="4">
        <f>IF(Tabelle18[[#This Row],[binding_level_company]]&gt;=1,1,0)</f>
        <v>1</v>
      </c>
      <c r="D294" s="4">
        <f>IFERROR(_xlfn.MAXIFS(Tabelle5[binding_level],Tabelle5[company_id],Tabelle18[[#This Row],[company_id]],Tabelle5[value_id],Tabelle18[[#This Row],[value_id]],Tabelle5[value_present],1),0)</f>
        <v>3</v>
      </c>
      <c r="E294" s="4">
        <f>IFERROR(_xlfn.MAXIFS(Tabelle5[value_points],Tabelle5[company_id],Tabelle18[[#This Row],[company_id]],Tabelle5[value_id],Tabelle18[[#This Row],[value_id]]),0)</f>
        <v>3</v>
      </c>
      <c r="F294">
        <f>IF(Tabelle18[[#This Row],[value_points_company]]=0,"",IFERROR(_xlfn.MINIFS(Tabelle5[doc_id],Tabelle5[company_id],Tabelle18[[#This Row],[company_id]],Tabelle5[value_id],Tabelle18[[#This Row],[value_id]],Tabelle5[value_points],Tabelle18[[#This Row],[value_points_company]]),""))</f>
        <v>102</v>
      </c>
      <c r="G294" t="str" cm="1">
        <f t="array" ref="G294">IF(Tabelle18[[#This Row],[doc_id_strongest]]="","",IFERROR(INDEX(Tabelle5[evidence_location],MATCH(1,(Tabelle5[company_id]=Tabelle18[[#This Row],[company_id]])*(Tabelle5[value_id]=Tabelle18[[#This Row],[value_id]])*(Tabelle5[doc_id]=Tabelle18[[#This Row],[doc_id_strongest]]),0)),""))</f>
        <v>S. 3, FAIRNESS... / GUIDELINE</v>
      </c>
      <c r="H294" s="33" t="str" cm="1">
        <f t="array" ref="H294">IF(Tabelle18[[#This Row],[doc_id_strongest]]="","",IFERROR(INDEX(Tabelle5[evidence_quote],MATCH(1,(Tabelle5[company_id]=Tabelle18[[#This Row],[company_id]])*(Tabelle5[value_id]=Tabelle18[[#This Row],[value_id]])*(Tabelle5[doc_id]=Tabelle18[[#This Row],[doc_id_strongest]]),0)),""))</f>
        <v>“treat everyone fairly and avoid discrimination and exclusion”; “Double-checking is sensible”</v>
      </c>
    </row>
    <row r="295" spans="1:8" x14ac:dyDescent="0.25">
      <c r="A295" s="36">
        <v>17</v>
      </c>
      <c r="B295" t="s">
        <v>90</v>
      </c>
      <c r="C295" s="4">
        <f>IF(Tabelle18[[#This Row],[binding_level_company]]&gt;=1,1,0)</f>
        <v>1</v>
      </c>
      <c r="D295" s="4">
        <f>IFERROR(_xlfn.MAXIFS(Tabelle5[binding_level],Tabelle5[company_id],Tabelle18[[#This Row],[company_id]],Tabelle5[value_id],Tabelle18[[#This Row],[value_id]],Tabelle5[value_present],1),0)</f>
        <v>3</v>
      </c>
      <c r="E295" s="4">
        <f>IFERROR(_xlfn.MAXIFS(Tabelle5[value_points],Tabelle5[company_id],Tabelle18[[#This Row],[company_id]],Tabelle5[value_id],Tabelle18[[#This Row],[value_id]]),0)</f>
        <v>3</v>
      </c>
      <c r="F295">
        <f>IF(Tabelle18[[#This Row],[value_points_company]]=0,"",IFERROR(_xlfn.MINIFS(Tabelle5[doc_id],Tabelle5[company_id],Tabelle18[[#This Row],[company_id]],Tabelle5[value_id],Tabelle18[[#This Row],[value_id]],Tabelle5[value_points],Tabelle18[[#This Row],[value_points_company]]),""))</f>
        <v>102</v>
      </c>
      <c r="G295" t="str" cm="1">
        <f t="array" ref="G295">IF(Tabelle18[[#This Row],[doc_id_strongest]]="","",IFERROR(INDEX(Tabelle5[evidence_location],MATCH(1,(Tabelle5[company_id]=Tabelle18[[#This Row],[company_id]])*(Tabelle5[value_id]=Tabelle18[[#This Row],[value_id]])*(Tabelle5[doc_id]=Tabelle18[[#This Row],[doc_id_strongest]]),0)),""))</f>
        <v>S. 5, WHEN USING AI / WHEN DEVELOPING OR PROCURING AI</v>
      </c>
      <c r="H295" s="33" t="str" cm="1">
        <f t="array" ref="H295">IF(Tabelle18[[#This Row],[doc_id_strongest]]="","",IFERROR(INDEX(Tabelle5[evidence_quote],MATCH(1,(Tabelle5[company_id]=Tabelle18[[#This Row],[company_id]])*(Tabelle5[value_id]=Tabelle18[[#This Row],[value_id]])*(Tabelle5[doc_id]=Tabelle18[[#This Row],[doc_id_strongest]]),0)),""))</f>
        <v>“unless the use of the specific system has been explicitly whitelisted”; “AI systems must comply with applicable privacy laws”</v>
      </c>
    </row>
    <row r="296" spans="1:8" x14ac:dyDescent="0.25">
      <c r="A296" s="36">
        <v>17</v>
      </c>
      <c r="B296" t="s">
        <v>98</v>
      </c>
      <c r="C296" s="4">
        <f>IF(Tabelle18[[#This Row],[binding_level_company]]&gt;=1,1,0)</f>
        <v>1</v>
      </c>
      <c r="D296" s="4">
        <f>IFERROR(_xlfn.MAXIFS(Tabelle5[binding_level],Tabelle5[company_id],Tabelle18[[#This Row],[company_id]],Tabelle5[value_id],Tabelle18[[#This Row],[value_id]],Tabelle5[value_present],1),0)</f>
        <v>3</v>
      </c>
      <c r="E296" s="4">
        <f>IFERROR(_xlfn.MAXIFS(Tabelle5[value_points],Tabelle5[company_id],Tabelle18[[#This Row],[company_id]],Tabelle5[value_id],Tabelle18[[#This Row],[value_id]]),0)</f>
        <v>3</v>
      </c>
      <c r="F296">
        <f>IF(Tabelle18[[#This Row],[value_points_company]]=0,"",IFERROR(_xlfn.MINIFS(Tabelle5[doc_id],Tabelle5[company_id],Tabelle18[[#This Row],[company_id]],Tabelle5[value_id],Tabelle18[[#This Row],[value_id]],Tabelle5[value_points],Tabelle18[[#This Row],[value_points_company]]),""))</f>
        <v>102</v>
      </c>
      <c r="G296" t="str" cm="1">
        <f t="array" ref="G296">IF(Tabelle18[[#This Row],[doc_id_strongest]]="","",IFERROR(INDEX(Tabelle5[evidence_location],MATCH(1,(Tabelle5[company_id]=Tabelle18[[#This Row],[company_id]])*(Tabelle5[value_id]=Tabelle18[[#This Row],[value_id]])*(Tabelle5[doc_id]=Tabelle18[[#This Row],[doc_id_strongest]]),0)),""))</f>
        <v>S. 4, SECURITY, SAFETY AND RELIABILITY / WHEN USING AI</v>
      </c>
      <c r="H296" s="33" t="str" cm="1">
        <f t="array" ref="H296">IF(Tabelle18[[#This Row],[doc_id_strongest]]="","",IFERROR(INDEX(Tabelle5[evidence_quote],MATCH(1,(Tabelle5[company_id]=Tabelle18[[#This Row],[company_id]])*(Tabelle5[value_id]=Tabelle18[[#This Row],[value_id]])*(Tabelle5[doc_id]=Tabelle18[[#This Row],[doc_id_strongest]]),0)),""))</f>
        <v>“resilient against adversarial attacks”; “consult with IT or cybersecurity team”</v>
      </c>
    </row>
    <row r="297" spans="1:8" x14ac:dyDescent="0.25">
      <c r="A297" s="36">
        <v>17</v>
      </c>
      <c r="B297" t="s">
        <v>106</v>
      </c>
      <c r="C297" s="4">
        <f>IF(Tabelle18[[#This Row],[binding_level_company]]&gt;=1,1,0)</f>
        <v>1</v>
      </c>
      <c r="D297" s="4">
        <f>IFERROR(_xlfn.MAXIFS(Tabelle5[binding_level],Tabelle5[company_id],Tabelle18[[#This Row],[company_id]],Tabelle5[value_id],Tabelle18[[#This Row],[value_id]],Tabelle5[value_present],1),0)</f>
        <v>3</v>
      </c>
      <c r="E297" s="4">
        <f>IFERROR(_xlfn.MAXIFS(Tabelle5[value_points],Tabelle5[company_id],Tabelle18[[#This Row],[company_id]],Tabelle5[value_id],Tabelle18[[#This Row],[value_id]]),0)</f>
        <v>3</v>
      </c>
      <c r="F297">
        <f>IF(Tabelle18[[#This Row],[value_points_company]]=0,"",IFERROR(_xlfn.MINIFS(Tabelle5[doc_id],Tabelle5[company_id],Tabelle18[[#This Row],[company_id]],Tabelle5[value_id],Tabelle18[[#This Row],[value_id]],Tabelle5[value_points],Tabelle18[[#This Row],[value_points_company]]),""))</f>
        <v>102</v>
      </c>
      <c r="G297" t="str" cm="1">
        <f t="array" ref="G297">IF(Tabelle18[[#This Row],[doc_id_strongest]]="","",IFERROR(INDEX(Tabelle5[evidence_location],MATCH(1,(Tabelle5[company_id]=Tabelle18[[#This Row],[company_id]])*(Tabelle5[value_id]=Tabelle18[[#This Row],[value_id]])*(Tabelle5[doc_id]=Tabelle18[[#This Row],[doc_id_strongest]]),0)),""))</f>
        <v>S. 2 GUIDELINE; S. 4 SECURITY, SAFETY AND RELIABILITY</v>
      </c>
      <c r="H297" s="33" t="str" cm="1">
        <f t="array" ref="H297">IF(Tabelle18[[#This Row],[doc_id_strongest]]="","",IFERROR(INDEX(Tabelle5[evidence_quote],MATCH(1,(Tabelle5[company_id]=Tabelle18[[#This Row],[company_id]])*(Tabelle5[value_id]=Tabelle18[[#This Row],[value_id]])*(Tabelle5[doc_id]=Tabelle18[[#This Row],[doc_id_strongest]]),0)),""))</f>
        <v>“sufficient safeguards and human oversight”; “resilient against adversarial attacks”</v>
      </c>
    </row>
    <row r="298" spans="1:8" x14ac:dyDescent="0.25">
      <c r="A298" s="36">
        <v>17</v>
      </c>
      <c r="B298" t="s">
        <v>112</v>
      </c>
      <c r="C298" s="4">
        <f>IF(Tabelle18[[#This Row],[binding_level_company]]&gt;=1,1,0)</f>
        <v>1</v>
      </c>
      <c r="D298" s="4">
        <f>IFERROR(_xlfn.MAXIFS(Tabelle5[binding_level],Tabelle5[company_id],Tabelle18[[#This Row],[company_id]],Tabelle5[value_id],Tabelle18[[#This Row],[value_id]],Tabelle5[value_present],1),0)</f>
        <v>3</v>
      </c>
      <c r="E298" s="4">
        <f>IFERROR(_xlfn.MAXIFS(Tabelle5[value_points],Tabelle5[company_id],Tabelle18[[#This Row],[company_id]],Tabelle5[value_id],Tabelle18[[#This Row],[value_id]]),0)</f>
        <v>3</v>
      </c>
      <c r="F298">
        <f>IF(Tabelle18[[#This Row],[value_points_company]]=0,"",IFERROR(_xlfn.MINIFS(Tabelle5[doc_id],Tabelle5[company_id],Tabelle18[[#This Row],[company_id]],Tabelle5[value_id],Tabelle18[[#This Row],[value_id]],Tabelle5[value_points],Tabelle18[[#This Row],[value_points_company]]),""))</f>
        <v>102</v>
      </c>
      <c r="G298" t="str" cm="1">
        <f t="array" ref="G298">IF(Tabelle18[[#This Row],[doc_id_strongest]]="","",IFERROR(INDEX(Tabelle5[evidence_location],MATCH(1,(Tabelle5[company_id]=Tabelle18[[#This Row],[company_id]])*(Tabelle5[value_id]=Tabelle18[[#This Row],[value_id]])*(Tabelle5[doc_id]=Tabelle18[[#This Row],[doc_id_strongest]]),0)),""))</f>
        <v>S. 4, SECURITY, SAFETY AND RELIABILITY</v>
      </c>
      <c r="H298" s="33" t="str" cm="1">
        <f t="array" ref="H298">IF(Tabelle18[[#This Row],[doc_id_strongest]]="","",IFERROR(INDEX(Tabelle5[evidence_quote],MATCH(1,(Tabelle5[company_id]=Tabelle18[[#This Row],[company_id]])*(Tabelle5[value_id]=Tabelle18[[#This Row],[value_id]])*(Tabelle5[doc_id]=Tabelle18[[#This Row],[doc_id_strongest]]),0)),""))</f>
        <v>“resilient against adversarial attacks”</v>
      </c>
    </row>
    <row r="299" spans="1:8" x14ac:dyDescent="0.25">
      <c r="A299" s="36">
        <v>17</v>
      </c>
      <c r="B299" t="s">
        <v>118</v>
      </c>
      <c r="C299" s="4">
        <f>IF(Tabelle18[[#This Row],[binding_level_company]]&gt;=1,1,0)</f>
        <v>1</v>
      </c>
      <c r="D299" s="4">
        <f>IFERROR(_xlfn.MAXIFS(Tabelle5[binding_level],Tabelle5[company_id],Tabelle18[[#This Row],[company_id]],Tabelle5[value_id],Tabelle18[[#This Row],[value_id]],Tabelle5[value_present],1),0)</f>
        <v>2</v>
      </c>
      <c r="E299" s="4">
        <f>IFERROR(_xlfn.MAXIFS(Tabelle5[value_points],Tabelle5[company_id],Tabelle18[[#This Row],[company_id]],Tabelle5[value_id],Tabelle18[[#This Row],[value_id]]),0)</f>
        <v>2</v>
      </c>
      <c r="F299">
        <f>IF(Tabelle18[[#This Row],[value_points_company]]=0,"",IFERROR(_xlfn.MINIFS(Tabelle5[doc_id],Tabelle5[company_id],Tabelle18[[#This Row],[company_id]],Tabelle5[value_id],Tabelle18[[#This Row],[value_id]],Tabelle5[value_points],Tabelle18[[#This Row],[value_points_company]]),""))</f>
        <v>102</v>
      </c>
      <c r="G299" t="str" cm="1">
        <f t="array" ref="G299">IF(Tabelle18[[#This Row],[doc_id_strongest]]="","",IFERROR(INDEX(Tabelle5[evidence_location],MATCH(1,(Tabelle5[company_id]=Tabelle18[[#This Row],[company_id]])*(Tabelle5[value_id]=Tabelle18[[#This Row],[value_id]])*(Tabelle5[doc_id]=Tabelle18[[#This Row],[doc_id_strongest]]),0)),""))</f>
        <v>S. 4, WHEN DEVELOPING OR PROCURING AI</v>
      </c>
      <c r="H299" s="33" t="str" cm="1">
        <f t="array" ref="H299">IF(Tabelle18[[#This Row],[doc_id_strongest]]="","",IFERROR(INDEX(Tabelle5[evidence_quote],MATCH(1,(Tabelle5[company_id]=Tabelle18[[#This Row],[company_id]])*(Tabelle5[value_id]=Tabelle18[[#This Row],[value_id]])*(Tabelle5[doc_id]=Tabelle18[[#This Row],[doc_id_strongest]]),0)),""))</f>
        <v>“reporting and redress mechanisms should be available”</v>
      </c>
    </row>
    <row r="300" spans="1:8" x14ac:dyDescent="0.25">
      <c r="A300" s="36">
        <v>17</v>
      </c>
      <c r="B300" t="s">
        <v>125</v>
      </c>
      <c r="C300" s="4">
        <f>IF(Tabelle18[[#This Row],[binding_level_company]]&gt;=1,1,0)</f>
        <v>1</v>
      </c>
      <c r="D300" s="4">
        <f>IFERROR(_xlfn.MAXIFS(Tabelle5[binding_level],Tabelle5[company_id],Tabelle18[[#This Row],[company_id]],Tabelle5[value_id],Tabelle18[[#This Row],[value_id]],Tabelle5[value_present],1),0)</f>
        <v>3</v>
      </c>
      <c r="E300" s="4">
        <f>IFERROR(_xlfn.MAXIFS(Tabelle5[value_points],Tabelle5[company_id],Tabelle18[[#This Row],[company_id]],Tabelle5[value_id],Tabelle18[[#This Row],[value_id]]),0)</f>
        <v>3</v>
      </c>
      <c r="F300">
        <f>IF(Tabelle18[[#This Row],[value_points_company]]=0,"",IFERROR(_xlfn.MINIFS(Tabelle5[doc_id],Tabelle5[company_id],Tabelle18[[#This Row],[company_id]],Tabelle5[value_id],Tabelle18[[#This Row],[value_id]],Tabelle5[value_points],Tabelle18[[#This Row],[value_points_company]]),""))</f>
        <v>102</v>
      </c>
      <c r="G300" t="str" cm="1">
        <f t="array" ref="G300">IF(Tabelle18[[#This Row],[doc_id_strongest]]="","",IFERROR(INDEX(Tabelle5[evidence_location],MATCH(1,(Tabelle5[company_id]=Tabelle18[[#This Row],[company_id]])*(Tabelle5[value_id]=Tabelle18[[#This Row],[value_id]])*(Tabelle5[doc_id]=Tabelle18[[#This Row],[doc_id_strongest]]),0)),""))</f>
        <v>S. 3, WHEN DEVELOPING OR PROCURING AI</v>
      </c>
      <c r="H300" s="33" t="str" cm="1">
        <f t="array" ref="H300">IF(Tabelle18[[#This Row],[doc_id_strongest]]="","",IFERROR(INDEX(Tabelle5[evidence_quote],MATCH(1,(Tabelle5[company_id]=Tabelle18[[#This Row],[company_id]])*(Tabelle5[value_id]=Tabelle18[[#This Row],[value_id]])*(Tabelle5[doc_id]=Tabelle18[[#This Row],[doc_id_strongest]]),0)),""))</f>
        <v>“inclusive design processes involving relevant stakeholders”</v>
      </c>
    </row>
    <row r="301" spans="1:8" x14ac:dyDescent="0.25">
      <c r="A301" s="36">
        <v>17</v>
      </c>
      <c r="B301" t="s">
        <v>132</v>
      </c>
      <c r="C301" s="4">
        <f>IF(Tabelle18[[#This Row],[binding_level_company]]&gt;=1,1,0)</f>
        <v>0</v>
      </c>
      <c r="D301" s="4">
        <f>IFERROR(_xlfn.MAXIFS(Tabelle5[binding_level],Tabelle5[company_id],Tabelle18[[#This Row],[company_id]],Tabelle5[value_id],Tabelle18[[#This Row],[value_id]],Tabelle5[value_present],1),0)</f>
        <v>0</v>
      </c>
      <c r="E301" s="4">
        <f>IFERROR(_xlfn.MAXIFS(Tabelle5[value_points],Tabelle5[company_id],Tabelle18[[#This Row],[company_id]],Tabelle5[value_id],Tabelle18[[#This Row],[value_id]]),0)</f>
        <v>0</v>
      </c>
      <c r="F301" t="str">
        <f>IF(Tabelle18[[#This Row],[value_points_company]]=0,"",IFERROR(_xlfn.MINIFS(Tabelle5[doc_id],Tabelle5[company_id],Tabelle18[[#This Row],[company_id]],Tabelle5[value_id],Tabelle18[[#This Row],[value_id]],Tabelle5[value_points],Tabelle18[[#This Row],[value_points_company]]),""))</f>
        <v/>
      </c>
      <c r="G301" t="str" cm="1">
        <f t="array" ref="G301">IF(Tabelle18[[#This Row],[doc_id_strongest]]="","",IFERROR(INDEX(Tabelle5[evidence_location],MATCH(1,(Tabelle5[company_id]=Tabelle18[[#This Row],[company_id]])*(Tabelle5[value_id]=Tabelle18[[#This Row],[value_id]])*(Tabelle5[doc_id]=Tabelle18[[#This Row],[doc_id_strongest]]),0)),""))</f>
        <v/>
      </c>
      <c r="H301" s="33" t="str" cm="1">
        <f t="array" ref="H301">IF(Tabelle18[[#This Row],[doc_id_strongest]]="","",IFERROR(INDEX(Tabelle5[evidence_quote],MATCH(1,(Tabelle5[company_id]=Tabelle18[[#This Row],[company_id]])*(Tabelle5[value_id]=Tabelle18[[#This Row],[value_id]])*(Tabelle5[doc_id]=Tabelle18[[#This Row],[doc_id_strongest]]),0)),""))</f>
        <v/>
      </c>
    </row>
    <row r="302" spans="1:8" x14ac:dyDescent="0.25">
      <c r="A302" s="36">
        <v>17</v>
      </c>
      <c r="B302" t="s">
        <v>140</v>
      </c>
      <c r="C302" s="4">
        <f>IF(Tabelle18[[#This Row],[binding_level_company]]&gt;=1,1,0)</f>
        <v>1</v>
      </c>
      <c r="D302" s="4">
        <f>IFERROR(_xlfn.MAXIFS(Tabelle5[binding_level],Tabelle5[company_id],Tabelle18[[#This Row],[company_id]],Tabelle5[value_id],Tabelle18[[#This Row],[value_id]],Tabelle5[value_present],1),0)</f>
        <v>1</v>
      </c>
      <c r="E302" s="4">
        <f>IFERROR(_xlfn.MAXIFS(Tabelle5[value_points],Tabelle5[company_id],Tabelle18[[#This Row],[company_id]],Tabelle5[value_id],Tabelle18[[#This Row],[value_id]]),0)</f>
        <v>1</v>
      </c>
      <c r="F302">
        <f>IF(Tabelle18[[#This Row],[value_points_company]]=0,"",IFERROR(_xlfn.MINIFS(Tabelle5[doc_id],Tabelle5[company_id],Tabelle18[[#This Row],[company_id]],Tabelle5[value_id],Tabelle18[[#This Row],[value_id]],Tabelle5[value_points],Tabelle18[[#This Row],[value_points_company]]),""))</f>
        <v>102</v>
      </c>
      <c r="G302" t="str" cm="1">
        <f t="array" ref="G302">IF(Tabelle18[[#This Row],[doc_id_strongest]]="","",IFERROR(INDEX(Tabelle5[evidence_location],MATCH(1,(Tabelle5[company_id]=Tabelle18[[#This Row],[company_id]])*(Tabelle5[value_id]=Tabelle18[[#This Row],[value_id]])*(Tabelle5[doc_id]=Tabelle18[[#This Row],[doc_id_strongest]]),0)),""))</f>
        <v>S. 5, SOCIAL AWARENESS</v>
      </c>
      <c r="H302" s="33" t="str" cm="1">
        <f t="array" ref="H302">IF(Tabelle18[[#This Row],[doc_id_strongest]]="","",IFERROR(INDEX(Tabelle5[evidence_quote],MATCH(1,(Tabelle5[company_id]=Tabelle18[[#This Row],[company_id]])*(Tabelle5[value_id]=Tabelle18[[#This Row],[value_id]])*(Tabelle5[doc_id]=Tabelle18[[#This Row],[doc_id_strongest]]),0)),""))</f>
        <v>“promote its use for the benefit of our society”</v>
      </c>
    </row>
    <row r="303" spans="1:8" x14ac:dyDescent="0.25">
      <c r="A303" s="36">
        <v>17</v>
      </c>
      <c r="B303" t="s">
        <v>147</v>
      </c>
      <c r="C303" s="4">
        <f>IF(Tabelle18[[#This Row],[binding_level_company]]&gt;=1,1,0)</f>
        <v>1</v>
      </c>
      <c r="D303" s="4">
        <f>IFERROR(_xlfn.MAXIFS(Tabelle5[binding_level],Tabelle5[company_id],Tabelle18[[#This Row],[company_id]],Tabelle5[value_id],Tabelle18[[#This Row],[value_id]],Tabelle5[value_present],1),0)</f>
        <v>3</v>
      </c>
      <c r="E303" s="4">
        <f>IFERROR(_xlfn.MAXIFS(Tabelle5[value_points],Tabelle5[company_id],Tabelle18[[#This Row],[company_id]],Tabelle5[value_id],Tabelle18[[#This Row],[value_id]]),0)</f>
        <v>3</v>
      </c>
      <c r="F303">
        <f>IF(Tabelle18[[#This Row],[value_points_company]]=0,"",IFERROR(_xlfn.MINIFS(Tabelle5[doc_id],Tabelle5[company_id],Tabelle18[[#This Row],[company_id]],Tabelle5[value_id],Tabelle18[[#This Row],[value_id]],Tabelle5[value_points],Tabelle18[[#This Row],[value_points_company]]),""))</f>
        <v>102</v>
      </c>
      <c r="G303" t="str" cm="1">
        <f t="array" ref="G303">IF(Tabelle18[[#This Row],[doc_id_strongest]]="","",IFERROR(INDEX(Tabelle5[evidence_location],MATCH(1,(Tabelle5[company_id]=Tabelle18[[#This Row],[company_id]])*(Tabelle5[value_id]=Tabelle18[[#This Row],[value_id]])*(Tabelle5[doc_id]=Tabelle18[[#This Row],[doc_id_strongest]]),0)),""))</f>
        <v>S. 2 Einleitung; S. 5 WHEN DEVELOPING OR PROCURING AI</v>
      </c>
      <c r="H303" s="33" t="str" cm="1">
        <f t="array" ref="H303">IF(Tabelle18[[#This Row],[doc_id_strongest]]="","",IFERROR(INDEX(Tabelle5[evidence_quote],MATCH(1,(Tabelle5[company_id]=Tabelle18[[#This Row],[company_id]])*(Tabelle5[value_id]=Tabelle18[[#This Row],[value_id]])*(Tabelle5[doc_id]=Tabelle18[[#This Row],[doc_id_strongest]]),0)),""))</f>
        <v>“have to be complied with when using, developing or interacting with AI”; “AI systems must comply with applicable privacy laws"</v>
      </c>
    </row>
    <row r="304" spans="1:8" x14ac:dyDescent="0.25">
      <c r="A304" s="36">
        <v>17</v>
      </c>
      <c r="B304" t="s">
        <v>154</v>
      </c>
      <c r="C304" s="4">
        <f>IF(Tabelle18[[#This Row],[binding_level_company]]&gt;=1,1,0)</f>
        <v>1</v>
      </c>
      <c r="D304" s="4">
        <f>IFERROR(_xlfn.MAXIFS(Tabelle5[binding_level],Tabelle5[company_id],Tabelle18[[#This Row],[company_id]],Tabelle5[value_id],Tabelle18[[#This Row],[value_id]],Tabelle5[value_present],1),0)</f>
        <v>2</v>
      </c>
      <c r="E304" s="4">
        <f>IFERROR(_xlfn.MAXIFS(Tabelle5[value_points],Tabelle5[company_id],Tabelle18[[#This Row],[company_id]],Tabelle5[value_id],Tabelle18[[#This Row],[value_id]]),0)</f>
        <v>2</v>
      </c>
      <c r="F304">
        <f>IF(Tabelle18[[#This Row],[value_points_company]]=0,"",IFERROR(_xlfn.MINIFS(Tabelle5[doc_id],Tabelle5[company_id],Tabelle18[[#This Row],[company_id]],Tabelle5[value_id],Tabelle18[[#This Row],[value_id]],Tabelle5[value_points],Tabelle18[[#This Row],[value_points_company]]),""))</f>
        <v>102</v>
      </c>
      <c r="G304" t="str" cm="1">
        <f t="array" ref="G304">IF(Tabelle18[[#This Row],[doc_id_strongest]]="","",IFERROR(INDEX(Tabelle5[evidence_location],MATCH(1,(Tabelle5[company_id]=Tabelle18[[#This Row],[company_id]])*(Tabelle5[value_id]=Tabelle18[[#This Row],[value_id]])*(Tabelle5[doc_id]=Tabelle18[[#This Row],[doc_id_strongest]]),0)),""))</f>
        <v>S. 2, Einleitung</v>
      </c>
      <c r="H304" s="33" t="str" cm="1">
        <f t="array" ref="H304">IF(Tabelle18[[#This Row],[doc_id_strongest]]="","",IFERROR(INDEX(Tabelle5[evidence_quote],MATCH(1,(Tabelle5[company_id]=Tabelle18[[#This Row],[company_id]])*(Tabelle5[value_id]=Tabelle18[[#This Row],[value_id]])*(Tabelle5[doc_id]=Tabelle18[[#This Row],[doc_id_strongest]]),0)),""))</f>
        <v>“binding principles for the responsible, ethical and safe use”</v>
      </c>
    </row>
    <row r="305" spans="1:8" x14ac:dyDescent="0.25">
      <c r="A305" s="36">
        <v>17</v>
      </c>
      <c r="B305" t="s">
        <v>161</v>
      </c>
      <c r="C305" s="4">
        <f>IF(Tabelle18[[#This Row],[binding_level_company]]&gt;=1,1,0)</f>
        <v>1</v>
      </c>
      <c r="D305" s="4">
        <f>IFERROR(_xlfn.MAXIFS(Tabelle5[binding_level],Tabelle5[company_id],Tabelle18[[#This Row],[company_id]],Tabelle5[value_id],Tabelle18[[#This Row],[value_id]],Tabelle5[value_present],1),0)</f>
        <v>3</v>
      </c>
      <c r="E305" s="4">
        <f>IFERROR(_xlfn.MAXIFS(Tabelle5[value_points],Tabelle5[company_id],Tabelle18[[#This Row],[company_id]],Tabelle5[value_id],Tabelle18[[#This Row],[value_id]]),0)</f>
        <v>3</v>
      </c>
      <c r="F305">
        <f>IF(Tabelle18[[#This Row],[value_points_company]]=0,"",IFERROR(_xlfn.MINIFS(Tabelle5[doc_id],Tabelle5[company_id],Tabelle18[[#This Row],[company_id]],Tabelle5[value_id],Tabelle18[[#This Row],[value_id]],Tabelle5[value_points],Tabelle18[[#This Row],[value_points_company]]),""))</f>
        <v>102</v>
      </c>
      <c r="G305" t="str" cm="1">
        <f t="array" ref="G305">IF(Tabelle18[[#This Row],[doc_id_strongest]]="","",IFERROR(INDEX(Tabelle5[evidence_location],MATCH(1,(Tabelle5[company_id]=Tabelle18[[#This Row],[company_id]])*(Tabelle5[value_id]=Tabelle18[[#This Row],[value_id]])*(Tabelle5[doc_id]=Tabelle18[[#This Row],[doc_id_strongest]]),0)),""))</f>
        <v>S. 3 GUIDELINE / WHEN DEVELOPING OR PROCURING AI</v>
      </c>
      <c r="H305" s="33" t="str" cm="1">
        <f t="array" ref="H305">IF(Tabelle18[[#This Row],[doc_id_strongest]]="","",IFERROR(INDEX(Tabelle5[evidence_quote],MATCH(1,(Tabelle5[company_id]=Tabelle18[[#This Row],[company_id]])*(Tabelle5[value_id]=Tabelle18[[#This Row],[value_id]])*(Tabelle5[doc_id]=Tabelle18[[#This Row],[doc_id_strongest]]),0)),""))</f>
        <v>“Double-checking is sensible”; “We document data sets and processes”</v>
      </c>
    </row>
    <row r="306" spans="1:8" x14ac:dyDescent="0.25">
      <c r="A306" s="36">
        <v>17</v>
      </c>
      <c r="B306" t="s">
        <v>166</v>
      </c>
      <c r="C306" s="4">
        <f>IF(Tabelle18[[#This Row],[binding_level_company]]&gt;=1,1,0)</f>
        <v>1</v>
      </c>
      <c r="D306" s="4">
        <f>IFERROR(_xlfn.MAXIFS(Tabelle5[binding_level],Tabelle5[company_id],Tabelle18[[#This Row],[company_id]],Tabelle5[value_id],Tabelle18[[#This Row],[value_id]],Tabelle5[value_present],1),0)</f>
        <v>3</v>
      </c>
      <c r="E306" s="4">
        <f>IFERROR(_xlfn.MAXIFS(Tabelle5[value_points],Tabelle5[company_id],Tabelle18[[#This Row],[company_id]],Tabelle5[value_id],Tabelle18[[#This Row],[value_id]]),0)</f>
        <v>3</v>
      </c>
      <c r="F306">
        <f>IF(Tabelle18[[#This Row],[value_points_company]]=0,"",IFERROR(_xlfn.MINIFS(Tabelle5[doc_id],Tabelle5[company_id],Tabelle18[[#This Row],[company_id]],Tabelle5[value_id],Tabelle18[[#This Row],[value_id]],Tabelle5[value_points],Tabelle18[[#This Row],[value_points_company]]),""))</f>
        <v>102</v>
      </c>
      <c r="G306" t="str" cm="1">
        <f t="array" ref="G306">IF(Tabelle18[[#This Row],[doc_id_strongest]]="","",IFERROR(INDEX(Tabelle5[evidence_location],MATCH(1,(Tabelle5[company_id]=Tabelle18[[#This Row],[company_id]])*(Tabelle5[value_id]=Tabelle18[[#This Row],[value_id]])*(Tabelle5[doc_id]=Tabelle18[[#This Row],[doc_id_strongest]]),0)),""))</f>
        <v>S. 5, WHEN USING AI</v>
      </c>
      <c r="H306" s="33" t="str" cm="1">
        <f t="array" ref="H306">IF(Tabelle18[[#This Row],[doc_id_strongest]]="","",IFERROR(INDEX(Tabelle5[evidence_quote],MATCH(1,(Tabelle5[company_id]=Tabelle18[[#This Row],[company_id]])*(Tabelle5[value_id]=Tabelle18[[#This Row],[value_id]])*(Tabelle5[doc_id]=Tabelle18[[#This Row],[doc_id_strongest]]),0)),""))</f>
        <v>“unless the use of the specific system has been explicitly whitelisted”</v>
      </c>
    </row>
    <row r="307" spans="1:8" ht="15.75" thickBot="1" x14ac:dyDescent="0.3">
      <c r="A307" s="37">
        <v>17</v>
      </c>
      <c r="B307" s="30" t="s">
        <v>174</v>
      </c>
      <c r="C307" s="49">
        <f>IF(Tabelle18[[#This Row],[binding_level_company]]&gt;=1,1,0)</f>
        <v>1</v>
      </c>
      <c r="D307" s="49">
        <f>IFERROR(_xlfn.MAXIFS(Tabelle5[binding_level],Tabelle5[company_id],Tabelle18[[#This Row],[company_id]],Tabelle5[value_id],Tabelle18[[#This Row],[value_id]],Tabelle5[value_present],1),0)</f>
        <v>3</v>
      </c>
      <c r="E307" s="49">
        <f>IFERROR(_xlfn.MAXIFS(Tabelle5[value_points],Tabelle5[company_id],Tabelle18[[#This Row],[company_id]],Tabelle5[value_id],Tabelle18[[#This Row],[value_id]]),0)</f>
        <v>3</v>
      </c>
      <c r="F307" s="30">
        <f>IF(Tabelle18[[#This Row],[value_points_company]]=0,"",IFERROR(_xlfn.MINIFS(Tabelle5[doc_id],Tabelle5[company_id],Tabelle18[[#This Row],[company_id]],Tabelle5[value_id],Tabelle18[[#This Row],[value_id]],Tabelle5[value_points],Tabelle18[[#This Row],[value_points_company]]),""))</f>
        <v>102</v>
      </c>
      <c r="G307" s="30" t="str" cm="1">
        <f t="array" ref="G307">IF(Tabelle18[[#This Row],[doc_id_strongest]]="","",IFERROR(INDEX(Tabelle5[evidence_location],MATCH(1,(Tabelle5[company_id]=Tabelle18[[#This Row],[company_id]])*(Tabelle5[value_id]=Tabelle18[[#This Row],[value_id]])*(Tabelle5[doc_id]=Tabelle18[[#This Row],[doc_id_strongest]]),0)),""))</f>
        <v>S. 2, WHEN DEVELOPING OR PROCURING AI</v>
      </c>
      <c r="H307" s="34" t="str" cm="1">
        <f t="array" ref="H307">IF(Tabelle18[[#This Row],[doc_id_strongest]]="","",IFERROR(INDEX(Tabelle5[evidence_quote],MATCH(1,(Tabelle5[company_id]=Tabelle18[[#This Row],[company_id]])*(Tabelle5[value_id]=Tabelle18[[#This Row],[value_id]])*(Tabelle5[doc_id]=Tabelle18[[#This Row],[doc_id_strongest]]),0)),""))</f>
        <v>“People should never be treated as a mere object.”</v>
      </c>
    </row>
    <row r="308" spans="1:8" x14ac:dyDescent="0.25">
      <c r="A308" s="35">
        <v>18</v>
      </c>
      <c r="B308" s="22" t="s">
        <v>53</v>
      </c>
      <c r="C308" s="48">
        <f>IF(Tabelle18[[#This Row],[binding_level_company]]&gt;=1,1,0)</f>
        <v>0</v>
      </c>
      <c r="D308" s="48">
        <f>IFERROR(_xlfn.MAXIFS(Tabelle5[binding_level],Tabelle5[company_id],Tabelle18[[#This Row],[company_id]],Tabelle5[value_id],Tabelle18[[#This Row],[value_id]],Tabelle5[value_present],1),0)</f>
        <v>0</v>
      </c>
      <c r="E308" s="48">
        <f>IFERROR(_xlfn.MAXIFS(Tabelle5[value_points],Tabelle5[company_id],Tabelle18[[#This Row],[company_id]],Tabelle5[value_id],Tabelle18[[#This Row],[value_id]]),0)</f>
        <v>0</v>
      </c>
      <c r="F308" s="22" t="str">
        <f>IF(Tabelle18[[#This Row],[value_points_company]]=0,"",IFERROR(_xlfn.MINIFS(Tabelle5[doc_id],Tabelle5[company_id],Tabelle18[[#This Row],[company_id]],Tabelle5[value_id],Tabelle18[[#This Row],[value_id]],Tabelle5[value_points],Tabelle18[[#This Row],[value_points_company]]),""))</f>
        <v/>
      </c>
      <c r="G308" s="22" t="str" cm="1">
        <f t="array" ref="G308">IF(Tabelle18[[#This Row],[doc_id_strongest]]="","",IFERROR(INDEX(Tabelle5[evidence_location],MATCH(1,(Tabelle5[company_id]=Tabelle18[[#This Row],[company_id]])*(Tabelle5[value_id]=Tabelle18[[#This Row],[value_id]])*(Tabelle5[doc_id]=Tabelle18[[#This Row],[doc_id_strongest]]),0)),""))</f>
        <v/>
      </c>
      <c r="H308" s="32" t="str" cm="1">
        <f t="array" ref="H308">IF(Tabelle18[[#This Row],[doc_id_strongest]]="","",IFERROR(INDEX(Tabelle5[evidence_quote],MATCH(1,(Tabelle5[company_id]=Tabelle18[[#This Row],[company_id]])*(Tabelle5[value_id]=Tabelle18[[#This Row],[value_id]])*(Tabelle5[doc_id]=Tabelle18[[#This Row],[doc_id_strongest]]),0)),""))</f>
        <v/>
      </c>
    </row>
    <row r="309" spans="1:8" x14ac:dyDescent="0.25">
      <c r="A309" s="36">
        <v>18</v>
      </c>
      <c r="B309" t="s">
        <v>61</v>
      </c>
      <c r="C309" s="4">
        <f>IF(Tabelle18[[#This Row],[binding_level_company]]&gt;=1,1,0)</f>
        <v>0</v>
      </c>
      <c r="D309" s="4">
        <f>IFERROR(_xlfn.MAXIFS(Tabelle5[binding_level],Tabelle5[company_id],Tabelle18[[#This Row],[company_id]],Tabelle5[value_id],Tabelle18[[#This Row],[value_id]],Tabelle5[value_present],1),0)</f>
        <v>0</v>
      </c>
      <c r="E309" s="4">
        <f>IFERROR(_xlfn.MAXIFS(Tabelle5[value_points],Tabelle5[company_id],Tabelle18[[#This Row],[company_id]],Tabelle5[value_id],Tabelle18[[#This Row],[value_id]]),0)</f>
        <v>0</v>
      </c>
      <c r="F309" t="str">
        <f>IF(Tabelle18[[#This Row],[value_points_company]]=0,"",IFERROR(_xlfn.MINIFS(Tabelle5[doc_id],Tabelle5[company_id],Tabelle18[[#This Row],[company_id]],Tabelle5[value_id],Tabelle18[[#This Row],[value_id]],Tabelle5[value_points],Tabelle18[[#This Row],[value_points_company]]),""))</f>
        <v/>
      </c>
      <c r="G309" t="str" cm="1">
        <f t="array" ref="G309">IF(Tabelle18[[#This Row],[doc_id_strongest]]="","",IFERROR(INDEX(Tabelle5[evidence_location],MATCH(1,(Tabelle5[company_id]=Tabelle18[[#This Row],[company_id]])*(Tabelle5[value_id]=Tabelle18[[#This Row],[value_id]])*(Tabelle5[doc_id]=Tabelle18[[#This Row],[doc_id_strongest]]),0)),""))</f>
        <v/>
      </c>
      <c r="H309" s="33" t="str" cm="1">
        <f t="array" ref="H309">IF(Tabelle18[[#This Row],[doc_id_strongest]]="","",IFERROR(INDEX(Tabelle5[evidence_quote],MATCH(1,(Tabelle5[company_id]=Tabelle18[[#This Row],[company_id]])*(Tabelle5[value_id]=Tabelle18[[#This Row],[value_id]])*(Tabelle5[doc_id]=Tabelle18[[#This Row],[doc_id_strongest]]),0)),""))</f>
        <v/>
      </c>
    </row>
    <row r="310" spans="1:8" x14ac:dyDescent="0.25">
      <c r="A310" s="36">
        <v>18</v>
      </c>
      <c r="B310" t="s">
        <v>69</v>
      </c>
      <c r="C310" s="4">
        <f>IF(Tabelle18[[#This Row],[binding_level_company]]&gt;=1,1,0)</f>
        <v>0</v>
      </c>
      <c r="D310" s="4">
        <f>IFERROR(_xlfn.MAXIFS(Tabelle5[binding_level],Tabelle5[company_id],Tabelle18[[#This Row],[company_id]],Tabelle5[value_id],Tabelle18[[#This Row],[value_id]],Tabelle5[value_present],1),0)</f>
        <v>0</v>
      </c>
      <c r="E310" s="4">
        <f>IFERROR(_xlfn.MAXIFS(Tabelle5[value_points],Tabelle5[company_id],Tabelle18[[#This Row],[company_id]],Tabelle5[value_id],Tabelle18[[#This Row],[value_id]]),0)</f>
        <v>0</v>
      </c>
      <c r="F310" t="str">
        <f>IF(Tabelle18[[#This Row],[value_points_company]]=0,"",IFERROR(_xlfn.MINIFS(Tabelle5[doc_id],Tabelle5[company_id],Tabelle18[[#This Row],[company_id]],Tabelle5[value_id],Tabelle18[[#This Row],[value_id]],Tabelle5[value_points],Tabelle18[[#This Row],[value_points_company]]),""))</f>
        <v/>
      </c>
      <c r="G310" t="str" cm="1">
        <f t="array" ref="G310">IF(Tabelle18[[#This Row],[doc_id_strongest]]="","",IFERROR(INDEX(Tabelle5[evidence_location],MATCH(1,(Tabelle5[company_id]=Tabelle18[[#This Row],[company_id]])*(Tabelle5[value_id]=Tabelle18[[#This Row],[value_id]])*(Tabelle5[doc_id]=Tabelle18[[#This Row],[doc_id_strongest]]),0)),""))</f>
        <v/>
      </c>
      <c r="H310" s="33" t="str" cm="1">
        <f t="array" ref="H310">IF(Tabelle18[[#This Row],[doc_id_strongest]]="","",IFERROR(INDEX(Tabelle5[evidence_quote],MATCH(1,(Tabelle5[company_id]=Tabelle18[[#This Row],[company_id]])*(Tabelle5[value_id]=Tabelle18[[#This Row],[value_id]])*(Tabelle5[doc_id]=Tabelle18[[#This Row],[doc_id_strongest]]),0)),""))</f>
        <v/>
      </c>
    </row>
    <row r="311" spans="1:8" x14ac:dyDescent="0.25">
      <c r="A311" s="36">
        <v>18</v>
      </c>
      <c r="B311" t="s">
        <v>76</v>
      </c>
      <c r="C311" s="4">
        <f>IF(Tabelle18[[#This Row],[binding_level_company]]&gt;=1,1,0)</f>
        <v>0</v>
      </c>
      <c r="D311" s="4">
        <f>IFERROR(_xlfn.MAXIFS(Tabelle5[binding_level],Tabelle5[company_id],Tabelle18[[#This Row],[company_id]],Tabelle5[value_id],Tabelle18[[#This Row],[value_id]],Tabelle5[value_present],1),0)</f>
        <v>0</v>
      </c>
      <c r="E311" s="4">
        <f>IFERROR(_xlfn.MAXIFS(Tabelle5[value_points],Tabelle5[company_id],Tabelle18[[#This Row],[company_id]],Tabelle5[value_id],Tabelle18[[#This Row],[value_id]]),0)</f>
        <v>0</v>
      </c>
      <c r="F311" t="str">
        <f>IF(Tabelle18[[#This Row],[value_points_company]]=0,"",IFERROR(_xlfn.MINIFS(Tabelle5[doc_id],Tabelle5[company_id],Tabelle18[[#This Row],[company_id]],Tabelle5[value_id],Tabelle18[[#This Row],[value_id]],Tabelle5[value_points],Tabelle18[[#This Row],[value_points_company]]),""))</f>
        <v/>
      </c>
      <c r="G311" t="str" cm="1">
        <f t="array" ref="G311">IF(Tabelle18[[#This Row],[doc_id_strongest]]="","",IFERROR(INDEX(Tabelle5[evidence_location],MATCH(1,(Tabelle5[company_id]=Tabelle18[[#This Row],[company_id]])*(Tabelle5[value_id]=Tabelle18[[#This Row],[value_id]])*(Tabelle5[doc_id]=Tabelle18[[#This Row],[doc_id_strongest]]),0)),""))</f>
        <v/>
      </c>
      <c r="H311" s="33" t="str" cm="1">
        <f t="array" ref="H311">IF(Tabelle18[[#This Row],[doc_id_strongest]]="","",IFERROR(INDEX(Tabelle5[evidence_quote],MATCH(1,(Tabelle5[company_id]=Tabelle18[[#This Row],[company_id]])*(Tabelle5[value_id]=Tabelle18[[#This Row],[value_id]])*(Tabelle5[doc_id]=Tabelle18[[#This Row],[doc_id_strongest]]),0)),""))</f>
        <v/>
      </c>
    </row>
    <row r="312" spans="1:8" x14ac:dyDescent="0.25">
      <c r="A312" s="36">
        <v>18</v>
      </c>
      <c r="B312" t="s">
        <v>83</v>
      </c>
      <c r="C312" s="4">
        <f>IF(Tabelle18[[#This Row],[binding_level_company]]&gt;=1,1,0)</f>
        <v>0</v>
      </c>
      <c r="D312" s="4">
        <f>IFERROR(_xlfn.MAXIFS(Tabelle5[binding_level],Tabelle5[company_id],Tabelle18[[#This Row],[company_id]],Tabelle5[value_id],Tabelle18[[#This Row],[value_id]],Tabelle5[value_present],1),0)</f>
        <v>0</v>
      </c>
      <c r="E312" s="4">
        <f>IFERROR(_xlfn.MAXIFS(Tabelle5[value_points],Tabelle5[company_id],Tabelle18[[#This Row],[company_id]],Tabelle5[value_id],Tabelle18[[#This Row],[value_id]]),0)</f>
        <v>0</v>
      </c>
      <c r="F312" t="str">
        <f>IF(Tabelle18[[#This Row],[value_points_company]]=0,"",IFERROR(_xlfn.MINIFS(Tabelle5[doc_id],Tabelle5[company_id],Tabelle18[[#This Row],[company_id]],Tabelle5[value_id],Tabelle18[[#This Row],[value_id]],Tabelle5[value_points],Tabelle18[[#This Row],[value_points_company]]),""))</f>
        <v/>
      </c>
      <c r="G312" t="str" cm="1">
        <f t="array" ref="G312">IF(Tabelle18[[#This Row],[doc_id_strongest]]="","",IFERROR(INDEX(Tabelle5[evidence_location],MATCH(1,(Tabelle5[company_id]=Tabelle18[[#This Row],[company_id]])*(Tabelle5[value_id]=Tabelle18[[#This Row],[value_id]])*(Tabelle5[doc_id]=Tabelle18[[#This Row],[doc_id_strongest]]),0)),""))</f>
        <v/>
      </c>
      <c r="H312" s="33" t="str" cm="1">
        <f t="array" ref="H312">IF(Tabelle18[[#This Row],[doc_id_strongest]]="","",IFERROR(INDEX(Tabelle5[evidence_quote],MATCH(1,(Tabelle5[company_id]=Tabelle18[[#This Row],[company_id]])*(Tabelle5[value_id]=Tabelle18[[#This Row],[value_id]])*(Tabelle5[doc_id]=Tabelle18[[#This Row],[doc_id_strongest]]),0)),""))</f>
        <v/>
      </c>
    </row>
    <row r="313" spans="1:8" x14ac:dyDescent="0.25">
      <c r="A313" s="36">
        <v>18</v>
      </c>
      <c r="B313" t="s">
        <v>90</v>
      </c>
      <c r="C313" s="4">
        <f>IF(Tabelle18[[#This Row],[binding_level_company]]&gt;=1,1,0)</f>
        <v>0</v>
      </c>
      <c r="D313" s="4">
        <f>IFERROR(_xlfn.MAXIFS(Tabelle5[binding_level],Tabelle5[company_id],Tabelle18[[#This Row],[company_id]],Tabelle5[value_id],Tabelle18[[#This Row],[value_id]],Tabelle5[value_present],1),0)</f>
        <v>0</v>
      </c>
      <c r="E313" s="4">
        <f>IFERROR(_xlfn.MAXIFS(Tabelle5[value_points],Tabelle5[company_id],Tabelle18[[#This Row],[company_id]],Tabelle5[value_id],Tabelle18[[#This Row],[value_id]]),0)</f>
        <v>0</v>
      </c>
      <c r="F313" t="str">
        <f>IF(Tabelle18[[#This Row],[value_points_company]]=0,"",IFERROR(_xlfn.MINIFS(Tabelle5[doc_id],Tabelle5[company_id],Tabelle18[[#This Row],[company_id]],Tabelle5[value_id],Tabelle18[[#This Row],[value_id]],Tabelle5[value_points],Tabelle18[[#This Row],[value_points_company]]),""))</f>
        <v/>
      </c>
      <c r="G313" t="str" cm="1">
        <f t="array" ref="G313">IF(Tabelle18[[#This Row],[doc_id_strongest]]="","",IFERROR(INDEX(Tabelle5[evidence_location],MATCH(1,(Tabelle5[company_id]=Tabelle18[[#This Row],[company_id]])*(Tabelle5[value_id]=Tabelle18[[#This Row],[value_id]])*(Tabelle5[doc_id]=Tabelle18[[#This Row],[doc_id_strongest]]),0)),""))</f>
        <v/>
      </c>
      <c r="H313" s="33" t="str" cm="1">
        <f t="array" ref="H313">IF(Tabelle18[[#This Row],[doc_id_strongest]]="","",IFERROR(INDEX(Tabelle5[evidence_quote],MATCH(1,(Tabelle5[company_id]=Tabelle18[[#This Row],[company_id]])*(Tabelle5[value_id]=Tabelle18[[#This Row],[value_id]])*(Tabelle5[doc_id]=Tabelle18[[#This Row],[doc_id_strongest]]),0)),""))</f>
        <v/>
      </c>
    </row>
    <row r="314" spans="1:8" x14ac:dyDescent="0.25">
      <c r="A314" s="36">
        <v>18</v>
      </c>
      <c r="B314" t="s">
        <v>98</v>
      </c>
      <c r="C314" s="4">
        <f>IF(Tabelle18[[#This Row],[binding_level_company]]&gt;=1,1,0)</f>
        <v>0</v>
      </c>
      <c r="D314" s="4">
        <f>IFERROR(_xlfn.MAXIFS(Tabelle5[binding_level],Tabelle5[company_id],Tabelle18[[#This Row],[company_id]],Tabelle5[value_id],Tabelle18[[#This Row],[value_id]],Tabelle5[value_present],1),0)</f>
        <v>0</v>
      </c>
      <c r="E314" s="4">
        <f>IFERROR(_xlfn.MAXIFS(Tabelle5[value_points],Tabelle5[company_id],Tabelle18[[#This Row],[company_id]],Tabelle5[value_id],Tabelle18[[#This Row],[value_id]]),0)</f>
        <v>0</v>
      </c>
      <c r="F314" t="str">
        <f>IF(Tabelle18[[#This Row],[value_points_company]]=0,"",IFERROR(_xlfn.MINIFS(Tabelle5[doc_id],Tabelle5[company_id],Tabelle18[[#This Row],[company_id]],Tabelle5[value_id],Tabelle18[[#This Row],[value_id]],Tabelle5[value_points],Tabelle18[[#This Row],[value_points_company]]),""))</f>
        <v/>
      </c>
      <c r="G314" t="str" cm="1">
        <f t="array" ref="G314">IF(Tabelle18[[#This Row],[doc_id_strongest]]="","",IFERROR(INDEX(Tabelle5[evidence_location],MATCH(1,(Tabelle5[company_id]=Tabelle18[[#This Row],[company_id]])*(Tabelle5[value_id]=Tabelle18[[#This Row],[value_id]])*(Tabelle5[doc_id]=Tabelle18[[#This Row],[doc_id_strongest]]),0)),""))</f>
        <v/>
      </c>
      <c r="H314" s="33" t="str" cm="1">
        <f t="array" ref="H314">IF(Tabelle18[[#This Row],[doc_id_strongest]]="","",IFERROR(INDEX(Tabelle5[evidence_quote],MATCH(1,(Tabelle5[company_id]=Tabelle18[[#This Row],[company_id]])*(Tabelle5[value_id]=Tabelle18[[#This Row],[value_id]])*(Tabelle5[doc_id]=Tabelle18[[#This Row],[doc_id_strongest]]),0)),""))</f>
        <v/>
      </c>
    </row>
    <row r="315" spans="1:8" x14ac:dyDescent="0.25">
      <c r="A315" s="36">
        <v>18</v>
      </c>
      <c r="B315" t="s">
        <v>106</v>
      </c>
      <c r="C315" s="4">
        <f>IF(Tabelle18[[#This Row],[binding_level_company]]&gt;=1,1,0)</f>
        <v>0</v>
      </c>
      <c r="D315" s="4">
        <f>IFERROR(_xlfn.MAXIFS(Tabelle5[binding_level],Tabelle5[company_id],Tabelle18[[#This Row],[company_id]],Tabelle5[value_id],Tabelle18[[#This Row],[value_id]],Tabelle5[value_present],1),0)</f>
        <v>0</v>
      </c>
      <c r="E315" s="4">
        <f>IFERROR(_xlfn.MAXIFS(Tabelle5[value_points],Tabelle5[company_id],Tabelle18[[#This Row],[company_id]],Tabelle5[value_id],Tabelle18[[#This Row],[value_id]]),0)</f>
        <v>0</v>
      </c>
      <c r="F315" t="str">
        <f>IF(Tabelle18[[#This Row],[value_points_company]]=0,"",IFERROR(_xlfn.MINIFS(Tabelle5[doc_id],Tabelle5[company_id],Tabelle18[[#This Row],[company_id]],Tabelle5[value_id],Tabelle18[[#This Row],[value_id]],Tabelle5[value_points],Tabelle18[[#This Row],[value_points_company]]),""))</f>
        <v/>
      </c>
      <c r="G315" t="str" cm="1">
        <f t="array" ref="G315">IF(Tabelle18[[#This Row],[doc_id_strongest]]="","",IFERROR(INDEX(Tabelle5[evidence_location],MATCH(1,(Tabelle5[company_id]=Tabelle18[[#This Row],[company_id]])*(Tabelle5[value_id]=Tabelle18[[#This Row],[value_id]])*(Tabelle5[doc_id]=Tabelle18[[#This Row],[doc_id_strongest]]),0)),""))</f>
        <v/>
      </c>
      <c r="H315" s="33" t="str" cm="1">
        <f t="array" ref="H315">IF(Tabelle18[[#This Row],[doc_id_strongest]]="","",IFERROR(INDEX(Tabelle5[evidence_quote],MATCH(1,(Tabelle5[company_id]=Tabelle18[[#This Row],[company_id]])*(Tabelle5[value_id]=Tabelle18[[#This Row],[value_id]])*(Tabelle5[doc_id]=Tabelle18[[#This Row],[doc_id_strongest]]),0)),""))</f>
        <v/>
      </c>
    </row>
    <row r="316" spans="1:8" x14ac:dyDescent="0.25">
      <c r="A316" s="36">
        <v>18</v>
      </c>
      <c r="B316" t="s">
        <v>112</v>
      </c>
      <c r="C316" s="4">
        <f>IF(Tabelle18[[#This Row],[binding_level_company]]&gt;=1,1,0)</f>
        <v>0</v>
      </c>
      <c r="D316" s="4">
        <f>IFERROR(_xlfn.MAXIFS(Tabelle5[binding_level],Tabelle5[company_id],Tabelle18[[#This Row],[company_id]],Tabelle5[value_id],Tabelle18[[#This Row],[value_id]],Tabelle5[value_present],1),0)</f>
        <v>0</v>
      </c>
      <c r="E316" s="4">
        <f>IFERROR(_xlfn.MAXIFS(Tabelle5[value_points],Tabelle5[company_id],Tabelle18[[#This Row],[company_id]],Tabelle5[value_id],Tabelle18[[#This Row],[value_id]]),0)</f>
        <v>0</v>
      </c>
      <c r="F316" t="str">
        <f>IF(Tabelle18[[#This Row],[value_points_company]]=0,"",IFERROR(_xlfn.MINIFS(Tabelle5[doc_id],Tabelle5[company_id],Tabelle18[[#This Row],[company_id]],Tabelle5[value_id],Tabelle18[[#This Row],[value_id]],Tabelle5[value_points],Tabelle18[[#This Row],[value_points_company]]),""))</f>
        <v/>
      </c>
      <c r="G316" t="str" cm="1">
        <f t="array" ref="G316">IF(Tabelle18[[#This Row],[doc_id_strongest]]="","",IFERROR(INDEX(Tabelle5[evidence_location],MATCH(1,(Tabelle5[company_id]=Tabelle18[[#This Row],[company_id]])*(Tabelle5[value_id]=Tabelle18[[#This Row],[value_id]])*(Tabelle5[doc_id]=Tabelle18[[#This Row],[doc_id_strongest]]),0)),""))</f>
        <v/>
      </c>
      <c r="H316" s="33" t="str" cm="1">
        <f t="array" ref="H316">IF(Tabelle18[[#This Row],[doc_id_strongest]]="","",IFERROR(INDEX(Tabelle5[evidence_quote],MATCH(1,(Tabelle5[company_id]=Tabelle18[[#This Row],[company_id]])*(Tabelle5[value_id]=Tabelle18[[#This Row],[value_id]])*(Tabelle5[doc_id]=Tabelle18[[#This Row],[doc_id_strongest]]),0)),""))</f>
        <v/>
      </c>
    </row>
    <row r="317" spans="1:8" x14ac:dyDescent="0.25">
      <c r="A317" s="36">
        <v>18</v>
      </c>
      <c r="B317" t="s">
        <v>118</v>
      </c>
      <c r="C317" s="4">
        <f>IF(Tabelle18[[#This Row],[binding_level_company]]&gt;=1,1,0)</f>
        <v>0</v>
      </c>
      <c r="D317" s="4">
        <f>IFERROR(_xlfn.MAXIFS(Tabelle5[binding_level],Tabelle5[company_id],Tabelle18[[#This Row],[company_id]],Tabelle5[value_id],Tabelle18[[#This Row],[value_id]],Tabelle5[value_present],1),0)</f>
        <v>0</v>
      </c>
      <c r="E317" s="4">
        <f>IFERROR(_xlfn.MAXIFS(Tabelle5[value_points],Tabelle5[company_id],Tabelle18[[#This Row],[company_id]],Tabelle5[value_id],Tabelle18[[#This Row],[value_id]]),0)</f>
        <v>0</v>
      </c>
      <c r="F317" t="str">
        <f>IF(Tabelle18[[#This Row],[value_points_company]]=0,"",IFERROR(_xlfn.MINIFS(Tabelle5[doc_id],Tabelle5[company_id],Tabelle18[[#This Row],[company_id]],Tabelle5[value_id],Tabelle18[[#This Row],[value_id]],Tabelle5[value_points],Tabelle18[[#This Row],[value_points_company]]),""))</f>
        <v/>
      </c>
      <c r="G317" t="str" cm="1">
        <f t="array" ref="G317">IF(Tabelle18[[#This Row],[doc_id_strongest]]="","",IFERROR(INDEX(Tabelle5[evidence_location],MATCH(1,(Tabelle5[company_id]=Tabelle18[[#This Row],[company_id]])*(Tabelle5[value_id]=Tabelle18[[#This Row],[value_id]])*(Tabelle5[doc_id]=Tabelle18[[#This Row],[doc_id_strongest]]),0)),""))</f>
        <v/>
      </c>
      <c r="H317" s="33" t="str" cm="1">
        <f t="array" ref="H317">IF(Tabelle18[[#This Row],[doc_id_strongest]]="","",IFERROR(INDEX(Tabelle5[evidence_quote],MATCH(1,(Tabelle5[company_id]=Tabelle18[[#This Row],[company_id]])*(Tabelle5[value_id]=Tabelle18[[#This Row],[value_id]])*(Tabelle5[doc_id]=Tabelle18[[#This Row],[doc_id_strongest]]),0)),""))</f>
        <v/>
      </c>
    </row>
    <row r="318" spans="1:8" x14ac:dyDescent="0.25">
      <c r="A318" s="36">
        <v>18</v>
      </c>
      <c r="B318" t="s">
        <v>125</v>
      </c>
      <c r="C318" s="4">
        <f>IF(Tabelle18[[#This Row],[binding_level_company]]&gt;=1,1,0)</f>
        <v>0</v>
      </c>
      <c r="D318" s="4">
        <f>IFERROR(_xlfn.MAXIFS(Tabelle5[binding_level],Tabelle5[company_id],Tabelle18[[#This Row],[company_id]],Tabelle5[value_id],Tabelle18[[#This Row],[value_id]],Tabelle5[value_present],1),0)</f>
        <v>0</v>
      </c>
      <c r="E318" s="4">
        <f>IFERROR(_xlfn.MAXIFS(Tabelle5[value_points],Tabelle5[company_id],Tabelle18[[#This Row],[company_id]],Tabelle5[value_id],Tabelle18[[#This Row],[value_id]]),0)</f>
        <v>0</v>
      </c>
      <c r="F318" t="str">
        <f>IF(Tabelle18[[#This Row],[value_points_company]]=0,"",IFERROR(_xlfn.MINIFS(Tabelle5[doc_id],Tabelle5[company_id],Tabelle18[[#This Row],[company_id]],Tabelle5[value_id],Tabelle18[[#This Row],[value_id]],Tabelle5[value_points],Tabelle18[[#This Row],[value_points_company]]),""))</f>
        <v/>
      </c>
      <c r="G318" t="str" cm="1">
        <f t="array" ref="G318">IF(Tabelle18[[#This Row],[doc_id_strongest]]="","",IFERROR(INDEX(Tabelle5[evidence_location],MATCH(1,(Tabelle5[company_id]=Tabelle18[[#This Row],[company_id]])*(Tabelle5[value_id]=Tabelle18[[#This Row],[value_id]])*(Tabelle5[doc_id]=Tabelle18[[#This Row],[doc_id_strongest]]),0)),""))</f>
        <v/>
      </c>
      <c r="H318" s="33" t="str" cm="1">
        <f t="array" ref="H318">IF(Tabelle18[[#This Row],[doc_id_strongest]]="","",IFERROR(INDEX(Tabelle5[evidence_quote],MATCH(1,(Tabelle5[company_id]=Tabelle18[[#This Row],[company_id]])*(Tabelle5[value_id]=Tabelle18[[#This Row],[value_id]])*(Tabelle5[doc_id]=Tabelle18[[#This Row],[doc_id_strongest]]),0)),""))</f>
        <v/>
      </c>
    </row>
    <row r="319" spans="1:8" x14ac:dyDescent="0.25">
      <c r="A319" s="36">
        <v>18</v>
      </c>
      <c r="B319" t="s">
        <v>132</v>
      </c>
      <c r="C319" s="4">
        <f>IF(Tabelle18[[#This Row],[binding_level_company]]&gt;=1,1,0)</f>
        <v>0</v>
      </c>
      <c r="D319" s="4">
        <f>IFERROR(_xlfn.MAXIFS(Tabelle5[binding_level],Tabelle5[company_id],Tabelle18[[#This Row],[company_id]],Tabelle5[value_id],Tabelle18[[#This Row],[value_id]],Tabelle5[value_present],1),0)</f>
        <v>0</v>
      </c>
      <c r="E319" s="4">
        <f>IFERROR(_xlfn.MAXIFS(Tabelle5[value_points],Tabelle5[company_id],Tabelle18[[#This Row],[company_id]],Tabelle5[value_id],Tabelle18[[#This Row],[value_id]]),0)</f>
        <v>0</v>
      </c>
      <c r="F319" t="str">
        <f>IF(Tabelle18[[#This Row],[value_points_company]]=0,"",IFERROR(_xlfn.MINIFS(Tabelle5[doc_id],Tabelle5[company_id],Tabelle18[[#This Row],[company_id]],Tabelle5[value_id],Tabelle18[[#This Row],[value_id]],Tabelle5[value_points],Tabelle18[[#This Row],[value_points_company]]),""))</f>
        <v/>
      </c>
      <c r="G319" t="str" cm="1">
        <f t="array" ref="G319">IF(Tabelle18[[#This Row],[doc_id_strongest]]="","",IFERROR(INDEX(Tabelle5[evidence_location],MATCH(1,(Tabelle5[company_id]=Tabelle18[[#This Row],[company_id]])*(Tabelle5[value_id]=Tabelle18[[#This Row],[value_id]])*(Tabelle5[doc_id]=Tabelle18[[#This Row],[doc_id_strongest]]),0)),""))</f>
        <v/>
      </c>
      <c r="H319" s="33" t="str" cm="1">
        <f t="array" ref="H319">IF(Tabelle18[[#This Row],[doc_id_strongest]]="","",IFERROR(INDEX(Tabelle5[evidence_quote],MATCH(1,(Tabelle5[company_id]=Tabelle18[[#This Row],[company_id]])*(Tabelle5[value_id]=Tabelle18[[#This Row],[value_id]])*(Tabelle5[doc_id]=Tabelle18[[#This Row],[doc_id_strongest]]),0)),""))</f>
        <v/>
      </c>
    </row>
    <row r="320" spans="1:8" x14ac:dyDescent="0.25">
      <c r="A320" s="36">
        <v>18</v>
      </c>
      <c r="B320" t="s">
        <v>140</v>
      </c>
      <c r="C320" s="4">
        <f>IF(Tabelle18[[#This Row],[binding_level_company]]&gt;=1,1,0)</f>
        <v>0</v>
      </c>
      <c r="D320" s="4">
        <f>IFERROR(_xlfn.MAXIFS(Tabelle5[binding_level],Tabelle5[company_id],Tabelle18[[#This Row],[company_id]],Tabelle5[value_id],Tabelle18[[#This Row],[value_id]],Tabelle5[value_present],1),0)</f>
        <v>0</v>
      </c>
      <c r="E320" s="4">
        <f>IFERROR(_xlfn.MAXIFS(Tabelle5[value_points],Tabelle5[company_id],Tabelle18[[#This Row],[company_id]],Tabelle5[value_id],Tabelle18[[#This Row],[value_id]]),0)</f>
        <v>0</v>
      </c>
      <c r="F320" t="str">
        <f>IF(Tabelle18[[#This Row],[value_points_company]]=0,"",IFERROR(_xlfn.MINIFS(Tabelle5[doc_id],Tabelle5[company_id],Tabelle18[[#This Row],[company_id]],Tabelle5[value_id],Tabelle18[[#This Row],[value_id]],Tabelle5[value_points],Tabelle18[[#This Row],[value_points_company]]),""))</f>
        <v/>
      </c>
      <c r="G320" t="str" cm="1">
        <f t="array" ref="G320">IF(Tabelle18[[#This Row],[doc_id_strongest]]="","",IFERROR(INDEX(Tabelle5[evidence_location],MATCH(1,(Tabelle5[company_id]=Tabelle18[[#This Row],[company_id]])*(Tabelle5[value_id]=Tabelle18[[#This Row],[value_id]])*(Tabelle5[doc_id]=Tabelle18[[#This Row],[doc_id_strongest]]),0)),""))</f>
        <v/>
      </c>
      <c r="H320" s="33" t="str" cm="1">
        <f t="array" ref="H320">IF(Tabelle18[[#This Row],[doc_id_strongest]]="","",IFERROR(INDEX(Tabelle5[evidence_quote],MATCH(1,(Tabelle5[company_id]=Tabelle18[[#This Row],[company_id]])*(Tabelle5[value_id]=Tabelle18[[#This Row],[value_id]])*(Tabelle5[doc_id]=Tabelle18[[#This Row],[doc_id_strongest]]),0)),""))</f>
        <v/>
      </c>
    </row>
    <row r="321" spans="1:8" x14ac:dyDescent="0.25">
      <c r="A321" s="36">
        <v>18</v>
      </c>
      <c r="B321" t="s">
        <v>147</v>
      </c>
      <c r="C321" s="4">
        <f>IF(Tabelle18[[#This Row],[binding_level_company]]&gt;=1,1,0)</f>
        <v>0</v>
      </c>
      <c r="D321" s="4">
        <f>IFERROR(_xlfn.MAXIFS(Tabelle5[binding_level],Tabelle5[company_id],Tabelle18[[#This Row],[company_id]],Tabelle5[value_id],Tabelle18[[#This Row],[value_id]],Tabelle5[value_present],1),0)</f>
        <v>0</v>
      </c>
      <c r="E321" s="4">
        <f>IFERROR(_xlfn.MAXIFS(Tabelle5[value_points],Tabelle5[company_id],Tabelle18[[#This Row],[company_id]],Tabelle5[value_id],Tabelle18[[#This Row],[value_id]]),0)</f>
        <v>0</v>
      </c>
      <c r="F321" t="str">
        <f>IF(Tabelle18[[#This Row],[value_points_company]]=0,"",IFERROR(_xlfn.MINIFS(Tabelle5[doc_id],Tabelle5[company_id],Tabelle18[[#This Row],[company_id]],Tabelle5[value_id],Tabelle18[[#This Row],[value_id]],Tabelle5[value_points],Tabelle18[[#This Row],[value_points_company]]),""))</f>
        <v/>
      </c>
      <c r="G321" t="str" cm="1">
        <f t="array" ref="G321">IF(Tabelle18[[#This Row],[doc_id_strongest]]="","",IFERROR(INDEX(Tabelle5[evidence_location],MATCH(1,(Tabelle5[company_id]=Tabelle18[[#This Row],[company_id]])*(Tabelle5[value_id]=Tabelle18[[#This Row],[value_id]])*(Tabelle5[doc_id]=Tabelle18[[#This Row],[doc_id_strongest]]),0)),""))</f>
        <v/>
      </c>
      <c r="H321" s="33" t="str" cm="1">
        <f t="array" ref="H321">IF(Tabelle18[[#This Row],[doc_id_strongest]]="","",IFERROR(INDEX(Tabelle5[evidence_quote],MATCH(1,(Tabelle5[company_id]=Tabelle18[[#This Row],[company_id]])*(Tabelle5[value_id]=Tabelle18[[#This Row],[value_id]])*(Tabelle5[doc_id]=Tabelle18[[#This Row],[doc_id_strongest]]),0)),""))</f>
        <v/>
      </c>
    </row>
    <row r="322" spans="1:8" x14ac:dyDescent="0.25">
      <c r="A322" s="36">
        <v>18</v>
      </c>
      <c r="B322" t="s">
        <v>154</v>
      </c>
      <c r="C322" s="4">
        <f>IF(Tabelle18[[#This Row],[binding_level_company]]&gt;=1,1,0)</f>
        <v>0</v>
      </c>
      <c r="D322" s="4">
        <f>IFERROR(_xlfn.MAXIFS(Tabelle5[binding_level],Tabelle5[company_id],Tabelle18[[#This Row],[company_id]],Tabelle5[value_id],Tabelle18[[#This Row],[value_id]],Tabelle5[value_present],1),0)</f>
        <v>0</v>
      </c>
      <c r="E322" s="4">
        <f>IFERROR(_xlfn.MAXIFS(Tabelle5[value_points],Tabelle5[company_id],Tabelle18[[#This Row],[company_id]],Tabelle5[value_id],Tabelle18[[#This Row],[value_id]]),0)</f>
        <v>0</v>
      </c>
      <c r="F322" t="str">
        <f>IF(Tabelle18[[#This Row],[value_points_company]]=0,"",IFERROR(_xlfn.MINIFS(Tabelle5[doc_id],Tabelle5[company_id],Tabelle18[[#This Row],[company_id]],Tabelle5[value_id],Tabelle18[[#This Row],[value_id]],Tabelle5[value_points],Tabelle18[[#This Row],[value_points_company]]),""))</f>
        <v/>
      </c>
      <c r="G322" t="str" cm="1">
        <f t="array" ref="G322">IF(Tabelle18[[#This Row],[doc_id_strongest]]="","",IFERROR(INDEX(Tabelle5[evidence_location],MATCH(1,(Tabelle5[company_id]=Tabelle18[[#This Row],[company_id]])*(Tabelle5[value_id]=Tabelle18[[#This Row],[value_id]])*(Tabelle5[doc_id]=Tabelle18[[#This Row],[doc_id_strongest]]),0)),""))</f>
        <v/>
      </c>
      <c r="H322" s="33" t="str" cm="1">
        <f t="array" ref="H322">IF(Tabelle18[[#This Row],[doc_id_strongest]]="","",IFERROR(INDEX(Tabelle5[evidence_quote],MATCH(1,(Tabelle5[company_id]=Tabelle18[[#This Row],[company_id]])*(Tabelle5[value_id]=Tabelle18[[#This Row],[value_id]])*(Tabelle5[doc_id]=Tabelle18[[#This Row],[doc_id_strongest]]),0)),""))</f>
        <v/>
      </c>
    </row>
    <row r="323" spans="1:8" x14ac:dyDescent="0.25">
      <c r="A323" s="36">
        <v>18</v>
      </c>
      <c r="B323" t="s">
        <v>161</v>
      </c>
      <c r="C323" s="4">
        <f>IF(Tabelle18[[#This Row],[binding_level_company]]&gt;=1,1,0)</f>
        <v>0</v>
      </c>
      <c r="D323" s="4">
        <f>IFERROR(_xlfn.MAXIFS(Tabelle5[binding_level],Tabelle5[company_id],Tabelle18[[#This Row],[company_id]],Tabelle5[value_id],Tabelle18[[#This Row],[value_id]],Tabelle5[value_present],1),0)</f>
        <v>0</v>
      </c>
      <c r="E323" s="4">
        <f>IFERROR(_xlfn.MAXIFS(Tabelle5[value_points],Tabelle5[company_id],Tabelle18[[#This Row],[company_id]],Tabelle5[value_id],Tabelle18[[#This Row],[value_id]]),0)</f>
        <v>0</v>
      </c>
      <c r="F323" t="str">
        <f>IF(Tabelle18[[#This Row],[value_points_company]]=0,"",IFERROR(_xlfn.MINIFS(Tabelle5[doc_id],Tabelle5[company_id],Tabelle18[[#This Row],[company_id]],Tabelle5[value_id],Tabelle18[[#This Row],[value_id]],Tabelle5[value_points],Tabelle18[[#This Row],[value_points_company]]),""))</f>
        <v/>
      </c>
      <c r="G323" t="str" cm="1">
        <f t="array" ref="G323">IF(Tabelle18[[#This Row],[doc_id_strongest]]="","",IFERROR(INDEX(Tabelle5[evidence_location],MATCH(1,(Tabelle5[company_id]=Tabelle18[[#This Row],[company_id]])*(Tabelle5[value_id]=Tabelle18[[#This Row],[value_id]])*(Tabelle5[doc_id]=Tabelle18[[#This Row],[doc_id_strongest]]),0)),""))</f>
        <v/>
      </c>
      <c r="H323" s="33" t="str" cm="1">
        <f t="array" ref="H323">IF(Tabelle18[[#This Row],[doc_id_strongest]]="","",IFERROR(INDEX(Tabelle5[evidence_quote],MATCH(1,(Tabelle5[company_id]=Tabelle18[[#This Row],[company_id]])*(Tabelle5[value_id]=Tabelle18[[#This Row],[value_id]])*(Tabelle5[doc_id]=Tabelle18[[#This Row],[doc_id_strongest]]),0)),""))</f>
        <v/>
      </c>
    </row>
    <row r="324" spans="1:8" x14ac:dyDescent="0.25">
      <c r="A324" s="36">
        <v>18</v>
      </c>
      <c r="B324" t="s">
        <v>166</v>
      </c>
      <c r="C324" s="4">
        <f>IF(Tabelle18[[#This Row],[binding_level_company]]&gt;=1,1,0)</f>
        <v>0</v>
      </c>
      <c r="D324" s="4">
        <f>IFERROR(_xlfn.MAXIFS(Tabelle5[binding_level],Tabelle5[company_id],Tabelle18[[#This Row],[company_id]],Tabelle5[value_id],Tabelle18[[#This Row],[value_id]],Tabelle5[value_present],1),0)</f>
        <v>0</v>
      </c>
      <c r="E324" s="4">
        <f>IFERROR(_xlfn.MAXIFS(Tabelle5[value_points],Tabelle5[company_id],Tabelle18[[#This Row],[company_id]],Tabelle5[value_id],Tabelle18[[#This Row],[value_id]]),0)</f>
        <v>0</v>
      </c>
      <c r="F324" t="str">
        <f>IF(Tabelle18[[#This Row],[value_points_company]]=0,"",IFERROR(_xlfn.MINIFS(Tabelle5[doc_id],Tabelle5[company_id],Tabelle18[[#This Row],[company_id]],Tabelle5[value_id],Tabelle18[[#This Row],[value_id]],Tabelle5[value_points],Tabelle18[[#This Row],[value_points_company]]),""))</f>
        <v/>
      </c>
      <c r="G324" t="str" cm="1">
        <f t="array" ref="G324">IF(Tabelle18[[#This Row],[doc_id_strongest]]="","",IFERROR(INDEX(Tabelle5[evidence_location],MATCH(1,(Tabelle5[company_id]=Tabelle18[[#This Row],[company_id]])*(Tabelle5[value_id]=Tabelle18[[#This Row],[value_id]])*(Tabelle5[doc_id]=Tabelle18[[#This Row],[doc_id_strongest]]),0)),""))</f>
        <v/>
      </c>
      <c r="H324" s="33" t="str" cm="1">
        <f t="array" ref="H324">IF(Tabelle18[[#This Row],[doc_id_strongest]]="","",IFERROR(INDEX(Tabelle5[evidence_quote],MATCH(1,(Tabelle5[company_id]=Tabelle18[[#This Row],[company_id]])*(Tabelle5[value_id]=Tabelle18[[#This Row],[value_id]])*(Tabelle5[doc_id]=Tabelle18[[#This Row],[doc_id_strongest]]),0)),""))</f>
        <v/>
      </c>
    </row>
    <row r="325" spans="1:8" ht="15.75" thickBot="1" x14ac:dyDescent="0.3">
      <c r="A325" s="37">
        <v>18</v>
      </c>
      <c r="B325" s="30" t="s">
        <v>174</v>
      </c>
      <c r="C325" s="49">
        <f>IF(Tabelle18[[#This Row],[binding_level_company]]&gt;=1,1,0)</f>
        <v>0</v>
      </c>
      <c r="D325" s="49">
        <f>IFERROR(_xlfn.MAXIFS(Tabelle5[binding_level],Tabelle5[company_id],Tabelle18[[#This Row],[company_id]],Tabelle5[value_id],Tabelle18[[#This Row],[value_id]],Tabelle5[value_present],1),0)</f>
        <v>0</v>
      </c>
      <c r="E325" s="49">
        <f>IFERROR(_xlfn.MAXIFS(Tabelle5[value_points],Tabelle5[company_id],Tabelle18[[#This Row],[company_id]],Tabelle5[value_id],Tabelle18[[#This Row],[value_id]]),0)</f>
        <v>0</v>
      </c>
      <c r="F325" s="30" t="str">
        <f>IF(Tabelle18[[#This Row],[value_points_company]]=0,"",IFERROR(_xlfn.MINIFS(Tabelle5[doc_id],Tabelle5[company_id],Tabelle18[[#This Row],[company_id]],Tabelle5[value_id],Tabelle18[[#This Row],[value_id]],Tabelle5[value_points],Tabelle18[[#This Row],[value_points_company]]),""))</f>
        <v/>
      </c>
      <c r="G325" s="30" t="str" cm="1">
        <f t="array" ref="G325">IF(Tabelle18[[#This Row],[doc_id_strongest]]="","",IFERROR(INDEX(Tabelle5[evidence_location],MATCH(1,(Tabelle5[company_id]=Tabelle18[[#This Row],[company_id]])*(Tabelle5[value_id]=Tabelle18[[#This Row],[value_id]])*(Tabelle5[doc_id]=Tabelle18[[#This Row],[doc_id_strongest]]),0)),""))</f>
        <v/>
      </c>
      <c r="H325" s="34" t="str" cm="1">
        <f t="array" ref="H325">IF(Tabelle18[[#This Row],[doc_id_strongest]]="","",IFERROR(INDEX(Tabelle5[evidence_quote],MATCH(1,(Tabelle5[company_id]=Tabelle18[[#This Row],[company_id]])*(Tabelle5[value_id]=Tabelle18[[#This Row],[value_id]])*(Tabelle5[doc_id]=Tabelle18[[#This Row],[doc_id_strongest]]),0)),""))</f>
        <v/>
      </c>
    </row>
    <row r="326" spans="1:8" x14ac:dyDescent="0.25">
      <c r="A326" s="35">
        <v>19</v>
      </c>
      <c r="B326" s="22" t="s">
        <v>53</v>
      </c>
      <c r="C326" s="48">
        <f>IF(Tabelle18[[#This Row],[binding_level_company]]&gt;=1,1,0)</f>
        <v>1</v>
      </c>
      <c r="D326" s="48">
        <f>IFERROR(_xlfn.MAXIFS(Tabelle5[binding_level],Tabelle5[company_id],Tabelle18[[#This Row],[company_id]],Tabelle5[value_id],Tabelle18[[#This Row],[value_id]],Tabelle5[value_present],1),0)</f>
        <v>3</v>
      </c>
      <c r="E326" s="48">
        <f>IFERROR(_xlfn.MAXIFS(Tabelle5[value_points],Tabelle5[company_id],Tabelle18[[#This Row],[company_id]],Tabelle5[value_id],Tabelle18[[#This Row],[value_id]]),0)</f>
        <v>3</v>
      </c>
      <c r="F326" s="22">
        <f>IF(Tabelle18[[#This Row],[value_points_company]]=0,"",IFERROR(_xlfn.MINIFS(Tabelle5[doc_id],Tabelle5[company_id],Tabelle18[[#This Row],[company_id]],Tabelle5[value_id],Tabelle18[[#This Row],[value_id]],Tabelle5[value_points],Tabelle18[[#This Row],[value_points_company]]),""))</f>
        <v>113</v>
      </c>
      <c r="G326" s="22" t="str" cm="1">
        <f t="array" ref="G326">IF(Tabelle18[[#This Row],[doc_id_strongest]]="","",IFERROR(INDEX(Tabelle5[evidence_location],MATCH(1,(Tabelle5[company_id]=Tabelle18[[#This Row],[company_id]])*(Tabelle5[value_id]=Tabelle18[[#This Row],[value_id]])*(Tabelle5[doc_id]=Tabelle18[[#This Row],[doc_id_strongest]]),0)),""))</f>
        <v>S. 8, DIGITAL COMPETENCE; S. 9, DIGITAL PARTICIPATION</v>
      </c>
      <c r="H326" s="32" t="str" cm="1">
        <f t="array" ref="H326">IF(Tabelle18[[#This Row],[doc_id_strongest]]="","",IFERROR(INDEX(Tabelle5[evidence_quote],MATCH(1,(Tabelle5[company_id]=Tabelle18[[#This Row],[company_id]])*(Tabelle5[value_id]=Tabelle18[[#This Row],[value_id]])*(Tabelle5[doc_id]=Tabelle18[[#This Row],[doc_id_strongest]]),0)),""))</f>
        <v>“critically examining and evaluating its results”; “humans stay in control of critical decisions”</v>
      </c>
    </row>
    <row r="327" spans="1:8" x14ac:dyDescent="0.25">
      <c r="A327" s="36">
        <v>19</v>
      </c>
      <c r="B327" t="s">
        <v>61</v>
      </c>
      <c r="C327" s="4">
        <f>IF(Tabelle18[[#This Row],[binding_level_company]]&gt;=1,1,0)</f>
        <v>1</v>
      </c>
      <c r="D327" s="4">
        <f>IFERROR(_xlfn.MAXIFS(Tabelle5[binding_level],Tabelle5[company_id],Tabelle18[[#This Row],[company_id]],Tabelle5[value_id],Tabelle18[[#This Row],[value_id]],Tabelle5[value_present],1),0)</f>
        <v>3</v>
      </c>
      <c r="E327" s="4">
        <f>IFERROR(_xlfn.MAXIFS(Tabelle5[value_points],Tabelle5[company_id],Tabelle18[[#This Row],[company_id]],Tabelle5[value_id],Tabelle18[[#This Row],[value_id]]),0)</f>
        <v>3</v>
      </c>
      <c r="F327">
        <f>IF(Tabelle18[[#This Row],[value_points_company]]=0,"",IFERROR(_xlfn.MINIFS(Tabelle5[doc_id],Tabelle5[company_id],Tabelle18[[#This Row],[company_id]],Tabelle5[value_id],Tabelle18[[#This Row],[value_id]],Tabelle5[value_points],Tabelle18[[#This Row],[value_points_company]]),""))</f>
        <v>113</v>
      </c>
      <c r="G327" t="str" cm="1">
        <f t="array" ref="G327">IF(Tabelle18[[#This Row],[doc_id_strongest]]="","",IFERROR(INDEX(Tabelle5[evidence_location],MATCH(1,(Tabelle5[company_id]=Tabelle18[[#This Row],[company_id]])*(Tabelle5[value_id]=Tabelle18[[#This Row],[value_id]])*(Tabelle5[doc_id]=Tabelle18[[#This Row],[doc_id_strongest]]),0)),""))</f>
        <v>S. 10, CUSTOMER-CENTRIC INNOVATION</v>
      </c>
      <c r="H327" s="33" t="str" cm="1">
        <f t="array" ref="H327">IF(Tabelle18[[#This Row],[doc_id_strongest]]="","",IFERROR(INDEX(Tabelle5[evidence_quote],MATCH(1,(Tabelle5[company_id]=Tabelle18[[#This Row],[company_id]])*(Tabelle5[value_id]=Tabelle18[[#This Row],[value_id]])*(Tabelle5[doc_id]=Tabelle18[[#This Row],[doc_id_strongest]]),0)),""))</f>
        <v>“assigned by name”</v>
      </c>
    </row>
    <row r="328" spans="1:8" x14ac:dyDescent="0.25">
      <c r="A328" s="36">
        <v>19</v>
      </c>
      <c r="B328" t="s">
        <v>69</v>
      </c>
      <c r="C328" s="4">
        <f>IF(Tabelle18[[#This Row],[binding_level_company]]&gt;=1,1,0)</f>
        <v>1</v>
      </c>
      <c r="D328" s="4">
        <f>IFERROR(_xlfn.MAXIFS(Tabelle5[binding_level],Tabelle5[company_id],Tabelle18[[#This Row],[company_id]],Tabelle5[value_id],Tabelle18[[#This Row],[value_id]],Tabelle5[value_present],1),0)</f>
        <v>2</v>
      </c>
      <c r="E328" s="4">
        <f>IFERROR(_xlfn.MAXIFS(Tabelle5[value_points],Tabelle5[company_id],Tabelle18[[#This Row],[company_id]],Tabelle5[value_id],Tabelle18[[#This Row],[value_id]]),0)</f>
        <v>2</v>
      </c>
      <c r="F328">
        <f>IF(Tabelle18[[#This Row],[value_points_company]]=0,"",IFERROR(_xlfn.MINIFS(Tabelle5[doc_id],Tabelle5[company_id],Tabelle18[[#This Row],[company_id]],Tabelle5[value_id],Tabelle18[[#This Row],[value_id]],Tabelle5[value_points],Tabelle18[[#This Row],[value_points_company]]),""))</f>
        <v>113</v>
      </c>
      <c r="G328" t="str" cm="1">
        <f t="array" ref="G328">IF(Tabelle18[[#This Row],[doc_id_strongest]]="","",IFERROR(INDEX(Tabelle5[evidence_location],MATCH(1,(Tabelle5[company_id]=Tabelle18[[#This Row],[company_id]])*(Tabelle5[value_id]=Tabelle18[[#This Row],[value_id]])*(Tabelle5[doc_id]=Tabelle18[[#This Row],[doc_id_strongest]]),0)),""))</f>
        <v>S. 11, FAIRNESS AND TRANSPARENCY</v>
      </c>
      <c r="H328" s="33" t="str" cm="1">
        <f t="array" ref="H328">IF(Tabelle18[[#This Row],[doc_id_strongest]]="","",IFERROR(INDEX(Tabelle5[evidence_quote],MATCH(1,(Tabelle5[company_id]=Tabelle18[[#This Row],[company_id]])*(Tabelle5[value_id]=Tabelle18[[#This Row],[value_id]])*(Tabelle5[doc_id]=Tabelle18[[#This Row],[doc_id_strongest]]),0)),""))</f>
        <v>“clearly label AI-generated content”</v>
      </c>
    </row>
    <row r="329" spans="1:8" x14ac:dyDescent="0.25">
      <c r="A329" s="36">
        <v>19</v>
      </c>
      <c r="B329" t="s">
        <v>76</v>
      </c>
      <c r="C329" s="4">
        <f>IF(Tabelle18[[#This Row],[binding_level_company]]&gt;=1,1,0)</f>
        <v>0</v>
      </c>
      <c r="D329" s="4">
        <f>IFERROR(_xlfn.MAXIFS(Tabelle5[binding_level],Tabelle5[company_id],Tabelle18[[#This Row],[company_id]],Tabelle5[value_id],Tabelle18[[#This Row],[value_id]],Tabelle5[value_present],1),0)</f>
        <v>0</v>
      </c>
      <c r="E329" s="4">
        <f>IFERROR(_xlfn.MAXIFS(Tabelle5[value_points],Tabelle5[company_id],Tabelle18[[#This Row],[company_id]],Tabelle5[value_id],Tabelle18[[#This Row],[value_id]]),0)</f>
        <v>0</v>
      </c>
      <c r="F329" t="str">
        <f>IF(Tabelle18[[#This Row],[value_points_company]]=0,"",IFERROR(_xlfn.MINIFS(Tabelle5[doc_id],Tabelle5[company_id],Tabelle18[[#This Row],[company_id]],Tabelle5[value_id],Tabelle18[[#This Row],[value_id]],Tabelle5[value_points],Tabelle18[[#This Row],[value_points_company]]),""))</f>
        <v/>
      </c>
      <c r="G329" t="str" cm="1">
        <f t="array" ref="G329">IF(Tabelle18[[#This Row],[doc_id_strongest]]="","",IFERROR(INDEX(Tabelle5[evidence_location],MATCH(1,(Tabelle5[company_id]=Tabelle18[[#This Row],[company_id]])*(Tabelle5[value_id]=Tabelle18[[#This Row],[value_id]])*(Tabelle5[doc_id]=Tabelle18[[#This Row],[doc_id_strongest]]),0)),""))</f>
        <v/>
      </c>
      <c r="H329" s="33" t="str" cm="1">
        <f t="array" ref="H329">IF(Tabelle18[[#This Row],[doc_id_strongest]]="","",IFERROR(INDEX(Tabelle5[evidence_quote],MATCH(1,(Tabelle5[company_id]=Tabelle18[[#This Row],[company_id]])*(Tabelle5[value_id]=Tabelle18[[#This Row],[value_id]])*(Tabelle5[doc_id]=Tabelle18[[#This Row],[doc_id_strongest]]),0)),""))</f>
        <v/>
      </c>
    </row>
    <row r="330" spans="1:8" x14ac:dyDescent="0.25">
      <c r="A330" s="36">
        <v>19</v>
      </c>
      <c r="B330" t="s">
        <v>83</v>
      </c>
      <c r="C330" s="4">
        <f>IF(Tabelle18[[#This Row],[binding_level_company]]&gt;=1,1,0)</f>
        <v>1</v>
      </c>
      <c r="D330" s="4">
        <f>IFERROR(_xlfn.MAXIFS(Tabelle5[binding_level],Tabelle5[company_id],Tabelle18[[#This Row],[company_id]],Tabelle5[value_id],Tabelle18[[#This Row],[value_id]],Tabelle5[value_present],1),0)</f>
        <v>2</v>
      </c>
      <c r="E330" s="4">
        <f>IFERROR(_xlfn.MAXIFS(Tabelle5[value_points],Tabelle5[company_id],Tabelle18[[#This Row],[company_id]],Tabelle5[value_id],Tabelle18[[#This Row],[value_id]]),0)</f>
        <v>2</v>
      </c>
      <c r="F330">
        <f>IF(Tabelle18[[#This Row],[value_points_company]]=0,"",IFERROR(_xlfn.MINIFS(Tabelle5[doc_id],Tabelle5[company_id],Tabelle18[[#This Row],[company_id]],Tabelle5[value_id],Tabelle18[[#This Row],[value_id]],Tabelle5[value_points],Tabelle18[[#This Row],[value_points_company]]),""))</f>
        <v>113</v>
      </c>
      <c r="G330" t="str" cm="1">
        <f t="array" ref="G330">IF(Tabelle18[[#This Row],[doc_id_strongest]]="","",IFERROR(INDEX(Tabelle5[evidence_location],MATCH(1,(Tabelle5[company_id]=Tabelle18[[#This Row],[company_id]])*(Tabelle5[value_id]=Tabelle18[[#This Row],[value_id]])*(Tabelle5[doc_id]=Tabelle18[[#This Row],[doc_id_strongest]]),0)),""))</f>
        <v>S. 11, FAIRNESS AND TRANSPARENCY</v>
      </c>
      <c r="H330" s="33" t="str" cm="1">
        <f t="array" ref="H330">IF(Tabelle18[[#This Row],[doc_id_strongest]]="","",IFERROR(INDEX(Tabelle5[evidence_quote],MATCH(1,(Tabelle5[company_id]=Tabelle18[[#This Row],[company_id]])*(Tabelle5[value_id]=Tabelle18[[#This Row],[value_id]])*(Tabelle5[doc_id]=Tabelle18[[#This Row],[doc_id_strongest]]),0)),""))</f>
        <v>“strictly prohibited”</v>
      </c>
    </row>
    <row r="331" spans="1:8" x14ac:dyDescent="0.25">
      <c r="A331" s="36">
        <v>19</v>
      </c>
      <c r="B331" t="s">
        <v>90</v>
      </c>
      <c r="C331" s="4">
        <f>IF(Tabelle18[[#This Row],[binding_level_company]]&gt;=1,1,0)</f>
        <v>1</v>
      </c>
      <c r="D331" s="4">
        <f>IFERROR(_xlfn.MAXIFS(Tabelle5[binding_level],Tabelle5[company_id],Tabelle18[[#This Row],[company_id]],Tabelle5[value_id],Tabelle18[[#This Row],[value_id]],Tabelle5[value_present],1),0)</f>
        <v>3</v>
      </c>
      <c r="E331" s="4">
        <f>IFERROR(_xlfn.MAXIFS(Tabelle5[value_points],Tabelle5[company_id],Tabelle18[[#This Row],[company_id]],Tabelle5[value_id],Tabelle18[[#This Row],[value_id]]),0)</f>
        <v>3</v>
      </c>
      <c r="F331">
        <f>IF(Tabelle18[[#This Row],[value_points_company]]=0,"",IFERROR(_xlfn.MINIFS(Tabelle5[doc_id],Tabelle5[company_id],Tabelle18[[#This Row],[company_id]],Tabelle5[value_id],Tabelle18[[#This Row],[value_id]],Tabelle5[value_points],Tabelle18[[#This Row],[value_points_company]]),""))</f>
        <v>113</v>
      </c>
      <c r="G331" t="str" cm="1">
        <f t="array" ref="G331">IF(Tabelle18[[#This Row],[doc_id_strongest]]="","",IFERROR(INDEX(Tabelle5[evidence_location],MATCH(1,(Tabelle5[company_id]=Tabelle18[[#This Row],[company_id]])*(Tabelle5[value_id]=Tabelle18[[#This Row],[value_id]])*(Tabelle5[doc_id]=Tabelle18[[#This Row],[doc_id_strongest]]),0)),""))</f>
        <v>S. 12, DATA PROTECTION...</v>
      </c>
      <c r="H331" s="33" t="str" cm="1">
        <f t="array" ref="H331">IF(Tabelle18[[#This Row],[doc_id_strongest]]="","",IFERROR(INDEX(Tabelle5[evidence_quote],MATCH(1,(Tabelle5[company_id]=Tabelle18[[#This Row],[company_id]])*(Tabelle5[value_id]=Tabelle18[[#This Row],[value_id]])*(Tabelle5[doc_id]=Tabelle18[[#This Row],[doc_id_strongest]]),0)),""))</f>
        <v>“in accordance with applicable data protection laws”; “security and data protection by design”</v>
      </c>
    </row>
    <row r="332" spans="1:8" x14ac:dyDescent="0.25">
      <c r="A332" s="36">
        <v>19</v>
      </c>
      <c r="B332" t="s">
        <v>98</v>
      </c>
      <c r="C332" s="4">
        <f>IF(Tabelle18[[#This Row],[binding_level_company]]&gt;=1,1,0)</f>
        <v>1</v>
      </c>
      <c r="D332" s="4">
        <f>IFERROR(_xlfn.MAXIFS(Tabelle5[binding_level],Tabelle5[company_id],Tabelle18[[#This Row],[company_id]],Tabelle5[value_id],Tabelle18[[#This Row],[value_id]],Tabelle5[value_present],1),0)</f>
        <v>3</v>
      </c>
      <c r="E332" s="4">
        <f>IFERROR(_xlfn.MAXIFS(Tabelle5[value_points],Tabelle5[company_id],Tabelle18[[#This Row],[company_id]],Tabelle5[value_id],Tabelle18[[#This Row],[value_id]]),0)</f>
        <v>3</v>
      </c>
      <c r="F332">
        <f>IF(Tabelle18[[#This Row],[value_points_company]]=0,"",IFERROR(_xlfn.MINIFS(Tabelle5[doc_id],Tabelle5[company_id],Tabelle18[[#This Row],[company_id]],Tabelle5[value_id],Tabelle18[[#This Row],[value_id]],Tabelle5[value_points],Tabelle18[[#This Row],[value_points_company]]),""))</f>
        <v>113</v>
      </c>
      <c r="G332" t="str" cm="1">
        <f t="array" ref="G332">IF(Tabelle18[[#This Row],[doc_id_strongest]]="","",IFERROR(INDEX(Tabelle5[evidence_location],MATCH(1,(Tabelle5[company_id]=Tabelle18[[#This Row],[company_id]])*(Tabelle5[value_id]=Tabelle18[[#This Row],[value_id]])*(Tabelle5[doc_id]=Tabelle18[[#This Row],[doc_id_strongest]]),0)),""))</f>
        <v>S. 12, DATA PROTECTION...</v>
      </c>
      <c r="H332" s="33" t="str" cm="1">
        <f t="array" ref="H332">IF(Tabelle18[[#This Row],[doc_id_strongest]]="","",IFERROR(INDEX(Tabelle5[evidence_quote],MATCH(1,(Tabelle5[company_id]=Tabelle18[[#This Row],[company_id]])*(Tabelle5[value_id]=Tabelle18[[#This Row],[value_id]])*(Tabelle5[doc_id]=Tabelle18[[#This Row],[doc_id_strongest]]),0)),""))</f>
        <v>“protect confidential information”; “continuously monitor our digital systems and AI technologies”</v>
      </c>
    </row>
    <row r="333" spans="1:8" x14ac:dyDescent="0.25">
      <c r="A333" s="36">
        <v>19</v>
      </c>
      <c r="B333" t="s">
        <v>106</v>
      </c>
      <c r="C333" s="4">
        <f>IF(Tabelle18[[#This Row],[binding_level_company]]&gt;=1,1,0)</f>
        <v>1</v>
      </c>
      <c r="D333" s="4">
        <f>IFERROR(_xlfn.MAXIFS(Tabelle5[binding_level],Tabelle5[company_id],Tabelle18[[#This Row],[company_id]],Tabelle5[value_id],Tabelle18[[#This Row],[value_id]],Tabelle5[value_present],1),0)</f>
        <v>2</v>
      </c>
      <c r="E333" s="4">
        <f>IFERROR(_xlfn.MAXIFS(Tabelle5[value_points],Tabelle5[company_id],Tabelle18[[#This Row],[company_id]],Tabelle5[value_id],Tabelle18[[#This Row],[value_id]]),0)</f>
        <v>2</v>
      </c>
      <c r="F333">
        <f>IF(Tabelle18[[#This Row],[value_points_company]]=0,"",IFERROR(_xlfn.MINIFS(Tabelle5[doc_id],Tabelle5[company_id],Tabelle18[[#This Row],[company_id]],Tabelle5[value_id],Tabelle18[[#This Row],[value_id]],Tabelle5[value_points],Tabelle18[[#This Row],[value_points_company]]),""))</f>
        <v>113</v>
      </c>
      <c r="G333" t="str" cm="1">
        <f t="array" ref="G333">IF(Tabelle18[[#This Row],[doc_id_strongest]]="","",IFERROR(INDEX(Tabelle5[evidence_location],MATCH(1,(Tabelle5[company_id]=Tabelle18[[#This Row],[company_id]])*(Tabelle5[value_id]=Tabelle18[[#This Row],[value_id]])*(Tabelle5[doc_id]=Tabelle18[[#This Row],[doc_id_strongest]]),0)),""))</f>
        <v>S. 9, DIGITAL PARTICIPATION</v>
      </c>
      <c r="H333" s="33" t="str" cm="1">
        <f t="array" ref="H333">IF(Tabelle18[[#This Row],[doc_id_strongest]]="","",IFERROR(INDEX(Tabelle5[evidence_quote],MATCH(1,(Tabelle5[company_id]=Tabelle18[[#This Row],[company_id]])*(Tabelle5[value_id]=Tabelle18[[#This Row],[value_id]])*(Tabelle5[doc_id]=Tabelle18[[#This Row],[doc_id_strongest]]),0)),""))</f>
        <v>“humans stay in control of critical decisions”</v>
      </c>
    </row>
    <row r="334" spans="1:8" x14ac:dyDescent="0.25">
      <c r="A334" s="36">
        <v>19</v>
      </c>
      <c r="B334" t="s">
        <v>112</v>
      </c>
      <c r="C334" s="4">
        <f>IF(Tabelle18[[#This Row],[binding_level_company]]&gt;=1,1,0)</f>
        <v>0</v>
      </c>
      <c r="D334" s="4">
        <f>IFERROR(_xlfn.MAXIFS(Tabelle5[binding_level],Tabelle5[company_id],Tabelle18[[#This Row],[company_id]],Tabelle5[value_id],Tabelle18[[#This Row],[value_id]],Tabelle5[value_present],1),0)</f>
        <v>0</v>
      </c>
      <c r="E334" s="4">
        <f>IFERROR(_xlfn.MAXIFS(Tabelle5[value_points],Tabelle5[company_id],Tabelle18[[#This Row],[company_id]],Tabelle5[value_id],Tabelle18[[#This Row],[value_id]]),0)</f>
        <v>0</v>
      </c>
      <c r="F334" t="str">
        <f>IF(Tabelle18[[#This Row],[value_points_company]]=0,"",IFERROR(_xlfn.MINIFS(Tabelle5[doc_id],Tabelle5[company_id],Tabelle18[[#This Row],[company_id]],Tabelle5[value_id],Tabelle18[[#This Row],[value_id]],Tabelle5[value_points],Tabelle18[[#This Row],[value_points_company]]),""))</f>
        <v/>
      </c>
      <c r="G334" t="str" cm="1">
        <f t="array" ref="G334">IF(Tabelle18[[#This Row],[doc_id_strongest]]="","",IFERROR(INDEX(Tabelle5[evidence_location],MATCH(1,(Tabelle5[company_id]=Tabelle18[[#This Row],[company_id]])*(Tabelle5[value_id]=Tabelle18[[#This Row],[value_id]])*(Tabelle5[doc_id]=Tabelle18[[#This Row],[doc_id_strongest]]),0)),""))</f>
        <v/>
      </c>
      <c r="H334" s="33" t="str" cm="1">
        <f t="array" ref="H334">IF(Tabelle18[[#This Row],[doc_id_strongest]]="","",IFERROR(INDEX(Tabelle5[evidence_quote],MATCH(1,(Tabelle5[company_id]=Tabelle18[[#This Row],[company_id]])*(Tabelle5[value_id]=Tabelle18[[#This Row],[value_id]])*(Tabelle5[doc_id]=Tabelle18[[#This Row],[doc_id_strongest]]),0)),""))</f>
        <v/>
      </c>
    </row>
    <row r="335" spans="1:8" x14ac:dyDescent="0.25">
      <c r="A335" s="36">
        <v>19</v>
      </c>
      <c r="B335" t="s">
        <v>118</v>
      </c>
      <c r="C335" s="4">
        <f>IF(Tabelle18[[#This Row],[binding_level_company]]&gt;=1,1,0)</f>
        <v>0</v>
      </c>
      <c r="D335" s="4">
        <f>IFERROR(_xlfn.MAXIFS(Tabelle5[binding_level],Tabelle5[company_id],Tabelle18[[#This Row],[company_id]],Tabelle5[value_id],Tabelle18[[#This Row],[value_id]],Tabelle5[value_present],1),0)</f>
        <v>0</v>
      </c>
      <c r="E335" s="4">
        <f>IFERROR(_xlfn.MAXIFS(Tabelle5[value_points],Tabelle5[company_id],Tabelle18[[#This Row],[company_id]],Tabelle5[value_id],Tabelle18[[#This Row],[value_id]]),0)</f>
        <v>0</v>
      </c>
      <c r="F335" t="str">
        <f>IF(Tabelle18[[#This Row],[value_points_company]]=0,"",IFERROR(_xlfn.MINIFS(Tabelle5[doc_id],Tabelle5[company_id],Tabelle18[[#This Row],[company_id]],Tabelle5[value_id],Tabelle18[[#This Row],[value_id]],Tabelle5[value_points],Tabelle18[[#This Row],[value_points_company]]),""))</f>
        <v/>
      </c>
      <c r="G335" t="str" cm="1">
        <f t="array" ref="G335">IF(Tabelle18[[#This Row],[doc_id_strongest]]="","",IFERROR(INDEX(Tabelle5[evidence_location],MATCH(1,(Tabelle5[company_id]=Tabelle18[[#This Row],[company_id]])*(Tabelle5[value_id]=Tabelle18[[#This Row],[value_id]])*(Tabelle5[doc_id]=Tabelle18[[#This Row],[doc_id_strongest]]),0)),""))</f>
        <v/>
      </c>
      <c r="H335" s="33" t="str" cm="1">
        <f t="array" ref="H335">IF(Tabelle18[[#This Row],[doc_id_strongest]]="","",IFERROR(INDEX(Tabelle5[evidence_quote],MATCH(1,(Tabelle5[company_id]=Tabelle18[[#This Row],[company_id]])*(Tabelle5[value_id]=Tabelle18[[#This Row],[value_id]])*(Tabelle5[doc_id]=Tabelle18[[#This Row],[doc_id_strongest]]),0)),""))</f>
        <v/>
      </c>
    </row>
    <row r="336" spans="1:8" x14ac:dyDescent="0.25">
      <c r="A336" s="36">
        <v>19</v>
      </c>
      <c r="B336" t="s">
        <v>125</v>
      </c>
      <c r="C336" s="4">
        <f>IF(Tabelle18[[#This Row],[binding_level_company]]&gt;=1,1,0)</f>
        <v>1</v>
      </c>
      <c r="D336" s="4">
        <f>IFERROR(_xlfn.MAXIFS(Tabelle5[binding_level],Tabelle5[company_id],Tabelle18[[#This Row],[company_id]],Tabelle5[value_id],Tabelle18[[#This Row],[value_id]],Tabelle5[value_present],1),0)</f>
        <v>1</v>
      </c>
      <c r="E336" s="4">
        <f>IFERROR(_xlfn.MAXIFS(Tabelle5[value_points],Tabelle5[company_id],Tabelle18[[#This Row],[company_id]],Tabelle5[value_id],Tabelle18[[#This Row],[value_id]]),0)</f>
        <v>1</v>
      </c>
      <c r="F336">
        <f>IF(Tabelle18[[#This Row],[value_points_company]]=0,"",IFERROR(_xlfn.MINIFS(Tabelle5[doc_id],Tabelle5[company_id],Tabelle18[[#This Row],[company_id]],Tabelle5[value_id],Tabelle18[[#This Row],[value_id]],Tabelle5[value_points],Tabelle18[[#This Row],[value_points_company]]),""))</f>
        <v>113</v>
      </c>
      <c r="G336" t="str" cm="1">
        <f t="array" ref="G336">IF(Tabelle18[[#This Row],[doc_id_strongest]]="","",IFERROR(INDEX(Tabelle5[evidence_location],MATCH(1,(Tabelle5[company_id]=Tabelle18[[#This Row],[company_id]])*(Tabelle5[value_id]=Tabelle18[[#This Row],[value_id]])*(Tabelle5[doc_id]=Tabelle18[[#This Row],[doc_id_strongest]]),0)),""))</f>
        <v>S. 9, DIGITAL PARTICIPATION</v>
      </c>
      <c r="H336" s="33" t="str" cm="1">
        <f t="array" ref="H336">IF(Tabelle18[[#This Row],[doc_id_strongest]]="","",IFERROR(INDEX(Tabelle5[evidence_quote],MATCH(1,(Tabelle5[company_id]=Tabelle18[[#This Row],[company_id]])*(Tabelle5[value_id]=Tabelle18[[#This Row],[value_id]])*(Tabelle5[doc_id]=Tabelle18[[#This Row],[doc_id_strongest]]),0)),""))</f>
        <v>“help to overcome language barriers”</v>
      </c>
    </row>
    <row r="337" spans="1:8" x14ac:dyDescent="0.25">
      <c r="A337" s="36">
        <v>19</v>
      </c>
      <c r="B337" t="s">
        <v>132</v>
      </c>
      <c r="C337" s="4">
        <f>IF(Tabelle18[[#This Row],[binding_level_company]]&gt;=1,1,0)</f>
        <v>1</v>
      </c>
      <c r="D337" s="4">
        <f>IFERROR(_xlfn.MAXIFS(Tabelle5[binding_level],Tabelle5[company_id],Tabelle18[[#This Row],[company_id]],Tabelle5[value_id],Tabelle18[[#This Row],[value_id]],Tabelle5[value_present],1),0)</f>
        <v>3</v>
      </c>
      <c r="E337" s="4">
        <f>IFERROR(_xlfn.MAXIFS(Tabelle5[value_points],Tabelle5[company_id],Tabelle18[[#This Row],[company_id]],Tabelle5[value_id],Tabelle18[[#This Row],[value_id]]),0)</f>
        <v>3</v>
      </c>
      <c r="F337">
        <f>IF(Tabelle18[[#This Row],[value_points_company]]=0,"",IFERROR(_xlfn.MINIFS(Tabelle5[doc_id],Tabelle5[company_id],Tabelle18[[#This Row],[company_id]],Tabelle5[value_id],Tabelle18[[#This Row],[value_id]],Tabelle5[value_points],Tabelle18[[#This Row],[value_points_company]]),""))</f>
        <v>113</v>
      </c>
      <c r="G337" t="str" cm="1">
        <f t="array" ref="G337">IF(Tabelle18[[#This Row],[doc_id_strongest]]="","",IFERROR(INDEX(Tabelle5[evidence_location],MATCH(1,(Tabelle5[company_id]=Tabelle18[[#This Row],[company_id]])*(Tabelle5[value_id]=Tabelle18[[#This Row],[value_id]])*(Tabelle5[doc_id]=Tabelle18[[#This Row],[doc_id_strongest]]),0)),""))</f>
        <v>S. 6, SUSTAINABILITY</v>
      </c>
      <c r="H337" s="33" t="str" cm="1">
        <f t="array" ref="H337">IF(Tabelle18[[#This Row],[doc_id_strongest]]="","",IFERROR(INDEX(Tabelle5[evidence_quote],MATCH(1,(Tabelle5[company_id]=Tabelle18[[#This Row],[company_id]])*(Tabelle5[value_id]=Tabelle18[[#This Row],[value_id]])*(Tabelle5[doc_id]=Tabelle18[[#This Row],[doc_id_strongest]]),0)),""))</f>
        <v>“This applies in particular to the responsible use of AI.”; “follow high energy efficiency standards”</v>
      </c>
    </row>
    <row r="338" spans="1:8" x14ac:dyDescent="0.25">
      <c r="A338" s="36">
        <v>19</v>
      </c>
      <c r="B338" t="s">
        <v>140</v>
      </c>
      <c r="C338" s="4">
        <f>IF(Tabelle18[[#This Row],[binding_level_company]]&gt;=1,1,0)</f>
        <v>1</v>
      </c>
      <c r="D338" s="4">
        <f>IFERROR(_xlfn.MAXIFS(Tabelle5[binding_level],Tabelle5[company_id],Tabelle18[[#This Row],[company_id]],Tabelle5[value_id],Tabelle18[[#This Row],[value_id]],Tabelle5[value_present],1),0)</f>
        <v>1</v>
      </c>
      <c r="E338" s="4">
        <f>IFERROR(_xlfn.MAXIFS(Tabelle5[value_points],Tabelle5[company_id],Tabelle18[[#This Row],[company_id]],Tabelle5[value_id],Tabelle18[[#This Row],[value_id]]),0)</f>
        <v>1</v>
      </c>
      <c r="F338">
        <f>IF(Tabelle18[[#This Row],[value_points_company]]=0,"",IFERROR(_xlfn.MINIFS(Tabelle5[doc_id],Tabelle5[company_id],Tabelle18[[#This Row],[company_id]],Tabelle5[value_id],Tabelle18[[#This Row],[value_id]],Tabelle5[value_points],Tabelle18[[#This Row],[value_points_company]]),""))</f>
        <v>113</v>
      </c>
      <c r="G338" t="str" cm="1">
        <f t="array" ref="G338">IF(Tabelle18[[#This Row],[doc_id_strongest]]="","",IFERROR(INDEX(Tabelle5[evidence_location],MATCH(1,(Tabelle5[company_id]=Tabelle18[[#This Row],[company_id]])*(Tabelle5[value_id]=Tabelle18[[#This Row],[value_id]])*(Tabelle5[doc_id]=Tabelle18[[#This Row],[doc_id_strongest]]),0)),""))</f>
        <v>S. 7, ATTRACTIVE, DIGITAL WORKPLACE</v>
      </c>
      <c r="H338" s="33" t="str" cm="1">
        <f t="array" ref="H338">IF(Tabelle18[[#This Row],[doc_id_strongest]]="","",IFERROR(INDEX(Tabelle5[evidence_quote],MATCH(1,(Tabelle5[company_id]=Tabelle18[[#This Row],[company_id]])*(Tabelle5[value_id]=Tabelle18[[#This Row],[value_id]])*(Tabelle5[doc_id]=Tabelle18[[#This Row],[doc_id_strongest]]),0)),""))</f>
        <v>“protect our employees from information overload”</v>
      </c>
    </row>
    <row r="339" spans="1:8" x14ac:dyDescent="0.25">
      <c r="A339" s="36">
        <v>19</v>
      </c>
      <c r="B339" t="s">
        <v>147</v>
      </c>
      <c r="C339" s="4">
        <f>IF(Tabelle18[[#This Row],[binding_level_company]]&gt;=1,1,0)</f>
        <v>1</v>
      </c>
      <c r="D339" s="4">
        <f>IFERROR(_xlfn.MAXIFS(Tabelle5[binding_level],Tabelle5[company_id],Tabelle18[[#This Row],[company_id]],Tabelle5[value_id],Tabelle18[[#This Row],[value_id]],Tabelle5[value_present],1),0)</f>
        <v>3</v>
      </c>
      <c r="E339" s="4">
        <f>IFERROR(_xlfn.MAXIFS(Tabelle5[value_points],Tabelle5[company_id],Tabelle18[[#This Row],[company_id]],Tabelle5[value_id],Tabelle18[[#This Row],[value_id]]),0)</f>
        <v>3</v>
      </c>
      <c r="F339">
        <f>IF(Tabelle18[[#This Row],[value_points_company]]=0,"",IFERROR(_xlfn.MINIFS(Tabelle5[doc_id],Tabelle5[company_id],Tabelle18[[#This Row],[company_id]],Tabelle5[value_id],Tabelle18[[#This Row],[value_id]],Tabelle5[value_points],Tabelle18[[#This Row],[value_points_company]]),""))</f>
        <v>113</v>
      </c>
      <c r="G339" t="str" cm="1">
        <f t="array" ref="G339">IF(Tabelle18[[#This Row],[doc_id_strongest]]="","",IFERROR(INDEX(Tabelle5[evidence_location],MATCH(1,(Tabelle5[company_id]=Tabelle18[[#This Row],[company_id]])*(Tabelle5[value_id]=Tabelle18[[#This Row],[value_id]])*(Tabelle5[doc_id]=Tabelle18[[#This Row],[doc_id_strongest]]),0)),""))</f>
        <v>S. 5, GEA VALUES; S. 12, DATA PROTECTION...</v>
      </c>
      <c r="H339" s="33" t="str" cm="1">
        <f t="array" ref="H339">IF(Tabelle18[[#This Row],[doc_id_strongest]]="","",IFERROR(INDEX(Tabelle5[evidence_quote],MATCH(1,(Tabelle5[company_id]=Tabelle18[[#This Row],[company_id]])*(Tabelle5[value_id]=Tabelle18[[#This Row],[value_id]])*(Tabelle5[doc_id]=Tabelle18[[#This Row],[doc_id_strongest]]),0)),""))</f>
        <v>“We define clear guardrails for the use of AI systems”; “in accordance with applicable data protection laws</v>
      </c>
    </row>
    <row r="340" spans="1:8" x14ac:dyDescent="0.25">
      <c r="A340" s="36">
        <v>19</v>
      </c>
      <c r="B340" t="s">
        <v>154</v>
      </c>
      <c r="C340" s="4">
        <f>IF(Tabelle18[[#This Row],[binding_level_company]]&gt;=1,1,0)</f>
        <v>1</v>
      </c>
      <c r="D340" s="4">
        <f>IFERROR(_xlfn.MAXIFS(Tabelle5[binding_level],Tabelle5[company_id],Tabelle18[[#This Row],[company_id]],Tabelle5[value_id],Tabelle18[[#This Row],[value_id]],Tabelle5[value_present],1),0)</f>
        <v>2</v>
      </c>
      <c r="E340" s="4">
        <f>IFERROR(_xlfn.MAXIFS(Tabelle5[value_points],Tabelle5[company_id],Tabelle18[[#This Row],[company_id]],Tabelle5[value_id],Tabelle18[[#This Row],[value_id]]),0)</f>
        <v>2</v>
      </c>
      <c r="F340">
        <f>IF(Tabelle18[[#This Row],[value_points_company]]=0,"",IFERROR(_xlfn.MINIFS(Tabelle5[doc_id],Tabelle5[company_id],Tabelle18[[#This Row],[company_id]],Tabelle5[value_id],Tabelle18[[#This Row],[value_id]],Tabelle5[value_points],Tabelle18[[#This Row],[value_points_company]]),""))</f>
        <v>113</v>
      </c>
      <c r="G340" t="str" cm="1">
        <f t="array" ref="G340">IF(Tabelle18[[#This Row],[doc_id_strongest]]="","",IFERROR(INDEX(Tabelle5[evidence_location],MATCH(1,(Tabelle5[company_id]=Tabelle18[[#This Row],[company_id]])*(Tabelle5[value_id]=Tabelle18[[#This Row],[value_id]])*(Tabelle5[doc_id]=Tabelle18[[#This Row],[doc_id_strongest]]),0)),""))</f>
        <v>S. 5, GEA VALUES; S. 11, FAIRNESS AND TRANSPARENCY</v>
      </c>
      <c r="H340" s="33" t="str" cm="1">
        <f t="array" ref="H340">IF(Tabelle18[[#This Row],[doc_id_strongest]]="","",IFERROR(INDEX(Tabelle5[evidence_quote],MATCH(1,(Tabelle5[company_id]=Tabelle18[[#This Row],[company_id]])*(Tabelle5[value_id]=Tabelle18[[#This Row],[value_id]])*(Tabelle5[doc_id]=Tabelle18[[#This Row],[doc_id_strongest]]),0)),""))</f>
        <v>“We define clear guardrails for the use of AI systems”; “strictly prohibited”</v>
      </c>
    </row>
    <row r="341" spans="1:8" x14ac:dyDescent="0.25">
      <c r="A341" s="36">
        <v>19</v>
      </c>
      <c r="B341" t="s">
        <v>161</v>
      </c>
      <c r="C341" s="4">
        <f>IF(Tabelle18[[#This Row],[binding_level_company]]&gt;=1,1,0)</f>
        <v>0</v>
      </c>
      <c r="D341" s="4">
        <f>IFERROR(_xlfn.MAXIFS(Tabelle5[binding_level],Tabelle5[company_id],Tabelle18[[#This Row],[company_id]],Tabelle5[value_id],Tabelle18[[#This Row],[value_id]],Tabelle5[value_present],1),0)</f>
        <v>0</v>
      </c>
      <c r="E341" s="4">
        <f>IFERROR(_xlfn.MAXIFS(Tabelle5[value_points],Tabelle5[company_id],Tabelle18[[#This Row],[company_id]],Tabelle5[value_id],Tabelle18[[#This Row],[value_id]]),0)</f>
        <v>0</v>
      </c>
      <c r="F341" t="str">
        <f>IF(Tabelle18[[#This Row],[value_points_company]]=0,"",IFERROR(_xlfn.MINIFS(Tabelle5[doc_id],Tabelle5[company_id],Tabelle18[[#This Row],[company_id]],Tabelle5[value_id],Tabelle18[[#This Row],[value_id]],Tabelle5[value_points],Tabelle18[[#This Row],[value_points_company]]),""))</f>
        <v/>
      </c>
      <c r="G341" t="str" cm="1">
        <f t="array" ref="G341">IF(Tabelle18[[#This Row],[doc_id_strongest]]="","",IFERROR(INDEX(Tabelle5[evidence_location],MATCH(1,(Tabelle5[company_id]=Tabelle18[[#This Row],[company_id]])*(Tabelle5[value_id]=Tabelle18[[#This Row],[value_id]])*(Tabelle5[doc_id]=Tabelle18[[#This Row],[doc_id_strongest]]),0)),""))</f>
        <v/>
      </c>
      <c r="H341" s="33" t="str" cm="1">
        <f t="array" ref="H341">IF(Tabelle18[[#This Row],[doc_id_strongest]]="","",IFERROR(INDEX(Tabelle5[evidence_quote],MATCH(1,(Tabelle5[company_id]=Tabelle18[[#This Row],[company_id]])*(Tabelle5[value_id]=Tabelle18[[#This Row],[value_id]])*(Tabelle5[doc_id]=Tabelle18[[#This Row],[doc_id_strongest]]),0)),""))</f>
        <v/>
      </c>
    </row>
    <row r="342" spans="1:8" x14ac:dyDescent="0.25">
      <c r="A342" s="36">
        <v>19</v>
      </c>
      <c r="B342" t="s">
        <v>166</v>
      </c>
      <c r="C342" s="4">
        <f>IF(Tabelle18[[#This Row],[binding_level_company]]&gt;=1,1,0)</f>
        <v>1</v>
      </c>
      <c r="D342" s="4">
        <f>IFERROR(_xlfn.MAXIFS(Tabelle5[binding_level],Tabelle5[company_id],Tabelle18[[#This Row],[company_id]],Tabelle5[value_id],Tabelle18[[#This Row],[value_id]],Tabelle5[value_present],1),0)</f>
        <v>2</v>
      </c>
      <c r="E342" s="4">
        <f>IFERROR(_xlfn.MAXIFS(Tabelle5[value_points],Tabelle5[company_id],Tabelle18[[#This Row],[company_id]],Tabelle5[value_id],Tabelle18[[#This Row],[value_id]]),0)</f>
        <v>2</v>
      </c>
      <c r="F342">
        <f>IF(Tabelle18[[#This Row],[value_points_company]]=0,"",IFERROR(_xlfn.MINIFS(Tabelle5[doc_id],Tabelle5[company_id],Tabelle18[[#This Row],[company_id]],Tabelle5[value_id],Tabelle18[[#This Row],[value_id]],Tabelle5[value_points],Tabelle18[[#This Row],[value_points_company]]),""))</f>
        <v>113</v>
      </c>
      <c r="G342" t="str" cm="1">
        <f t="array" ref="G342">IF(Tabelle18[[#This Row],[doc_id_strongest]]="","",IFERROR(INDEX(Tabelle5[evidence_location],MATCH(1,(Tabelle5[company_id]=Tabelle18[[#This Row],[company_id]])*(Tabelle5[value_id]=Tabelle18[[#This Row],[value_id]])*(Tabelle5[doc_id]=Tabelle18[[#This Row],[doc_id_strongest]]),0)),""))</f>
        <v>S. 12, DATA PROTECTION...</v>
      </c>
      <c r="H342" s="33" t="str" cm="1">
        <f t="array" ref="H342">IF(Tabelle18[[#This Row],[doc_id_strongest]]="","",IFERROR(INDEX(Tabelle5[evidence_quote],MATCH(1,(Tabelle5[company_id]=Tabelle18[[#This Row],[company_id]])*(Tabelle5[value_id]=Tabelle18[[#This Row],[value_id]])*(Tabelle5[doc_id]=Tabelle18[[#This Row],[doc_id_strongest]]),0)),""))</f>
        <v>“protect confidential information”</v>
      </c>
    </row>
    <row r="343" spans="1:8" ht="15.75" thickBot="1" x14ac:dyDescent="0.3">
      <c r="A343" s="37">
        <v>19</v>
      </c>
      <c r="B343" s="30" t="s">
        <v>174</v>
      </c>
      <c r="C343" s="49">
        <f>IF(Tabelle18[[#This Row],[binding_level_company]]&gt;=1,1,0)</f>
        <v>0</v>
      </c>
      <c r="D343" s="49">
        <f>IFERROR(_xlfn.MAXIFS(Tabelle5[binding_level],Tabelle5[company_id],Tabelle18[[#This Row],[company_id]],Tabelle5[value_id],Tabelle18[[#This Row],[value_id]],Tabelle5[value_present],1),0)</f>
        <v>0</v>
      </c>
      <c r="E343" s="49">
        <f>IFERROR(_xlfn.MAXIFS(Tabelle5[value_points],Tabelle5[company_id],Tabelle18[[#This Row],[company_id]],Tabelle5[value_id],Tabelle18[[#This Row],[value_id]]),0)</f>
        <v>0</v>
      </c>
      <c r="F343" s="30" t="str">
        <f>IF(Tabelle18[[#This Row],[value_points_company]]=0,"",IFERROR(_xlfn.MINIFS(Tabelle5[doc_id],Tabelle5[company_id],Tabelle18[[#This Row],[company_id]],Tabelle5[value_id],Tabelle18[[#This Row],[value_id]],Tabelle5[value_points],Tabelle18[[#This Row],[value_points_company]]),""))</f>
        <v/>
      </c>
      <c r="G343" s="30" t="str" cm="1">
        <f t="array" ref="G343">IF(Tabelle18[[#This Row],[doc_id_strongest]]="","",IFERROR(INDEX(Tabelle5[evidence_location],MATCH(1,(Tabelle5[company_id]=Tabelle18[[#This Row],[company_id]])*(Tabelle5[value_id]=Tabelle18[[#This Row],[value_id]])*(Tabelle5[doc_id]=Tabelle18[[#This Row],[doc_id_strongest]]),0)),""))</f>
        <v/>
      </c>
      <c r="H343" s="34" t="str" cm="1">
        <f t="array" ref="H343">IF(Tabelle18[[#This Row],[doc_id_strongest]]="","",IFERROR(INDEX(Tabelle5[evidence_quote],MATCH(1,(Tabelle5[company_id]=Tabelle18[[#This Row],[company_id]])*(Tabelle5[value_id]=Tabelle18[[#This Row],[value_id]])*(Tabelle5[doc_id]=Tabelle18[[#This Row],[doc_id_strongest]]),0)),""))</f>
        <v/>
      </c>
    </row>
    <row r="344" spans="1:8" x14ac:dyDescent="0.25">
      <c r="A344" s="35">
        <v>20</v>
      </c>
      <c r="B344" s="22" t="s">
        <v>53</v>
      </c>
      <c r="C344" s="48">
        <f>IF(Tabelle18[[#This Row],[binding_level_company]]&gt;=1,1,0)</f>
        <v>0</v>
      </c>
      <c r="D344" s="48">
        <f>IFERROR(_xlfn.MAXIFS(Tabelle5[binding_level],Tabelle5[company_id],Tabelle18[[#This Row],[company_id]],Tabelle5[value_id],Tabelle18[[#This Row],[value_id]],Tabelle5[value_present],1),0)</f>
        <v>0</v>
      </c>
      <c r="E344" s="48">
        <f>IFERROR(_xlfn.MAXIFS(Tabelle5[value_points],Tabelle5[company_id],Tabelle18[[#This Row],[company_id]],Tabelle5[value_id],Tabelle18[[#This Row],[value_id]]),0)</f>
        <v>0</v>
      </c>
      <c r="F344" s="22" t="str">
        <f>IF(Tabelle18[[#This Row],[value_points_company]]=0,"",IFERROR(_xlfn.MINIFS(Tabelle5[doc_id],Tabelle5[company_id],Tabelle18[[#This Row],[company_id]],Tabelle5[value_id],Tabelle18[[#This Row],[value_id]],Tabelle5[value_points],Tabelle18[[#This Row],[value_points_company]]),""))</f>
        <v/>
      </c>
      <c r="G344" s="22" t="str" cm="1">
        <f t="array" ref="G344">IF(Tabelle18[[#This Row],[doc_id_strongest]]="","",IFERROR(INDEX(Tabelle5[evidence_location],MATCH(1,(Tabelle5[company_id]=Tabelle18[[#This Row],[company_id]])*(Tabelle5[value_id]=Tabelle18[[#This Row],[value_id]])*(Tabelle5[doc_id]=Tabelle18[[#This Row],[doc_id_strongest]]),0)),""))</f>
        <v/>
      </c>
      <c r="H344" s="32" t="str" cm="1">
        <f t="array" ref="H344">IF(Tabelle18[[#This Row],[doc_id_strongest]]="","",IFERROR(INDEX(Tabelle5[evidence_quote],MATCH(1,(Tabelle5[company_id]=Tabelle18[[#This Row],[company_id]])*(Tabelle5[value_id]=Tabelle18[[#This Row],[value_id]])*(Tabelle5[doc_id]=Tabelle18[[#This Row],[doc_id_strongest]]),0)),""))</f>
        <v/>
      </c>
    </row>
    <row r="345" spans="1:8" x14ac:dyDescent="0.25">
      <c r="A345" s="36">
        <v>20</v>
      </c>
      <c r="B345" t="s">
        <v>61</v>
      </c>
      <c r="C345" s="4">
        <f>IF(Tabelle18[[#This Row],[binding_level_company]]&gt;=1,1,0)</f>
        <v>0</v>
      </c>
      <c r="D345" s="4">
        <f>IFERROR(_xlfn.MAXIFS(Tabelle5[binding_level],Tabelle5[company_id],Tabelle18[[#This Row],[company_id]],Tabelle5[value_id],Tabelle18[[#This Row],[value_id]],Tabelle5[value_present],1),0)</f>
        <v>0</v>
      </c>
      <c r="E345" s="4">
        <f>IFERROR(_xlfn.MAXIFS(Tabelle5[value_points],Tabelle5[company_id],Tabelle18[[#This Row],[company_id]],Tabelle5[value_id],Tabelle18[[#This Row],[value_id]]),0)</f>
        <v>0</v>
      </c>
      <c r="F345" t="str">
        <f>IF(Tabelle18[[#This Row],[value_points_company]]=0,"",IFERROR(_xlfn.MINIFS(Tabelle5[doc_id],Tabelle5[company_id],Tabelle18[[#This Row],[company_id]],Tabelle5[value_id],Tabelle18[[#This Row],[value_id]],Tabelle5[value_points],Tabelle18[[#This Row],[value_points_company]]),""))</f>
        <v/>
      </c>
      <c r="G345" t="str" cm="1">
        <f t="array" ref="G345">IF(Tabelle18[[#This Row],[doc_id_strongest]]="","",IFERROR(INDEX(Tabelle5[evidence_location],MATCH(1,(Tabelle5[company_id]=Tabelle18[[#This Row],[company_id]])*(Tabelle5[value_id]=Tabelle18[[#This Row],[value_id]])*(Tabelle5[doc_id]=Tabelle18[[#This Row],[doc_id_strongest]]),0)),""))</f>
        <v/>
      </c>
      <c r="H345" s="33" t="str" cm="1">
        <f t="array" ref="H345">IF(Tabelle18[[#This Row],[doc_id_strongest]]="","",IFERROR(INDEX(Tabelle5[evidence_quote],MATCH(1,(Tabelle5[company_id]=Tabelle18[[#This Row],[company_id]])*(Tabelle5[value_id]=Tabelle18[[#This Row],[value_id]])*(Tabelle5[doc_id]=Tabelle18[[#This Row],[doc_id_strongest]]),0)),""))</f>
        <v/>
      </c>
    </row>
    <row r="346" spans="1:8" x14ac:dyDescent="0.25">
      <c r="A346" s="36">
        <v>20</v>
      </c>
      <c r="B346" t="s">
        <v>69</v>
      </c>
      <c r="C346" s="4">
        <f>IF(Tabelle18[[#This Row],[binding_level_company]]&gt;=1,1,0)</f>
        <v>1</v>
      </c>
      <c r="D346" s="4">
        <f>IFERROR(_xlfn.MAXIFS(Tabelle5[binding_level],Tabelle5[company_id],Tabelle18[[#This Row],[company_id]],Tabelle5[value_id],Tabelle18[[#This Row],[value_id]],Tabelle5[value_present],1),0)</f>
        <v>1</v>
      </c>
      <c r="E346" s="4">
        <f>IFERROR(_xlfn.MAXIFS(Tabelle5[value_points],Tabelle5[company_id],Tabelle18[[#This Row],[company_id]],Tabelle5[value_id],Tabelle18[[#This Row],[value_id]]),0)</f>
        <v>1</v>
      </c>
      <c r="F346">
        <f>IF(Tabelle18[[#This Row],[value_points_company]]=0,"",IFERROR(_xlfn.MINIFS(Tabelle5[doc_id],Tabelle5[company_id],Tabelle18[[#This Row],[company_id]],Tabelle5[value_id],Tabelle18[[#This Row],[value_id]],Tabelle5[value_points],Tabelle18[[#This Row],[value_points_company]]),""))</f>
        <v>122</v>
      </c>
      <c r="G346" t="str" cm="1">
        <f t="array" ref="G346">IF(Tabelle18[[#This Row],[doc_id_strongest]]="","",IFERROR(INDEX(Tabelle5[evidence_location],MATCH(1,(Tabelle5[company_id]=Tabelle18[[#This Row],[company_id]])*(Tabelle5[value_id]=Tabelle18[[#This Row],[value_id]])*(Tabelle5[doc_id]=Tabelle18[[#This Row],[doc_id_strongest]]),0)),""))</f>
        <v>S. 3, Abschnitt 2</v>
      </c>
      <c r="H346" s="33" t="str" cm="1">
        <f t="array" ref="H346">IF(Tabelle18[[#This Row],[doc_id_strongest]]="","",IFERROR(INDEX(Tabelle5[evidence_quote],MATCH(1,(Tabelle5[company_id]=Tabelle18[[#This Row],[company_id]])*(Tabelle5[value_id]=Tabelle18[[#This Row],[value_id]])*(Tabelle5[doc_id]=Tabelle18[[#This Row],[doc_id_strongest]]),0)),""))</f>
        <v>“We ensure transparency, security”</v>
      </c>
    </row>
    <row r="347" spans="1:8" x14ac:dyDescent="0.25">
      <c r="A347" s="36">
        <v>20</v>
      </c>
      <c r="B347" t="s">
        <v>76</v>
      </c>
      <c r="C347" s="4">
        <f>IF(Tabelle18[[#This Row],[binding_level_company]]&gt;=1,1,0)</f>
        <v>0</v>
      </c>
      <c r="D347" s="4">
        <f>IFERROR(_xlfn.MAXIFS(Tabelle5[binding_level],Tabelle5[company_id],Tabelle18[[#This Row],[company_id]],Tabelle5[value_id],Tabelle18[[#This Row],[value_id]],Tabelle5[value_present],1),0)</f>
        <v>0</v>
      </c>
      <c r="E347" s="4">
        <f>IFERROR(_xlfn.MAXIFS(Tabelle5[value_points],Tabelle5[company_id],Tabelle18[[#This Row],[company_id]],Tabelle5[value_id],Tabelle18[[#This Row],[value_id]]),0)</f>
        <v>0</v>
      </c>
      <c r="F347" t="str">
        <f>IF(Tabelle18[[#This Row],[value_points_company]]=0,"",IFERROR(_xlfn.MINIFS(Tabelle5[doc_id],Tabelle5[company_id],Tabelle18[[#This Row],[company_id]],Tabelle5[value_id],Tabelle18[[#This Row],[value_id]],Tabelle5[value_points],Tabelle18[[#This Row],[value_points_company]]),""))</f>
        <v/>
      </c>
      <c r="G347" t="str" cm="1">
        <f t="array" ref="G347">IF(Tabelle18[[#This Row],[doc_id_strongest]]="","",IFERROR(INDEX(Tabelle5[evidence_location],MATCH(1,(Tabelle5[company_id]=Tabelle18[[#This Row],[company_id]])*(Tabelle5[value_id]=Tabelle18[[#This Row],[value_id]])*(Tabelle5[doc_id]=Tabelle18[[#This Row],[doc_id_strongest]]),0)),""))</f>
        <v/>
      </c>
      <c r="H347" s="33" t="str" cm="1">
        <f t="array" ref="H347">IF(Tabelle18[[#This Row],[doc_id_strongest]]="","",IFERROR(INDEX(Tabelle5[evidence_quote],MATCH(1,(Tabelle5[company_id]=Tabelle18[[#This Row],[company_id]])*(Tabelle5[value_id]=Tabelle18[[#This Row],[value_id]])*(Tabelle5[doc_id]=Tabelle18[[#This Row],[doc_id_strongest]]),0)),""))</f>
        <v/>
      </c>
    </row>
    <row r="348" spans="1:8" x14ac:dyDescent="0.25">
      <c r="A348" s="36">
        <v>20</v>
      </c>
      <c r="B348" t="s">
        <v>83</v>
      </c>
      <c r="C348" s="4">
        <f>IF(Tabelle18[[#This Row],[binding_level_company]]&gt;=1,1,0)</f>
        <v>0</v>
      </c>
      <c r="D348" s="4">
        <f>IFERROR(_xlfn.MAXIFS(Tabelle5[binding_level],Tabelle5[company_id],Tabelle18[[#This Row],[company_id]],Tabelle5[value_id],Tabelle18[[#This Row],[value_id]],Tabelle5[value_present],1),0)</f>
        <v>0</v>
      </c>
      <c r="E348" s="4">
        <f>IFERROR(_xlfn.MAXIFS(Tabelle5[value_points],Tabelle5[company_id],Tabelle18[[#This Row],[company_id]],Tabelle5[value_id],Tabelle18[[#This Row],[value_id]]),0)</f>
        <v>0</v>
      </c>
      <c r="F348" t="str">
        <f>IF(Tabelle18[[#This Row],[value_points_company]]=0,"",IFERROR(_xlfn.MINIFS(Tabelle5[doc_id],Tabelle5[company_id],Tabelle18[[#This Row],[company_id]],Tabelle5[value_id],Tabelle18[[#This Row],[value_id]],Tabelle5[value_points],Tabelle18[[#This Row],[value_points_company]]),""))</f>
        <v/>
      </c>
      <c r="G348" t="str" cm="1">
        <f t="array" ref="G348">IF(Tabelle18[[#This Row],[doc_id_strongest]]="","",IFERROR(INDEX(Tabelle5[evidence_location],MATCH(1,(Tabelle5[company_id]=Tabelle18[[#This Row],[company_id]])*(Tabelle5[value_id]=Tabelle18[[#This Row],[value_id]])*(Tabelle5[doc_id]=Tabelle18[[#This Row],[doc_id_strongest]]),0)),""))</f>
        <v/>
      </c>
      <c r="H348" s="33" t="str" cm="1">
        <f t="array" ref="H348">IF(Tabelle18[[#This Row],[doc_id_strongest]]="","",IFERROR(INDEX(Tabelle5[evidence_quote],MATCH(1,(Tabelle5[company_id]=Tabelle18[[#This Row],[company_id]])*(Tabelle5[value_id]=Tabelle18[[#This Row],[value_id]])*(Tabelle5[doc_id]=Tabelle18[[#This Row],[doc_id_strongest]]),0)),""))</f>
        <v/>
      </c>
    </row>
    <row r="349" spans="1:8" x14ac:dyDescent="0.25">
      <c r="A349" s="36">
        <v>20</v>
      </c>
      <c r="B349" t="s">
        <v>90</v>
      </c>
      <c r="C349" s="4">
        <f>IF(Tabelle18[[#This Row],[binding_level_company]]&gt;=1,1,0)</f>
        <v>1</v>
      </c>
      <c r="D349" s="4">
        <f>IFERROR(_xlfn.MAXIFS(Tabelle5[binding_level],Tabelle5[company_id],Tabelle18[[#This Row],[company_id]],Tabelle5[value_id],Tabelle18[[#This Row],[value_id]],Tabelle5[value_present],1),0)</f>
        <v>1</v>
      </c>
      <c r="E349" s="4">
        <f>IFERROR(_xlfn.MAXIFS(Tabelle5[value_points],Tabelle5[company_id],Tabelle18[[#This Row],[company_id]],Tabelle5[value_id],Tabelle18[[#This Row],[value_id]]),0)</f>
        <v>1</v>
      </c>
      <c r="F349">
        <f>IF(Tabelle18[[#This Row],[value_points_company]]=0,"",IFERROR(_xlfn.MINIFS(Tabelle5[doc_id],Tabelle5[company_id],Tabelle18[[#This Row],[company_id]],Tabelle5[value_id],Tabelle18[[#This Row],[value_id]],Tabelle5[value_points],Tabelle18[[#This Row],[value_points_company]]),""))</f>
        <v>122</v>
      </c>
      <c r="G349" t="str" cm="1">
        <f t="array" ref="G349">IF(Tabelle18[[#This Row],[doc_id_strongest]]="","",IFERROR(INDEX(Tabelle5[evidence_location],MATCH(1,(Tabelle5[company_id]=Tabelle18[[#This Row],[company_id]])*(Tabelle5[value_id]=Tabelle18[[#This Row],[value_id]])*(Tabelle5[doc_id]=Tabelle18[[#This Row],[doc_id_strongest]]),0)),""))</f>
        <v>S. 3, Abschnitt 2</v>
      </c>
      <c r="H349" s="33" t="str" cm="1">
        <f t="array" ref="H349">IF(Tabelle18[[#This Row],[doc_id_strongest]]="","",IFERROR(INDEX(Tabelle5[evidence_quote],MATCH(1,(Tabelle5[company_id]=Tabelle18[[#This Row],[company_id]])*(Tabelle5[value_id]=Tabelle18[[#This Row],[value_id]])*(Tabelle5[doc_id]=Tabelle18[[#This Row],[doc_id_strongest]]),0)),""))</f>
        <v>“strict compliance with data protection regulations”; “appropriate technical and organisational measures”</v>
      </c>
    </row>
    <row r="350" spans="1:8" x14ac:dyDescent="0.25">
      <c r="A350" s="36">
        <v>20</v>
      </c>
      <c r="B350" t="s">
        <v>98</v>
      </c>
      <c r="C350" s="4">
        <f>IF(Tabelle18[[#This Row],[binding_level_company]]&gt;=1,1,0)</f>
        <v>1</v>
      </c>
      <c r="D350" s="4">
        <f>IFERROR(_xlfn.MAXIFS(Tabelle5[binding_level],Tabelle5[company_id],Tabelle18[[#This Row],[company_id]],Tabelle5[value_id],Tabelle18[[#This Row],[value_id]],Tabelle5[value_present],1),0)</f>
        <v>1</v>
      </c>
      <c r="E350" s="4">
        <f>IFERROR(_xlfn.MAXIFS(Tabelle5[value_points],Tabelle5[company_id],Tabelle18[[#This Row],[company_id]],Tabelle5[value_id],Tabelle18[[#This Row],[value_id]]),0)</f>
        <v>1</v>
      </c>
      <c r="F350">
        <f>IF(Tabelle18[[#This Row],[value_points_company]]=0,"",IFERROR(_xlfn.MINIFS(Tabelle5[doc_id],Tabelle5[company_id],Tabelle18[[#This Row],[company_id]],Tabelle5[value_id],Tabelle18[[#This Row],[value_id]],Tabelle5[value_points],Tabelle18[[#This Row],[value_points_company]]),""))</f>
        <v>122</v>
      </c>
      <c r="G350" t="str" cm="1">
        <f t="array" ref="G350">IF(Tabelle18[[#This Row],[doc_id_strongest]]="","",IFERROR(INDEX(Tabelle5[evidence_location],MATCH(1,(Tabelle5[company_id]=Tabelle18[[#This Row],[company_id]])*(Tabelle5[value_id]=Tabelle18[[#This Row],[value_id]])*(Tabelle5[doc_id]=Tabelle18[[#This Row],[doc_id_strongest]]),0)),""))</f>
        <v>S. 3, Abschnitt 2</v>
      </c>
      <c r="H350" s="33" t="str" cm="1">
        <f t="array" ref="H350">IF(Tabelle18[[#This Row],[doc_id_strongest]]="","",IFERROR(INDEX(Tabelle5[evidence_quote],MATCH(1,(Tabelle5[company_id]=Tabelle18[[#This Row],[company_id]])*(Tabelle5[value_id]=Tabelle18[[#This Row],[value_id]])*(Tabelle5[doc_id]=Tabelle18[[#This Row],[doc_id_strongest]]),0)),""))</f>
        <v>“We ensure transparency, security”</v>
      </c>
    </row>
    <row r="351" spans="1:8" x14ac:dyDescent="0.25">
      <c r="A351" s="36">
        <v>20</v>
      </c>
      <c r="B351" t="s">
        <v>106</v>
      </c>
      <c r="C351" s="4">
        <f>IF(Tabelle18[[#This Row],[binding_level_company]]&gt;=1,1,0)</f>
        <v>0</v>
      </c>
      <c r="D351" s="4">
        <f>IFERROR(_xlfn.MAXIFS(Tabelle5[binding_level],Tabelle5[company_id],Tabelle18[[#This Row],[company_id]],Tabelle5[value_id],Tabelle18[[#This Row],[value_id]],Tabelle5[value_present],1),0)</f>
        <v>0</v>
      </c>
      <c r="E351" s="4">
        <f>IFERROR(_xlfn.MAXIFS(Tabelle5[value_points],Tabelle5[company_id],Tabelle18[[#This Row],[company_id]],Tabelle5[value_id],Tabelle18[[#This Row],[value_id]]),0)</f>
        <v>0</v>
      </c>
      <c r="F351" t="str">
        <f>IF(Tabelle18[[#This Row],[value_points_company]]=0,"",IFERROR(_xlfn.MINIFS(Tabelle5[doc_id],Tabelle5[company_id],Tabelle18[[#This Row],[company_id]],Tabelle5[value_id],Tabelle18[[#This Row],[value_id]],Tabelle5[value_points],Tabelle18[[#This Row],[value_points_company]]),""))</f>
        <v/>
      </c>
      <c r="G351" t="str" cm="1">
        <f t="array" ref="G351">IF(Tabelle18[[#This Row],[doc_id_strongest]]="","",IFERROR(INDEX(Tabelle5[evidence_location],MATCH(1,(Tabelle5[company_id]=Tabelle18[[#This Row],[company_id]])*(Tabelle5[value_id]=Tabelle18[[#This Row],[value_id]])*(Tabelle5[doc_id]=Tabelle18[[#This Row],[doc_id_strongest]]),0)),""))</f>
        <v/>
      </c>
      <c r="H351" s="33" t="str" cm="1">
        <f t="array" ref="H351">IF(Tabelle18[[#This Row],[doc_id_strongest]]="","",IFERROR(INDEX(Tabelle5[evidence_quote],MATCH(1,(Tabelle5[company_id]=Tabelle18[[#This Row],[company_id]])*(Tabelle5[value_id]=Tabelle18[[#This Row],[value_id]])*(Tabelle5[doc_id]=Tabelle18[[#This Row],[doc_id_strongest]]),0)),""))</f>
        <v/>
      </c>
    </row>
    <row r="352" spans="1:8" x14ac:dyDescent="0.25">
      <c r="A352" s="36">
        <v>20</v>
      </c>
      <c r="B352" t="s">
        <v>112</v>
      </c>
      <c r="C352" s="4">
        <f>IF(Tabelle18[[#This Row],[binding_level_company]]&gt;=1,1,0)</f>
        <v>0</v>
      </c>
      <c r="D352" s="4">
        <f>IFERROR(_xlfn.MAXIFS(Tabelle5[binding_level],Tabelle5[company_id],Tabelle18[[#This Row],[company_id]],Tabelle5[value_id],Tabelle18[[#This Row],[value_id]],Tabelle5[value_present],1),0)</f>
        <v>0</v>
      </c>
      <c r="E352" s="4">
        <f>IFERROR(_xlfn.MAXIFS(Tabelle5[value_points],Tabelle5[company_id],Tabelle18[[#This Row],[company_id]],Tabelle5[value_id],Tabelle18[[#This Row],[value_id]]),0)</f>
        <v>0</v>
      </c>
      <c r="F352" t="str">
        <f>IF(Tabelle18[[#This Row],[value_points_company]]=0,"",IFERROR(_xlfn.MINIFS(Tabelle5[doc_id],Tabelle5[company_id],Tabelle18[[#This Row],[company_id]],Tabelle5[value_id],Tabelle18[[#This Row],[value_id]],Tabelle5[value_points],Tabelle18[[#This Row],[value_points_company]]),""))</f>
        <v/>
      </c>
      <c r="G352" t="str" cm="1">
        <f t="array" ref="G352">IF(Tabelle18[[#This Row],[doc_id_strongest]]="","",IFERROR(INDEX(Tabelle5[evidence_location],MATCH(1,(Tabelle5[company_id]=Tabelle18[[#This Row],[company_id]])*(Tabelle5[value_id]=Tabelle18[[#This Row],[value_id]])*(Tabelle5[doc_id]=Tabelle18[[#This Row],[doc_id_strongest]]),0)),""))</f>
        <v/>
      </c>
      <c r="H352" s="33" t="str" cm="1">
        <f t="array" ref="H352">IF(Tabelle18[[#This Row],[doc_id_strongest]]="","",IFERROR(INDEX(Tabelle5[evidence_quote],MATCH(1,(Tabelle5[company_id]=Tabelle18[[#This Row],[company_id]])*(Tabelle5[value_id]=Tabelle18[[#This Row],[value_id]])*(Tabelle5[doc_id]=Tabelle18[[#This Row],[doc_id_strongest]]),0)),""))</f>
        <v/>
      </c>
    </row>
    <row r="353" spans="1:8" x14ac:dyDescent="0.25">
      <c r="A353" s="36">
        <v>20</v>
      </c>
      <c r="B353" t="s">
        <v>118</v>
      </c>
      <c r="C353" s="4">
        <f>IF(Tabelle18[[#This Row],[binding_level_company]]&gt;=1,1,0)</f>
        <v>0</v>
      </c>
      <c r="D353" s="4">
        <f>IFERROR(_xlfn.MAXIFS(Tabelle5[binding_level],Tabelle5[company_id],Tabelle18[[#This Row],[company_id]],Tabelle5[value_id],Tabelle18[[#This Row],[value_id]],Tabelle5[value_present],1),0)</f>
        <v>0</v>
      </c>
      <c r="E353" s="4">
        <f>IFERROR(_xlfn.MAXIFS(Tabelle5[value_points],Tabelle5[company_id],Tabelle18[[#This Row],[company_id]],Tabelle5[value_id],Tabelle18[[#This Row],[value_id]]),0)</f>
        <v>0</v>
      </c>
      <c r="F353" t="str">
        <f>IF(Tabelle18[[#This Row],[value_points_company]]=0,"",IFERROR(_xlfn.MINIFS(Tabelle5[doc_id],Tabelle5[company_id],Tabelle18[[#This Row],[company_id]],Tabelle5[value_id],Tabelle18[[#This Row],[value_id]],Tabelle5[value_points],Tabelle18[[#This Row],[value_points_company]]),""))</f>
        <v/>
      </c>
      <c r="G353" t="str" cm="1">
        <f t="array" ref="G353">IF(Tabelle18[[#This Row],[doc_id_strongest]]="","",IFERROR(INDEX(Tabelle5[evidence_location],MATCH(1,(Tabelle5[company_id]=Tabelle18[[#This Row],[company_id]])*(Tabelle5[value_id]=Tabelle18[[#This Row],[value_id]])*(Tabelle5[doc_id]=Tabelle18[[#This Row],[doc_id_strongest]]),0)),""))</f>
        <v/>
      </c>
      <c r="H353" s="33" t="str" cm="1">
        <f t="array" ref="H353">IF(Tabelle18[[#This Row],[doc_id_strongest]]="","",IFERROR(INDEX(Tabelle5[evidence_quote],MATCH(1,(Tabelle5[company_id]=Tabelle18[[#This Row],[company_id]])*(Tabelle5[value_id]=Tabelle18[[#This Row],[value_id]])*(Tabelle5[doc_id]=Tabelle18[[#This Row],[doc_id_strongest]]),0)),""))</f>
        <v/>
      </c>
    </row>
    <row r="354" spans="1:8" x14ac:dyDescent="0.25">
      <c r="A354" s="36">
        <v>20</v>
      </c>
      <c r="B354" t="s">
        <v>125</v>
      </c>
      <c r="C354" s="4">
        <f>IF(Tabelle18[[#This Row],[binding_level_company]]&gt;=1,1,0)</f>
        <v>0</v>
      </c>
      <c r="D354" s="4">
        <f>IFERROR(_xlfn.MAXIFS(Tabelle5[binding_level],Tabelle5[company_id],Tabelle18[[#This Row],[company_id]],Tabelle5[value_id],Tabelle18[[#This Row],[value_id]],Tabelle5[value_present],1),0)</f>
        <v>0</v>
      </c>
      <c r="E354" s="4">
        <f>IFERROR(_xlfn.MAXIFS(Tabelle5[value_points],Tabelle5[company_id],Tabelle18[[#This Row],[company_id]],Tabelle5[value_id],Tabelle18[[#This Row],[value_id]]),0)</f>
        <v>0</v>
      </c>
      <c r="F354" t="str">
        <f>IF(Tabelle18[[#This Row],[value_points_company]]=0,"",IFERROR(_xlfn.MINIFS(Tabelle5[doc_id],Tabelle5[company_id],Tabelle18[[#This Row],[company_id]],Tabelle5[value_id],Tabelle18[[#This Row],[value_id]],Tabelle5[value_points],Tabelle18[[#This Row],[value_points_company]]),""))</f>
        <v/>
      </c>
      <c r="G354" t="str" cm="1">
        <f t="array" ref="G354">IF(Tabelle18[[#This Row],[doc_id_strongest]]="","",IFERROR(INDEX(Tabelle5[evidence_location],MATCH(1,(Tabelle5[company_id]=Tabelle18[[#This Row],[company_id]])*(Tabelle5[value_id]=Tabelle18[[#This Row],[value_id]])*(Tabelle5[doc_id]=Tabelle18[[#This Row],[doc_id_strongest]]),0)),""))</f>
        <v/>
      </c>
      <c r="H354" s="33" t="str" cm="1">
        <f t="array" ref="H354">IF(Tabelle18[[#This Row],[doc_id_strongest]]="","",IFERROR(INDEX(Tabelle5[evidence_quote],MATCH(1,(Tabelle5[company_id]=Tabelle18[[#This Row],[company_id]])*(Tabelle5[value_id]=Tabelle18[[#This Row],[value_id]])*(Tabelle5[doc_id]=Tabelle18[[#This Row],[doc_id_strongest]]),0)),""))</f>
        <v/>
      </c>
    </row>
    <row r="355" spans="1:8" x14ac:dyDescent="0.25">
      <c r="A355" s="36">
        <v>20</v>
      </c>
      <c r="B355" t="s">
        <v>132</v>
      </c>
      <c r="C355" s="4">
        <f>IF(Tabelle18[[#This Row],[binding_level_company]]&gt;=1,1,0)</f>
        <v>0</v>
      </c>
      <c r="D355" s="4">
        <f>IFERROR(_xlfn.MAXIFS(Tabelle5[binding_level],Tabelle5[company_id],Tabelle18[[#This Row],[company_id]],Tabelle5[value_id],Tabelle18[[#This Row],[value_id]],Tabelle5[value_present],1),0)</f>
        <v>0</v>
      </c>
      <c r="E355" s="4">
        <f>IFERROR(_xlfn.MAXIFS(Tabelle5[value_points],Tabelle5[company_id],Tabelle18[[#This Row],[company_id]],Tabelle5[value_id],Tabelle18[[#This Row],[value_id]]),0)</f>
        <v>0</v>
      </c>
      <c r="F355" t="str">
        <f>IF(Tabelle18[[#This Row],[value_points_company]]=0,"",IFERROR(_xlfn.MINIFS(Tabelle5[doc_id],Tabelle5[company_id],Tabelle18[[#This Row],[company_id]],Tabelle5[value_id],Tabelle18[[#This Row],[value_id]],Tabelle5[value_points],Tabelle18[[#This Row],[value_points_company]]),""))</f>
        <v/>
      </c>
      <c r="G355" t="str" cm="1">
        <f t="array" ref="G355">IF(Tabelle18[[#This Row],[doc_id_strongest]]="","",IFERROR(INDEX(Tabelle5[evidence_location],MATCH(1,(Tabelle5[company_id]=Tabelle18[[#This Row],[company_id]])*(Tabelle5[value_id]=Tabelle18[[#This Row],[value_id]])*(Tabelle5[doc_id]=Tabelle18[[#This Row],[doc_id_strongest]]),0)),""))</f>
        <v/>
      </c>
      <c r="H355" s="33" t="str" cm="1">
        <f t="array" ref="H355">IF(Tabelle18[[#This Row],[doc_id_strongest]]="","",IFERROR(INDEX(Tabelle5[evidence_quote],MATCH(1,(Tabelle5[company_id]=Tabelle18[[#This Row],[company_id]])*(Tabelle5[value_id]=Tabelle18[[#This Row],[value_id]])*(Tabelle5[doc_id]=Tabelle18[[#This Row],[doc_id_strongest]]),0)),""))</f>
        <v/>
      </c>
    </row>
    <row r="356" spans="1:8" x14ac:dyDescent="0.25">
      <c r="A356" s="36">
        <v>20</v>
      </c>
      <c r="B356" t="s">
        <v>140</v>
      </c>
      <c r="C356" s="4">
        <f>IF(Tabelle18[[#This Row],[binding_level_company]]&gt;=1,1,0)</f>
        <v>0</v>
      </c>
      <c r="D356" s="4">
        <f>IFERROR(_xlfn.MAXIFS(Tabelle5[binding_level],Tabelle5[company_id],Tabelle18[[#This Row],[company_id]],Tabelle5[value_id],Tabelle18[[#This Row],[value_id]],Tabelle5[value_present],1),0)</f>
        <v>0</v>
      </c>
      <c r="E356" s="4">
        <f>IFERROR(_xlfn.MAXIFS(Tabelle5[value_points],Tabelle5[company_id],Tabelle18[[#This Row],[company_id]],Tabelle5[value_id],Tabelle18[[#This Row],[value_id]]),0)</f>
        <v>0</v>
      </c>
      <c r="F356" t="str">
        <f>IF(Tabelle18[[#This Row],[value_points_company]]=0,"",IFERROR(_xlfn.MINIFS(Tabelle5[doc_id],Tabelle5[company_id],Tabelle18[[#This Row],[company_id]],Tabelle5[value_id],Tabelle18[[#This Row],[value_id]],Tabelle5[value_points],Tabelle18[[#This Row],[value_points_company]]),""))</f>
        <v/>
      </c>
      <c r="G356" t="str" cm="1">
        <f t="array" ref="G356">IF(Tabelle18[[#This Row],[doc_id_strongest]]="","",IFERROR(INDEX(Tabelle5[evidence_location],MATCH(1,(Tabelle5[company_id]=Tabelle18[[#This Row],[company_id]])*(Tabelle5[value_id]=Tabelle18[[#This Row],[value_id]])*(Tabelle5[doc_id]=Tabelle18[[#This Row],[doc_id_strongest]]),0)),""))</f>
        <v/>
      </c>
      <c r="H356" s="33" t="str" cm="1">
        <f t="array" ref="H356">IF(Tabelle18[[#This Row],[doc_id_strongest]]="","",IFERROR(INDEX(Tabelle5[evidence_quote],MATCH(1,(Tabelle5[company_id]=Tabelle18[[#This Row],[company_id]])*(Tabelle5[value_id]=Tabelle18[[#This Row],[value_id]])*(Tabelle5[doc_id]=Tabelle18[[#This Row],[doc_id_strongest]]),0)),""))</f>
        <v/>
      </c>
    </row>
    <row r="357" spans="1:8" x14ac:dyDescent="0.25">
      <c r="A357" s="36">
        <v>20</v>
      </c>
      <c r="B357" t="s">
        <v>147</v>
      </c>
      <c r="C357" s="4">
        <f>IF(Tabelle18[[#This Row],[binding_level_company]]&gt;=1,1,0)</f>
        <v>1</v>
      </c>
      <c r="D357" s="4">
        <f>IFERROR(_xlfn.MAXIFS(Tabelle5[binding_level],Tabelle5[company_id],Tabelle18[[#This Row],[company_id]],Tabelle5[value_id],Tabelle18[[#This Row],[value_id]],Tabelle5[value_present],1),0)</f>
        <v>1</v>
      </c>
      <c r="E357" s="4">
        <f>IFERROR(_xlfn.MAXIFS(Tabelle5[value_points],Tabelle5[company_id],Tabelle18[[#This Row],[company_id]],Tabelle5[value_id],Tabelle18[[#This Row],[value_id]]),0)</f>
        <v>1</v>
      </c>
      <c r="F357">
        <f>IF(Tabelle18[[#This Row],[value_points_company]]=0,"",IFERROR(_xlfn.MINIFS(Tabelle5[doc_id],Tabelle5[company_id],Tabelle18[[#This Row],[company_id]],Tabelle5[value_id],Tabelle18[[#This Row],[value_id]],Tabelle5[value_points],Tabelle18[[#This Row],[value_points_company]]),""))</f>
        <v>122</v>
      </c>
      <c r="G357" t="str" cm="1">
        <f t="array" ref="G357">IF(Tabelle18[[#This Row],[doc_id_strongest]]="","",IFERROR(INDEX(Tabelle5[evidence_location],MATCH(1,(Tabelle5[company_id]=Tabelle18[[#This Row],[company_id]])*(Tabelle5[value_id]=Tabelle18[[#This Row],[value_id]])*(Tabelle5[doc_id]=Tabelle18[[#This Row],[doc_id_strongest]]),0)),""))</f>
        <v>S. 3, Abschnitt 2</v>
      </c>
      <c r="H357" s="33" t="str" cm="1">
        <f t="array" ref="H357">IF(Tabelle18[[#This Row],[doc_id_strongest]]="","",IFERROR(INDEX(Tabelle5[evidence_quote],MATCH(1,(Tabelle5[company_id]=Tabelle18[[#This Row],[company_id]])*(Tabelle5[value_id]=Tabelle18[[#This Row],[value_id]])*(Tabelle5[doc_id]=Tabelle18[[#This Row],[doc_id_strongest]]),0)),""))</f>
        <v>“strict compliance with data protection regulations”</v>
      </c>
    </row>
    <row r="358" spans="1:8" x14ac:dyDescent="0.25">
      <c r="A358" s="36">
        <v>20</v>
      </c>
      <c r="B358" t="s">
        <v>154</v>
      </c>
      <c r="C358" s="4">
        <f>IF(Tabelle18[[#This Row],[binding_level_company]]&gt;=1,1,0)</f>
        <v>1</v>
      </c>
      <c r="D358" s="4">
        <f>IFERROR(_xlfn.MAXIFS(Tabelle5[binding_level],Tabelle5[company_id],Tabelle18[[#This Row],[company_id]],Tabelle5[value_id],Tabelle18[[#This Row],[value_id]],Tabelle5[value_present],1),0)</f>
        <v>1</v>
      </c>
      <c r="E358" s="4">
        <f>IFERROR(_xlfn.MAXIFS(Tabelle5[value_points],Tabelle5[company_id],Tabelle18[[#This Row],[company_id]],Tabelle5[value_id],Tabelle18[[#This Row],[value_id]]),0)</f>
        <v>1</v>
      </c>
      <c r="F358">
        <f>IF(Tabelle18[[#This Row],[value_points_company]]=0,"",IFERROR(_xlfn.MINIFS(Tabelle5[doc_id],Tabelle5[company_id],Tabelle18[[#This Row],[company_id]],Tabelle5[value_id],Tabelle18[[#This Row],[value_id]],Tabelle5[value_points],Tabelle18[[#This Row],[value_points_company]]),""))</f>
        <v>122</v>
      </c>
      <c r="G358" t="str" cm="1">
        <f t="array" ref="G358">IF(Tabelle18[[#This Row],[doc_id_strongest]]="","",IFERROR(INDEX(Tabelle5[evidence_location],MATCH(1,(Tabelle5[company_id]=Tabelle18[[#This Row],[company_id]])*(Tabelle5[value_id]=Tabelle18[[#This Row],[value_id]])*(Tabelle5[doc_id]=Tabelle18[[#This Row],[doc_id_strongest]]),0)),""))</f>
        <v>S. 3, Abschnitt 2</v>
      </c>
      <c r="H358" s="33" t="str" cm="1">
        <f t="array" ref="H358">IF(Tabelle18[[#This Row],[doc_id_strongest]]="","",IFERROR(INDEX(Tabelle5[evidence_quote],MATCH(1,(Tabelle5[company_id]=Tabelle18[[#This Row],[company_id]])*(Tabelle5[value_id]=Tabelle18[[#This Row],[value_id]])*(Tabelle5[doc_id]=Tabelle18[[#This Row],[doc_id_strongest]]),0)),""))</f>
        <v>“responsible use”</v>
      </c>
    </row>
    <row r="359" spans="1:8" x14ac:dyDescent="0.25">
      <c r="A359" s="36">
        <v>20</v>
      </c>
      <c r="B359" t="s">
        <v>161</v>
      </c>
      <c r="C359" s="4">
        <f>IF(Tabelle18[[#This Row],[binding_level_company]]&gt;=1,1,0)</f>
        <v>0</v>
      </c>
      <c r="D359" s="4">
        <f>IFERROR(_xlfn.MAXIFS(Tabelle5[binding_level],Tabelle5[company_id],Tabelle18[[#This Row],[company_id]],Tabelle5[value_id],Tabelle18[[#This Row],[value_id]],Tabelle5[value_present],1),0)</f>
        <v>0</v>
      </c>
      <c r="E359" s="4">
        <f>IFERROR(_xlfn.MAXIFS(Tabelle5[value_points],Tabelle5[company_id],Tabelle18[[#This Row],[company_id]],Tabelle5[value_id],Tabelle18[[#This Row],[value_id]]),0)</f>
        <v>0</v>
      </c>
      <c r="F359" t="str">
        <f>IF(Tabelle18[[#This Row],[value_points_company]]=0,"",IFERROR(_xlfn.MINIFS(Tabelle5[doc_id],Tabelle5[company_id],Tabelle18[[#This Row],[company_id]],Tabelle5[value_id],Tabelle18[[#This Row],[value_id]],Tabelle5[value_points],Tabelle18[[#This Row],[value_points_company]]),""))</f>
        <v/>
      </c>
      <c r="G359" t="str" cm="1">
        <f t="array" ref="G359">IF(Tabelle18[[#This Row],[doc_id_strongest]]="","",IFERROR(INDEX(Tabelle5[evidence_location],MATCH(1,(Tabelle5[company_id]=Tabelle18[[#This Row],[company_id]])*(Tabelle5[value_id]=Tabelle18[[#This Row],[value_id]])*(Tabelle5[doc_id]=Tabelle18[[#This Row],[doc_id_strongest]]),0)),""))</f>
        <v/>
      </c>
      <c r="H359" s="33" t="str" cm="1">
        <f t="array" ref="H359">IF(Tabelle18[[#This Row],[doc_id_strongest]]="","",IFERROR(INDEX(Tabelle5[evidence_quote],MATCH(1,(Tabelle5[company_id]=Tabelle18[[#This Row],[company_id]])*(Tabelle5[value_id]=Tabelle18[[#This Row],[value_id]])*(Tabelle5[doc_id]=Tabelle18[[#This Row],[doc_id_strongest]]),0)),""))</f>
        <v/>
      </c>
    </row>
    <row r="360" spans="1:8" x14ac:dyDescent="0.25">
      <c r="A360" s="36">
        <v>20</v>
      </c>
      <c r="B360" t="s">
        <v>166</v>
      </c>
      <c r="C360" s="4">
        <f>IF(Tabelle18[[#This Row],[binding_level_company]]&gt;=1,1,0)</f>
        <v>0</v>
      </c>
      <c r="D360" s="4">
        <f>IFERROR(_xlfn.MAXIFS(Tabelle5[binding_level],Tabelle5[company_id],Tabelle18[[#This Row],[company_id]],Tabelle5[value_id],Tabelle18[[#This Row],[value_id]],Tabelle5[value_present],1),0)</f>
        <v>0</v>
      </c>
      <c r="E360" s="4">
        <f>IFERROR(_xlfn.MAXIFS(Tabelle5[value_points],Tabelle5[company_id],Tabelle18[[#This Row],[company_id]],Tabelle5[value_id],Tabelle18[[#This Row],[value_id]]),0)</f>
        <v>0</v>
      </c>
      <c r="F360" t="str">
        <f>IF(Tabelle18[[#This Row],[value_points_company]]=0,"",IFERROR(_xlfn.MINIFS(Tabelle5[doc_id],Tabelle5[company_id],Tabelle18[[#This Row],[company_id]],Tabelle5[value_id],Tabelle18[[#This Row],[value_id]],Tabelle5[value_points],Tabelle18[[#This Row],[value_points_company]]),""))</f>
        <v/>
      </c>
      <c r="G360" t="str" cm="1">
        <f t="array" ref="G360">IF(Tabelle18[[#This Row],[doc_id_strongest]]="","",IFERROR(INDEX(Tabelle5[evidence_location],MATCH(1,(Tabelle5[company_id]=Tabelle18[[#This Row],[company_id]])*(Tabelle5[value_id]=Tabelle18[[#This Row],[value_id]])*(Tabelle5[doc_id]=Tabelle18[[#This Row],[doc_id_strongest]]),0)),""))</f>
        <v/>
      </c>
      <c r="H360" s="33" t="str" cm="1">
        <f t="array" ref="H360">IF(Tabelle18[[#This Row],[doc_id_strongest]]="","",IFERROR(INDEX(Tabelle5[evidence_quote],MATCH(1,(Tabelle5[company_id]=Tabelle18[[#This Row],[company_id]])*(Tabelle5[value_id]=Tabelle18[[#This Row],[value_id]])*(Tabelle5[doc_id]=Tabelle18[[#This Row],[doc_id_strongest]]),0)),""))</f>
        <v/>
      </c>
    </row>
    <row r="361" spans="1:8" ht="15.75" thickBot="1" x14ac:dyDescent="0.3">
      <c r="A361" s="37">
        <v>20</v>
      </c>
      <c r="B361" s="30" t="s">
        <v>174</v>
      </c>
      <c r="C361" s="49">
        <f>IF(Tabelle18[[#This Row],[binding_level_company]]&gt;=1,1,0)</f>
        <v>0</v>
      </c>
      <c r="D361" s="49">
        <f>IFERROR(_xlfn.MAXIFS(Tabelle5[binding_level],Tabelle5[company_id],Tabelle18[[#This Row],[company_id]],Tabelle5[value_id],Tabelle18[[#This Row],[value_id]],Tabelle5[value_present],1),0)</f>
        <v>0</v>
      </c>
      <c r="E361" s="49">
        <f>IFERROR(_xlfn.MAXIFS(Tabelle5[value_points],Tabelle5[company_id],Tabelle18[[#This Row],[company_id]],Tabelle5[value_id],Tabelle18[[#This Row],[value_id]]),0)</f>
        <v>0</v>
      </c>
      <c r="F361" s="30" t="str">
        <f>IF(Tabelle18[[#This Row],[value_points_company]]=0,"",IFERROR(_xlfn.MINIFS(Tabelle5[doc_id],Tabelle5[company_id],Tabelle18[[#This Row],[company_id]],Tabelle5[value_id],Tabelle18[[#This Row],[value_id]],Tabelle5[value_points],Tabelle18[[#This Row],[value_points_company]]),""))</f>
        <v/>
      </c>
      <c r="G361" s="30" t="str" cm="1">
        <f t="array" ref="G361">IF(Tabelle18[[#This Row],[doc_id_strongest]]="","",IFERROR(INDEX(Tabelle5[evidence_location],MATCH(1,(Tabelle5[company_id]=Tabelle18[[#This Row],[company_id]])*(Tabelle5[value_id]=Tabelle18[[#This Row],[value_id]])*(Tabelle5[doc_id]=Tabelle18[[#This Row],[doc_id_strongest]]),0)),""))</f>
        <v/>
      </c>
      <c r="H361" s="34" t="str" cm="1">
        <f t="array" ref="H361">IF(Tabelle18[[#This Row],[doc_id_strongest]]="","",IFERROR(INDEX(Tabelle5[evidence_quote],MATCH(1,(Tabelle5[company_id]=Tabelle18[[#This Row],[company_id]])*(Tabelle5[value_id]=Tabelle18[[#This Row],[value_id]])*(Tabelle5[doc_id]=Tabelle18[[#This Row],[doc_id_strongest]]),0)),""))</f>
        <v/>
      </c>
    </row>
    <row r="362" spans="1:8" x14ac:dyDescent="0.25">
      <c r="A362" s="35">
        <v>21</v>
      </c>
      <c r="B362" s="22" t="s">
        <v>53</v>
      </c>
      <c r="C362" s="48">
        <f>IF(Tabelle18[[#This Row],[binding_level_company]]&gt;=1,1,0)</f>
        <v>0</v>
      </c>
      <c r="D362" s="48">
        <f>IFERROR(_xlfn.MAXIFS(Tabelle5[binding_level],Tabelle5[company_id],Tabelle18[[#This Row],[company_id]],Tabelle5[value_id],Tabelle18[[#This Row],[value_id]],Tabelle5[value_present],1),0)</f>
        <v>0</v>
      </c>
      <c r="E362" s="48">
        <f>IFERROR(_xlfn.MAXIFS(Tabelle5[value_points],Tabelle5[company_id],Tabelle18[[#This Row],[company_id]],Tabelle5[value_id],Tabelle18[[#This Row],[value_id]]),0)</f>
        <v>0</v>
      </c>
      <c r="F362" s="22" t="str">
        <f>IF(Tabelle18[[#This Row],[value_points_company]]=0,"",IFERROR(_xlfn.MINIFS(Tabelle5[doc_id],Tabelle5[company_id],Tabelle18[[#This Row],[company_id]],Tabelle5[value_id],Tabelle18[[#This Row],[value_id]],Tabelle5[value_points],Tabelle18[[#This Row],[value_points_company]]),""))</f>
        <v/>
      </c>
      <c r="G362" s="22" t="str" cm="1">
        <f t="array" ref="G362">IF(Tabelle18[[#This Row],[doc_id_strongest]]="","",IFERROR(INDEX(Tabelle5[evidence_location],MATCH(1,(Tabelle5[company_id]=Tabelle18[[#This Row],[company_id]])*(Tabelle5[value_id]=Tabelle18[[#This Row],[value_id]])*(Tabelle5[doc_id]=Tabelle18[[#This Row],[doc_id_strongest]]),0)),""))</f>
        <v/>
      </c>
      <c r="H362" s="32" t="str" cm="1">
        <f t="array" ref="H362">IF(Tabelle18[[#This Row],[doc_id_strongest]]="","",IFERROR(INDEX(Tabelle5[evidence_quote],MATCH(1,(Tabelle5[company_id]=Tabelle18[[#This Row],[company_id]])*(Tabelle5[value_id]=Tabelle18[[#This Row],[value_id]])*(Tabelle5[doc_id]=Tabelle18[[#This Row],[doc_id_strongest]]),0)),""))</f>
        <v/>
      </c>
    </row>
    <row r="363" spans="1:8" x14ac:dyDescent="0.25">
      <c r="A363" s="36">
        <v>21</v>
      </c>
      <c r="B363" t="s">
        <v>61</v>
      </c>
      <c r="C363" s="4">
        <f>IF(Tabelle18[[#This Row],[binding_level_company]]&gt;=1,1,0)</f>
        <v>0</v>
      </c>
      <c r="D363" s="4">
        <f>IFERROR(_xlfn.MAXIFS(Tabelle5[binding_level],Tabelle5[company_id],Tabelle18[[#This Row],[company_id]],Tabelle5[value_id],Tabelle18[[#This Row],[value_id]],Tabelle5[value_present],1),0)</f>
        <v>0</v>
      </c>
      <c r="E363" s="4">
        <f>IFERROR(_xlfn.MAXIFS(Tabelle5[value_points],Tabelle5[company_id],Tabelle18[[#This Row],[company_id]],Tabelle5[value_id],Tabelle18[[#This Row],[value_id]]),0)</f>
        <v>0</v>
      </c>
      <c r="F363" t="str">
        <f>IF(Tabelle18[[#This Row],[value_points_company]]=0,"",IFERROR(_xlfn.MINIFS(Tabelle5[doc_id],Tabelle5[company_id],Tabelle18[[#This Row],[company_id]],Tabelle5[value_id],Tabelle18[[#This Row],[value_id]],Tabelle5[value_points],Tabelle18[[#This Row],[value_points_company]]),""))</f>
        <v/>
      </c>
      <c r="G363" t="str" cm="1">
        <f t="array" ref="G363">IF(Tabelle18[[#This Row],[doc_id_strongest]]="","",IFERROR(INDEX(Tabelle5[evidence_location],MATCH(1,(Tabelle5[company_id]=Tabelle18[[#This Row],[company_id]])*(Tabelle5[value_id]=Tabelle18[[#This Row],[value_id]])*(Tabelle5[doc_id]=Tabelle18[[#This Row],[doc_id_strongest]]),0)),""))</f>
        <v/>
      </c>
      <c r="H363" s="33" t="str" cm="1">
        <f t="array" ref="H363">IF(Tabelle18[[#This Row],[doc_id_strongest]]="","",IFERROR(INDEX(Tabelle5[evidence_quote],MATCH(1,(Tabelle5[company_id]=Tabelle18[[#This Row],[company_id]])*(Tabelle5[value_id]=Tabelle18[[#This Row],[value_id]])*(Tabelle5[doc_id]=Tabelle18[[#This Row],[doc_id_strongest]]),0)),""))</f>
        <v/>
      </c>
    </row>
    <row r="364" spans="1:8" x14ac:dyDescent="0.25">
      <c r="A364" s="36">
        <v>21</v>
      </c>
      <c r="B364" t="s">
        <v>69</v>
      </c>
      <c r="C364" s="4">
        <f>IF(Tabelle18[[#This Row],[binding_level_company]]&gt;=1,1,0)</f>
        <v>0</v>
      </c>
      <c r="D364" s="4">
        <f>IFERROR(_xlfn.MAXIFS(Tabelle5[binding_level],Tabelle5[company_id],Tabelle18[[#This Row],[company_id]],Tabelle5[value_id],Tabelle18[[#This Row],[value_id]],Tabelle5[value_present],1),0)</f>
        <v>0</v>
      </c>
      <c r="E364" s="4">
        <f>IFERROR(_xlfn.MAXIFS(Tabelle5[value_points],Tabelle5[company_id],Tabelle18[[#This Row],[company_id]],Tabelle5[value_id],Tabelle18[[#This Row],[value_id]]),0)</f>
        <v>0</v>
      </c>
      <c r="F364" t="str">
        <f>IF(Tabelle18[[#This Row],[value_points_company]]=0,"",IFERROR(_xlfn.MINIFS(Tabelle5[doc_id],Tabelle5[company_id],Tabelle18[[#This Row],[company_id]],Tabelle5[value_id],Tabelle18[[#This Row],[value_id]],Tabelle5[value_points],Tabelle18[[#This Row],[value_points_company]]),""))</f>
        <v/>
      </c>
      <c r="G364" t="str" cm="1">
        <f t="array" ref="G364">IF(Tabelle18[[#This Row],[doc_id_strongest]]="","",IFERROR(INDEX(Tabelle5[evidence_location],MATCH(1,(Tabelle5[company_id]=Tabelle18[[#This Row],[company_id]])*(Tabelle5[value_id]=Tabelle18[[#This Row],[value_id]])*(Tabelle5[doc_id]=Tabelle18[[#This Row],[doc_id_strongest]]),0)),""))</f>
        <v/>
      </c>
      <c r="H364" s="33" t="str" cm="1">
        <f t="array" ref="H364">IF(Tabelle18[[#This Row],[doc_id_strongest]]="","",IFERROR(INDEX(Tabelle5[evidence_quote],MATCH(1,(Tabelle5[company_id]=Tabelle18[[#This Row],[company_id]])*(Tabelle5[value_id]=Tabelle18[[#This Row],[value_id]])*(Tabelle5[doc_id]=Tabelle18[[#This Row],[doc_id_strongest]]),0)),""))</f>
        <v/>
      </c>
    </row>
    <row r="365" spans="1:8" x14ac:dyDescent="0.25">
      <c r="A365" s="36">
        <v>21</v>
      </c>
      <c r="B365" t="s">
        <v>76</v>
      </c>
      <c r="C365" s="4">
        <f>IF(Tabelle18[[#This Row],[binding_level_company]]&gt;=1,1,0)</f>
        <v>0</v>
      </c>
      <c r="D365" s="4">
        <f>IFERROR(_xlfn.MAXIFS(Tabelle5[binding_level],Tabelle5[company_id],Tabelle18[[#This Row],[company_id]],Tabelle5[value_id],Tabelle18[[#This Row],[value_id]],Tabelle5[value_present],1),0)</f>
        <v>0</v>
      </c>
      <c r="E365" s="4">
        <f>IFERROR(_xlfn.MAXIFS(Tabelle5[value_points],Tabelle5[company_id],Tabelle18[[#This Row],[company_id]],Tabelle5[value_id],Tabelle18[[#This Row],[value_id]]),0)</f>
        <v>0</v>
      </c>
      <c r="F365" t="str">
        <f>IF(Tabelle18[[#This Row],[value_points_company]]=0,"",IFERROR(_xlfn.MINIFS(Tabelle5[doc_id],Tabelle5[company_id],Tabelle18[[#This Row],[company_id]],Tabelle5[value_id],Tabelle18[[#This Row],[value_id]],Tabelle5[value_points],Tabelle18[[#This Row],[value_points_company]]),""))</f>
        <v/>
      </c>
      <c r="G365" t="str" cm="1">
        <f t="array" ref="G365">IF(Tabelle18[[#This Row],[doc_id_strongest]]="","",IFERROR(INDEX(Tabelle5[evidence_location],MATCH(1,(Tabelle5[company_id]=Tabelle18[[#This Row],[company_id]])*(Tabelle5[value_id]=Tabelle18[[#This Row],[value_id]])*(Tabelle5[doc_id]=Tabelle18[[#This Row],[doc_id_strongest]]),0)),""))</f>
        <v/>
      </c>
      <c r="H365" s="33" t="str" cm="1">
        <f t="array" ref="H365">IF(Tabelle18[[#This Row],[doc_id_strongest]]="","",IFERROR(INDEX(Tabelle5[evidence_quote],MATCH(1,(Tabelle5[company_id]=Tabelle18[[#This Row],[company_id]])*(Tabelle5[value_id]=Tabelle18[[#This Row],[value_id]])*(Tabelle5[doc_id]=Tabelle18[[#This Row],[doc_id_strongest]]),0)),""))</f>
        <v/>
      </c>
    </row>
    <row r="366" spans="1:8" x14ac:dyDescent="0.25">
      <c r="A366" s="36">
        <v>21</v>
      </c>
      <c r="B366" t="s">
        <v>83</v>
      </c>
      <c r="C366" s="4">
        <f>IF(Tabelle18[[#This Row],[binding_level_company]]&gt;=1,1,0)</f>
        <v>0</v>
      </c>
      <c r="D366" s="4">
        <f>IFERROR(_xlfn.MAXIFS(Tabelle5[binding_level],Tabelle5[company_id],Tabelle18[[#This Row],[company_id]],Tabelle5[value_id],Tabelle18[[#This Row],[value_id]],Tabelle5[value_present],1),0)</f>
        <v>0</v>
      </c>
      <c r="E366" s="4">
        <f>IFERROR(_xlfn.MAXIFS(Tabelle5[value_points],Tabelle5[company_id],Tabelle18[[#This Row],[company_id]],Tabelle5[value_id],Tabelle18[[#This Row],[value_id]]),0)</f>
        <v>0</v>
      </c>
      <c r="F366" t="str">
        <f>IF(Tabelle18[[#This Row],[value_points_company]]=0,"",IFERROR(_xlfn.MINIFS(Tabelle5[doc_id],Tabelle5[company_id],Tabelle18[[#This Row],[company_id]],Tabelle5[value_id],Tabelle18[[#This Row],[value_id]],Tabelle5[value_points],Tabelle18[[#This Row],[value_points_company]]),""))</f>
        <v/>
      </c>
      <c r="G366" t="str" cm="1">
        <f t="array" ref="G366">IF(Tabelle18[[#This Row],[doc_id_strongest]]="","",IFERROR(INDEX(Tabelle5[evidence_location],MATCH(1,(Tabelle5[company_id]=Tabelle18[[#This Row],[company_id]])*(Tabelle5[value_id]=Tabelle18[[#This Row],[value_id]])*(Tabelle5[doc_id]=Tabelle18[[#This Row],[doc_id_strongest]]),0)),""))</f>
        <v/>
      </c>
      <c r="H366" s="33" t="str" cm="1">
        <f t="array" ref="H366">IF(Tabelle18[[#This Row],[doc_id_strongest]]="","",IFERROR(INDEX(Tabelle5[evidence_quote],MATCH(1,(Tabelle5[company_id]=Tabelle18[[#This Row],[company_id]])*(Tabelle5[value_id]=Tabelle18[[#This Row],[value_id]])*(Tabelle5[doc_id]=Tabelle18[[#This Row],[doc_id_strongest]]),0)),""))</f>
        <v/>
      </c>
    </row>
    <row r="367" spans="1:8" x14ac:dyDescent="0.25">
      <c r="A367" s="36">
        <v>21</v>
      </c>
      <c r="B367" t="s">
        <v>90</v>
      </c>
      <c r="C367" s="4">
        <f>IF(Tabelle18[[#This Row],[binding_level_company]]&gt;=1,1,0)</f>
        <v>0</v>
      </c>
      <c r="D367" s="4">
        <f>IFERROR(_xlfn.MAXIFS(Tabelle5[binding_level],Tabelle5[company_id],Tabelle18[[#This Row],[company_id]],Tabelle5[value_id],Tabelle18[[#This Row],[value_id]],Tabelle5[value_present],1),0)</f>
        <v>0</v>
      </c>
      <c r="E367" s="4">
        <f>IFERROR(_xlfn.MAXIFS(Tabelle5[value_points],Tabelle5[company_id],Tabelle18[[#This Row],[company_id]],Tabelle5[value_id],Tabelle18[[#This Row],[value_id]]),0)</f>
        <v>0</v>
      </c>
      <c r="F367" t="str">
        <f>IF(Tabelle18[[#This Row],[value_points_company]]=0,"",IFERROR(_xlfn.MINIFS(Tabelle5[doc_id],Tabelle5[company_id],Tabelle18[[#This Row],[company_id]],Tabelle5[value_id],Tabelle18[[#This Row],[value_id]],Tabelle5[value_points],Tabelle18[[#This Row],[value_points_company]]),""))</f>
        <v/>
      </c>
      <c r="G367" t="str" cm="1">
        <f t="array" ref="G367">IF(Tabelle18[[#This Row],[doc_id_strongest]]="","",IFERROR(INDEX(Tabelle5[evidence_location],MATCH(1,(Tabelle5[company_id]=Tabelle18[[#This Row],[company_id]])*(Tabelle5[value_id]=Tabelle18[[#This Row],[value_id]])*(Tabelle5[doc_id]=Tabelle18[[#This Row],[doc_id_strongest]]),0)),""))</f>
        <v/>
      </c>
      <c r="H367" s="33" t="str" cm="1">
        <f t="array" ref="H367">IF(Tabelle18[[#This Row],[doc_id_strongest]]="","",IFERROR(INDEX(Tabelle5[evidence_quote],MATCH(1,(Tabelle5[company_id]=Tabelle18[[#This Row],[company_id]])*(Tabelle5[value_id]=Tabelle18[[#This Row],[value_id]])*(Tabelle5[doc_id]=Tabelle18[[#This Row],[doc_id_strongest]]),0)),""))</f>
        <v/>
      </c>
    </row>
    <row r="368" spans="1:8" x14ac:dyDescent="0.25">
      <c r="A368" s="36">
        <v>21</v>
      </c>
      <c r="B368" t="s">
        <v>98</v>
      </c>
      <c r="C368" s="4">
        <f>IF(Tabelle18[[#This Row],[binding_level_company]]&gt;=1,1,0)</f>
        <v>0</v>
      </c>
      <c r="D368" s="4">
        <f>IFERROR(_xlfn.MAXIFS(Tabelle5[binding_level],Tabelle5[company_id],Tabelle18[[#This Row],[company_id]],Tabelle5[value_id],Tabelle18[[#This Row],[value_id]],Tabelle5[value_present],1),0)</f>
        <v>0</v>
      </c>
      <c r="E368" s="4">
        <f>IFERROR(_xlfn.MAXIFS(Tabelle5[value_points],Tabelle5[company_id],Tabelle18[[#This Row],[company_id]],Tabelle5[value_id],Tabelle18[[#This Row],[value_id]]),0)</f>
        <v>0</v>
      </c>
      <c r="F368" t="str">
        <f>IF(Tabelle18[[#This Row],[value_points_company]]=0,"",IFERROR(_xlfn.MINIFS(Tabelle5[doc_id],Tabelle5[company_id],Tabelle18[[#This Row],[company_id]],Tabelle5[value_id],Tabelle18[[#This Row],[value_id]],Tabelle5[value_points],Tabelle18[[#This Row],[value_points_company]]),""))</f>
        <v/>
      </c>
      <c r="G368" t="str" cm="1">
        <f t="array" ref="G368">IF(Tabelle18[[#This Row],[doc_id_strongest]]="","",IFERROR(INDEX(Tabelle5[evidence_location],MATCH(1,(Tabelle5[company_id]=Tabelle18[[#This Row],[company_id]])*(Tabelle5[value_id]=Tabelle18[[#This Row],[value_id]])*(Tabelle5[doc_id]=Tabelle18[[#This Row],[doc_id_strongest]]),0)),""))</f>
        <v/>
      </c>
      <c r="H368" s="33" t="str" cm="1">
        <f t="array" ref="H368">IF(Tabelle18[[#This Row],[doc_id_strongest]]="","",IFERROR(INDEX(Tabelle5[evidence_quote],MATCH(1,(Tabelle5[company_id]=Tabelle18[[#This Row],[company_id]])*(Tabelle5[value_id]=Tabelle18[[#This Row],[value_id]])*(Tabelle5[doc_id]=Tabelle18[[#This Row],[doc_id_strongest]]),0)),""))</f>
        <v/>
      </c>
    </row>
    <row r="369" spans="1:8" x14ac:dyDescent="0.25">
      <c r="A369" s="36">
        <v>21</v>
      </c>
      <c r="B369" t="s">
        <v>106</v>
      </c>
      <c r="C369" s="4">
        <f>IF(Tabelle18[[#This Row],[binding_level_company]]&gt;=1,1,0)</f>
        <v>0</v>
      </c>
      <c r="D369" s="4">
        <f>IFERROR(_xlfn.MAXIFS(Tabelle5[binding_level],Tabelle5[company_id],Tabelle18[[#This Row],[company_id]],Tabelle5[value_id],Tabelle18[[#This Row],[value_id]],Tabelle5[value_present],1),0)</f>
        <v>0</v>
      </c>
      <c r="E369" s="4">
        <f>IFERROR(_xlfn.MAXIFS(Tabelle5[value_points],Tabelle5[company_id],Tabelle18[[#This Row],[company_id]],Tabelle5[value_id],Tabelle18[[#This Row],[value_id]]),0)</f>
        <v>0</v>
      </c>
      <c r="F369" t="str">
        <f>IF(Tabelle18[[#This Row],[value_points_company]]=0,"",IFERROR(_xlfn.MINIFS(Tabelle5[doc_id],Tabelle5[company_id],Tabelle18[[#This Row],[company_id]],Tabelle5[value_id],Tabelle18[[#This Row],[value_id]],Tabelle5[value_points],Tabelle18[[#This Row],[value_points_company]]),""))</f>
        <v/>
      </c>
      <c r="G369" t="str" cm="1">
        <f t="array" ref="G369">IF(Tabelle18[[#This Row],[doc_id_strongest]]="","",IFERROR(INDEX(Tabelle5[evidence_location],MATCH(1,(Tabelle5[company_id]=Tabelle18[[#This Row],[company_id]])*(Tabelle5[value_id]=Tabelle18[[#This Row],[value_id]])*(Tabelle5[doc_id]=Tabelle18[[#This Row],[doc_id_strongest]]),0)),""))</f>
        <v/>
      </c>
      <c r="H369" s="33" t="str" cm="1">
        <f t="array" ref="H369">IF(Tabelle18[[#This Row],[doc_id_strongest]]="","",IFERROR(INDEX(Tabelle5[evidence_quote],MATCH(1,(Tabelle5[company_id]=Tabelle18[[#This Row],[company_id]])*(Tabelle5[value_id]=Tabelle18[[#This Row],[value_id]])*(Tabelle5[doc_id]=Tabelle18[[#This Row],[doc_id_strongest]]),0)),""))</f>
        <v/>
      </c>
    </row>
    <row r="370" spans="1:8" x14ac:dyDescent="0.25">
      <c r="A370" s="36">
        <v>21</v>
      </c>
      <c r="B370" t="s">
        <v>112</v>
      </c>
      <c r="C370" s="4">
        <f>IF(Tabelle18[[#This Row],[binding_level_company]]&gt;=1,1,0)</f>
        <v>0</v>
      </c>
      <c r="D370" s="4">
        <f>IFERROR(_xlfn.MAXIFS(Tabelle5[binding_level],Tabelle5[company_id],Tabelle18[[#This Row],[company_id]],Tabelle5[value_id],Tabelle18[[#This Row],[value_id]],Tabelle5[value_present],1),0)</f>
        <v>0</v>
      </c>
      <c r="E370" s="4">
        <f>IFERROR(_xlfn.MAXIFS(Tabelle5[value_points],Tabelle5[company_id],Tabelle18[[#This Row],[company_id]],Tabelle5[value_id],Tabelle18[[#This Row],[value_id]]),0)</f>
        <v>0</v>
      </c>
      <c r="F370" t="str">
        <f>IF(Tabelle18[[#This Row],[value_points_company]]=0,"",IFERROR(_xlfn.MINIFS(Tabelle5[doc_id],Tabelle5[company_id],Tabelle18[[#This Row],[company_id]],Tabelle5[value_id],Tabelle18[[#This Row],[value_id]],Tabelle5[value_points],Tabelle18[[#This Row],[value_points_company]]),""))</f>
        <v/>
      </c>
      <c r="G370" t="str" cm="1">
        <f t="array" ref="G370">IF(Tabelle18[[#This Row],[doc_id_strongest]]="","",IFERROR(INDEX(Tabelle5[evidence_location],MATCH(1,(Tabelle5[company_id]=Tabelle18[[#This Row],[company_id]])*(Tabelle5[value_id]=Tabelle18[[#This Row],[value_id]])*(Tabelle5[doc_id]=Tabelle18[[#This Row],[doc_id_strongest]]),0)),""))</f>
        <v/>
      </c>
      <c r="H370" s="33" t="str" cm="1">
        <f t="array" ref="H370">IF(Tabelle18[[#This Row],[doc_id_strongest]]="","",IFERROR(INDEX(Tabelle5[evidence_quote],MATCH(1,(Tabelle5[company_id]=Tabelle18[[#This Row],[company_id]])*(Tabelle5[value_id]=Tabelle18[[#This Row],[value_id]])*(Tabelle5[doc_id]=Tabelle18[[#This Row],[doc_id_strongest]]),0)),""))</f>
        <v/>
      </c>
    </row>
    <row r="371" spans="1:8" x14ac:dyDescent="0.25">
      <c r="A371" s="36">
        <v>21</v>
      </c>
      <c r="B371" t="s">
        <v>118</v>
      </c>
      <c r="C371" s="4">
        <f>IF(Tabelle18[[#This Row],[binding_level_company]]&gt;=1,1,0)</f>
        <v>0</v>
      </c>
      <c r="D371" s="4">
        <f>IFERROR(_xlfn.MAXIFS(Tabelle5[binding_level],Tabelle5[company_id],Tabelle18[[#This Row],[company_id]],Tabelle5[value_id],Tabelle18[[#This Row],[value_id]],Tabelle5[value_present],1),0)</f>
        <v>0</v>
      </c>
      <c r="E371" s="4">
        <f>IFERROR(_xlfn.MAXIFS(Tabelle5[value_points],Tabelle5[company_id],Tabelle18[[#This Row],[company_id]],Tabelle5[value_id],Tabelle18[[#This Row],[value_id]]),0)</f>
        <v>0</v>
      </c>
      <c r="F371" t="str">
        <f>IF(Tabelle18[[#This Row],[value_points_company]]=0,"",IFERROR(_xlfn.MINIFS(Tabelle5[doc_id],Tabelle5[company_id],Tabelle18[[#This Row],[company_id]],Tabelle5[value_id],Tabelle18[[#This Row],[value_id]],Tabelle5[value_points],Tabelle18[[#This Row],[value_points_company]]),""))</f>
        <v/>
      </c>
      <c r="G371" t="str" cm="1">
        <f t="array" ref="G371">IF(Tabelle18[[#This Row],[doc_id_strongest]]="","",IFERROR(INDEX(Tabelle5[evidence_location],MATCH(1,(Tabelle5[company_id]=Tabelle18[[#This Row],[company_id]])*(Tabelle5[value_id]=Tabelle18[[#This Row],[value_id]])*(Tabelle5[doc_id]=Tabelle18[[#This Row],[doc_id_strongest]]),0)),""))</f>
        <v/>
      </c>
      <c r="H371" s="33" t="str" cm="1">
        <f t="array" ref="H371">IF(Tabelle18[[#This Row],[doc_id_strongest]]="","",IFERROR(INDEX(Tabelle5[evidence_quote],MATCH(1,(Tabelle5[company_id]=Tabelle18[[#This Row],[company_id]])*(Tabelle5[value_id]=Tabelle18[[#This Row],[value_id]])*(Tabelle5[doc_id]=Tabelle18[[#This Row],[doc_id_strongest]]),0)),""))</f>
        <v/>
      </c>
    </row>
    <row r="372" spans="1:8" x14ac:dyDescent="0.25">
      <c r="A372" s="36">
        <v>21</v>
      </c>
      <c r="B372" t="s">
        <v>125</v>
      </c>
      <c r="C372" s="4">
        <f>IF(Tabelle18[[#This Row],[binding_level_company]]&gt;=1,1,0)</f>
        <v>0</v>
      </c>
      <c r="D372" s="4">
        <f>IFERROR(_xlfn.MAXIFS(Tabelle5[binding_level],Tabelle5[company_id],Tabelle18[[#This Row],[company_id]],Tabelle5[value_id],Tabelle18[[#This Row],[value_id]],Tabelle5[value_present],1),0)</f>
        <v>0</v>
      </c>
      <c r="E372" s="4">
        <f>IFERROR(_xlfn.MAXIFS(Tabelle5[value_points],Tabelle5[company_id],Tabelle18[[#This Row],[company_id]],Tabelle5[value_id],Tabelle18[[#This Row],[value_id]]),0)</f>
        <v>0</v>
      </c>
      <c r="F372" t="str">
        <f>IF(Tabelle18[[#This Row],[value_points_company]]=0,"",IFERROR(_xlfn.MINIFS(Tabelle5[doc_id],Tabelle5[company_id],Tabelle18[[#This Row],[company_id]],Tabelle5[value_id],Tabelle18[[#This Row],[value_id]],Tabelle5[value_points],Tabelle18[[#This Row],[value_points_company]]),""))</f>
        <v/>
      </c>
      <c r="G372" t="str" cm="1">
        <f t="array" ref="G372">IF(Tabelle18[[#This Row],[doc_id_strongest]]="","",IFERROR(INDEX(Tabelle5[evidence_location],MATCH(1,(Tabelle5[company_id]=Tabelle18[[#This Row],[company_id]])*(Tabelle5[value_id]=Tabelle18[[#This Row],[value_id]])*(Tabelle5[doc_id]=Tabelle18[[#This Row],[doc_id_strongest]]),0)),""))</f>
        <v/>
      </c>
      <c r="H372" s="33" t="str" cm="1">
        <f t="array" ref="H372">IF(Tabelle18[[#This Row],[doc_id_strongest]]="","",IFERROR(INDEX(Tabelle5[evidence_quote],MATCH(1,(Tabelle5[company_id]=Tabelle18[[#This Row],[company_id]])*(Tabelle5[value_id]=Tabelle18[[#This Row],[value_id]])*(Tabelle5[doc_id]=Tabelle18[[#This Row],[doc_id_strongest]]),0)),""))</f>
        <v/>
      </c>
    </row>
    <row r="373" spans="1:8" x14ac:dyDescent="0.25">
      <c r="A373" s="36">
        <v>21</v>
      </c>
      <c r="B373" t="s">
        <v>132</v>
      </c>
      <c r="C373" s="4">
        <f>IF(Tabelle18[[#This Row],[binding_level_company]]&gt;=1,1,0)</f>
        <v>0</v>
      </c>
      <c r="D373" s="4">
        <f>IFERROR(_xlfn.MAXIFS(Tabelle5[binding_level],Tabelle5[company_id],Tabelle18[[#This Row],[company_id]],Tabelle5[value_id],Tabelle18[[#This Row],[value_id]],Tabelle5[value_present],1),0)</f>
        <v>0</v>
      </c>
      <c r="E373" s="4">
        <f>IFERROR(_xlfn.MAXIFS(Tabelle5[value_points],Tabelle5[company_id],Tabelle18[[#This Row],[company_id]],Tabelle5[value_id],Tabelle18[[#This Row],[value_id]]),0)</f>
        <v>0</v>
      </c>
      <c r="F373" t="str">
        <f>IF(Tabelle18[[#This Row],[value_points_company]]=0,"",IFERROR(_xlfn.MINIFS(Tabelle5[doc_id],Tabelle5[company_id],Tabelle18[[#This Row],[company_id]],Tabelle5[value_id],Tabelle18[[#This Row],[value_id]],Tabelle5[value_points],Tabelle18[[#This Row],[value_points_company]]),""))</f>
        <v/>
      </c>
      <c r="G373" t="str" cm="1">
        <f t="array" ref="G373">IF(Tabelle18[[#This Row],[doc_id_strongest]]="","",IFERROR(INDEX(Tabelle5[evidence_location],MATCH(1,(Tabelle5[company_id]=Tabelle18[[#This Row],[company_id]])*(Tabelle5[value_id]=Tabelle18[[#This Row],[value_id]])*(Tabelle5[doc_id]=Tabelle18[[#This Row],[doc_id_strongest]]),0)),""))</f>
        <v/>
      </c>
      <c r="H373" s="33" t="str" cm="1">
        <f t="array" ref="H373">IF(Tabelle18[[#This Row],[doc_id_strongest]]="","",IFERROR(INDEX(Tabelle5[evidence_quote],MATCH(1,(Tabelle5[company_id]=Tabelle18[[#This Row],[company_id]])*(Tabelle5[value_id]=Tabelle18[[#This Row],[value_id]])*(Tabelle5[doc_id]=Tabelle18[[#This Row],[doc_id_strongest]]),0)),""))</f>
        <v/>
      </c>
    </row>
    <row r="374" spans="1:8" x14ac:dyDescent="0.25">
      <c r="A374" s="36">
        <v>21</v>
      </c>
      <c r="B374" t="s">
        <v>140</v>
      </c>
      <c r="C374" s="4">
        <f>IF(Tabelle18[[#This Row],[binding_level_company]]&gt;=1,1,0)</f>
        <v>0</v>
      </c>
      <c r="D374" s="4">
        <f>IFERROR(_xlfn.MAXIFS(Tabelle5[binding_level],Tabelle5[company_id],Tabelle18[[#This Row],[company_id]],Tabelle5[value_id],Tabelle18[[#This Row],[value_id]],Tabelle5[value_present],1),0)</f>
        <v>0</v>
      </c>
      <c r="E374" s="4">
        <f>IFERROR(_xlfn.MAXIFS(Tabelle5[value_points],Tabelle5[company_id],Tabelle18[[#This Row],[company_id]],Tabelle5[value_id],Tabelle18[[#This Row],[value_id]]),0)</f>
        <v>0</v>
      </c>
      <c r="F374" t="str">
        <f>IF(Tabelle18[[#This Row],[value_points_company]]=0,"",IFERROR(_xlfn.MINIFS(Tabelle5[doc_id],Tabelle5[company_id],Tabelle18[[#This Row],[company_id]],Tabelle5[value_id],Tabelle18[[#This Row],[value_id]],Tabelle5[value_points],Tabelle18[[#This Row],[value_points_company]]),""))</f>
        <v/>
      </c>
      <c r="G374" t="str" cm="1">
        <f t="array" ref="G374">IF(Tabelle18[[#This Row],[doc_id_strongest]]="","",IFERROR(INDEX(Tabelle5[evidence_location],MATCH(1,(Tabelle5[company_id]=Tabelle18[[#This Row],[company_id]])*(Tabelle5[value_id]=Tabelle18[[#This Row],[value_id]])*(Tabelle5[doc_id]=Tabelle18[[#This Row],[doc_id_strongest]]),0)),""))</f>
        <v/>
      </c>
      <c r="H374" s="33" t="str" cm="1">
        <f t="array" ref="H374">IF(Tabelle18[[#This Row],[doc_id_strongest]]="","",IFERROR(INDEX(Tabelle5[evidence_quote],MATCH(1,(Tabelle5[company_id]=Tabelle18[[#This Row],[company_id]])*(Tabelle5[value_id]=Tabelle18[[#This Row],[value_id]])*(Tabelle5[doc_id]=Tabelle18[[#This Row],[doc_id_strongest]]),0)),""))</f>
        <v/>
      </c>
    </row>
    <row r="375" spans="1:8" x14ac:dyDescent="0.25">
      <c r="A375" s="36">
        <v>21</v>
      </c>
      <c r="B375" t="s">
        <v>147</v>
      </c>
      <c r="C375" s="4">
        <f>IF(Tabelle18[[#This Row],[binding_level_company]]&gt;=1,1,0)</f>
        <v>0</v>
      </c>
      <c r="D375" s="4">
        <f>IFERROR(_xlfn.MAXIFS(Tabelle5[binding_level],Tabelle5[company_id],Tabelle18[[#This Row],[company_id]],Tabelle5[value_id],Tabelle18[[#This Row],[value_id]],Tabelle5[value_present],1),0)</f>
        <v>0</v>
      </c>
      <c r="E375" s="4">
        <f>IFERROR(_xlfn.MAXIFS(Tabelle5[value_points],Tabelle5[company_id],Tabelle18[[#This Row],[company_id]],Tabelle5[value_id],Tabelle18[[#This Row],[value_id]]),0)</f>
        <v>0</v>
      </c>
      <c r="F375" t="str">
        <f>IF(Tabelle18[[#This Row],[value_points_company]]=0,"",IFERROR(_xlfn.MINIFS(Tabelle5[doc_id],Tabelle5[company_id],Tabelle18[[#This Row],[company_id]],Tabelle5[value_id],Tabelle18[[#This Row],[value_id]],Tabelle5[value_points],Tabelle18[[#This Row],[value_points_company]]),""))</f>
        <v/>
      </c>
      <c r="G375" t="str" cm="1">
        <f t="array" ref="G375">IF(Tabelle18[[#This Row],[doc_id_strongest]]="","",IFERROR(INDEX(Tabelle5[evidence_location],MATCH(1,(Tabelle5[company_id]=Tabelle18[[#This Row],[company_id]])*(Tabelle5[value_id]=Tabelle18[[#This Row],[value_id]])*(Tabelle5[doc_id]=Tabelle18[[#This Row],[doc_id_strongest]]),0)),""))</f>
        <v/>
      </c>
      <c r="H375" s="33" t="str" cm="1">
        <f t="array" ref="H375">IF(Tabelle18[[#This Row],[doc_id_strongest]]="","",IFERROR(INDEX(Tabelle5[evidence_quote],MATCH(1,(Tabelle5[company_id]=Tabelle18[[#This Row],[company_id]])*(Tabelle5[value_id]=Tabelle18[[#This Row],[value_id]])*(Tabelle5[doc_id]=Tabelle18[[#This Row],[doc_id_strongest]]),0)),""))</f>
        <v/>
      </c>
    </row>
    <row r="376" spans="1:8" x14ac:dyDescent="0.25">
      <c r="A376" s="36">
        <v>21</v>
      </c>
      <c r="B376" t="s">
        <v>154</v>
      </c>
      <c r="C376" s="4">
        <f>IF(Tabelle18[[#This Row],[binding_level_company]]&gt;=1,1,0)</f>
        <v>0</v>
      </c>
      <c r="D376" s="4">
        <f>IFERROR(_xlfn.MAXIFS(Tabelle5[binding_level],Tabelle5[company_id],Tabelle18[[#This Row],[company_id]],Tabelle5[value_id],Tabelle18[[#This Row],[value_id]],Tabelle5[value_present],1),0)</f>
        <v>0</v>
      </c>
      <c r="E376" s="4">
        <f>IFERROR(_xlfn.MAXIFS(Tabelle5[value_points],Tabelle5[company_id],Tabelle18[[#This Row],[company_id]],Tabelle5[value_id],Tabelle18[[#This Row],[value_id]]),0)</f>
        <v>0</v>
      </c>
      <c r="F376" t="str">
        <f>IF(Tabelle18[[#This Row],[value_points_company]]=0,"",IFERROR(_xlfn.MINIFS(Tabelle5[doc_id],Tabelle5[company_id],Tabelle18[[#This Row],[company_id]],Tabelle5[value_id],Tabelle18[[#This Row],[value_id]],Tabelle5[value_points],Tabelle18[[#This Row],[value_points_company]]),""))</f>
        <v/>
      </c>
      <c r="G376" t="str" cm="1">
        <f t="array" ref="G376">IF(Tabelle18[[#This Row],[doc_id_strongest]]="","",IFERROR(INDEX(Tabelle5[evidence_location],MATCH(1,(Tabelle5[company_id]=Tabelle18[[#This Row],[company_id]])*(Tabelle5[value_id]=Tabelle18[[#This Row],[value_id]])*(Tabelle5[doc_id]=Tabelle18[[#This Row],[doc_id_strongest]]),0)),""))</f>
        <v/>
      </c>
      <c r="H376" s="33" t="str" cm="1">
        <f t="array" ref="H376">IF(Tabelle18[[#This Row],[doc_id_strongest]]="","",IFERROR(INDEX(Tabelle5[evidence_quote],MATCH(1,(Tabelle5[company_id]=Tabelle18[[#This Row],[company_id]])*(Tabelle5[value_id]=Tabelle18[[#This Row],[value_id]])*(Tabelle5[doc_id]=Tabelle18[[#This Row],[doc_id_strongest]]),0)),""))</f>
        <v/>
      </c>
    </row>
    <row r="377" spans="1:8" x14ac:dyDescent="0.25">
      <c r="A377" s="36">
        <v>21</v>
      </c>
      <c r="B377" t="s">
        <v>161</v>
      </c>
      <c r="C377" s="4">
        <f>IF(Tabelle18[[#This Row],[binding_level_company]]&gt;=1,1,0)</f>
        <v>0</v>
      </c>
      <c r="D377" s="4">
        <f>IFERROR(_xlfn.MAXIFS(Tabelle5[binding_level],Tabelle5[company_id],Tabelle18[[#This Row],[company_id]],Tabelle5[value_id],Tabelle18[[#This Row],[value_id]],Tabelle5[value_present],1),0)</f>
        <v>0</v>
      </c>
      <c r="E377" s="4">
        <f>IFERROR(_xlfn.MAXIFS(Tabelle5[value_points],Tabelle5[company_id],Tabelle18[[#This Row],[company_id]],Tabelle5[value_id],Tabelle18[[#This Row],[value_id]]),0)</f>
        <v>0</v>
      </c>
      <c r="F377" t="str">
        <f>IF(Tabelle18[[#This Row],[value_points_company]]=0,"",IFERROR(_xlfn.MINIFS(Tabelle5[doc_id],Tabelle5[company_id],Tabelle18[[#This Row],[company_id]],Tabelle5[value_id],Tabelle18[[#This Row],[value_id]],Tabelle5[value_points],Tabelle18[[#This Row],[value_points_company]]),""))</f>
        <v/>
      </c>
      <c r="G377" t="str" cm="1">
        <f t="array" ref="G377">IF(Tabelle18[[#This Row],[doc_id_strongest]]="","",IFERROR(INDEX(Tabelle5[evidence_location],MATCH(1,(Tabelle5[company_id]=Tabelle18[[#This Row],[company_id]])*(Tabelle5[value_id]=Tabelle18[[#This Row],[value_id]])*(Tabelle5[doc_id]=Tabelle18[[#This Row],[doc_id_strongest]]),0)),""))</f>
        <v/>
      </c>
      <c r="H377" s="33" t="str" cm="1">
        <f t="array" ref="H377">IF(Tabelle18[[#This Row],[doc_id_strongest]]="","",IFERROR(INDEX(Tabelle5[evidence_quote],MATCH(1,(Tabelle5[company_id]=Tabelle18[[#This Row],[company_id]])*(Tabelle5[value_id]=Tabelle18[[#This Row],[value_id]])*(Tabelle5[doc_id]=Tabelle18[[#This Row],[doc_id_strongest]]),0)),""))</f>
        <v/>
      </c>
    </row>
    <row r="378" spans="1:8" x14ac:dyDescent="0.25">
      <c r="A378" s="36">
        <v>21</v>
      </c>
      <c r="B378" t="s">
        <v>166</v>
      </c>
      <c r="C378" s="4">
        <f>IF(Tabelle18[[#This Row],[binding_level_company]]&gt;=1,1,0)</f>
        <v>0</v>
      </c>
      <c r="D378" s="4">
        <f>IFERROR(_xlfn.MAXIFS(Tabelle5[binding_level],Tabelle5[company_id],Tabelle18[[#This Row],[company_id]],Tabelle5[value_id],Tabelle18[[#This Row],[value_id]],Tabelle5[value_present],1),0)</f>
        <v>0</v>
      </c>
      <c r="E378" s="4">
        <f>IFERROR(_xlfn.MAXIFS(Tabelle5[value_points],Tabelle5[company_id],Tabelle18[[#This Row],[company_id]],Tabelle5[value_id],Tabelle18[[#This Row],[value_id]]),0)</f>
        <v>0</v>
      </c>
      <c r="F378" t="str">
        <f>IF(Tabelle18[[#This Row],[value_points_company]]=0,"",IFERROR(_xlfn.MINIFS(Tabelle5[doc_id],Tabelle5[company_id],Tabelle18[[#This Row],[company_id]],Tabelle5[value_id],Tabelle18[[#This Row],[value_id]],Tabelle5[value_points],Tabelle18[[#This Row],[value_points_company]]),""))</f>
        <v/>
      </c>
      <c r="G378" t="str" cm="1">
        <f t="array" ref="G378">IF(Tabelle18[[#This Row],[doc_id_strongest]]="","",IFERROR(INDEX(Tabelle5[evidence_location],MATCH(1,(Tabelle5[company_id]=Tabelle18[[#This Row],[company_id]])*(Tabelle5[value_id]=Tabelle18[[#This Row],[value_id]])*(Tabelle5[doc_id]=Tabelle18[[#This Row],[doc_id_strongest]]),0)),""))</f>
        <v/>
      </c>
      <c r="H378" s="33" t="str" cm="1">
        <f t="array" ref="H378">IF(Tabelle18[[#This Row],[doc_id_strongest]]="","",IFERROR(INDEX(Tabelle5[evidence_quote],MATCH(1,(Tabelle5[company_id]=Tabelle18[[#This Row],[company_id]])*(Tabelle5[value_id]=Tabelle18[[#This Row],[value_id]])*(Tabelle5[doc_id]=Tabelle18[[#This Row],[doc_id_strongest]]),0)),""))</f>
        <v/>
      </c>
    </row>
    <row r="379" spans="1:8" ht="15.75" thickBot="1" x14ac:dyDescent="0.3">
      <c r="A379" s="37">
        <v>21</v>
      </c>
      <c r="B379" s="30" t="s">
        <v>174</v>
      </c>
      <c r="C379" s="49">
        <f>IF(Tabelle18[[#This Row],[binding_level_company]]&gt;=1,1,0)</f>
        <v>0</v>
      </c>
      <c r="D379" s="49">
        <f>IFERROR(_xlfn.MAXIFS(Tabelle5[binding_level],Tabelle5[company_id],Tabelle18[[#This Row],[company_id]],Tabelle5[value_id],Tabelle18[[#This Row],[value_id]],Tabelle5[value_present],1),0)</f>
        <v>0</v>
      </c>
      <c r="E379" s="49">
        <f>IFERROR(_xlfn.MAXIFS(Tabelle5[value_points],Tabelle5[company_id],Tabelle18[[#This Row],[company_id]],Tabelle5[value_id],Tabelle18[[#This Row],[value_id]]),0)</f>
        <v>0</v>
      </c>
      <c r="F379" s="30" t="str">
        <f>IF(Tabelle18[[#This Row],[value_points_company]]=0,"",IFERROR(_xlfn.MINIFS(Tabelle5[doc_id],Tabelle5[company_id],Tabelle18[[#This Row],[company_id]],Tabelle5[value_id],Tabelle18[[#This Row],[value_id]],Tabelle5[value_points],Tabelle18[[#This Row],[value_points_company]]),""))</f>
        <v/>
      </c>
      <c r="G379" s="30" t="str" cm="1">
        <f t="array" ref="G379">IF(Tabelle18[[#This Row],[doc_id_strongest]]="","",IFERROR(INDEX(Tabelle5[evidence_location],MATCH(1,(Tabelle5[company_id]=Tabelle18[[#This Row],[company_id]])*(Tabelle5[value_id]=Tabelle18[[#This Row],[value_id]])*(Tabelle5[doc_id]=Tabelle18[[#This Row],[doc_id_strongest]]),0)),""))</f>
        <v/>
      </c>
      <c r="H379" s="34" t="str" cm="1">
        <f t="array" ref="H379">IF(Tabelle18[[#This Row],[doc_id_strongest]]="","",IFERROR(INDEX(Tabelle5[evidence_quote],MATCH(1,(Tabelle5[company_id]=Tabelle18[[#This Row],[company_id]])*(Tabelle5[value_id]=Tabelle18[[#This Row],[value_id]])*(Tabelle5[doc_id]=Tabelle18[[#This Row],[doc_id_strongest]]),0)),""))</f>
        <v/>
      </c>
    </row>
    <row r="380" spans="1:8" x14ac:dyDescent="0.25">
      <c r="A380" s="35">
        <v>22</v>
      </c>
      <c r="B380" s="22" t="s">
        <v>53</v>
      </c>
      <c r="C380" s="48">
        <f>IF(Tabelle18[[#This Row],[binding_level_company]]&gt;=1,1,0)</f>
        <v>1</v>
      </c>
      <c r="D380" s="48">
        <f>IFERROR(_xlfn.MAXIFS(Tabelle5[binding_level],Tabelle5[company_id],Tabelle18[[#This Row],[company_id]],Tabelle5[value_id],Tabelle18[[#This Row],[value_id]],Tabelle5[value_present],1),0)</f>
        <v>2</v>
      </c>
      <c r="E380" s="48">
        <f>IFERROR(_xlfn.MAXIFS(Tabelle5[value_points],Tabelle5[company_id],Tabelle18[[#This Row],[company_id]],Tabelle5[value_id],Tabelle18[[#This Row],[value_id]]),0)</f>
        <v>2</v>
      </c>
      <c r="F380" s="22">
        <f>IF(Tabelle18[[#This Row],[value_points_company]]=0,"",IFERROR(_xlfn.MINIFS(Tabelle5[doc_id],Tabelle5[company_id],Tabelle18[[#This Row],[company_id]],Tabelle5[value_id],Tabelle18[[#This Row],[value_id]],Tabelle5[value_points],Tabelle18[[#This Row],[value_points_company]]),""))</f>
        <v>132</v>
      </c>
      <c r="G380" s="22" t="str" cm="1">
        <f t="array" ref="G380">IF(Tabelle18[[#This Row],[doc_id_strongest]]="","",IFERROR(INDEX(Tabelle5[evidence_location],MATCH(1,(Tabelle5[company_id]=Tabelle18[[#This Row],[company_id]])*(Tabelle5[value_id]=Tabelle18[[#This Row],[value_id]])*(Tabelle5[doc_id]=Tabelle18[[#This Row],[doc_id_strongest]]),0)),""))</f>
        <v>S. 18, DIGITAL SAFETY &amp; ETHICS</v>
      </c>
      <c r="H380" s="32" t="str" cm="1">
        <f t="array" ref="H380">IF(Tabelle18[[#This Row],[doc_id_strongest]]="","",IFERROR(INDEX(Tabelle5[evidence_quote],MATCH(1,(Tabelle5[company_id]=Tabelle18[[#This Row],[company_id]])*(Tabelle5[value_id]=Tabelle18[[#This Row],[value_id]])*(Tabelle5[doc_id]=Tabelle18[[#This Row],[doc_id_strongest]]),0)),""))</f>
        <v>“clear oversight mechanisms”</v>
      </c>
    </row>
    <row r="381" spans="1:8" x14ac:dyDescent="0.25">
      <c r="A381" s="36">
        <v>22</v>
      </c>
      <c r="B381" t="s">
        <v>61</v>
      </c>
      <c r="C381" s="4">
        <f>IF(Tabelle18[[#This Row],[binding_level_company]]&gt;=1,1,0)</f>
        <v>1</v>
      </c>
      <c r="D381" s="4">
        <f>IFERROR(_xlfn.MAXIFS(Tabelle5[binding_level],Tabelle5[company_id],Tabelle18[[#This Row],[company_id]],Tabelle5[value_id],Tabelle18[[#This Row],[value_id]],Tabelle5[value_present],1),0)</f>
        <v>2</v>
      </c>
      <c r="E381" s="4">
        <f>IFERROR(_xlfn.MAXIFS(Tabelle5[value_points],Tabelle5[company_id],Tabelle18[[#This Row],[company_id]],Tabelle5[value_id],Tabelle18[[#This Row],[value_id]]),0)</f>
        <v>2</v>
      </c>
      <c r="F381">
        <f>IF(Tabelle18[[#This Row],[value_points_company]]=0,"",IFERROR(_xlfn.MINIFS(Tabelle5[doc_id],Tabelle5[company_id],Tabelle18[[#This Row],[company_id]],Tabelle5[value_id],Tabelle18[[#This Row],[value_id]],Tabelle5[value_points],Tabelle18[[#This Row],[value_points_company]]),""))</f>
        <v>132</v>
      </c>
      <c r="G381" t="str" cm="1">
        <f t="array" ref="G381">IF(Tabelle18[[#This Row],[doc_id_strongest]]="","",IFERROR(INDEX(Tabelle5[evidence_location],MATCH(1,(Tabelle5[company_id]=Tabelle18[[#This Row],[company_id]])*(Tabelle5[value_id]=Tabelle18[[#This Row],[value_id]])*(Tabelle5[doc_id]=Tabelle18[[#This Row],[doc_id_strongest]]),0)),""))</f>
        <v>S. 18, DIGITAL SAFETY &amp; ETHICS</v>
      </c>
      <c r="H381" s="33" t="str" cm="1">
        <f t="array" ref="H381">IF(Tabelle18[[#This Row],[doc_id_strongest]]="","",IFERROR(INDEX(Tabelle5[evidence_quote],MATCH(1,(Tabelle5[company_id]=Tabelle18[[#This Row],[company_id]])*(Tabelle5[value_id]=Tabelle18[[#This Row],[value_id]])*(Tabelle5[doc_id]=Tabelle18[[#This Row],[doc_id_strongest]]),0)),""))</f>
        <v>“accountability”</v>
      </c>
    </row>
    <row r="382" spans="1:8" x14ac:dyDescent="0.25">
      <c r="A382" s="36">
        <v>22</v>
      </c>
      <c r="B382" t="s">
        <v>69</v>
      </c>
      <c r="C382" s="4">
        <f>IF(Tabelle18[[#This Row],[binding_level_company]]&gt;=1,1,0)</f>
        <v>1</v>
      </c>
      <c r="D382" s="4">
        <f>IFERROR(_xlfn.MAXIFS(Tabelle5[binding_level],Tabelle5[company_id],Tabelle18[[#This Row],[company_id]],Tabelle5[value_id],Tabelle18[[#This Row],[value_id]],Tabelle5[value_present],1),0)</f>
        <v>2</v>
      </c>
      <c r="E382" s="4">
        <f>IFERROR(_xlfn.MAXIFS(Tabelle5[value_points],Tabelle5[company_id],Tabelle18[[#This Row],[company_id]],Tabelle5[value_id],Tabelle18[[#This Row],[value_id]]),0)</f>
        <v>2</v>
      </c>
      <c r="F382">
        <f>IF(Tabelle18[[#This Row],[value_points_company]]=0,"",IFERROR(_xlfn.MINIFS(Tabelle5[doc_id],Tabelle5[company_id],Tabelle18[[#This Row],[company_id]],Tabelle5[value_id],Tabelle18[[#This Row],[value_id]],Tabelle5[value_points],Tabelle18[[#This Row],[value_points_company]]),""))</f>
        <v>132</v>
      </c>
      <c r="G382" t="str" cm="1">
        <f t="array" ref="G382">IF(Tabelle18[[#This Row],[doc_id_strongest]]="","",IFERROR(INDEX(Tabelle5[evidence_location],MATCH(1,(Tabelle5[company_id]=Tabelle18[[#This Row],[company_id]])*(Tabelle5[value_id]=Tabelle18[[#This Row],[value_id]])*(Tabelle5[doc_id]=Tabelle18[[#This Row],[doc_id_strongest]]),0)),""))</f>
        <v>S. 18, DIGITAL SAFETY &amp; ETHICS</v>
      </c>
      <c r="H382" s="33" t="str" cm="1">
        <f t="array" ref="H382">IF(Tabelle18[[#This Row],[doc_id_strongest]]="","",IFERROR(INDEX(Tabelle5[evidence_quote],MATCH(1,(Tabelle5[company_id]=Tabelle18[[#This Row],[company_id]])*(Tabelle5[value_id]=Tabelle18[[#This Row],[value_id]])*(Tabelle5[doc_id]=Tabelle18[[#This Row],[doc_id_strongest]]),0)),""))</f>
        <v>“must respect fundamental principles of transparency”</v>
      </c>
    </row>
    <row r="383" spans="1:8" x14ac:dyDescent="0.25">
      <c r="A383" s="36">
        <v>22</v>
      </c>
      <c r="B383" t="s">
        <v>76</v>
      </c>
      <c r="C383" s="4">
        <f>IF(Tabelle18[[#This Row],[binding_level_company]]&gt;=1,1,0)</f>
        <v>0</v>
      </c>
      <c r="D383" s="4">
        <f>IFERROR(_xlfn.MAXIFS(Tabelle5[binding_level],Tabelle5[company_id],Tabelle18[[#This Row],[company_id]],Tabelle5[value_id],Tabelle18[[#This Row],[value_id]],Tabelle5[value_present],1),0)</f>
        <v>0</v>
      </c>
      <c r="E383" s="4">
        <f>IFERROR(_xlfn.MAXIFS(Tabelle5[value_points],Tabelle5[company_id],Tabelle18[[#This Row],[company_id]],Tabelle5[value_id],Tabelle18[[#This Row],[value_id]]),0)</f>
        <v>0</v>
      </c>
      <c r="F383" t="str">
        <f>IF(Tabelle18[[#This Row],[value_points_company]]=0,"",IFERROR(_xlfn.MINIFS(Tabelle5[doc_id],Tabelle5[company_id],Tabelle18[[#This Row],[company_id]],Tabelle5[value_id],Tabelle18[[#This Row],[value_id]],Tabelle5[value_points],Tabelle18[[#This Row],[value_points_company]]),""))</f>
        <v/>
      </c>
      <c r="G383" t="str" cm="1">
        <f t="array" ref="G383">IF(Tabelle18[[#This Row],[doc_id_strongest]]="","",IFERROR(INDEX(Tabelle5[evidence_location],MATCH(1,(Tabelle5[company_id]=Tabelle18[[#This Row],[company_id]])*(Tabelle5[value_id]=Tabelle18[[#This Row],[value_id]])*(Tabelle5[doc_id]=Tabelle18[[#This Row],[doc_id_strongest]]),0)),""))</f>
        <v/>
      </c>
      <c r="H383" s="33" t="str" cm="1">
        <f t="array" ref="H383">IF(Tabelle18[[#This Row],[doc_id_strongest]]="","",IFERROR(INDEX(Tabelle5[evidence_quote],MATCH(1,(Tabelle5[company_id]=Tabelle18[[#This Row],[company_id]])*(Tabelle5[value_id]=Tabelle18[[#This Row],[value_id]])*(Tabelle5[doc_id]=Tabelle18[[#This Row],[doc_id_strongest]]),0)),""))</f>
        <v/>
      </c>
    </row>
    <row r="384" spans="1:8" x14ac:dyDescent="0.25">
      <c r="A384" s="36">
        <v>22</v>
      </c>
      <c r="B384" t="s">
        <v>83</v>
      </c>
      <c r="C384" s="4">
        <f>IF(Tabelle18[[#This Row],[binding_level_company]]&gt;=1,1,0)</f>
        <v>0</v>
      </c>
      <c r="D384" s="4">
        <f>IFERROR(_xlfn.MAXIFS(Tabelle5[binding_level],Tabelle5[company_id],Tabelle18[[#This Row],[company_id]],Tabelle5[value_id],Tabelle18[[#This Row],[value_id]],Tabelle5[value_present],1),0)</f>
        <v>0</v>
      </c>
      <c r="E384" s="4">
        <f>IFERROR(_xlfn.MAXIFS(Tabelle5[value_points],Tabelle5[company_id],Tabelle18[[#This Row],[company_id]],Tabelle5[value_id],Tabelle18[[#This Row],[value_id]]),0)</f>
        <v>0</v>
      </c>
      <c r="F384" t="str">
        <f>IF(Tabelle18[[#This Row],[value_points_company]]=0,"",IFERROR(_xlfn.MINIFS(Tabelle5[doc_id],Tabelle5[company_id],Tabelle18[[#This Row],[company_id]],Tabelle5[value_id],Tabelle18[[#This Row],[value_id]],Tabelle5[value_points],Tabelle18[[#This Row],[value_points_company]]),""))</f>
        <v/>
      </c>
      <c r="G384" t="str" cm="1">
        <f t="array" ref="G384">IF(Tabelle18[[#This Row],[doc_id_strongest]]="","",IFERROR(INDEX(Tabelle5[evidence_location],MATCH(1,(Tabelle5[company_id]=Tabelle18[[#This Row],[company_id]])*(Tabelle5[value_id]=Tabelle18[[#This Row],[value_id]])*(Tabelle5[doc_id]=Tabelle18[[#This Row],[doc_id_strongest]]),0)),""))</f>
        <v/>
      </c>
      <c r="H384" s="33" t="str" cm="1">
        <f t="array" ref="H384">IF(Tabelle18[[#This Row],[doc_id_strongest]]="","",IFERROR(INDEX(Tabelle5[evidence_quote],MATCH(1,(Tabelle5[company_id]=Tabelle18[[#This Row],[company_id]])*(Tabelle5[value_id]=Tabelle18[[#This Row],[value_id]])*(Tabelle5[doc_id]=Tabelle18[[#This Row],[doc_id_strongest]]),0)),""))</f>
        <v/>
      </c>
    </row>
    <row r="385" spans="1:8" x14ac:dyDescent="0.25">
      <c r="A385" s="36">
        <v>22</v>
      </c>
      <c r="B385" t="s">
        <v>90</v>
      </c>
      <c r="C385" s="4">
        <f>IF(Tabelle18[[#This Row],[binding_level_company]]&gt;=1,1,0)</f>
        <v>0</v>
      </c>
      <c r="D385" s="4">
        <f>IFERROR(_xlfn.MAXIFS(Tabelle5[binding_level],Tabelle5[company_id],Tabelle18[[#This Row],[company_id]],Tabelle5[value_id],Tabelle18[[#This Row],[value_id]],Tabelle5[value_present],1),0)</f>
        <v>0</v>
      </c>
      <c r="E385" s="4">
        <f>IFERROR(_xlfn.MAXIFS(Tabelle5[value_points],Tabelle5[company_id],Tabelle18[[#This Row],[company_id]],Tabelle5[value_id],Tabelle18[[#This Row],[value_id]]),0)</f>
        <v>0</v>
      </c>
      <c r="F385" t="str">
        <f>IF(Tabelle18[[#This Row],[value_points_company]]=0,"",IFERROR(_xlfn.MINIFS(Tabelle5[doc_id],Tabelle5[company_id],Tabelle18[[#This Row],[company_id]],Tabelle5[value_id],Tabelle18[[#This Row],[value_id]],Tabelle5[value_points],Tabelle18[[#This Row],[value_points_company]]),""))</f>
        <v/>
      </c>
      <c r="G385" t="str" cm="1">
        <f t="array" ref="G385">IF(Tabelle18[[#This Row],[doc_id_strongest]]="","",IFERROR(INDEX(Tabelle5[evidence_location],MATCH(1,(Tabelle5[company_id]=Tabelle18[[#This Row],[company_id]])*(Tabelle5[value_id]=Tabelle18[[#This Row],[value_id]])*(Tabelle5[doc_id]=Tabelle18[[#This Row],[doc_id_strongest]]),0)),""))</f>
        <v/>
      </c>
      <c r="H385" s="33" t="str" cm="1">
        <f t="array" ref="H385">IF(Tabelle18[[#This Row],[doc_id_strongest]]="","",IFERROR(INDEX(Tabelle5[evidence_quote],MATCH(1,(Tabelle5[company_id]=Tabelle18[[#This Row],[company_id]])*(Tabelle5[value_id]=Tabelle18[[#This Row],[value_id]])*(Tabelle5[doc_id]=Tabelle18[[#This Row],[doc_id_strongest]]),0)),""))</f>
        <v/>
      </c>
    </row>
    <row r="386" spans="1:8" x14ac:dyDescent="0.25">
      <c r="A386" s="36">
        <v>22</v>
      </c>
      <c r="B386" t="s">
        <v>98</v>
      </c>
      <c r="C386" s="4">
        <f>IF(Tabelle18[[#This Row],[binding_level_company]]&gt;=1,1,0)</f>
        <v>0</v>
      </c>
      <c r="D386" s="4">
        <f>IFERROR(_xlfn.MAXIFS(Tabelle5[binding_level],Tabelle5[company_id],Tabelle18[[#This Row],[company_id]],Tabelle5[value_id],Tabelle18[[#This Row],[value_id]],Tabelle5[value_present],1),0)</f>
        <v>0</v>
      </c>
      <c r="E386" s="4">
        <f>IFERROR(_xlfn.MAXIFS(Tabelle5[value_points],Tabelle5[company_id],Tabelle18[[#This Row],[company_id]],Tabelle5[value_id],Tabelle18[[#This Row],[value_id]]),0)</f>
        <v>0</v>
      </c>
      <c r="F386" t="str">
        <f>IF(Tabelle18[[#This Row],[value_points_company]]=0,"",IFERROR(_xlfn.MINIFS(Tabelle5[doc_id],Tabelle5[company_id],Tabelle18[[#This Row],[company_id]],Tabelle5[value_id],Tabelle18[[#This Row],[value_id]],Tabelle5[value_points],Tabelle18[[#This Row],[value_points_company]]),""))</f>
        <v/>
      </c>
      <c r="G386" t="str" cm="1">
        <f t="array" ref="G386">IF(Tabelle18[[#This Row],[doc_id_strongest]]="","",IFERROR(INDEX(Tabelle5[evidence_location],MATCH(1,(Tabelle5[company_id]=Tabelle18[[#This Row],[company_id]])*(Tabelle5[value_id]=Tabelle18[[#This Row],[value_id]])*(Tabelle5[doc_id]=Tabelle18[[#This Row],[doc_id_strongest]]),0)),""))</f>
        <v/>
      </c>
      <c r="H386" s="33" t="str" cm="1">
        <f t="array" ref="H386">IF(Tabelle18[[#This Row],[doc_id_strongest]]="","",IFERROR(INDEX(Tabelle5[evidence_quote],MATCH(1,(Tabelle5[company_id]=Tabelle18[[#This Row],[company_id]])*(Tabelle5[value_id]=Tabelle18[[#This Row],[value_id]])*(Tabelle5[doc_id]=Tabelle18[[#This Row],[doc_id_strongest]]),0)),""))</f>
        <v/>
      </c>
    </row>
    <row r="387" spans="1:8" x14ac:dyDescent="0.25">
      <c r="A387" s="36">
        <v>22</v>
      </c>
      <c r="B387" t="s">
        <v>106</v>
      </c>
      <c r="C387" s="4">
        <f>IF(Tabelle18[[#This Row],[binding_level_company]]&gt;=1,1,0)</f>
        <v>1</v>
      </c>
      <c r="D387" s="4">
        <f>IFERROR(_xlfn.MAXIFS(Tabelle5[binding_level],Tabelle5[company_id],Tabelle18[[#This Row],[company_id]],Tabelle5[value_id],Tabelle18[[#This Row],[value_id]],Tabelle5[value_present],1),0)</f>
        <v>2</v>
      </c>
      <c r="E387" s="4">
        <f>IFERROR(_xlfn.MAXIFS(Tabelle5[value_points],Tabelle5[company_id],Tabelle18[[#This Row],[company_id]],Tabelle5[value_id],Tabelle18[[#This Row],[value_id]]),0)</f>
        <v>2</v>
      </c>
      <c r="F387">
        <f>IF(Tabelle18[[#This Row],[value_points_company]]=0,"",IFERROR(_xlfn.MINIFS(Tabelle5[doc_id],Tabelle5[company_id],Tabelle18[[#This Row],[company_id]],Tabelle5[value_id],Tabelle18[[#This Row],[value_id]],Tabelle5[value_points],Tabelle18[[#This Row],[value_points_company]]),""))</f>
        <v>132</v>
      </c>
      <c r="G387" t="str" cm="1">
        <f t="array" ref="G387">IF(Tabelle18[[#This Row],[doc_id_strongest]]="","",IFERROR(INDEX(Tabelle5[evidence_location],MATCH(1,(Tabelle5[company_id]=Tabelle18[[#This Row],[company_id]])*(Tabelle5[value_id]=Tabelle18[[#This Row],[value_id]])*(Tabelle5[doc_id]=Tabelle18[[#This Row],[doc_id_strongest]]),0)),""))</f>
        <v>S. 18, DIGITAL SAFETY &amp; ETHICS</v>
      </c>
      <c r="H387" s="33" t="str" cm="1">
        <f t="array" ref="H387">IF(Tabelle18[[#This Row],[doc_id_strongest]]="","",IFERROR(INDEX(Tabelle5[evidence_quote],MATCH(1,(Tabelle5[company_id]=Tabelle18[[#This Row],[company_id]])*(Tabelle5[value_id]=Tabelle18[[#This Row],[value_id]])*(Tabelle5[doc_id]=Tabelle18[[#This Row],[doc_id_strongest]]),0)),""))</f>
        <v>“mitigate associated risks”</v>
      </c>
    </row>
    <row r="388" spans="1:8" x14ac:dyDescent="0.25">
      <c r="A388" s="36">
        <v>22</v>
      </c>
      <c r="B388" t="s">
        <v>112</v>
      </c>
      <c r="C388" s="4">
        <f>IF(Tabelle18[[#This Row],[binding_level_company]]&gt;=1,1,0)</f>
        <v>1</v>
      </c>
      <c r="D388" s="4">
        <f>IFERROR(_xlfn.MAXIFS(Tabelle5[binding_level],Tabelle5[company_id],Tabelle18[[#This Row],[company_id]],Tabelle5[value_id],Tabelle18[[#This Row],[value_id]],Tabelle5[value_present],1),0)</f>
        <v>2</v>
      </c>
      <c r="E388" s="4">
        <f>IFERROR(_xlfn.MAXIFS(Tabelle5[value_points],Tabelle5[company_id],Tabelle18[[#This Row],[company_id]],Tabelle5[value_id],Tabelle18[[#This Row],[value_id]]),0)</f>
        <v>2</v>
      </c>
      <c r="F388">
        <f>IF(Tabelle18[[#This Row],[value_points_company]]=0,"",IFERROR(_xlfn.MINIFS(Tabelle5[doc_id],Tabelle5[company_id],Tabelle18[[#This Row],[company_id]],Tabelle5[value_id],Tabelle18[[#This Row],[value_id]],Tabelle5[value_points],Tabelle18[[#This Row],[value_points_company]]),""))</f>
        <v>132</v>
      </c>
      <c r="G388" t="str" cm="1">
        <f t="array" ref="G388">IF(Tabelle18[[#This Row],[doc_id_strongest]]="","",IFERROR(INDEX(Tabelle5[evidence_location],MATCH(1,(Tabelle5[company_id]=Tabelle18[[#This Row],[company_id]])*(Tabelle5[value_id]=Tabelle18[[#This Row],[value_id]])*(Tabelle5[doc_id]=Tabelle18[[#This Row],[doc_id_strongest]]),0)),""))</f>
        <v>S. 18, DIGITAL SAFETY &amp; ETHICS</v>
      </c>
      <c r="H388" s="33" t="str" cm="1">
        <f t="array" ref="H388">IF(Tabelle18[[#This Row],[doc_id_strongest]]="","",IFERROR(INDEX(Tabelle5[evidence_quote],MATCH(1,(Tabelle5[company_id]=Tabelle18[[#This Row],[company_id]])*(Tabelle5[value_id]=Tabelle18[[#This Row],[value_id]])*(Tabelle5[doc_id]=Tabelle18[[#This Row],[doc_id_strongest]]),0)),""))</f>
        <v>“accuracy”</v>
      </c>
    </row>
    <row r="389" spans="1:8" x14ac:dyDescent="0.25">
      <c r="A389" s="36">
        <v>22</v>
      </c>
      <c r="B389" t="s">
        <v>118</v>
      </c>
      <c r="C389" s="4">
        <f>IF(Tabelle18[[#This Row],[binding_level_company]]&gt;=1,1,0)</f>
        <v>0</v>
      </c>
      <c r="D389" s="4">
        <f>IFERROR(_xlfn.MAXIFS(Tabelle5[binding_level],Tabelle5[company_id],Tabelle18[[#This Row],[company_id]],Tabelle5[value_id],Tabelle18[[#This Row],[value_id]],Tabelle5[value_present],1),0)</f>
        <v>0</v>
      </c>
      <c r="E389" s="4">
        <f>IFERROR(_xlfn.MAXIFS(Tabelle5[value_points],Tabelle5[company_id],Tabelle18[[#This Row],[company_id]],Tabelle5[value_id],Tabelle18[[#This Row],[value_id]]),0)</f>
        <v>0</v>
      </c>
      <c r="F389" t="str">
        <f>IF(Tabelle18[[#This Row],[value_points_company]]=0,"",IFERROR(_xlfn.MINIFS(Tabelle5[doc_id],Tabelle5[company_id],Tabelle18[[#This Row],[company_id]],Tabelle5[value_id],Tabelle18[[#This Row],[value_id]],Tabelle5[value_points],Tabelle18[[#This Row],[value_points_company]]),""))</f>
        <v/>
      </c>
      <c r="G389" t="str" cm="1">
        <f t="array" ref="G389">IF(Tabelle18[[#This Row],[doc_id_strongest]]="","",IFERROR(INDEX(Tabelle5[evidence_location],MATCH(1,(Tabelle5[company_id]=Tabelle18[[#This Row],[company_id]])*(Tabelle5[value_id]=Tabelle18[[#This Row],[value_id]])*(Tabelle5[doc_id]=Tabelle18[[#This Row],[doc_id_strongest]]),0)),""))</f>
        <v/>
      </c>
      <c r="H389" s="33" t="str" cm="1">
        <f t="array" ref="H389">IF(Tabelle18[[#This Row],[doc_id_strongest]]="","",IFERROR(INDEX(Tabelle5[evidence_quote],MATCH(1,(Tabelle5[company_id]=Tabelle18[[#This Row],[company_id]])*(Tabelle5[value_id]=Tabelle18[[#This Row],[value_id]])*(Tabelle5[doc_id]=Tabelle18[[#This Row],[doc_id_strongest]]),0)),""))</f>
        <v/>
      </c>
    </row>
    <row r="390" spans="1:8" x14ac:dyDescent="0.25">
      <c r="A390" s="36">
        <v>22</v>
      </c>
      <c r="B390" t="s">
        <v>125</v>
      </c>
      <c r="C390" s="4">
        <f>IF(Tabelle18[[#This Row],[binding_level_company]]&gt;=1,1,0)</f>
        <v>0</v>
      </c>
      <c r="D390" s="4">
        <f>IFERROR(_xlfn.MAXIFS(Tabelle5[binding_level],Tabelle5[company_id],Tabelle18[[#This Row],[company_id]],Tabelle5[value_id],Tabelle18[[#This Row],[value_id]],Tabelle5[value_present],1),0)</f>
        <v>0</v>
      </c>
      <c r="E390" s="4">
        <f>IFERROR(_xlfn.MAXIFS(Tabelle5[value_points],Tabelle5[company_id],Tabelle18[[#This Row],[company_id]],Tabelle5[value_id],Tabelle18[[#This Row],[value_id]]),0)</f>
        <v>0</v>
      </c>
      <c r="F390" t="str">
        <f>IF(Tabelle18[[#This Row],[value_points_company]]=0,"",IFERROR(_xlfn.MINIFS(Tabelle5[doc_id],Tabelle5[company_id],Tabelle18[[#This Row],[company_id]],Tabelle5[value_id],Tabelle18[[#This Row],[value_id]],Tabelle5[value_points],Tabelle18[[#This Row],[value_points_company]]),""))</f>
        <v/>
      </c>
      <c r="G390" t="str" cm="1">
        <f t="array" ref="G390">IF(Tabelle18[[#This Row],[doc_id_strongest]]="","",IFERROR(INDEX(Tabelle5[evidence_location],MATCH(1,(Tabelle5[company_id]=Tabelle18[[#This Row],[company_id]])*(Tabelle5[value_id]=Tabelle18[[#This Row],[value_id]])*(Tabelle5[doc_id]=Tabelle18[[#This Row],[doc_id_strongest]]),0)),""))</f>
        <v/>
      </c>
      <c r="H390" s="33" t="str" cm="1">
        <f t="array" ref="H390">IF(Tabelle18[[#This Row],[doc_id_strongest]]="","",IFERROR(INDEX(Tabelle5[evidence_quote],MATCH(1,(Tabelle5[company_id]=Tabelle18[[#This Row],[company_id]])*(Tabelle5[value_id]=Tabelle18[[#This Row],[value_id]])*(Tabelle5[doc_id]=Tabelle18[[#This Row],[doc_id_strongest]]),0)),""))</f>
        <v/>
      </c>
    </row>
    <row r="391" spans="1:8" x14ac:dyDescent="0.25">
      <c r="A391" s="36">
        <v>22</v>
      </c>
      <c r="B391" t="s">
        <v>132</v>
      </c>
      <c r="C391" s="4">
        <f>IF(Tabelle18[[#This Row],[binding_level_company]]&gt;=1,1,0)</f>
        <v>0</v>
      </c>
      <c r="D391" s="4">
        <f>IFERROR(_xlfn.MAXIFS(Tabelle5[binding_level],Tabelle5[company_id],Tabelle18[[#This Row],[company_id]],Tabelle5[value_id],Tabelle18[[#This Row],[value_id]],Tabelle5[value_present],1),0)</f>
        <v>0</v>
      </c>
      <c r="E391" s="4">
        <f>IFERROR(_xlfn.MAXIFS(Tabelle5[value_points],Tabelle5[company_id],Tabelle18[[#This Row],[company_id]],Tabelle5[value_id],Tabelle18[[#This Row],[value_id]]),0)</f>
        <v>0</v>
      </c>
      <c r="F391" t="str">
        <f>IF(Tabelle18[[#This Row],[value_points_company]]=0,"",IFERROR(_xlfn.MINIFS(Tabelle5[doc_id],Tabelle5[company_id],Tabelle18[[#This Row],[company_id]],Tabelle5[value_id],Tabelle18[[#This Row],[value_id]],Tabelle5[value_points],Tabelle18[[#This Row],[value_points_company]]),""))</f>
        <v/>
      </c>
      <c r="G391" t="str" cm="1">
        <f t="array" ref="G391">IF(Tabelle18[[#This Row],[doc_id_strongest]]="","",IFERROR(INDEX(Tabelle5[evidence_location],MATCH(1,(Tabelle5[company_id]=Tabelle18[[#This Row],[company_id]])*(Tabelle5[value_id]=Tabelle18[[#This Row],[value_id]])*(Tabelle5[doc_id]=Tabelle18[[#This Row],[doc_id_strongest]]),0)),""))</f>
        <v/>
      </c>
      <c r="H391" s="33" t="str" cm="1">
        <f t="array" ref="H391">IF(Tabelle18[[#This Row],[doc_id_strongest]]="","",IFERROR(INDEX(Tabelle5[evidence_quote],MATCH(1,(Tabelle5[company_id]=Tabelle18[[#This Row],[company_id]])*(Tabelle5[value_id]=Tabelle18[[#This Row],[value_id]])*(Tabelle5[doc_id]=Tabelle18[[#This Row],[doc_id_strongest]]),0)),""))</f>
        <v/>
      </c>
    </row>
    <row r="392" spans="1:8" x14ac:dyDescent="0.25">
      <c r="A392" s="36">
        <v>22</v>
      </c>
      <c r="B392" t="s">
        <v>140</v>
      </c>
      <c r="C392" s="4">
        <f>IF(Tabelle18[[#This Row],[binding_level_company]]&gt;=1,1,0)</f>
        <v>0</v>
      </c>
      <c r="D392" s="4">
        <f>IFERROR(_xlfn.MAXIFS(Tabelle5[binding_level],Tabelle5[company_id],Tabelle18[[#This Row],[company_id]],Tabelle5[value_id],Tabelle18[[#This Row],[value_id]],Tabelle5[value_present],1),0)</f>
        <v>0</v>
      </c>
      <c r="E392" s="4">
        <f>IFERROR(_xlfn.MAXIFS(Tabelle5[value_points],Tabelle5[company_id],Tabelle18[[#This Row],[company_id]],Tabelle5[value_id],Tabelle18[[#This Row],[value_id]]),0)</f>
        <v>0</v>
      </c>
      <c r="F392" t="str">
        <f>IF(Tabelle18[[#This Row],[value_points_company]]=0,"",IFERROR(_xlfn.MINIFS(Tabelle5[doc_id],Tabelle5[company_id],Tabelle18[[#This Row],[company_id]],Tabelle5[value_id],Tabelle18[[#This Row],[value_id]],Tabelle5[value_points],Tabelle18[[#This Row],[value_points_company]]),""))</f>
        <v/>
      </c>
      <c r="G392" t="str" cm="1">
        <f t="array" ref="G392">IF(Tabelle18[[#This Row],[doc_id_strongest]]="","",IFERROR(INDEX(Tabelle5[evidence_location],MATCH(1,(Tabelle5[company_id]=Tabelle18[[#This Row],[company_id]])*(Tabelle5[value_id]=Tabelle18[[#This Row],[value_id]])*(Tabelle5[doc_id]=Tabelle18[[#This Row],[doc_id_strongest]]),0)),""))</f>
        <v/>
      </c>
      <c r="H392" s="33" t="str" cm="1">
        <f t="array" ref="H392">IF(Tabelle18[[#This Row],[doc_id_strongest]]="","",IFERROR(INDEX(Tabelle5[evidence_quote],MATCH(1,(Tabelle5[company_id]=Tabelle18[[#This Row],[company_id]])*(Tabelle5[value_id]=Tabelle18[[#This Row],[value_id]])*(Tabelle5[doc_id]=Tabelle18[[#This Row],[doc_id_strongest]]),0)),""))</f>
        <v/>
      </c>
    </row>
    <row r="393" spans="1:8" x14ac:dyDescent="0.25">
      <c r="A393" s="36">
        <v>22</v>
      </c>
      <c r="B393" t="s">
        <v>147</v>
      </c>
      <c r="C393" s="4">
        <f>IF(Tabelle18[[#This Row],[binding_level_company]]&gt;=1,1,0)</f>
        <v>0</v>
      </c>
      <c r="D393" s="4">
        <f>IFERROR(_xlfn.MAXIFS(Tabelle5[binding_level],Tabelle5[company_id],Tabelle18[[#This Row],[company_id]],Tabelle5[value_id],Tabelle18[[#This Row],[value_id]],Tabelle5[value_present],1),0)</f>
        <v>0</v>
      </c>
      <c r="E393" s="4">
        <f>IFERROR(_xlfn.MAXIFS(Tabelle5[value_points],Tabelle5[company_id],Tabelle18[[#This Row],[company_id]],Tabelle5[value_id],Tabelle18[[#This Row],[value_id]]),0)</f>
        <v>0</v>
      </c>
      <c r="F393" t="str">
        <f>IF(Tabelle18[[#This Row],[value_points_company]]=0,"",IFERROR(_xlfn.MINIFS(Tabelle5[doc_id],Tabelle5[company_id],Tabelle18[[#This Row],[company_id]],Tabelle5[value_id],Tabelle18[[#This Row],[value_id]],Tabelle5[value_points],Tabelle18[[#This Row],[value_points_company]]),""))</f>
        <v/>
      </c>
      <c r="G393" t="str" cm="1">
        <f t="array" ref="G393">IF(Tabelle18[[#This Row],[doc_id_strongest]]="","",IFERROR(INDEX(Tabelle5[evidence_location],MATCH(1,(Tabelle5[company_id]=Tabelle18[[#This Row],[company_id]])*(Tabelle5[value_id]=Tabelle18[[#This Row],[value_id]])*(Tabelle5[doc_id]=Tabelle18[[#This Row],[doc_id_strongest]]),0)),""))</f>
        <v/>
      </c>
      <c r="H393" s="33" t="str" cm="1">
        <f t="array" ref="H393">IF(Tabelle18[[#This Row],[doc_id_strongest]]="","",IFERROR(INDEX(Tabelle5[evidence_quote],MATCH(1,(Tabelle5[company_id]=Tabelle18[[#This Row],[company_id]])*(Tabelle5[value_id]=Tabelle18[[#This Row],[value_id]])*(Tabelle5[doc_id]=Tabelle18[[#This Row],[doc_id_strongest]]),0)),""))</f>
        <v/>
      </c>
    </row>
    <row r="394" spans="1:8" x14ac:dyDescent="0.25">
      <c r="A394" s="36">
        <v>22</v>
      </c>
      <c r="B394" t="s">
        <v>154</v>
      </c>
      <c r="C394" s="4">
        <f>IF(Tabelle18[[#This Row],[binding_level_company]]&gt;=1,1,0)</f>
        <v>1</v>
      </c>
      <c r="D394" s="4">
        <f>IFERROR(_xlfn.MAXIFS(Tabelle5[binding_level],Tabelle5[company_id],Tabelle18[[#This Row],[company_id]],Tabelle5[value_id],Tabelle18[[#This Row],[value_id]],Tabelle5[value_present],1),0)</f>
        <v>1</v>
      </c>
      <c r="E394" s="4">
        <f>IFERROR(_xlfn.MAXIFS(Tabelle5[value_points],Tabelle5[company_id],Tabelle18[[#This Row],[company_id]],Tabelle5[value_id],Tabelle18[[#This Row],[value_id]]),0)</f>
        <v>1</v>
      </c>
      <c r="F394">
        <f>IF(Tabelle18[[#This Row],[value_points_company]]=0,"",IFERROR(_xlfn.MINIFS(Tabelle5[doc_id],Tabelle5[company_id],Tabelle18[[#This Row],[company_id]],Tabelle5[value_id],Tabelle18[[#This Row],[value_id]],Tabelle5[value_points],Tabelle18[[#This Row],[value_points_company]]),""))</f>
        <v>132</v>
      </c>
      <c r="G394" t="str" cm="1">
        <f t="array" ref="G394">IF(Tabelle18[[#This Row],[doc_id_strongest]]="","",IFERROR(INDEX(Tabelle5[evidence_location],MATCH(1,(Tabelle5[company_id]=Tabelle18[[#This Row],[company_id]])*(Tabelle5[value_id]=Tabelle18[[#This Row],[value_id]])*(Tabelle5[doc_id]=Tabelle18[[#This Row],[doc_id_strongest]]),0)),""))</f>
        <v>S. 18, DIGITAL SAFETY &amp; ETHICS</v>
      </c>
      <c r="H394" s="33" t="str" cm="1">
        <f t="array" ref="H394">IF(Tabelle18[[#This Row],[doc_id_strongest]]="","",IFERROR(INDEX(Tabelle5[evidence_quote],MATCH(1,(Tabelle5[company_id]=Tabelle18[[#This Row],[company_id]])*(Tabelle5[value_id]=Tabelle18[[#This Row],[value_id]])*(Tabelle5[doc_id]=Tabelle18[[#This Row],[doc_id_strongest]]),0)),""))</f>
        <v>“with it also comes great responsibility”</v>
      </c>
    </row>
    <row r="395" spans="1:8" x14ac:dyDescent="0.25">
      <c r="A395" s="36">
        <v>22</v>
      </c>
      <c r="B395" t="s">
        <v>161</v>
      </c>
      <c r="C395" s="4">
        <f>IF(Tabelle18[[#This Row],[binding_level_company]]&gt;=1,1,0)</f>
        <v>0</v>
      </c>
      <c r="D395" s="4">
        <f>IFERROR(_xlfn.MAXIFS(Tabelle5[binding_level],Tabelle5[company_id],Tabelle18[[#This Row],[company_id]],Tabelle5[value_id],Tabelle18[[#This Row],[value_id]],Tabelle5[value_present],1),0)</f>
        <v>0</v>
      </c>
      <c r="E395" s="4">
        <f>IFERROR(_xlfn.MAXIFS(Tabelle5[value_points],Tabelle5[company_id],Tabelle18[[#This Row],[company_id]],Tabelle5[value_id],Tabelle18[[#This Row],[value_id]]),0)</f>
        <v>0</v>
      </c>
      <c r="F395" t="str">
        <f>IF(Tabelle18[[#This Row],[value_points_company]]=0,"",IFERROR(_xlfn.MINIFS(Tabelle5[doc_id],Tabelle5[company_id],Tabelle18[[#This Row],[company_id]],Tabelle5[value_id],Tabelle18[[#This Row],[value_id]],Tabelle5[value_points],Tabelle18[[#This Row],[value_points_company]]),""))</f>
        <v/>
      </c>
      <c r="G395" t="str" cm="1">
        <f t="array" ref="G395">IF(Tabelle18[[#This Row],[doc_id_strongest]]="","",IFERROR(INDEX(Tabelle5[evidence_location],MATCH(1,(Tabelle5[company_id]=Tabelle18[[#This Row],[company_id]])*(Tabelle5[value_id]=Tabelle18[[#This Row],[value_id]])*(Tabelle5[doc_id]=Tabelle18[[#This Row],[doc_id_strongest]]),0)),""))</f>
        <v/>
      </c>
      <c r="H395" s="33" t="str" cm="1">
        <f t="array" ref="H395">IF(Tabelle18[[#This Row],[doc_id_strongest]]="","",IFERROR(INDEX(Tabelle5[evidence_quote],MATCH(1,(Tabelle5[company_id]=Tabelle18[[#This Row],[company_id]])*(Tabelle5[value_id]=Tabelle18[[#This Row],[value_id]])*(Tabelle5[doc_id]=Tabelle18[[#This Row],[doc_id_strongest]]),0)),""))</f>
        <v/>
      </c>
    </row>
    <row r="396" spans="1:8" x14ac:dyDescent="0.25">
      <c r="A396" s="36">
        <v>22</v>
      </c>
      <c r="B396" t="s">
        <v>166</v>
      </c>
      <c r="C396" s="4">
        <f>IF(Tabelle18[[#This Row],[binding_level_company]]&gt;=1,1,0)</f>
        <v>0</v>
      </c>
      <c r="D396" s="4">
        <f>IFERROR(_xlfn.MAXIFS(Tabelle5[binding_level],Tabelle5[company_id],Tabelle18[[#This Row],[company_id]],Tabelle5[value_id],Tabelle18[[#This Row],[value_id]],Tabelle5[value_present],1),0)</f>
        <v>0</v>
      </c>
      <c r="E396" s="4">
        <f>IFERROR(_xlfn.MAXIFS(Tabelle5[value_points],Tabelle5[company_id],Tabelle18[[#This Row],[company_id]],Tabelle5[value_id],Tabelle18[[#This Row],[value_id]]),0)</f>
        <v>0</v>
      </c>
      <c r="F396" t="str">
        <f>IF(Tabelle18[[#This Row],[value_points_company]]=0,"",IFERROR(_xlfn.MINIFS(Tabelle5[doc_id],Tabelle5[company_id],Tabelle18[[#This Row],[company_id]],Tabelle5[value_id],Tabelle18[[#This Row],[value_id]],Tabelle5[value_points],Tabelle18[[#This Row],[value_points_company]]),""))</f>
        <v/>
      </c>
      <c r="G396" t="str" cm="1">
        <f t="array" ref="G396">IF(Tabelle18[[#This Row],[doc_id_strongest]]="","",IFERROR(INDEX(Tabelle5[evidence_location],MATCH(1,(Tabelle5[company_id]=Tabelle18[[#This Row],[company_id]])*(Tabelle5[value_id]=Tabelle18[[#This Row],[value_id]])*(Tabelle5[doc_id]=Tabelle18[[#This Row],[doc_id_strongest]]),0)),""))</f>
        <v/>
      </c>
      <c r="H396" s="33" t="str" cm="1">
        <f t="array" ref="H396">IF(Tabelle18[[#This Row],[doc_id_strongest]]="","",IFERROR(INDEX(Tabelle5[evidence_quote],MATCH(1,(Tabelle5[company_id]=Tabelle18[[#This Row],[company_id]])*(Tabelle5[value_id]=Tabelle18[[#This Row],[value_id]])*(Tabelle5[doc_id]=Tabelle18[[#This Row],[doc_id_strongest]]),0)),""))</f>
        <v/>
      </c>
    </row>
    <row r="397" spans="1:8" ht="15.75" thickBot="1" x14ac:dyDescent="0.3">
      <c r="A397" s="37">
        <v>22</v>
      </c>
      <c r="B397" s="30" t="s">
        <v>174</v>
      </c>
      <c r="C397" s="49">
        <f>IF(Tabelle18[[#This Row],[binding_level_company]]&gt;=1,1,0)</f>
        <v>0</v>
      </c>
      <c r="D397" s="49">
        <f>IFERROR(_xlfn.MAXIFS(Tabelle5[binding_level],Tabelle5[company_id],Tabelle18[[#This Row],[company_id]],Tabelle5[value_id],Tabelle18[[#This Row],[value_id]],Tabelle5[value_present],1),0)</f>
        <v>0</v>
      </c>
      <c r="E397" s="49">
        <f>IFERROR(_xlfn.MAXIFS(Tabelle5[value_points],Tabelle5[company_id],Tabelle18[[#This Row],[company_id]],Tabelle5[value_id],Tabelle18[[#This Row],[value_id]]),0)</f>
        <v>0</v>
      </c>
      <c r="F397" s="30" t="str">
        <f>IF(Tabelle18[[#This Row],[value_points_company]]=0,"",IFERROR(_xlfn.MINIFS(Tabelle5[doc_id],Tabelle5[company_id],Tabelle18[[#This Row],[company_id]],Tabelle5[value_id],Tabelle18[[#This Row],[value_id]],Tabelle5[value_points],Tabelle18[[#This Row],[value_points_company]]),""))</f>
        <v/>
      </c>
      <c r="G397" s="30" t="str" cm="1">
        <f t="array" ref="G397">IF(Tabelle18[[#This Row],[doc_id_strongest]]="","",IFERROR(INDEX(Tabelle5[evidence_location],MATCH(1,(Tabelle5[company_id]=Tabelle18[[#This Row],[company_id]])*(Tabelle5[value_id]=Tabelle18[[#This Row],[value_id]])*(Tabelle5[doc_id]=Tabelle18[[#This Row],[doc_id_strongest]]),0)),""))</f>
        <v/>
      </c>
      <c r="H397" s="34" t="str" cm="1">
        <f t="array" ref="H397">IF(Tabelle18[[#This Row],[doc_id_strongest]]="","",IFERROR(INDEX(Tabelle5[evidence_quote],MATCH(1,(Tabelle5[company_id]=Tabelle18[[#This Row],[company_id]])*(Tabelle5[value_id]=Tabelle18[[#This Row],[value_id]])*(Tabelle5[doc_id]=Tabelle18[[#This Row],[doc_id_strongest]]),0)),""))</f>
        <v/>
      </c>
    </row>
    <row r="398" spans="1:8" x14ac:dyDescent="0.25">
      <c r="A398" s="35">
        <v>23</v>
      </c>
      <c r="B398" s="22" t="s">
        <v>53</v>
      </c>
      <c r="C398" s="48">
        <f>IF(Tabelle18[[#This Row],[binding_level_company]]&gt;=1,1,0)</f>
        <v>1</v>
      </c>
      <c r="D398" s="48">
        <f>IFERROR(_xlfn.MAXIFS(Tabelle5[binding_level],Tabelle5[company_id],Tabelle18[[#This Row],[company_id]],Tabelle5[value_id],Tabelle18[[#This Row],[value_id]],Tabelle5[value_present],1),0)</f>
        <v>3</v>
      </c>
      <c r="E398" s="48">
        <f>IFERROR(_xlfn.MAXIFS(Tabelle5[value_points],Tabelle5[company_id],Tabelle18[[#This Row],[company_id]],Tabelle5[value_id],Tabelle18[[#This Row],[value_id]]),0)</f>
        <v>3</v>
      </c>
      <c r="F398" s="22">
        <f>IF(Tabelle18[[#This Row],[value_points_company]]=0,"",IFERROR(_xlfn.MINIFS(Tabelle5[doc_id],Tabelle5[company_id],Tabelle18[[#This Row],[company_id]],Tabelle5[value_id],Tabelle18[[#This Row],[value_id]],Tabelle5[value_points],Tabelle18[[#This Row],[value_points_company]]),""))</f>
        <v>142</v>
      </c>
      <c r="G398" s="22" t="str" cm="1">
        <f t="array" ref="G398">IF(Tabelle18[[#This Row],[doc_id_strongest]]="","",IFERROR(INDEX(Tabelle5[evidence_location],MATCH(1,(Tabelle5[company_id]=Tabelle18[[#This Row],[company_id]])*(Tabelle5[value_id]=Tabelle18[[#This Row],[value_id]])*(Tabelle5[doc_id]=Tabelle18[[#This Row],[doc_id_strongest]]),0)),""))</f>
        <v>S. 3, „Human-centric AI“; S. 4, „Executing human oversight“</v>
      </c>
      <c r="H398" s="32" t="str" cm="1">
        <f t="array" ref="H398">IF(Tabelle18[[#This Row],[doc_id_strongest]]="","",IFERROR(INDEX(Tabelle5[evidence_quote],MATCH(1,(Tabelle5[company_id]=Tabelle18[[#This Row],[company_id]])*(Tabelle5[value_id]=Tabelle18[[#This Row],[value_id]])*(Tabelle5[doc_id]=Tabelle18[[#This Row],[doc_id_strongest]]),0)),""))</f>
        <v>“preserve people’s autonomy”; “Technology should always adapt to people”; “employees can turn if they want to receive guidance”</v>
      </c>
    </row>
    <row r="399" spans="1:8" x14ac:dyDescent="0.25">
      <c r="A399" s="36">
        <v>23</v>
      </c>
      <c r="B399" t="s">
        <v>61</v>
      </c>
      <c r="C399" s="4">
        <f>IF(Tabelle18[[#This Row],[binding_level_company]]&gt;=1,1,0)</f>
        <v>1</v>
      </c>
      <c r="D399" s="4">
        <f>IFERROR(_xlfn.MAXIFS(Tabelle5[binding_level],Tabelle5[company_id],Tabelle18[[#This Row],[company_id]],Tabelle5[value_id],Tabelle18[[#This Row],[value_id]],Tabelle5[value_present],1),0)</f>
        <v>3</v>
      </c>
      <c r="E399" s="4">
        <f>IFERROR(_xlfn.MAXIFS(Tabelle5[value_points],Tabelle5[company_id],Tabelle18[[#This Row],[company_id]],Tabelle5[value_id],Tabelle18[[#This Row],[value_id]]),0)</f>
        <v>3</v>
      </c>
      <c r="F399">
        <f>IF(Tabelle18[[#This Row],[value_points_company]]=0,"",IFERROR(_xlfn.MINIFS(Tabelle5[doc_id],Tabelle5[company_id],Tabelle18[[#This Row],[company_id]],Tabelle5[value_id],Tabelle18[[#This Row],[value_id]],Tabelle5[value_points],Tabelle18[[#This Row],[value_points_company]]),""))</f>
        <v>142</v>
      </c>
      <c r="G399" t="str" cm="1">
        <f t="array" ref="G399">IF(Tabelle18[[#This Row],[doc_id_strongest]]="","",IFERROR(INDEX(Tabelle5[evidence_location],MATCH(1,(Tabelle5[company_id]=Tabelle18[[#This Row],[company_id]])*(Tabelle5[value_id]=Tabelle18[[#This Row],[value_id]])*(Tabelle5[doc_id]=Tabelle18[[#This Row],[doc_id_strongest]]),0)),""))</f>
        <v>S. 2, „Responsible and transparent use of AI“; S. 4, „Executing human oversight“</v>
      </c>
      <c r="H399" s="33" t="str" cm="1">
        <f t="array" ref="H399">IF(Tabelle18[[#This Row],[doc_id_strongest]]="","",IFERROR(INDEX(Tabelle5[evidence_quote],MATCH(1,(Tabelle5[company_id]=Tabelle18[[#This Row],[company_id]])*(Tabelle5[value_id]=Tabelle18[[#This Row],[value_id]])*(Tabelle5[doc_id]=Tabelle18[[#This Row],[doc_id_strongest]]),0)),""))</f>
        <v>“provide accountability”; “Digital Council will inspect and resolve the case”; “team works in a tandem formation with two employees from the tech and compliance side</v>
      </c>
    </row>
    <row r="400" spans="1:8" x14ac:dyDescent="0.25">
      <c r="A400" s="36">
        <v>23</v>
      </c>
      <c r="B400" t="s">
        <v>69</v>
      </c>
      <c r="C400" s="4">
        <f>IF(Tabelle18[[#This Row],[binding_level_company]]&gt;=1,1,0)</f>
        <v>1</v>
      </c>
      <c r="D400" s="4">
        <f>IFERROR(_xlfn.MAXIFS(Tabelle5[binding_level],Tabelle5[company_id],Tabelle18[[#This Row],[company_id]],Tabelle5[value_id],Tabelle18[[#This Row],[value_id]],Tabelle5[value_present],1),0)</f>
        <v>1</v>
      </c>
      <c r="E400" s="4">
        <f>IFERROR(_xlfn.MAXIFS(Tabelle5[value_points],Tabelle5[company_id],Tabelle18[[#This Row],[company_id]],Tabelle5[value_id],Tabelle18[[#This Row],[value_id]]),0)</f>
        <v>1</v>
      </c>
      <c r="F400">
        <f>IF(Tabelle18[[#This Row],[value_points_company]]=0,"",IFERROR(_xlfn.MINIFS(Tabelle5[doc_id],Tabelle5[company_id],Tabelle18[[#This Row],[company_id]],Tabelle5[value_id],Tabelle18[[#This Row],[value_id]],Tabelle5[value_points],Tabelle18[[#This Row],[value_points_company]]),""))</f>
        <v>142</v>
      </c>
      <c r="G400" t="str" cm="1">
        <f t="array" ref="G400">IF(Tabelle18[[#This Row],[doc_id_strongest]]="","",IFERROR(INDEX(Tabelle5[evidence_location],MATCH(1,(Tabelle5[company_id]=Tabelle18[[#This Row],[company_id]])*(Tabelle5[value_id]=Tabelle18[[#This Row],[value_id]])*(Tabelle5[doc_id]=Tabelle18[[#This Row],[doc_id_strongest]]),0)),""))</f>
        <v>S. 2, „Responsible and transparent use of AI“</v>
      </c>
      <c r="H400" s="33" t="str" cm="1">
        <f t="array" ref="H400">IF(Tabelle18[[#This Row],[doc_id_strongest]]="","",IFERROR(INDEX(Tabelle5[evidence_quote],MATCH(1,(Tabelle5[company_id]=Tabelle18[[#This Row],[company_id]])*(Tabelle5[value_id]=Tabelle18[[#This Row],[value_id]])*(Tabelle5[doc_id]=Tabelle18[[#This Row],[doc_id_strongest]]),0)),""))</f>
        <v>“indicate where AI is actually being used”</v>
      </c>
    </row>
    <row r="401" spans="1:8" x14ac:dyDescent="0.25">
      <c r="A401" s="36">
        <v>23</v>
      </c>
      <c r="B401" t="s">
        <v>76</v>
      </c>
      <c r="C401" s="4">
        <f>IF(Tabelle18[[#This Row],[binding_level_company]]&gt;=1,1,0)</f>
        <v>1</v>
      </c>
      <c r="D401" s="4">
        <f>IFERROR(_xlfn.MAXIFS(Tabelle5[binding_level],Tabelle5[company_id],Tabelle18[[#This Row],[company_id]],Tabelle5[value_id],Tabelle18[[#This Row],[value_id]],Tabelle5[value_present],1),0)</f>
        <v>3</v>
      </c>
      <c r="E401" s="4">
        <f>IFERROR(_xlfn.MAXIFS(Tabelle5[value_points],Tabelle5[company_id],Tabelle18[[#This Row],[company_id]],Tabelle5[value_id],Tabelle18[[#This Row],[value_id]]),0)</f>
        <v>3</v>
      </c>
      <c r="F401">
        <f>IF(Tabelle18[[#This Row],[value_points_company]]=0,"",IFERROR(_xlfn.MINIFS(Tabelle5[doc_id],Tabelle5[company_id],Tabelle18[[#This Row],[company_id]],Tabelle5[value_id],Tabelle18[[#This Row],[value_id]],Tabelle5[value_points],Tabelle18[[#This Row],[value_points_company]]),""))</f>
        <v>142</v>
      </c>
      <c r="G401" t="str" cm="1">
        <f t="array" ref="G401">IF(Tabelle18[[#This Row],[doc_id_strongest]]="","",IFERROR(INDEX(Tabelle5[evidence_location],MATCH(1,(Tabelle5[company_id]=Tabelle18[[#This Row],[company_id]])*(Tabelle5[value_id]=Tabelle18[[#This Row],[value_id]])*(Tabelle5[doc_id]=Tabelle18[[#This Row],[doc_id_strongest]]),0)),""))</f>
        <v>S. 2, „Responsible and transparent use of AI“; S. 4, „Upskilling“</v>
      </c>
      <c r="H401" s="33" t="str" cm="1">
        <f t="array" ref="H401">IF(Tabelle18[[#This Row],[doc_id_strongest]]="","",IFERROR(INDEX(Tabelle5[evidence_quote],MATCH(1,(Tabelle5[company_id]=Tabelle18[[#This Row],[company_id]])*(Tabelle5[value_id]=Tabelle18[[#This Row],[value_id]])*(Tabelle5[doc_id]=Tabelle18[[#This Row],[doc_id_strongest]]),0)),""))</f>
        <v>“how AI-based solutions arrive at their results”; “toolkits with tutorials and code samples to make AI explainable”</v>
      </c>
    </row>
    <row r="402" spans="1:8" x14ac:dyDescent="0.25">
      <c r="A402" s="36">
        <v>23</v>
      </c>
      <c r="B402" t="s">
        <v>83</v>
      </c>
      <c r="C402" s="4">
        <f>IF(Tabelle18[[#This Row],[binding_level_company]]&gt;=1,1,0)</f>
        <v>1</v>
      </c>
      <c r="D402" s="4">
        <f>IFERROR(_xlfn.MAXIFS(Tabelle5[binding_level],Tabelle5[company_id],Tabelle18[[#This Row],[company_id]],Tabelle5[value_id],Tabelle18[[#This Row],[value_id]],Tabelle5[value_present],1),0)</f>
        <v>2</v>
      </c>
      <c r="E402" s="4">
        <f>IFERROR(_xlfn.MAXIFS(Tabelle5[value_points],Tabelle5[company_id],Tabelle18[[#This Row],[company_id]],Tabelle5[value_id],Tabelle18[[#This Row],[value_id]]),0)</f>
        <v>2</v>
      </c>
      <c r="F402">
        <f>IF(Tabelle18[[#This Row],[value_points_company]]=0,"",IFERROR(_xlfn.MINIFS(Tabelle5[doc_id],Tabelle5[company_id],Tabelle18[[#This Row],[company_id]],Tabelle5[value_id],Tabelle18[[#This Row],[value_id]],Tabelle5[value_points],Tabelle18[[#This Row],[value_points_company]]),""))</f>
        <v>142</v>
      </c>
      <c r="G402" t="str" cm="1">
        <f t="array" ref="G402">IF(Tabelle18[[#This Row],[doc_id_strongest]]="","",IFERROR(INDEX(Tabelle5[evidence_location],MATCH(1,(Tabelle5[company_id]=Tabelle18[[#This Row],[company_id]])*(Tabelle5[value_id]=Tabelle18[[#This Row],[value_id]])*(Tabelle5[doc_id]=Tabelle18[[#This Row],[doc_id_strongest]]),0)),""))</f>
        <v>S. 2, „Responsible and transparent use of AI“; S. 3, „Inclusion“</v>
      </c>
      <c r="H402" s="33" t="str" cm="1">
        <f t="array" ref="H402">IF(Tabelle18[[#This Row],[doc_id_strongest]]="","",IFERROR(INDEX(Tabelle5[evidence_quote],MATCH(1,(Tabelle5[company_id]=Tabelle18[[#This Row],[company_id]])*(Tabelle5[value_id]=Tabelle18[[#This Row],[value_id]])*(Tabelle5[doc_id]=Tabelle18[[#This Row],[doc_id_strongest]]),0)),""))</f>
        <v>“avoid unintended bias”; “Non-discriminatory practices are the standard we embrace”</v>
      </c>
    </row>
    <row r="403" spans="1:8" x14ac:dyDescent="0.25">
      <c r="A403" s="36">
        <v>23</v>
      </c>
      <c r="B403" t="s">
        <v>90</v>
      </c>
      <c r="C403" s="4">
        <f>IF(Tabelle18[[#This Row],[binding_level_company]]&gt;=1,1,0)</f>
        <v>1</v>
      </c>
      <c r="D403" s="4">
        <f>IFERROR(_xlfn.MAXIFS(Tabelle5[binding_level],Tabelle5[company_id],Tabelle18[[#This Row],[company_id]],Tabelle5[value_id],Tabelle18[[#This Row],[value_id]],Tabelle5[value_present],1),0)</f>
        <v>1</v>
      </c>
      <c r="E403" s="4">
        <f>IFERROR(_xlfn.MAXIFS(Tabelle5[value_points],Tabelle5[company_id],Tabelle18[[#This Row],[company_id]],Tabelle5[value_id],Tabelle18[[#This Row],[value_id]]),0)</f>
        <v>1</v>
      </c>
      <c r="F403">
        <f>IF(Tabelle18[[#This Row],[value_points_company]]=0,"",IFERROR(_xlfn.MINIFS(Tabelle5[doc_id],Tabelle5[company_id],Tabelle18[[#This Row],[company_id]],Tabelle5[value_id],Tabelle18[[#This Row],[value_id]],Tabelle5[value_points],Tabelle18[[#This Row],[value_points_company]]),""))</f>
        <v>142</v>
      </c>
      <c r="G403" t="str" cm="1">
        <f t="array" ref="G403">IF(Tabelle18[[#This Row],[doc_id_strongest]]="","",IFERROR(INDEX(Tabelle5[evidence_location],MATCH(1,(Tabelle5[company_id]=Tabelle18[[#This Row],[company_id]])*(Tabelle5[value_id]=Tabelle18[[#This Row],[value_id]])*(Tabelle5[doc_id]=Tabelle18[[#This Row],[doc_id_strongest]]),0)),""))</f>
        <v>S. 2, „AI for privacy and data protection“</v>
      </c>
      <c r="H403" s="33" t="str" cm="1">
        <f t="array" ref="H403">IF(Tabelle18[[#This Row],[doc_id_strongest]]="","",IFERROR(INDEX(Tabelle5[evidence_quote],MATCH(1,(Tabelle5[company_id]=Tabelle18[[#This Row],[company_id]])*(Tabelle5[value_id]=Tabelle18[[#This Row],[value_id]])*(Tabelle5[doc_id]=Tabelle18[[#This Row],[doc_id_strongest]]),0)),""))</f>
        <v>“data can be processed locally in devices”</v>
      </c>
    </row>
    <row r="404" spans="1:8" x14ac:dyDescent="0.25">
      <c r="A404" s="36">
        <v>23</v>
      </c>
      <c r="B404" t="s">
        <v>98</v>
      </c>
      <c r="C404" s="4">
        <f>IF(Tabelle18[[#This Row],[binding_level_company]]&gt;=1,1,0)</f>
        <v>1</v>
      </c>
      <c r="D404" s="4">
        <f>IFERROR(_xlfn.MAXIFS(Tabelle5[binding_level],Tabelle5[company_id],Tabelle18[[#This Row],[company_id]],Tabelle5[value_id],Tabelle18[[#This Row],[value_id]],Tabelle5[value_present],1),0)</f>
        <v>1</v>
      </c>
      <c r="E404" s="4">
        <f>IFERROR(_xlfn.MAXIFS(Tabelle5[value_points],Tabelle5[company_id],Tabelle18[[#This Row],[company_id]],Tabelle5[value_id],Tabelle18[[#This Row],[value_id]]),0)</f>
        <v>1</v>
      </c>
      <c r="F404">
        <f>IF(Tabelle18[[#This Row],[value_points_company]]=0,"",IFERROR(_xlfn.MINIFS(Tabelle5[doc_id],Tabelle5[company_id],Tabelle18[[#This Row],[company_id]],Tabelle5[value_id],Tabelle18[[#This Row],[value_id]],Tabelle5[value_points],Tabelle18[[#This Row],[value_points_company]]),""))</f>
        <v>142</v>
      </c>
      <c r="G404" t="str" cm="1">
        <f t="array" ref="G404">IF(Tabelle18[[#This Row],[doc_id_strongest]]="","",IFERROR(INDEX(Tabelle5[evidence_location],MATCH(1,(Tabelle5[company_id]=Tabelle18[[#This Row],[company_id]])*(Tabelle5[value_id]=Tabelle18[[#This Row],[value_id]])*(Tabelle5[doc_id]=Tabelle18[[#This Row],[doc_id_strongest]]),0)),""))</f>
        <v>S. 3, „Safety and security“</v>
      </c>
      <c r="H404" s="33" t="str" cm="1">
        <f t="array" ref="H404">IF(Tabelle18[[#This Row],[doc_id_strongest]]="","",IFERROR(INDEX(Tabelle5[evidence_quote],MATCH(1,(Tabelle5[company_id]=Tabelle18[[#This Row],[company_id]])*(Tabelle5[value_id]=Tabelle18[[#This Row],[value_id]])*(Tabelle5[doc_id]=Tabelle18[[#This Row],[doc_id_strongest]]),0)),""))</f>
        <v>“hardware-based security solutions will be crucial”</v>
      </c>
    </row>
    <row r="405" spans="1:8" x14ac:dyDescent="0.25">
      <c r="A405" s="36">
        <v>23</v>
      </c>
      <c r="B405" t="s">
        <v>106</v>
      </c>
      <c r="C405" s="4">
        <f>IF(Tabelle18[[#This Row],[binding_level_company]]&gt;=1,1,0)</f>
        <v>1</v>
      </c>
      <c r="D405" s="4">
        <f>IFERROR(_xlfn.MAXIFS(Tabelle5[binding_level],Tabelle5[company_id],Tabelle18[[#This Row],[company_id]],Tabelle5[value_id],Tabelle18[[#This Row],[value_id]],Tabelle5[value_present],1),0)</f>
        <v>1</v>
      </c>
      <c r="E405" s="4">
        <f>IFERROR(_xlfn.MAXIFS(Tabelle5[value_points],Tabelle5[company_id],Tabelle18[[#This Row],[company_id]],Tabelle5[value_id],Tabelle18[[#This Row],[value_id]]),0)</f>
        <v>1</v>
      </c>
      <c r="F405">
        <f>IF(Tabelle18[[#This Row],[value_points_company]]=0,"",IFERROR(_xlfn.MINIFS(Tabelle5[doc_id],Tabelle5[company_id],Tabelle18[[#This Row],[company_id]],Tabelle5[value_id],Tabelle18[[#This Row],[value_id]],Tabelle5[value_points],Tabelle18[[#This Row],[value_points_company]]),""))</f>
        <v>142</v>
      </c>
      <c r="G405" t="str" cm="1">
        <f t="array" ref="G405">IF(Tabelle18[[#This Row],[doc_id_strongest]]="","",IFERROR(INDEX(Tabelle5[evidence_location],MATCH(1,(Tabelle5[company_id]=Tabelle18[[#This Row],[company_id]])*(Tabelle5[value_id]=Tabelle18[[#This Row],[value_id]])*(Tabelle5[doc_id]=Tabelle18[[#This Row],[doc_id_strongest]]),0)),""))</f>
        <v>S. 3, „Safety and security“</v>
      </c>
      <c r="H405" s="33" t="str" cm="1">
        <f t="array" ref="H405">IF(Tabelle18[[#This Row],[doc_id_strongest]]="","",IFERROR(INDEX(Tabelle5[evidence_quote],MATCH(1,(Tabelle5[company_id]=Tabelle18[[#This Row],[company_id]])*(Tabelle5[value_id]=Tabelle18[[#This Row],[value_id]])*(Tabelle5[doc_id]=Tabelle18[[#This Row],[doc_id_strongest]]),0)),""))</f>
        <v>“ensure the safety of our customers’ products”</v>
      </c>
    </row>
    <row r="406" spans="1:8" x14ac:dyDescent="0.25">
      <c r="A406" s="36">
        <v>23</v>
      </c>
      <c r="B406" t="s">
        <v>112</v>
      </c>
      <c r="C406" s="4">
        <f>IF(Tabelle18[[#This Row],[binding_level_company]]&gt;=1,1,0)</f>
        <v>0</v>
      </c>
      <c r="D406" s="4">
        <f>IFERROR(_xlfn.MAXIFS(Tabelle5[binding_level],Tabelle5[company_id],Tabelle18[[#This Row],[company_id]],Tabelle5[value_id],Tabelle18[[#This Row],[value_id]],Tabelle5[value_present],1),0)</f>
        <v>0</v>
      </c>
      <c r="E406" s="4">
        <f>IFERROR(_xlfn.MAXIFS(Tabelle5[value_points],Tabelle5[company_id],Tabelle18[[#This Row],[company_id]],Tabelle5[value_id],Tabelle18[[#This Row],[value_id]]),0)</f>
        <v>0</v>
      </c>
      <c r="F406" t="str">
        <f>IF(Tabelle18[[#This Row],[value_points_company]]=0,"",IFERROR(_xlfn.MINIFS(Tabelle5[doc_id],Tabelle5[company_id],Tabelle18[[#This Row],[company_id]],Tabelle5[value_id],Tabelle18[[#This Row],[value_id]],Tabelle5[value_points],Tabelle18[[#This Row],[value_points_company]]),""))</f>
        <v/>
      </c>
      <c r="G406" t="str" cm="1">
        <f t="array" ref="G406">IF(Tabelle18[[#This Row],[doc_id_strongest]]="","",IFERROR(INDEX(Tabelle5[evidence_location],MATCH(1,(Tabelle5[company_id]=Tabelle18[[#This Row],[company_id]])*(Tabelle5[value_id]=Tabelle18[[#This Row],[value_id]])*(Tabelle5[doc_id]=Tabelle18[[#This Row],[doc_id_strongest]]),0)),""))</f>
        <v/>
      </c>
      <c r="H406" s="33" t="str" cm="1">
        <f t="array" ref="H406">IF(Tabelle18[[#This Row],[doc_id_strongest]]="","",IFERROR(INDEX(Tabelle5[evidence_quote],MATCH(1,(Tabelle5[company_id]=Tabelle18[[#This Row],[company_id]])*(Tabelle5[value_id]=Tabelle18[[#This Row],[value_id]])*(Tabelle5[doc_id]=Tabelle18[[#This Row],[doc_id_strongest]]),0)),""))</f>
        <v/>
      </c>
    </row>
    <row r="407" spans="1:8" x14ac:dyDescent="0.25">
      <c r="A407" s="36">
        <v>23</v>
      </c>
      <c r="B407" t="s">
        <v>118</v>
      </c>
      <c r="C407" s="4">
        <f>IF(Tabelle18[[#This Row],[binding_level_company]]&gt;=1,1,0)</f>
        <v>0</v>
      </c>
      <c r="D407" s="4">
        <f>IFERROR(_xlfn.MAXIFS(Tabelle5[binding_level],Tabelle5[company_id],Tabelle18[[#This Row],[company_id]],Tabelle5[value_id],Tabelle18[[#This Row],[value_id]],Tabelle5[value_present],1),0)</f>
        <v>0</v>
      </c>
      <c r="E407" s="4">
        <f>IFERROR(_xlfn.MAXIFS(Tabelle5[value_points],Tabelle5[company_id],Tabelle18[[#This Row],[company_id]],Tabelle5[value_id],Tabelle18[[#This Row],[value_id]]),0)</f>
        <v>0</v>
      </c>
      <c r="F407" t="str">
        <f>IF(Tabelle18[[#This Row],[value_points_company]]=0,"",IFERROR(_xlfn.MINIFS(Tabelle5[doc_id],Tabelle5[company_id],Tabelle18[[#This Row],[company_id]],Tabelle5[value_id],Tabelle18[[#This Row],[value_id]],Tabelle5[value_points],Tabelle18[[#This Row],[value_points_company]]),""))</f>
        <v/>
      </c>
      <c r="G407" t="str" cm="1">
        <f t="array" ref="G407">IF(Tabelle18[[#This Row],[doc_id_strongest]]="","",IFERROR(INDEX(Tabelle5[evidence_location],MATCH(1,(Tabelle5[company_id]=Tabelle18[[#This Row],[company_id]])*(Tabelle5[value_id]=Tabelle18[[#This Row],[value_id]])*(Tabelle5[doc_id]=Tabelle18[[#This Row],[doc_id_strongest]]),0)),""))</f>
        <v/>
      </c>
      <c r="H407" s="33" t="str" cm="1">
        <f t="array" ref="H407">IF(Tabelle18[[#This Row],[doc_id_strongest]]="","",IFERROR(INDEX(Tabelle5[evidence_quote],MATCH(1,(Tabelle5[company_id]=Tabelle18[[#This Row],[company_id]])*(Tabelle5[value_id]=Tabelle18[[#This Row],[value_id]])*(Tabelle5[doc_id]=Tabelle18[[#This Row],[doc_id_strongest]]),0)),""))</f>
        <v/>
      </c>
    </row>
    <row r="408" spans="1:8" x14ac:dyDescent="0.25">
      <c r="A408" s="36">
        <v>23</v>
      </c>
      <c r="B408" t="s">
        <v>125</v>
      </c>
      <c r="C408" s="4">
        <f>IF(Tabelle18[[#This Row],[binding_level_company]]&gt;=1,1,0)</f>
        <v>0</v>
      </c>
      <c r="D408" s="4">
        <f>IFERROR(_xlfn.MAXIFS(Tabelle5[binding_level],Tabelle5[company_id],Tabelle18[[#This Row],[company_id]],Tabelle5[value_id],Tabelle18[[#This Row],[value_id]],Tabelle5[value_present],1),0)</f>
        <v>0</v>
      </c>
      <c r="E408" s="4">
        <f>IFERROR(_xlfn.MAXIFS(Tabelle5[value_points],Tabelle5[company_id],Tabelle18[[#This Row],[company_id]],Tabelle5[value_id],Tabelle18[[#This Row],[value_id]]),0)</f>
        <v>0</v>
      </c>
      <c r="F408" t="str">
        <f>IF(Tabelle18[[#This Row],[value_points_company]]=0,"",IFERROR(_xlfn.MINIFS(Tabelle5[doc_id],Tabelle5[company_id],Tabelle18[[#This Row],[company_id]],Tabelle5[value_id],Tabelle18[[#This Row],[value_id]],Tabelle5[value_points],Tabelle18[[#This Row],[value_points_company]]),""))</f>
        <v/>
      </c>
      <c r="G408" t="str" cm="1">
        <f t="array" ref="G408">IF(Tabelle18[[#This Row],[doc_id_strongest]]="","",IFERROR(INDEX(Tabelle5[evidence_location],MATCH(1,(Tabelle5[company_id]=Tabelle18[[#This Row],[company_id]])*(Tabelle5[value_id]=Tabelle18[[#This Row],[value_id]])*(Tabelle5[doc_id]=Tabelle18[[#This Row],[doc_id_strongest]]),0)),""))</f>
        <v/>
      </c>
      <c r="H408" s="33" t="str" cm="1">
        <f t="array" ref="H408">IF(Tabelle18[[#This Row],[doc_id_strongest]]="","",IFERROR(INDEX(Tabelle5[evidence_quote],MATCH(1,(Tabelle5[company_id]=Tabelle18[[#This Row],[company_id]])*(Tabelle5[value_id]=Tabelle18[[#This Row],[value_id]])*(Tabelle5[doc_id]=Tabelle18[[#This Row],[doc_id_strongest]]),0)),""))</f>
        <v/>
      </c>
    </row>
    <row r="409" spans="1:8" x14ac:dyDescent="0.25">
      <c r="A409" s="36">
        <v>23</v>
      </c>
      <c r="B409" t="s">
        <v>132</v>
      </c>
      <c r="C409" s="4">
        <f>IF(Tabelle18[[#This Row],[binding_level_company]]&gt;=1,1,0)</f>
        <v>1</v>
      </c>
      <c r="D409" s="4">
        <f>IFERROR(_xlfn.MAXIFS(Tabelle5[binding_level],Tabelle5[company_id],Tabelle18[[#This Row],[company_id]],Tabelle5[value_id],Tabelle18[[#This Row],[value_id]],Tabelle5[value_present],1),0)</f>
        <v>2</v>
      </c>
      <c r="E409" s="4">
        <f>IFERROR(_xlfn.MAXIFS(Tabelle5[value_points],Tabelle5[company_id],Tabelle18[[#This Row],[company_id]],Tabelle5[value_id],Tabelle18[[#This Row],[value_id]]),0)</f>
        <v>2</v>
      </c>
      <c r="F409">
        <f>IF(Tabelle18[[#This Row],[value_points_company]]=0,"",IFERROR(_xlfn.MINIFS(Tabelle5[doc_id],Tabelle5[company_id],Tabelle18[[#This Row],[company_id]],Tabelle5[value_id],Tabelle18[[#This Row],[value_id]],Tabelle5[value_points],Tabelle18[[#This Row],[value_points_company]]),""))</f>
        <v>142</v>
      </c>
      <c r="G409" t="str" cm="1">
        <f t="array" ref="G409">IF(Tabelle18[[#This Row],[doc_id_strongest]]="","",IFERROR(INDEX(Tabelle5[evidence_location],MATCH(1,(Tabelle5[company_id]=Tabelle18[[#This Row],[company_id]])*(Tabelle5[value_id]=Tabelle18[[#This Row],[value_id]])*(Tabelle5[doc_id]=Tabelle18[[#This Row],[doc_id_strongest]]),0)),""))</f>
        <v>S. 3, „Sustainability“</v>
      </c>
      <c r="H409" s="33" t="str" cm="1">
        <f t="array" ref="H409">IF(Tabelle18[[#This Row],[doc_id_strongest]]="","",IFERROR(INDEX(Tabelle5[evidence_quote],MATCH(1,(Tabelle5[company_id]=Tabelle18[[#This Row],[company_id]])*(Tabelle5[value_id]=Tabelle18[[#This Row],[value_id]])*(Tabelle5[doc_id]=Tabelle18[[#This Row],[doc_id_strongest]]),0)),""))</f>
        <v>“The use of AI must also be measured against this”</v>
      </c>
    </row>
    <row r="410" spans="1:8" x14ac:dyDescent="0.25">
      <c r="A410" s="36">
        <v>23</v>
      </c>
      <c r="B410" t="s">
        <v>140</v>
      </c>
      <c r="C410" s="4">
        <f>IF(Tabelle18[[#This Row],[binding_level_company]]&gt;=1,1,0)</f>
        <v>1</v>
      </c>
      <c r="D410" s="4">
        <f>IFERROR(_xlfn.MAXIFS(Tabelle5[binding_level],Tabelle5[company_id],Tabelle18[[#This Row],[company_id]],Tabelle5[value_id],Tabelle18[[#This Row],[value_id]],Tabelle5[value_present],1),0)</f>
        <v>1</v>
      </c>
      <c r="E410" s="4">
        <f>IFERROR(_xlfn.MAXIFS(Tabelle5[value_points],Tabelle5[company_id],Tabelle18[[#This Row],[company_id]],Tabelle5[value_id],Tabelle18[[#This Row],[value_id]]),0)</f>
        <v>1</v>
      </c>
      <c r="F410">
        <f>IF(Tabelle18[[#This Row],[value_points_company]]=0,"",IFERROR(_xlfn.MINIFS(Tabelle5[doc_id],Tabelle5[company_id],Tabelle18[[#This Row],[company_id]],Tabelle5[value_id],Tabelle18[[#This Row],[value_id]],Tabelle5[value_points],Tabelle18[[#This Row],[value_points_company]]),""))</f>
        <v>142</v>
      </c>
      <c r="G410" t="str" cm="1">
        <f t="array" ref="G410">IF(Tabelle18[[#This Row],[doc_id_strongest]]="","",IFERROR(INDEX(Tabelle5[evidence_location],MATCH(1,(Tabelle5[company_id]=Tabelle18[[#This Row],[company_id]])*(Tabelle5[value_id]=Tabelle18[[#This Row],[value_id]])*(Tabelle5[doc_id]=Tabelle18[[#This Row],[doc_id_strongest]]),0)),""))</f>
        <v>S. 2, „Responsible AI – what we aim at“; S. 3, „Human-centric AI“</v>
      </c>
      <c r="H410" s="33" t="str" cm="1">
        <f t="array" ref="H410">IF(Tabelle18[[#This Row],[doc_id_strongest]]="","",IFERROR(INDEX(Tabelle5[evidence_quote],MATCH(1,(Tabelle5[company_id]=Tabelle18[[#This Row],[company_id]])*(Tabelle5[value_id]=Tabelle18[[#This Row],[value_id]])*(Tabelle5[doc_id]=Tabelle18[[#This Row],[doc_id_strongest]]),0)),""))</f>
        <v>“make our lives easier, safer and greener”; “preserve people’s autonomy”</v>
      </c>
    </row>
    <row r="411" spans="1:8" x14ac:dyDescent="0.25">
      <c r="A411" s="36">
        <v>23</v>
      </c>
      <c r="B411" t="s">
        <v>147</v>
      </c>
      <c r="C411" s="4">
        <f>IF(Tabelle18[[#This Row],[binding_level_company]]&gt;=1,1,0)</f>
        <v>1</v>
      </c>
      <c r="D411" s="4">
        <f>IFERROR(_xlfn.MAXIFS(Tabelle5[binding_level],Tabelle5[company_id],Tabelle18[[#This Row],[company_id]],Tabelle5[value_id],Tabelle18[[#This Row],[value_id]],Tabelle5[value_present],1),0)</f>
        <v>1</v>
      </c>
      <c r="E411" s="4">
        <f>IFERROR(_xlfn.MAXIFS(Tabelle5[value_points],Tabelle5[company_id],Tabelle18[[#This Row],[company_id]],Tabelle5[value_id],Tabelle18[[#This Row],[value_id]]),0)</f>
        <v>1</v>
      </c>
      <c r="F411">
        <f>IF(Tabelle18[[#This Row],[value_points_company]]=0,"",IFERROR(_xlfn.MINIFS(Tabelle5[doc_id],Tabelle5[company_id],Tabelle18[[#This Row],[company_id]],Tabelle5[value_id],Tabelle18[[#This Row],[value_id]],Tabelle5[value_points],Tabelle18[[#This Row],[value_points_company]]),""))</f>
        <v>142</v>
      </c>
      <c r="G411" t="str" cm="1">
        <f t="array" ref="G411">IF(Tabelle18[[#This Row],[doc_id_strongest]]="","",IFERROR(INDEX(Tabelle5[evidence_location],MATCH(1,(Tabelle5[company_id]=Tabelle18[[#This Row],[company_id]])*(Tabelle5[value_id]=Tabelle18[[#This Row],[value_id]])*(Tabelle5[doc_id]=Tabelle18[[#This Row],[doc_id_strongest]]),0)),""))</f>
        <v>S. 3, „Inclusion“</v>
      </c>
      <c r="H411" s="33" t="str" cm="1">
        <f t="array" ref="H411">IF(Tabelle18[[#This Row],[doc_id_strongest]]="","",IFERROR(INDEX(Tabelle5[evidence_quote],MATCH(1,(Tabelle5[company_id]=Tabelle18[[#This Row],[company_id]])*(Tabelle5[value_id]=Tabelle18[[#This Row],[value_id]])*(Tabelle5[doc_id]=Tabelle18[[#This Row],[doc_id_strongest]]),0)),""))</f>
        <v>“committed to the rule of law, respects human rights”</v>
      </c>
    </row>
    <row r="412" spans="1:8" x14ac:dyDescent="0.25">
      <c r="A412" s="36">
        <v>23</v>
      </c>
      <c r="B412" t="s">
        <v>154</v>
      </c>
      <c r="C412" s="4">
        <f>IF(Tabelle18[[#This Row],[binding_level_company]]&gt;=1,1,0)</f>
        <v>1</v>
      </c>
      <c r="D412" s="4">
        <f>IFERROR(_xlfn.MAXIFS(Tabelle5[binding_level],Tabelle5[company_id],Tabelle18[[#This Row],[company_id]],Tabelle5[value_id],Tabelle18[[#This Row],[value_id]],Tabelle5[value_present],1),0)</f>
        <v>3</v>
      </c>
      <c r="E412" s="4">
        <f>IFERROR(_xlfn.MAXIFS(Tabelle5[value_points],Tabelle5[company_id],Tabelle18[[#This Row],[company_id]],Tabelle5[value_id],Tabelle18[[#This Row],[value_id]]),0)</f>
        <v>3</v>
      </c>
      <c r="F412">
        <f>IF(Tabelle18[[#This Row],[value_points_company]]=0,"",IFERROR(_xlfn.MINIFS(Tabelle5[doc_id],Tabelle5[company_id],Tabelle18[[#This Row],[company_id]],Tabelle5[value_id],Tabelle18[[#This Row],[value_id]],Tabelle5[value_points],Tabelle18[[#This Row],[value_points_company]]),""))</f>
        <v>142</v>
      </c>
      <c r="G412" t="str" cm="1">
        <f t="array" ref="G412">IF(Tabelle18[[#This Row],[doc_id_strongest]]="","",IFERROR(INDEX(Tabelle5[evidence_location],MATCH(1,(Tabelle5[company_id]=Tabelle18[[#This Row],[company_id]])*(Tabelle5[value_id]=Tabelle18[[#This Row],[value_id]])*(Tabelle5[doc_id]=Tabelle18[[#This Row],[doc_id_strongest]]),0)),""))</f>
        <v>S. 4, „Responsible AI by design“</v>
      </c>
      <c r="H412" s="33" t="str" cm="1">
        <f t="array" ref="H412">IF(Tabelle18[[#This Row],[doc_id_strongest]]="","",IFERROR(INDEX(Tabelle5[evidence_quote],MATCH(1,(Tabelle5[company_id]=Tabelle18[[#This Row],[company_id]])*(Tabelle5[value_id]=Tabelle18[[#This Row],[value_id]])*(Tabelle5[doc_id]=Tabelle18[[#This Row],[doc_id_strongest]]),0)),""))</f>
        <v>“We implement the boundaries for responsible AI in our operations”; “embedded processes which help to identify risks throughout the AI project life cycle”</v>
      </c>
    </row>
    <row r="413" spans="1:8" x14ac:dyDescent="0.25">
      <c r="A413" s="36">
        <v>23</v>
      </c>
      <c r="B413" t="s">
        <v>161</v>
      </c>
      <c r="C413" s="4">
        <f>IF(Tabelle18[[#This Row],[binding_level_company]]&gt;=1,1,0)</f>
        <v>0</v>
      </c>
      <c r="D413" s="4">
        <f>IFERROR(_xlfn.MAXIFS(Tabelle5[binding_level],Tabelle5[company_id],Tabelle18[[#This Row],[company_id]],Tabelle5[value_id],Tabelle18[[#This Row],[value_id]],Tabelle5[value_present],1),0)</f>
        <v>0</v>
      </c>
      <c r="E413" s="4">
        <f>IFERROR(_xlfn.MAXIFS(Tabelle5[value_points],Tabelle5[company_id],Tabelle18[[#This Row],[company_id]],Tabelle5[value_id],Tabelle18[[#This Row],[value_id]]),0)</f>
        <v>0</v>
      </c>
      <c r="F413" t="str">
        <f>IF(Tabelle18[[#This Row],[value_points_company]]=0,"",IFERROR(_xlfn.MINIFS(Tabelle5[doc_id],Tabelle5[company_id],Tabelle18[[#This Row],[company_id]],Tabelle5[value_id],Tabelle18[[#This Row],[value_id]],Tabelle5[value_points],Tabelle18[[#This Row],[value_points_company]]),""))</f>
        <v/>
      </c>
      <c r="G413" t="str" cm="1">
        <f t="array" ref="G413">IF(Tabelle18[[#This Row],[doc_id_strongest]]="","",IFERROR(INDEX(Tabelle5[evidence_location],MATCH(1,(Tabelle5[company_id]=Tabelle18[[#This Row],[company_id]])*(Tabelle5[value_id]=Tabelle18[[#This Row],[value_id]])*(Tabelle5[doc_id]=Tabelle18[[#This Row],[doc_id_strongest]]),0)),""))</f>
        <v/>
      </c>
      <c r="H413" s="33" t="str" cm="1">
        <f t="array" ref="H413">IF(Tabelle18[[#This Row],[doc_id_strongest]]="","",IFERROR(INDEX(Tabelle5[evidence_quote],MATCH(1,(Tabelle5[company_id]=Tabelle18[[#This Row],[company_id]])*(Tabelle5[value_id]=Tabelle18[[#This Row],[value_id]])*(Tabelle5[doc_id]=Tabelle18[[#This Row],[doc_id_strongest]]),0)),""))</f>
        <v/>
      </c>
    </row>
    <row r="414" spans="1:8" x14ac:dyDescent="0.25">
      <c r="A414" s="36">
        <v>23</v>
      </c>
      <c r="B414" t="s">
        <v>166</v>
      </c>
      <c r="C414" s="4">
        <f>IF(Tabelle18[[#This Row],[binding_level_company]]&gt;=1,1,0)</f>
        <v>0</v>
      </c>
      <c r="D414" s="4">
        <f>IFERROR(_xlfn.MAXIFS(Tabelle5[binding_level],Tabelle5[company_id],Tabelle18[[#This Row],[company_id]],Tabelle5[value_id],Tabelle18[[#This Row],[value_id]],Tabelle5[value_present],1),0)</f>
        <v>0</v>
      </c>
      <c r="E414" s="4">
        <f>IFERROR(_xlfn.MAXIFS(Tabelle5[value_points],Tabelle5[company_id],Tabelle18[[#This Row],[company_id]],Tabelle5[value_id],Tabelle18[[#This Row],[value_id]]),0)</f>
        <v>0</v>
      </c>
      <c r="F414" t="str">
        <f>IF(Tabelle18[[#This Row],[value_points_company]]=0,"",IFERROR(_xlfn.MINIFS(Tabelle5[doc_id],Tabelle5[company_id],Tabelle18[[#This Row],[company_id]],Tabelle5[value_id],Tabelle18[[#This Row],[value_id]],Tabelle5[value_points],Tabelle18[[#This Row],[value_points_company]]),""))</f>
        <v/>
      </c>
      <c r="G414" t="str" cm="1">
        <f t="array" ref="G414">IF(Tabelle18[[#This Row],[doc_id_strongest]]="","",IFERROR(INDEX(Tabelle5[evidence_location],MATCH(1,(Tabelle5[company_id]=Tabelle18[[#This Row],[company_id]])*(Tabelle5[value_id]=Tabelle18[[#This Row],[value_id]])*(Tabelle5[doc_id]=Tabelle18[[#This Row],[doc_id_strongest]]),0)),""))</f>
        <v/>
      </c>
      <c r="H414" s="33" t="str" cm="1">
        <f t="array" ref="H414">IF(Tabelle18[[#This Row],[doc_id_strongest]]="","",IFERROR(INDEX(Tabelle5[evidence_quote],MATCH(1,(Tabelle5[company_id]=Tabelle18[[#This Row],[company_id]])*(Tabelle5[value_id]=Tabelle18[[#This Row],[value_id]])*(Tabelle5[doc_id]=Tabelle18[[#This Row],[doc_id_strongest]]),0)),""))</f>
        <v/>
      </c>
    </row>
    <row r="415" spans="1:8" ht="15.75" thickBot="1" x14ac:dyDescent="0.3">
      <c r="A415" s="37">
        <v>23</v>
      </c>
      <c r="B415" s="30" t="s">
        <v>174</v>
      </c>
      <c r="C415" s="49">
        <f>IF(Tabelle18[[#This Row],[binding_level_company]]&gt;=1,1,0)</f>
        <v>1</v>
      </c>
      <c r="D415" s="49">
        <f>IFERROR(_xlfn.MAXIFS(Tabelle5[binding_level],Tabelle5[company_id],Tabelle18[[#This Row],[company_id]],Tabelle5[value_id],Tabelle18[[#This Row],[value_id]],Tabelle5[value_present],1),0)</f>
        <v>1</v>
      </c>
      <c r="E415" s="49">
        <f>IFERROR(_xlfn.MAXIFS(Tabelle5[value_points],Tabelle5[company_id],Tabelle18[[#This Row],[company_id]],Tabelle5[value_id],Tabelle18[[#This Row],[value_id]]),0)</f>
        <v>1</v>
      </c>
      <c r="F415" s="30">
        <f>IF(Tabelle18[[#This Row],[value_points_company]]=0,"",IFERROR(_xlfn.MINIFS(Tabelle5[doc_id],Tabelle5[company_id],Tabelle18[[#This Row],[company_id]],Tabelle5[value_id],Tabelle18[[#This Row],[value_id]],Tabelle5[value_points],Tabelle18[[#This Row],[value_points_company]]),""))</f>
        <v>142</v>
      </c>
      <c r="G415" s="30" t="str" cm="1">
        <f t="array" ref="G415">IF(Tabelle18[[#This Row],[doc_id_strongest]]="","",IFERROR(INDEX(Tabelle5[evidence_location],MATCH(1,(Tabelle5[company_id]=Tabelle18[[#This Row],[company_id]])*(Tabelle5[value_id]=Tabelle18[[#This Row],[value_id]])*(Tabelle5[doc_id]=Tabelle18[[#This Row],[doc_id_strongest]]),0)),""))</f>
        <v>S. 3, „Inclusion“</v>
      </c>
      <c r="H415" s="34" t="str" cm="1">
        <f t="array" ref="H415">IF(Tabelle18[[#This Row],[doc_id_strongest]]="","",IFERROR(INDEX(Tabelle5[evidence_quote],MATCH(1,(Tabelle5[company_id]=Tabelle18[[#This Row],[company_id]])*(Tabelle5[value_id]=Tabelle18[[#This Row],[value_id]])*(Tabelle5[doc_id]=Tabelle18[[#This Row],[doc_id_strongest]]),0)),""))</f>
        <v>“committed to the rule of law, respects human rights”</v>
      </c>
    </row>
    <row r="416" spans="1:8" x14ac:dyDescent="0.25">
      <c r="A416" s="35">
        <v>24</v>
      </c>
      <c r="B416" s="22" t="s">
        <v>53</v>
      </c>
      <c r="C416" s="48">
        <f>IF(Tabelle18[[#This Row],[binding_level_company]]&gt;=1,1,0)</f>
        <v>1</v>
      </c>
      <c r="D416" s="48">
        <f>IFERROR(_xlfn.MAXIFS(Tabelle5[binding_level],Tabelle5[company_id],Tabelle18[[#This Row],[company_id]],Tabelle5[value_id],Tabelle18[[#This Row],[value_id]],Tabelle5[value_present],1),0)</f>
        <v>1</v>
      </c>
      <c r="E416" s="48">
        <f>IFERROR(_xlfn.MAXIFS(Tabelle5[value_points],Tabelle5[company_id],Tabelle18[[#This Row],[company_id]],Tabelle5[value_id],Tabelle18[[#This Row],[value_id]]),0)</f>
        <v>1</v>
      </c>
      <c r="F416" s="22">
        <f>IF(Tabelle18[[#This Row],[value_points_company]]=0,"",IFERROR(_xlfn.MINIFS(Tabelle5[doc_id],Tabelle5[company_id],Tabelle18[[#This Row],[company_id]],Tabelle5[value_id],Tabelle18[[#This Row],[value_id]],Tabelle5[value_points],Tabelle18[[#This Row],[value_points_company]]),""))</f>
        <v>148</v>
      </c>
      <c r="G416" s="22" t="str" cm="1">
        <f t="array" ref="G416">IF(Tabelle18[[#This Row],[doc_id_strongest]]="","",IFERROR(INDEX(Tabelle5[evidence_location],MATCH(1,(Tabelle5[company_id]=Tabelle18[[#This Row],[company_id]])*(Tabelle5[value_id]=Tabelle18[[#This Row],[value_id]])*(Tabelle5[doc_id]=Tabelle18[[#This Row],[doc_id_strongest]]),0)),""))</f>
        <v>S. 2, „1st principle: responsible use“</v>
      </c>
      <c r="H416" s="32" t="str" cm="1">
        <f t="array" ref="H416">IF(Tabelle18[[#This Row],[doc_id_strongest]]="","",IFERROR(INDEX(Tabelle5[evidence_quote],MATCH(1,(Tabelle5[company_id]=Tabelle18[[#This Row],[company_id]])*(Tabelle5[value_id]=Tabelle18[[#This Row],[value_id]])*(Tabelle5[doc_id]=Tabelle18[[#This Row],[doc_id_strongest]]),0)),""))</f>
        <v>“Humans remain in control”</v>
      </c>
    </row>
    <row r="417" spans="1:8" x14ac:dyDescent="0.25">
      <c r="A417" s="36">
        <v>24</v>
      </c>
      <c r="B417" t="s">
        <v>61</v>
      </c>
      <c r="C417" s="4">
        <f>IF(Tabelle18[[#This Row],[binding_level_company]]&gt;=1,1,0)</f>
        <v>0</v>
      </c>
      <c r="D417" s="4">
        <f>IFERROR(_xlfn.MAXIFS(Tabelle5[binding_level],Tabelle5[company_id],Tabelle18[[#This Row],[company_id]],Tabelle5[value_id],Tabelle18[[#This Row],[value_id]],Tabelle5[value_present],1),0)</f>
        <v>0</v>
      </c>
      <c r="E417" s="4">
        <f>IFERROR(_xlfn.MAXIFS(Tabelle5[value_points],Tabelle5[company_id],Tabelle18[[#This Row],[company_id]],Tabelle5[value_id],Tabelle18[[#This Row],[value_id]]),0)</f>
        <v>0</v>
      </c>
      <c r="F417" t="str">
        <f>IF(Tabelle18[[#This Row],[value_points_company]]=0,"",IFERROR(_xlfn.MINIFS(Tabelle5[doc_id],Tabelle5[company_id],Tabelle18[[#This Row],[company_id]],Tabelle5[value_id],Tabelle18[[#This Row],[value_id]],Tabelle5[value_points],Tabelle18[[#This Row],[value_points_company]]),""))</f>
        <v/>
      </c>
      <c r="G417" t="str" cm="1">
        <f t="array" ref="G417">IF(Tabelle18[[#This Row],[doc_id_strongest]]="","",IFERROR(INDEX(Tabelle5[evidence_location],MATCH(1,(Tabelle5[company_id]=Tabelle18[[#This Row],[company_id]])*(Tabelle5[value_id]=Tabelle18[[#This Row],[value_id]])*(Tabelle5[doc_id]=Tabelle18[[#This Row],[doc_id_strongest]]),0)),""))</f>
        <v/>
      </c>
      <c r="H417" s="33" t="str" cm="1">
        <f t="array" ref="H417">IF(Tabelle18[[#This Row],[doc_id_strongest]]="","",IFERROR(INDEX(Tabelle5[evidence_quote],MATCH(1,(Tabelle5[company_id]=Tabelle18[[#This Row],[company_id]])*(Tabelle5[value_id]=Tabelle18[[#This Row],[value_id]])*(Tabelle5[doc_id]=Tabelle18[[#This Row],[doc_id_strongest]]),0)),""))</f>
        <v/>
      </c>
    </row>
    <row r="418" spans="1:8" x14ac:dyDescent="0.25">
      <c r="A418" s="36">
        <v>24</v>
      </c>
      <c r="B418" t="s">
        <v>69</v>
      </c>
      <c r="C418" s="4">
        <f>IF(Tabelle18[[#This Row],[binding_level_company]]&gt;=1,1,0)</f>
        <v>1</v>
      </c>
      <c r="D418" s="4">
        <f>IFERROR(_xlfn.MAXIFS(Tabelle5[binding_level],Tabelle5[company_id],Tabelle18[[#This Row],[company_id]],Tabelle5[value_id],Tabelle18[[#This Row],[value_id]],Tabelle5[value_present],1),0)</f>
        <v>1</v>
      </c>
      <c r="E418" s="4">
        <f>IFERROR(_xlfn.MAXIFS(Tabelle5[value_points],Tabelle5[company_id],Tabelle18[[#This Row],[company_id]],Tabelle5[value_id],Tabelle18[[#This Row],[value_id]]),0)</f>
        <v>1</v>
      </c>
      <c r="F418">
        <f>IF(Tabelle18[[#This Row],[value_points_company]]=0,"",IFERROR(_xlfn.MINIFS(Tabelle5[doc_id],Tabelle5[company_id],Tabelle18[[#This Row],[company_id]],Tabelle5[value_id],Tabelle18[[#This Row],[value_id]],Tabelle5[value_points],Tabelle18[[#This Row],[value_points_company]]),""))</f>
        <v>148</v>
      </c>
      <c r="G418" t="str" cm="1">
        <f t="array" ref="G418">IF(Tabelle18[[#This Row],[doc_id_strongest]]="","",IFERROR(INDEX(Tabelle5[evidence_location],MATCH(1,(Tabelle5[company_id]=Tabelle18[[#This Row],[company_id]])*(Tabelle5[value_id]=Tabelle18[[#This Row],[value_id]])*(Tabelle5[doc_id]=Tabelle18[[#This Row],[doc_id_strongest]]),0)),""))</f>
        <v>S. 2, „2nd principle: explainability“ / „1st principle: responsible use“</v>
      </c>
      <c r="H418" s="33" t="str" cm="1">
        <f t="array" ref="H418">IF(Tabelle18[[#This Row],[doc_id_strongest]]="","",IFERROR(INDEX(Tabelle5[evidence_quote],MATCH(1,(Tabelle5[company_id]=Tabelle18[[#This Row],[company_id]])*(Tabelle5[value_id]=Tabelle18[[#This Row],[value_id]])*(Tabelle5[doc_id]=Tabelle18[[#This Row],[doc_id_strongest]]),0)),""))</f>
        <v>“a high level of transparency”; “preceded by a transparent evaluation process”</v>
      </c>
    </row>
    <row r="419" spans="1:8" x14ac:dyDescent="0.25">
      <c r="A419" s="36">
        <v>24</v>
      </c>
      <c r="B419" t="s">
        <v>76</v>
      </c>
      <c r="C419" s="4">
        <f>IF(Tabelle18[[#This Row],[binding_level_company]]&gt;=1,1,0)</f>
        <v>1</v>
      </c>
      <c r="D419" s="4">
        <f>IFERROR(_xlfn.MAXIFS(Tabelle5[binding_level],Tabelle5[company_id],Tabelle18[[#This Row],[company_id]],Tabelle5[value_id],Tabelle18[[#This Row],[value_id]],Tabelle5[value_present],1),0)</f>
        <v>1</v>
      </c>
      <c r="E419" s="4">
        <f>IFERROR(_xlfn.MAXIFS(Tabelle5[value_points],Tabelle5[company_id],Tabelle18[[#This Row],[company_id]],Tabelle5[value_id],Tabelle18[[#This Row],[value_id]]),0)</f>
        <v>1</v>
      </c>
      <c r="F419">
        <f>IF(Tabelle18[[#This Row],[value_points_company]]=0,"",IFERROR(_xlfn.MINIFS(Tabelle5[doc_id],Tabelle5[company_id],Tabelle18[[#This Row],[company_id]],Tabelle5[value_id],Tabelle18[[#This Row],[value_id]],Tabelle5[value_points],Tabelle18[[#This Row],[value_points_company]]),""))</f>
        <v>148</v>
      </c>
      <c r="G419" t="str" cm="1">
        <f t="array" ref="G419">IF(Tabelle18[[#This Row],[doc_id_strongest]]="","",IFERROR(INDEX(Tabelle5[evidence_location],MATCH(1,(Tabelle5[company_id]=Tabelle18[[#This Row],[company_id]])*(Tabelle5[value_id]=Tabelle18[[#This Row],[value_id]])*(Tabelle5[doc_id]=Tabelle18[[#This Row],[doc_id_strongest]]),0)),""))</f>
        <v>S. 2, „2nd principle: explainability“</v>
      </c>
      <c r="H419" s="33" t="str" cm="1">
        <f t="array" ref="H419">IF(Tabelle18[[#This Row],[doc_id_strongest]]="","",IFERROR(INDEX(Tabelle5[evidence_quote],MATCH(1,(Tabelle5[company_id]=Tabelle18[[#This Row],[company_id]])*(Tabelle5[value_id]=Tabelle18[[#This Row],[value_id]])*(Tabelle5[doc_id]=Tabelle18[[#This Row],[doc_id_strongest]]),0)),""))</f>
        <v>“we support explainable Artificial Intelligence”</v>
      </c>
    </row>
    <row r="420" spans="1:8" x14ac:dyDescent="0.25">
      <c r="A420" s="36">
        <v>24</v>
      </c>
      <c r="B420" t="s">
        <v>83</v>
      </c>
      <c r="C420" s="4">
        <f>IF(Tabelle18[[#This Row],[binding_level_company]]&gt;=1,1,0)</f>
        <v>1</v>
      </c>
      <c r="D420" s="4">
        <f>IFERROR(_xlfn.MAXIFS(Tabelle5[binding_level],Tabelle5[company_id],Tabelle18[[#This Row],[company_id]],Tabelle5[value_id],Tabelle18[[#This Row],[value_id]],Tabelle5[value_present],1),0)</f>
        <v>1</v>
      </c>
      <c r="E420" s="4">
        <f>IFERROR(_xlfn.MAXIFS(Tabelle5[value_points],Tabelle5[company_id],Tabelle18[[#This Row],[company_id]],Tabelle5[value_id],Tabelle18[[#This Row],[value_id]]),0)</f>
        <v>1</v>
      </c>
      <c r="F420">
        <f>IF(Tabelle18[[#This Row],[value_points_company]]=0,"",IFERROR(_xlfn.MINIFS(Tabelle5[doc_id],Tabelle5[company_id],Tabelle18[[#This Row],[company_id]],Tabelle5[value_id],Tabelle18[[#This Row],[value_id]],Tabelle5[value_points],Tabelle18[[#This Row],[value_points_company]]),""))</f>
        <v>148</v>
      </c>
      <c r="G420" t="str" cm="1">
        <f t="array" ref="G420">IF(Tabelle18[[#This Row],[doc_id_strongest]]="","",IFERROR(INDEX(Tabelle5[evidence_location],MATCH(1,(Tabelle5[company_id]=Tabelle18[[#This Row],[company_id]])*(Tabelle5[value_id]=Tabelle18[[#This Row],[value_id]])*(Tabelle5[doc_id]=Tabelle18[[#This Row],[doc_id_strongest]]),0)),""))</f>
        <v>S. 2, „2nd principle: explainability“ / „1st principle: responsible use“</v>
      </c>
      <c r="H420" s="33" t="str" cm="1">
        <f t="array" ref="H420">IF(Tabelle18[[#This Row],[doc_id_strongest]]="","",IFERROR(INDEX(Tabelle5[evidence_quote],MATCH(1,(Tabelle5[company_id]=Tabelle18[[#This Row],[company_id]])*(Tabelle5[value_id]=Tabelle18[[#This Row],[value_id]])*(Tabelle5[doc_id]=Tabelle18[[#This Row],[doc_id_strongest]]),0)),""))</f>
        <v>“explain any possible unintended bias – and eliminate it”; “data set representative and of high enough quality”</v>
      </c>
    </row>
    <row r="421" spans="1:8" x14ac:dyDescent="0.25">
      <c r="A421" s="36">
        <v>24</v>
      </c>
      <c r="B421" t="s">
        <v>90</v>
      </c>
      <c r="C421" s="4">
        <f>IF(Tabelle18[[#This Row],[binding_level_company]]&gt;=1,1,0)</f>
        <v>1</v>
      </c>
      <c r="D421" s="4">
        <f>IFERROR(_xlfn.MAXIFS(Tabelle5[binding_level],Tabelle5[company_id],Tabelle18[[#This Row],[company_id]],Tabelle5[value_id],Tabelle18[[#This Row],[value_id]],Tabelle5[value_present],1),0)</f>
        <v>3</v>
      </c>
      <c r="E421" s="4">
        <f>IFERROR(_xlfn.MAXIFS(Tabelle5[value_points],Tabelle5[company_id],Tabelle18[[#This Row],[company_id]],Tabelle5[value_id],Tabelle18[[#This Row],[value_id]]),0)</f>
        <v>3</v>
      </c>
      <c r="F421">
        <f>IF(Tabelle18[[#This Row],[value_points_company]]=0,"",IFERROR(_xlfn.MINIFS(Tabelle5[doc_id],Tabelle5[company_id],Tabelle18[[#This Row],[company_id]],Tabelle5[value_id],Tabelle18[[#This Row],[value_id]],Tabelle5[value_points],Tabelle18[[#This Row],[value_points_company]]),""))</f>
        <v>148</v>
      </c>
      <c r="G421" t="str" cm="1">
        <f t="array" ref="G421">IF(Tabelle18[[#This Row],[doc_id_strongest]]="","",IFERROR(INDEX(Tabelle5[evidence_location],MATCH(1,(Tabelle5[company_id]=Tabelle18[[#This Row],[company_id]])*(Tabelle5[value_id]=Tabelle18[[#This Row],[value_id]])*(Tabelle5[doc_id]=Tabelle18[[#This Row],[doc_id_strongest]]),0)),""))</f>
        <v>S. 3, „3rd principle: protection of privacy“</v>
      </c>
      <c r="H421" s="33" t="str" cm="1">
        <f t="array" ref="H421">IF(Tabelle18[[#This Row],[doc_id_strongest]]="","",IFERROR(INDEX(Tabelle5[evidence_quote],MATCH(1,(Tabelle5[company_id]=Tabelle18[[#This Row],[company_id]])*(Tabelle5[value_id]=Tabelle18[[#This Row],[value_id]])*(Tabelle5[doc_id]=Tabelle18[[#This Row],[doc_id_strongest]]),0)),""))</f>
        <v>“privacy protection from the design phase onwards”; “we use artificial or anonymized data sets”</v>
      </c>
    </row>
    <row r="422" spans="1:8" x14ac:dyDescent="0.25">
      <c r="A422" s="36">
        <v>24</v>
      </c>
      <c r="B422" t="s">
        <v>98</v>
      </c>
      <c r="C422" s="4">
        <f>IF(Tabelle18[[#This Row],[binding_level_company]]&gt;=1,1,0)</f>
        <v>1</v>
      </c>
      <c r="D422" s="4">
        <f>IFERROR(_xlfn.MAXIFS(Tabelle5[binding_level],Tabelle5[company_id],Tabelle18[[#This Row],[company_id]],Tabelle5[value_id],Tabelle18[[#This Row],[value_id]],Tabelle5[value_present],1),0)</f>
        <v>1</v>
      </c>
      <c r="E422" s="4">
        <f>IFERROR(_xlfn.MAXIFS(Tabelle5[value_points],Tabelle5[company_id],Tabelle18[[#This Row],[company_id]],Tabelle5[value_id],Tabelle18[[#This Row],[value_id]]),0)</f>
        <v>1</v>
      </c>
      <c r="F422">
        <f>IF(Tabelle18[[#This Row],[value_points_company]]=0,"",IFERROR(_xlfn.MINIFS(Tabelle5[doc_id],Tabelle5[company_id],Tabelle18[[#This Row],[company_id]],Tabelle5[value_id],Tabelle18[[#This Row],[value_id]],Tabelle5[value_points],Tabelle18[[#This Row],[value_points_company]]),""))</f>
        <v>149</v>
      </c>
      <c r="G422" t="str" cm="1">
        <f t="array" ref="G422">IF(Tabelle18[[#This Row],[doc_id_strongest]]="","",IFERROR(INDEX(Tabelle5[evidence_location],MATCH(1,(Tabelle5[company_id]=Tabelle18[[#This Row],[company_id]])*(Tabelle5[value_id]=Tabelle18[[#This Row],[value_id]])*(Tabelle5[doc_id]=Tabelle18[[#This Row],[doc_id_strongest]]),0)),""))</f>
        <v>S. 52, „04.5.2 Artificial Intelligence“</v>
      </c>
      <c r="H422" s="33" t="str" cm="1">
        <f t="array" ref="H422">IF(Tabelle18[[#This Row],[doc_id_strongest]]="","",IFERROR(INDEX(Tabelle5[evidence_quote],MATCH(1,(Tabelle5[company_id]=Tabelle18[[#This Row],[company_id]])*(Tabelle5[value_id]=Tabelle18[[#This Row],[value_id]])*(Tabelle5[doc_id]=Tabelle18[[#This Row],[doc_id_strongest]]),0)),""))</f>
        <v>“Security”</v>
      </c>
    </row>
    <row r="423" spans="1:8" x14ac:dyDescent="0.25">
      <c r="A423" s="36">
        <v>24</v>
      </c>
      <c r="B423" t="s">
        <v>106</v>
      </c>
      <c r="C423" s="4">
        <f>IF(Tabelle18[[#This Row],[binding_level_company]]&gt;=1,1,0)</f>
        <v>1</v>
      </c>
      <c r="D423" s="4">
        <f>IFERROR(_xlfn.MAXIFS(Tabelle5[binding_level],Tabelle5[company_id],Tabelle18[[#This Row],[company_id]],Tabelle5[value_id],Tabelle18[[#This Row],[value_id]],Tabelle5[value_present],1),0)</f>
        <v>3</v>
      </c>
      <c r="E423" s="4">
        <f>IFERROR(_xlfn.MAXIFS(Tabelle5[value_points],Tabelle5[company_id],Tabelle18[[#This Row],[company_id]],Tabelle5[value_id],Tabelle18[[#This Row],[value_id]]),0)</f>
        <v>3</v>
      </c>
      <c r="F423">
        <f>IF(Tabelle18[[#This Row],[value_points_company]]=0,"",IFERROR(_xlfn.MINIFS(Tabelle5[doc_id],Tabelle5[company_id],Tabelle18[[#This Row],[company_id]],Tabelle5[value_id],Tabelle18[[#This Row],[value_id]],Tabelle5[value_points],Tabelle18[[#This Row],[value_points_company]]),""))</f>
        <v>148</v>
      </c>
      <c r="G423" t="str" cm="1">
        <f t="array" ref="G423">IF(Tabelle18[[#This Row],[doc_id_strongest]]="","",IFERROR(INDEX(Tabelle5[evidence_location],MATCH(1,(Tabelle5[company_id]=Tabelle18[[#This Row],[company_id]])*(Tabelle5[value_id]=Tabelle18[[#This Row],[value_id]])*(Tabelle5[doc_id]=Tabelle18[[#This Row],[doc_id_strongest]]),0)),""))</f>
        <v>S. 3, „4th principle: safety and reliability“</v>
      </c>
      <c r="H423" s="33" t="str" cm="1">
        <f t="array" ref="H423">IF(Tabelle18[[#This Row],[doc_id_strongest]]="","",IFERROR(INDEX(Tabelle5[evidence_quote],MATCH(1,(Tabelle5[company_id]=Tabelle18[[#This Row],[company_id]])*(Tabelle5[value_id]=Tabelle18[[#This Row],[value_id]])*(Tabelle5[doc_id]=Tabelle18[[#This Row],[doc_id_strongest]]),0)),""))</f>
        <v>“develop safe and reliable Artificial Intelligence”</v>
      </c>
    </row>
    <row r="424" spans="1:8" x14ac:dyDescent="0.25">
      <c r="A424" s="36">
        <v>24</v>
      </c>
      <c r="B424" t="s">
        <v>112</v>
      </c>
      <c r="C424" s="4">
        <f>IF(Tabelle18[[#This Row],[binding_level_company]]&gt;=1,1,0)</f>
        <v>1</v>
      </c>
      <c r="D424" s="4">
        <f>IFERROR(_xlfn.MAXIFS(Tabelle5[binding_level],Tabelle5[company_id],Tabelle18[[#This Row],[company_id]],Tabelle5[value_id],Tabelle18[[#This Row],[value_id]],Tabelle5[value_present],1),0)</f>
        <v>3</v>
      </c>
      <c r="E424" s="4">
        <f>IFERROR(_xlfn.MAXIFS(Tabelle5[value_points],Tabelle5[company_id],Tabelle18[[#This Row],[company_id]],Tabelle5[value_id],Tabelle18[[#This Row],[value_id]]),0)</f>
        <v>3</v>
      </c>
      <c r="F424">
        <f>IF(Tabelle18[[#This Row],[value_points_company]]=0,"",IFERROR(_xlfn.MINIFS(Tabelle5[doc_id],Tabelle5[company_id],Tabelle18[[#This Row],[company_id]],Tabelle5[value_id],Tabelle18[[#This Row],[value_id]],Tabelle5[value_points],Tabelle18[[#This Row],[value_points_company]]),""))</f>
        <v>148</v>
      </c>
      <c r="G424" t="str" cm="1">
        <f t="array" ref="G424">IF(Tabelle18[[#This Row],[doc_id_strongest]]="","",IFERROR(INDEX(Tabelle5[evidence_location],MATCH(1,(Tabelle5[company_id]=Tabelle18[[#This Row],[company_id]])*(Tabelle5[value_id]=Tabelle18[[#This Row],[value_id]])*(Tabelle5[doc_id]=Tabelle18[[#This Row],[doc_id_strongest]]),0)),""))</f>
        <v>S. 3, „4th principle: safety and reliability“</v>
      </c>
      <c r="H424" s="33" t="str" cm="1">
        <f t="array" ref="H424">IF(Tabelle18[[#This Row],[doc_id_strongest]]="","",IFERROR(INDEX(Tabelle5[evidence_quote],MATCH(1,(Tabelle5[company_id]=Tabelle18[[#This Row],[company_id]])*(Tabelle5[value_id]=Tabelle18[[#This Row],[value_id]])*(Tabelle5[doc_id]=Tabelle18[[#This Row],[doc_id_strongest]]),0)),""))</f>
        <v>“We develop and test our AI technologies”; “scientifically validated and accepted algorithms”; “reliable AI is safety-relevant”</v>
      </c>
    </row>
    <row r="425" spans="1:8" x14ac:dyDescent="0.25">
      <c r="A425" s="36">
        <v>24</v>
      </c>
      <c r="B425" t="s">
        <v>118</v>
      </c>
      <c r="C425" s="4">
        <f>IF(Tabelle18[[#This Row],[binding_level_company]]&gt;=1,1,0)</f>
        <v>0</v>
      </c>
      <c r="D425" s="4">
        <f>IFERROR(_xlfn.MAXIFS(Tabelle5[binding_level],Tabelle5[company_id],Tabelle18[[#This Row],[company_id]],Tabelle5[value_id],Tabelle18[[#This Row],[value_id]],Tabelle5[value_present],1),0)</f>
        <v>0</v>
      </c>
      <c r="E425" s="4">
        <f>IFERROR(_xlfn.MAXIFS(Tabelle5[value_points],Tabelle5[company_id],Tabelle18[[#This Row],[company_id]],Tabelle5[value_id],Tabelle18[[#This Row],[value_id]]),0)</f>
        <v>0</v>
      </c>
      <c r="F425" t="str">
        <f>IF(Tabelle18[[#This Row],[value_points_company]]=0,"",IFERROR(_xlfn.MINIFS(Tabelle5[doc_id],Tabelle5[company_id],Tabelle18[[#This Row],[company_id]],Tabelle5[value_id],Tabelle18[[#This Row],[value_id]],Tabelle5[value_points],Tabelle18[[#This Row],[value_points_company]]),""))</f>
        <v/>
      </c>
      <c r="G425" t="str" cm="1">
        <f t="array" ref="G425">IF(Tabelle18[[#This Row],[doc_id_strongest]]="","",IFERROR(INDEX(Tabelle5[evidence_location],MATCH(1,(Tabelle5[company_id]=Tabelle18[[#This Row],[company_id]])*(Tabelle5[value_id]=Tabelle18[[#This Row],[value_id]])*(Tabelle5[doc_id]=Tabelle18[[#This Row],[doc_id_strongest]]),0)),""))</f>
        <v/>
      </c>
      <c r="H425" s="33" t="str" cm="1">
        <f t="array" ref="H425">IF(Tabelle18[[#This Row],[doc_id_strongest]]="","",IFERROR(INDEX(Tabelle5[evidence_quote],MATCH(1,(Tabelle5[company_id]=Tabelle18[[#This Row],[company_id]])*(Tabelle5[value_id]=Tabelle18[[#This Row],[value_id]])*(Tabelle5[doc_id]=Tabelle18[[#This Row],[doc_id_strongest]]),0)),""))</f>
        <v/>
      </c>
    </row>
    <row r="426" spans="1:8" x14ac:dyDescent="0.25">
      <c r="A426" s="36">
        <v>24</v>
      </c>
      <c r="B426" t="s">
        <v>125</v>
      </c>
      <c r="C426" s="4">
        <f>IF(Tabelle18[[#This Row],[binding_level_company]]&gt;=1,1,0)</f>
        <v>0</v>
      </c>
      <c r="D426" s="4">
        <f>IFERROR(_xlfn.MAXIFS(Tabelle5[binding_level],Tabelle5[company_id],Tabelle18[[#This Row],[company_id]],Tabelle5[value_id],Tabelle18[[#This Row],[value_id]],Tabelle5[value_present],1),0)</f>
        <v>0</v>
      </c>
      <c r="E426" s="4">
        <f>IFERROR(_xlfn.MAXIFS(Tabelle5[value_points],Tabelle5[company_id],Tabelle18[[#This Row],[company_id]],Tabelle5[value_id],Tabelle18[[#This Row],[value_id]]),0)</f>
        <v>0</v>
      </c>
      <c r="F426" t="str">
        <f>IF(Tabelle18[[#This Row],[value_points_company]]=0,"",IFERROR(_xlfn.MINIFS(Tabelle5[doc_id],Tabelle5[company_id],Tabelle18[[#This Row],[company_id]],Tabelle5[value_id],Tabelle18[[#This Row],[value_id]],Tabelle5[value_points],Tabelle18[[#This Row],[value_points_company]]),""))</f>
        <v/>
      </c>
      <c r="G426" t="str" cm="1">
        <f t="array" ref="G426">IF(Tabelle18[[#This Row],[doc_id_strongest]]="","",IFERROR(INDEX(Tabelle5[evidence_location],MATCH(1,(Tabelle5[company_id]=Tabelle18[[#This Row],[company_id]])*(Tabelle5[value_id]=Tabelle18[[#This Row],[value_id]])*(Tabelle5[doc_id]=Tabelle18[[#This Row],[doc_id_strongest]]),0)),""))</f>
        <v/>
      </c>
      <c r="H426" s="33" t="str" cm="1">
        <f t="array" ref="H426">IF(Tabelle18[[#This Row],[doc_id_strongest]]="","",IFERROR(INDEX(Tabelle5[evidence_quote],MATCH(1,(Tabelle5[company_id]=Tabelle18[[#This Row],[company_id]])*(Tabelle5[value_id]=Tabelle18[[#This Row],[value_id]])*(Tabelle5[doc_id]=Tabelle18[[#This Row],[doc_id_strongest]]),0)),""))</f>
        <v/>
      </c>
    </row>
    <row r="427" spans="1:8" x14ac:dyDescent="0.25">
      <c r="A427" s="36">
        <v>24</v>
      </c>
      <c r="B427" t="s">
        <v>132</v>
      </c>
      <c r="C427" s="4">
        <f>IF(Tabelle18[[#This Row],[binding_level_company]]&gt;=1,1,0)</f>
        <v>0</v>
      </c>
      <c r="D427" s="4">
        <f>IFERROR(_xlfn.MAXIFS(Tabelle5[binding_level],Tabelle5[company_id],Tabelle18[[#This Row],[company_id]],Tabelle5[value_id],Tabelle18[[#This Row],[value_id]],Tabelle5[value_present],1),0)</f>
        <v>0</v>
      </c>
      <c r="E427" s="4">
        <f>IFERROR(_xlfn.MAXIFS(Tabelle5[value_points],Tabelle5[company_id],Tabelle18[[#This Row],[company_id]],Tabelle5[value_id],Tabelle18[[#This Row],[value_id]]),0)</f>
        <v>0</v>
      </c>
      <c r="F427" t="str">
        <f>IF(Tabelle18[[#This Row],[value_points_company]]=0,"",IFERROR(_xlfn.MINIFS(Tabelle5[doc_id],Tabelle5[company_id],Tabelle18[[#This Row],[company_id]],Tabelle5[value_id],Tabelle18[[#This Row],[value_id]],Tabelle5[value_points],Tabelle18[[#This Row],[value_points_company]]),""))</f>
        <v/>
      </c>
      <c r="G427" t="str" cm="1">
        <f t="array" ref="G427">IF(Tabelle18[[#This Row],[doc_id_strongest]]="","",IFERROR(INDEX(Tabelle5[evidence_location],MATCH(1,(Tabelle5[company_id]=Tabelle18[[#This Row],[company_id]])*(Tabelle5[value_id]=Tabelle18[[#This Row],[value_id]])*(Tabelle5[doc_id]=Tabelle18[[#This Row],[doc_id_strongest]]),0)),""))</f>
        <v/>
      </c>
      <c r="H427" s="33" t="str" cm="1">
        <f t="array" ref="H427">IF(Tabelle18[[#This Row],[doc_id_strongest]]="","",IFERROR(INDEX(Tabelle5[evidence_quote],MATCH(1,(Tabelle5[company_id]=Tabelle18[[#This Row],[company_id]])*(Tabelle5[value_id]=Tabelle18[[#This Row],[value_id]])*(Tabelle5[doc_id]=Tabelle18[[#This Row],[doc_id_strongest]]),0)),""))</f>
        <v/>
      </c>
    </row>
    <row r="428" spans="1:8" x14ac:dyDescent="0.25">
      <c r="A428" s="36">
        <v>24</v>
      </c>
      <c r="B428" t="s">
        <v>140</v>
      </c>
      <c r="C428" s="4">
        <f>IF(Tabelle18[[#This Row],[binding_level_company]]&gt;=1,1,0)</f>
        <v>1</v>
      </c>
      <c r="D428" s="4">
        <f>IFERROR(_xlfn.MAXIFS(Tabelle5[binding_level],Tabelle5[company_id],Tabelle18[[#This Row],[company_id]],Tabelle5[value_id],Tabelle18[[#This Row],[value_id]],Tabelle5[value_present],1),0)</f>
        <v>1</v>
      </c>
      <c r="E428" s="4">
        <f>IFERROR(_xlfn.MAXIFS(Tabelle5[value_points],Tabelle5[company_id],Tabelle18[[#This Row],[company_id]],Tabelle5[value_id],Tabelle18[[#This Row],[value_id]]),0)</f>
        <v>1</v>
      </c>
      <c r="F428">
        <f>IF(Tabelle18[[#This Row],[value_points_company]]=0,"",IFERROR(_xlfn.MINIFS(Tabelle5[doc_id],Tabelle5[company_id],Tabelle18[[#This Row],[company_id]],Tabelle5[value_id],Tabelle18[[#This Row],[value_id]],Tabelle5[value_points],Tabelle18[[#This Row],[value_points_company]]),""))</f>
        <v>148</v>
      </c>
      <c r="G428" t="str" cm="1">
        <f t="array" ref="G428">IF(Tabelle18[[#This Row],[doc_id_strongest]]="","",IFERROR(INDEX(Tabelle5[evidence_location],MATCH(1,(Tabelle5[company_id]=Tabelle18[[#This Row],[company_id]])*(Tabelle5[value_id]=Tabelle18[[#This Row],[value_id]])*(Tabelle5[doc_id]=Tabelle18[[#This Row],[doc_id_strongest]]),0)),""))</f>
        <v>S. 2, „1st principle: responsible use“</v>
      </c>
      <c r="H428" s="33" t="str" cm="1">
        <f t="array" ref="H428">IF(Tabelle18[[#This Row],[doc_id_strongest]]="","",IFERROR(INDEX(Tabelle5[evidence_quote],MATCH(1,(Tabelle5[company_id]=Tabelle18[[#This Row],[company_id]])*(Tabelle5[value_id]=Tabelle18[[#This Row],[value_id]])*(Tabelle5[doc_id]=Tabelle18[[#This Row],[doc_id_strongest]]),0)),""))</f>
        <v>“it should deliver genuine added value”</v>
      </c>
    </row>
    <row r="429" spans="1:8" x14ac:dyDescent="0.25">
      <c r="A429" s="36">
        <v>24</v>
      </c>
      <c r="B429" t="s">
        <v>147</v>
      </c>
      <c r="C429" s="4">
        <f>IF(Tabelle18[[#This Row],[binding_level_company]]&gt;=1,1,0)</f>
        <v>1</v>
      </c>
      <c r="D429" s="4">
        <f>IFERROR(_xlfn.MAXIFS(Tabelle5[binding_level],Tabelle5[company_id],Tabelle18[[#This Row],[company_id]],Tabelle5[value_id],Tabelle18[[#This Row],[value_id]],Tabelle5[value_present],1),0)</f>
        <v>2</v>
      </c>
      <c r="E429" s="4">
        <f>IFERROR(_xlfn.MAXIFS(Tabelle5[value_points],Tabelle5[company_id],Tabelle18[[#This Row],[company_id]],Tabelle5[value_id],Tabelle18[[#This Row],[value_id]]),0)</f>
        <v>2</v>
      </c>
      <c r="F429">
        <f>IF(Tabelle18[[#This Row],[value_points_company]]=0,"",IFERROR(_xlfn.MINIFS(Tabelle5[doc_id],Tabelle5[company_id],Tabelle18[[#This Row],[company_id]],Tabelle5[value_id],Tabelle18[[#This Row],[value_id]],Tabelle5[value_points],Tabelle18[[#This Row],[value_points_company]]),""))</f>
        <v>148</v>
      </c>
      <c r="G429" t="str" cm="1">
        <f t="array" ref="G429">IF(Tabelle18[[#This Row],[doc_id_strongest]]="","",IFERROR(INDEX(Tabelle5[evidence_location],MATCH(1,(Tabelle5[company_id]=Tabelle18[[#This Row],[company_id]])*(Tabelle5[value_id]=Tabelle18[[#This Row],[value_id]])*(Tabelle5[doc_id]=Tabelle18[[#This Row],[doc_id_strongest]]),0)),""))</f>
        <v>S. 1, Schlussabsatz; S. 3, „3rd principle: protection of privacy“</v>
      </c>
      <c r="H429" s="33" t="str" cm="1">
        <f t="array" ref="H429">IF(Tabelle18[[#This Row],[doc_id_strongest]]="","",IFERROR(INDEX(Tabelle5[evidence_quote],MATCH(1,(Tabelle5[company_id]=Tabelle18[[#This Row],[company_id]])*(Tabelle5[value_id]=Tabelle18[[#This Row],[value_id]])*(Tabelle5[doc_id]=Tabelle18[[#This Row],[doc_id_strongest]]),0)),""))</f>
        <v>“ensure compliance with legal requirements and ethical standards”; “Legal requirements are always mandatory”</v>
      </c>
    </row>
    <row r="430" spans="1:8" x14ac:dyDescent="0.25">
      <c r="A430" s="36">
        <v>24</v>
      </c>
      <c r="B430" t="s">
        <v>154</v>
      </c>
      <c r="C430" s="4">
        <f>IF(Tabelle18[[#This Row],[binding_level_company]]&gt;=1,1,0)</f>
        <v>1</v>
      </c>
      <c r="D430" s="4">
        <f>IFERROR(_xlfn.MAXIFS(Tabelle5[binding_level],Tabelle5[company_id],Tabelle18[[#This Row],[company_id]],Tabelle5[value_id],Tabelle18[[#This Row],[value_id]],Tabelle5[value_present],1),0)</f>
        <v>1</v>
      </c>
      <c r="E430" s="4">
        <f>IFERROR(_xlfn.MAXIFS(Tabelle5[value_points],Tabelle5[company_id],Tabelle18[[#This Row],[company_id]],Tabelle5[value_id],Tabelle18[[#This Row],[value_id]]),0)</f>
        <v>1</v>
      </c>
      <c r="F430">
        <f>IF(Tabelle18[[#This Row],[value_points_company]]=0,"",IFERROR(_xlfn.MINIFS(Tabelle5[doc_id],Tabelle5[company_id],Tabelle18[[#This Row],[company_id]],Tabelle5[value_id],Tabelle18[[#This Row],[value_id]],Tabelle5[value_points],Tabelle18[[#This Row],[value_points_company]]),""))</f>
        <v>149</v>
      </c>
      <c r="G430" t="str" cm="1">
        <f t="array" ref="G430">IF(Tabelle18[[#This Row],[doc_id_strongest]]="","",IFERROR(INDEX(Tabelle5[evidence_location],MATCH(1,(Tabelle5[company_id]=Tabelle18[[#This Row],[company_id]])*(Tabelle5[value_id]=Tabelle18[[#This Row],[value_id]])*(Tabelle5[doc_id]=Tabelle18[[#This Row],[doc_id_strongest]]),0)),""))</f>
        <v>S. 52, „04.5.2 Artificial Intelligence“</v>
      </c>
      <c r="H430" s="33" t="str" cm="1">
        <f t="array" ref="H430">IF(Tabelle18[[#This Row],[doc_id_strongest]]="","",IFERROR(INDEX(Tabelle5[evidence_quote],MATCH(1,(Tabelle5[company_id]=Tabelle18[[#This Row],[company_id]])*(Tabelle5[value_id]=Tabelle18[[#This Row],[value_id]])*(Tabelle5[doc_id]=Tabelle18[[#This Row],[doc_id_strongest]]),0)),""))</f>
        <v>“What matters is how we responsibly manage AI use.”; “responsible development and use of Artificial Intelligence”</v>
      </c>
    </row>
    <row r="431" spans="1:8" x14ac:dyDescent="0.25">
      <c r="A431" s="36">
        <v>24</v>
      </c>
      <c r="B431" t="s">
        <v>161</v>
      </c>
      <c r="C431" s="4">
        <f>IF(Tabelle18[[#This Row],[binding_level_company]]&gt;=1,1,0)</f>
        <v>1</v>
      </c>
      <c r="D431" s="4">
        <f>IFERROR(_xlfn.MAXIFS(Tabelle5[binding_level],Tabelle5[company_id],Tabelle18[[#This Row],[company_id]],Tabelle5[value_id],Tabelle18[[#This Row],[value_id]],Tabelle5[value_present],1),0)</f>
        <v>3</v>
      </c>
      <c r="E431" s="4">
        <f>IFERROR(_xlfn.MAXIFS(Tabelle5[value_points],Tabelle5[company_id],Tabelle18[[#This Row],[company_id]],Tabelle5[value_id],Tabelle18[[#This Row],[value_id]]),0)</f>
        <v>3</v>
      </c>
      <c r="F431">
        <f>IF(Tabelle18[[#This Row],[value_points_company]]=0,"",IFERROR(_xlfn.MINIFS(Tabelle5[doc_id],Tabelle5[company_id],Tabelle18[[#This Row],[company_id]],Tabelle5[value_id],Tabelle18[[#This Row],[value_id]],Tabelle5[value_points],Tabelle18[[#This Row],[value_points_company]]),""))</f>
        <v>148</v>
      </c>
      <c r="G431" t="str" cm="1">
        <f t="array" ref="G431">IF(Tabelle18[[#This Row],[doc_id_strongest]]="","",IFERROR(INDEX(Tabelle5[evidence_location],MATCH(1,(Tabelle5[company_id]=Tabelle18[[#This Row],[company_id]])*(Tabelle5[value_id]=Tabelle18[[#This Row],[value_id]])*(Tabelle5[doc_id]=Tabelle18[[#This Row],[doc_id_strongest]]),0)),""))</f>
        <v>S. 2, „1st principle: responsible use“</v>
      </c>
      <c r="H431" s="33" t="str" cm="1">
        <f t="array" ref="H431">IF(Tabelle18[[#This Row],[doc_id_strongest]]="","",IFERROR(INDEX(Tabelle5[evidence_quote],MATCH(1,(Tabelle5[company_id]=Tabelle18[[#This Row],[company_id]])*(Tabelle5[value_id]=Tabelle18[[#This Row],[value_id]])*(Tabelle5[doc_id]=Tabelle18[[#This Row],[doc_id_strongest]]),0)),""))</f>
        <v>“data set representative and of high enough quality”; “preceded by a transparent evaluation process”</v>
      </c>
    </row>
    <row r="432" spans="1:8" x14ac:dyDescent="0.25">
      <c r="A432" s="36">
        <v>24</v>
      </c>
      <c r="B432" t="s">
        <v>166</v>
      </c>
      <c r="C432" s="4">
        <f>IF(Tabelle18[[#This Row],[binding_level_company]]&gt;=1,1,0)</f>
        <v>0</v>
      </c>
      <c r="D432" s="4">
        <f>IFERROR(_xlfn.MAXIFS(Tabelle5[binding_level],Tabelle5[company_id],Tabelle18[[#This Row],[company_id]],Tabelle5[value_id],Tabelle18[[#This Row],[value_id]],Tabelle5[value_present],1),0)</f>
        <v>0</v>
      </c>
      <c r="E432" s="4">
        <f>IFERROR(_xlfn.MAXIFS(Tabelle5[value_points],Tabelle5[company_id],Tabelle18[[#This Row],[company_id]],Tabelle5[value_id],Tabelle18[[#This Row],[value_id]]),0)</f>
        <v>0</v>
      </c>
      <c r="F432" t="str">
        <f>IF(Tabelle18[[#This Row],[value_points_company]]=0,"",IFERROR(_xlfn.MINIFS(Tabelle5[doc_id],Tabelle5[company_id],Tabelle18[[#This Row],[company_id]],Tabelle5[value_id],Tabelle18[[#This Row],[value_id]],Tabelle5[value_points],Tabelle18[[#This Row],[value_points_company]]),""))</f>
        <v/>
      </c>
      <c r="G432" t="str" cm="1">
        <f t="array" ref="G432">IF(Tabelle18[[#This Row],[doc_id_strongest]]="","",IFERROR(INDEX(Tabelle5[evidence_location],MATCH(1,(Tabelle5[company_id]=Tabelle18[[#This Row],[company_id]])*(Tabelle5[value_id]=Tabelle18[[#This Row],[value_id]])*(Tabelle5[doc_id]=Tabelle18[[#This Row],[doc_id_strongest]]),0)),""))</f>
        <v/>
      </c>
      <c r="H432" s="33" t="str" cm="1">
        <f t="array" ref="H432">IF(Tabelle18[[#This Row],[doc_id_strongest]]="","",IFERROR(INDEX(Tabelle5[evidence_quote],MATCH(1,(Tabelle5[company_id]=Tabelle18[[#This Row],[company_id]])*(Tabelle5[value_id]=Tabelle18[[#This Row],[value_id]])*(Tabelle5[doc_id]=Tabelle18[[#This Row],[doc_id_strongest]]),0)),""))</f>
        <v/>
      </c>
    </row>
    <row r="433" spans="1:8" ht="15.75" thickBot="1" x14ac:dyDescent="0.3">
      <c r="A433" s="37">
        <v>24</v>
      </c>
      <c r="B433" s="30" t="s">
        <v>174</v>
      </c>
      <c r="C433" s="49">
        <f>IF(Tabelle18[[#This Row],[binding_level_company]]&gt;=1,1,0)</f>
        <v>0</v>
      </c>
      <c r="D433" s="49">
        <f>IFERROR(_xlfn.MAXIFS(Tabelle5[binding_level],Tabelle5[company_id],Tabelle18[[#This Row],[company_id]],Tabelle5[value_id],Tabelle18[[#This Row],[value_id]],Tabelle5[value_present],1),0)</f>
        <v>0</v>
      </c>
      <c r="E433" s="49">
        <f>IFERROR(_xlfn.MAXIFS(Tabelle5[value_points],Tabelle5[company_id],Tabelle18[[#This Row],[company_id]],Tabelle5[value_id],Tabelle18[[#This Row],[value_id]]),0)</f>
        <v>0</v>
      </c>
      <c r="F433" s="30" t="str">
        <f>IF(Tabelle18[[#This Row],[value_points_company]]=0,"",IFERROR(_xlfn.MINIFS(Tabelle5[doc_id],Tabelle5[company_id],Tabelle18[[#This Row],[company_id]],Tabelle5[value_id],Tabelle18[[#This Row],[value_id]],Tabelle5[value_points],Tabelle18[[#This Row],[value_points_company]]),""))</f>
        <v/>
      </c>
      <c r="G433" s="30" t="str" cm="1">
        <f t="array" ref="G433">IF(Tabelle18[[#This Row],[doc_id_strongest]]="","",IFERROR(INDEX(Tabelle5[evidence_location],MATCH(1,(Tabelle5[company_id]=Tabelle18[[#This Row],[company_id]])*(Tabelle5[value_id]=Tabelle18[[#This Row],[value_id]])*(Tabelle5[doc_id]=Tabelle18[[#This Row],[doc_id_strongest]]),0)),""))</f>
        <v/>
      </c>
      <c r="H433" s="34" t="str" cm="1">
        <f t="array" ref="H433">IF(Tabelle18[[#This Row],[doc_id_strongest]]="","",IFERROR(INDEX(Tabelle5[evidence_quote],MATCH(1,(Tabelle5[company_id]=Tabelle18[[#This Row],[company_id]])*(Tabelle5[value_id]=Tabelle18[[#This Row],[value_id]])*(Tabelle5[doc_id]=Tabelle18[[#This Row],[doc_id_strongest]]),0)),""))</f>
        <v/>
      </c>
    </row>
    <row r="434" spans="1:8" x14ac:dyDescent="0.25">
      <c r="A434" s="35">
        <v>25</v>
      </c>
      <c r="B434" s="22" t="s">
        <v>53</v>
      </c>
      <c r="C434" s="48">
        <f>IF(Tabelle18[[#This Row],[binding_level_company]]&gt;=1,1,0)</f>
        <v>1</v>
      </c>
      <c r="D434" s="48">
        <f>IFERROR(_xlfn.MAXIFS(Tabelle5[binding_level],Tabelle5[company_id],Tabelle18[[#This Row],[company_id]],Tabelle5[value_id],Tabelle18[[#This Row],[value_id]],Tabelle5[value_present],1),0)</f>
        <v>3</v>
      </c>
      <c r="E434" s="48">
        <f>IFERROR(_xlfn.MAXIFS(Tabelle5[value_points],Tabelle5[company_id],Tabelle18[[#This Row],[company_id]],Tabelle5[value_id],Tabelle18[[#This Row],[value_id]]),0)</f>
        <v>3</v>
      </c>
      <c r="F434" s="22">
        <f>IF(Tabelle18[[#This Row],[value_points_company]]=0,"",IFERROR(_xlfn.MINIFS(Tabelle5[doc_id],Tabelle5[company_id],Tabelle18[[#This Row],[company_id]],Tabelle5[value_id],Tabelle18[[#This Row],[value_id]],Tabelle5[value_points],Tabelle18[[#This Row],[value_points_company]]),""))</f>
        <v>154</v>
      </c>
      <c r="G434" s="22" t="str" cm="1">
        <f t="array" ref="G434">IF(Tabelle18[[#This Row],[doc_id_strongest]]="","",IFERROR(INDEX(Tabelle5[evidence_location],MATCH(1,(Tabelle5[company_id]=Tabelle18[[#This Row],[company_id]])*(Tabelle5[value_id]=Tabelle18[[#This Row],[value_id]])*(Tabelle5[doc_id]=Tabelle18[[#This Row],[doc_id_strongest]]),0)),""))</f>
        <v>S. 5/S. 8 „Autonomy“; S. 10/S. 20 „Controllability“</v>
      </c>
      <c r="H434" s="32" t="str" cm="1">
        <f t="array" ref="H434">IF(Tabelle18[[#This Row],[doc_id_strongest]]="","",IFERROR(INDEX(Tabelle5[evidence_quote],MATCH(1,(Tabelle5[company_id]=Tabelle18[[#This Row],[company_id]])*(Tabelle5[value_id]=Tabelle18[[#This Row],[value_id]])*(Tabelle5[doc_id]=Tabelle18[[#This Row],[doc_id_strongest]]),0)),""))</f>
        <v>“We respect the autonomy of every single human”; “human intervention is always possible"</v>
      </c>
    </row>
    <row r="435" spans="1:8" x14ac:dyDescent="0.25">
      <c r="A435" s="36">
        <v>25</v>
      </c>
      <c r="B435" t="s">
        <v>61</v>
      </c>
      <c r="C435" s="4">
        <f>IF(Tabelle18[[#This Row],[binding_level_company]]&gt;=1,1,0)</f>
        <v>1</v>
      </c>
      <c r="D435" s="4">
        <f>IFERROR(_xlfn.MAXIFS(Tabelle5[binding_level],Tabelle5[company_id],Tabelle18[[#This Row],[company_id]],Tabelle5[value_id],Tabelle18[[#This Row],[value_id]],Tabelle5[value_present],1),0)</f>
        <v>3</v>
      </c>
      <c r="E435" s="4">
        <f>IFERROR(_xlfn.MAXIFS(Tabelle5[value_points],Tabelle5[company_id],Tabelle18[[#This Row],[company_id]],Tabelle5[value_id],Tabelle18[[#This Row],[value_id]]),0)</f>
        <v>3</v>
      </c>
      <c r="F435">
        <f>IF(Tabelle18[[#This Row],[value_points_company]]=0,"",IFERROR(_xlfn.MINIFS(Tabelle5[doc_id],Tabelle5[company_id],Tabelle18[[#This Row],[company_id]],Tabelle5[value_id],Tabelle18[[#This Row],[value_id]],Tabelle5[value_points],Tabelle18[[#This Row],[value_points_company]]),""))</f>
        <v>154</v>
      </c>
      <c r="G435" t="str" cm="1">
        <f t="array" ref="G435">IF(Tabelle18[[#This Row],[doc_id_strongest]]="","",IFERROR(INDEX(Tabelle5[evidence_location],MATCH(1,(Tabelle5[company_id]=Tabelle18[[#This Row],[company_id]])*(Tabelle5[value_id]=Tabelle18[[#This Row],[value_id]])*(Tabelle5[doc_id]=Tabelle18[[#This Row],[doc_id_strongest]]),0)),""))</f>
        <v>S. 9/S. 18 „Responsibility“; S. 10 „Accountability“</v>
      </c>
      <c r="H435" s="33" t="str" cm="1">
        <f t="array" ref="H435">IF(Tabelle18[[#This Row],[doc_id_strongest]]="","",IFERROR(INDEX(Tabelle5[evidence_quote],MATCH(1,(Tabelle5[company_id]=Tabelle18[[#This Row],[company_id]])*(Tabelle5[value_id]=Tabelle18[[#This Row],[value_id]])*(Tabelle5[doc_id]=Tabelle18[[#This Row],[doc_id_strongest]]),0)),""))</f>
        <v>“Responsibility can neither be delegated to the algorithmic system”; “We assign clear responsibilities for our digital offerings.”;“We assign clear responsibilities for our digital offerings.”</v>
      </c>
    </row>
    <row r="436" spans="1:8" x14ac:dyDescent="0.25">
      <c r="A436" s="36">
        <v>25</v>
      </c>
      <c r="B436" t="s">
        <v>69</v>
      </c>
      <c r="C436" s="4">
        <f>IF(Tabelle18[[#This Row],[binding_level_company]]&gt;=1,1,0)</f>
        <v>1</v>
      </c>
      <c r="D436" s="4">
        <f>IFERROR(_xlfn.MAXIFS(Tabelle5[binding_level],Tabelle5[company_id],Tabelle18[[#This Row],[company_id]],Tabelle5[value_id],Tabelle18[[#This Row],[value_id]],Tabelle5[value_present],1),0)</f>
        <v>3</v>
      </c>
      <c r="E436" s="4">
        <f>IFERROR(_xlfn.MAXIFS(Tabelle5[value_points],Tabelle5[company_id],Tabelle18[[#This Row],[company_id]],Tabelle5[value_id],Tabelle18[[#This Row],[value_id]]),0)</f>
        <v>3</v>
      </c>
      <c r="F436">
        <f>IF(Tabelle18[[#This Row],[value_points_company]]=0,"",IFERROR(_xlfn.MINIFS(Tabelle5[doc_id],Tabelle5[company_id],Tabelle18[[#This Row],[company_id]],Tabelle5[value_id],Tabelle18[[#This Row],[value_id]],Tabelle5[value_points],Tabelle18[[#This Row],[value_points_company]]),""))</f>
        <v>154</v>
      </c>
      <c r="G436" t="str" cm="1">
        <f t="array" ref="G436">IF(Tabelle18[[#This Row],[doc_id_strongest]]="","",IFERROR(INDEX(Tabelle5[evidence_location],MATCH(1,(Tabelle5[company_id]=Tabelle18[[#This Row],[company_id]])*(Tabelle5[value_id]=Tabelle18[[#This Row],[value_id]])*(Tabelle5[doc_id]=Tabelle18[[#This Row],[doc_id_strongest]]),0)),""))</f>
        <v>S. 11 „Transparency“; S. 21–22 „Traceability/Interactivity/Comprehensibility“</v>
      </c>
      <c r="H436" s="33" t="str" cm="1">
        <f t="array" ref="H436">IF(Tabelle18[[#This Row],[doc_id_strongest]]="","",IFERROR(INDEX(Tabelle5[evidence_quote],MATCH(1,(Tabelle5[company_id]=Tabelle18[[#This Row],[company_id]])*(Tabelle5[value_id]=Tabelle18[[#This Row],[value_id]])*(Tabelle5[doc_id]=Tabelle18[[#This Row],[doc_id_strongest]]),0)),""))</f>
        <v>“We strive for the greatest possible transparency”; “users of our digital services can contact us directly”;“users of our digital services can contact us directly”</v>
      </c>
    </row>
    <row r="437" spans="1:8" x14ac:dyDescent="0.25">
      <c r="A437" s="36">
        <v>25</v>
      </c>
      <c r="B437" t="s">
        <v>76</v>
      </c>
      <c r="C437" s="4">
        <f>IF(Tabelle18[[#This Row],[binding_level_company]]&gt;=1,1,0)</f>
        <v>1</v>
      </c>
      <c r="D437" s="4">
        <f>IFERROR(_xlfn.MAXIFS(Tabelle5[binding_level],Tabelle5[company_id],Tabelle18[[#This Row],[company_id]],Tabelle5[value_id],Tabelle18[[#This Row],[value_id]],Tabelle5[value_present],1),0)</f>
        <v>3</v>
      </c>
      <c r="E437" s="4">
        <f>IFERROR(_xlfn.MAXIFS(Tabelle5[value_points],Tabelle5[company_id],Tabelle18[[#This Row],[company_id]],Tabelle5[value_id],Tabelle18[[#This Row],[value_id]]),0)</f>
        <v>3</v>
      </c>
      <c r="F437">
        <f>IF(Tabelle18[[#This Row],[value_points_company]]=0,"",IFERROR(_xlfn.MINIFS(Tabelle5[doc_id],Tabelle5[company_id],Tabelle18[[#This Row],[company_id]],Tabelle5[value_id],Tabelle18[[#This Row],[value_id]],Tabelle5[value_points],Tabelle18[[#This Row],[value_points_company]]),""))</f>
        <v>154</v>
      </c>
      <c r="G437" t="str" cm="1">
        <f t="array" ref="G437">IF(Tabelle18[[#This Row],[doc_id_strongest]]="","",IFERROR(INDEX(Tabelle5[evidence_location],MATCH(1,(Tabelle5[company_id]=Tabelle18[[#This Row],[company_id]])*(Tabelle5[value_id]=Tabelle18[[#This Row],[value_id]])*(Tabelle5[doc_id]=Tabelle18[[#This Row],[doc_id_strongest]]),0)),""))</f>
        <v>S. 8 „Explainability“</v>
      </c>
      <c r="H437" s="33" t="str" cm="1">
        <f t="array" ref="H437">IF(Tabelle18[[#This Row],[doc_id_strongest]]="","",IFERROR(INDEX(Tabelle5[evidence_quote],MATCH(1,(Tabelle5[company_id]=Tabelle18[[#This Row],[company_id]])*(Tabelle5[value_id]=Tabelle18[[#This Row],[value_id]])*(Tabelle5[doc_id]=Tabelle18[[#This Row],[doc_id_strongest]]),0)),""))</f>
        <v>“We explain our algorithmic systems.”; “understand how the results of algorithm-based processes are achieved”</v>
      </c>
    </row>
    <row r="438" spans="1:8" x14ac:dyDescent="0.25">
      <c r="A438" s="36">
        <v>25</v>
      </c>
      <c r="B438" t="s">
        <v>83</v>
      </c>
      <c r="C438" s="4">
        <f>IF(Tabelle18[[#This Row],[binding_level_company]]&gt;=1,1,0)</f>
        <v>1</v>
      </c>
      <c r="D438" s="4">
        <f>IFERROR(_xlfn.MAXIFS(Tabelle5[binding_level],Tabelle5[company_id],Tabelle18[[#This Row],[company_id]],Tabelle5[value_id],Tabelle18[[#This Row],[value_id]],Tabelle5[value_present],1),0)</f>
        <v>2</v>
      </c>
      <c r="E438" s="4">
        <f>IFERROR(_xlfn.MAXIFS(Tabelle5[value_points],Tabelle5[company_id],Tabelle18[[#This Row],[company_id]],Tabelle5[value_id],Tabelle18[[#This Row],[value_id]]),0)</f>
        <v>2</v>
      </c>
      <c r="F438">
        <f>IF(Tabelle18[[#This Row],[value_points_company]]=0,"",IFERROR(_xlfn.MINIFS(Tabelle5[doc_id],Tabelle5[company_id],Tabelle18[[#This Row],[company_id]],Tabelle5[value_id],Tabelle18[[#This Row],[value_id]],Tabelle5[value_points],Tabelle18[[#This Row],[value_points_company]]),""))</f>
        <v>154</v>
      </c>
      <c r="G438" t="str" cm="1">
        <f t="array" ref="G438">IF(Tabelle18[[#This Row],[doc_id_strongest]]="","",IFERROR(INDEX(Tabelle5[evidence_location],MATCH(1,(Tabelle5[company_id]=Tabelle18[[#This Row],[company_id]])*(Tabelle5[value_id]=Tabelle18[[#This Row],[value_id]])*(Tabelle5[doc_id]=Tabelle18[[#This Row],[doc_id_strongest]]),0)),""))</f>
        <v>S. 7 „Justice – Impartiality“</v>
      </c>
      <c r="H438" s="33" t="str" cm="1">
        <f t="array" ref="H438">IF(Tabelle18[[#This Row],[doc_id_strongest]]="","",IFERROR(INDEX(Tabelle5[evidence_quote],MATCH(1,(Tabelle5[company_id]=Tabelle18[[#This Row],[company_id]])*(Tabelle5[value_id]=Tabelle18[[#This Row],[value_id]])*(Tabelle5[doc_id]=Tabelle18[[#This Row],[doc_id_strongest]]),0)),""))</f>
        <v>“We actively combat prejudice in our digital offerings.”</v>
      </c>
    </row>
    <row r="439" spans="1:8" x14ac:dyDescent="0.25">
      <c r="A439" s="36">
        <v>25</v>
      </c>
      <c r="B439" t="s">
        <v>90</v>
      </c>
      <c r="C439" s="4">
        <f>IF(Tabelle18[[#This Row],[binding_level_company]]&gt;=1,1,0)</f>
        <v>1</v>
      </c>
      <c r="D439" s="4">
        <f>IFERROR(_xlfn.MAXIFS(Tabelle5[binding_level],Tabelle5[company_id],Tabelle18[[#This Row],[company_id]],Tabelle5[value_id],Tabelle18[[#This Row],[value_id]],Tabelle5[value_present],1),0)</f>
        <v>2</v>
      </c>
      <c r="E439" s="4">
        <f>IFERROR(_xlfn.MAXIFS(Tabelle5[value_points],Tabelle5[company_id],Tabelle18[[#This Row],[company_id]],Tabelle5[value_id],Tabelle18[[#This Row],[value_id]]),0)</f>
        <v>2</v>
      </c>
      <c r="F439">
        <f>IF(Tabelle18[[#This Row],[value_points_company]]=0,"",IFERROR(_xlfn.MINIFS(Tabelle5[doc_id],Tabelle5[company_id],Tabelle18[[#This Row],[company_id]],Tabelle5[value_id],Tabelle18[[#This Row],[value_id]],Tabelle5[value_points],Tabelle18[[#This Row],[value_points_company]]),""))</f>
        <v>154</v>
      </c>
      <c r="G439" t="str" cm="1">
        <f t="array" ref="G439">IF(Tabelle18[[#This Row],[doc_id_strongest]]="","",IFERROR(INDEX(Tabelle5[evidence_location],MATCH(1,(Tabelle5[company_id]=Tabelle18[[#This Row],[company_id]])*(Tabelle5[value_id]=Tabelle18[[#This Row],[value_id]])*(Tabelle5[doc_id]=Tabelle18[[#This Row],[doc_id_strongest]]),0)),""))</f>
        <v>S. 8 „Privacy“</v>
      </c>
      <c r="H439" s="33" t="str" cm="1">
        <f t="array" ref="H439">IF(Tabelle18[[#This Row],[doc_id_strongest]]="","",IFERROR(INDEX(Tabelle5[evidence_quote],MATCH(1,(Tabelle5[company_id]=Tabelle18[[#This Row],[company_id]])*(Tabelle5[value_id]=Tabelle18[[#This Row],[value_id]])*(Tabelle5[doc_id]=Tabelle18[[#This Row],[doc_id_strongest]]),0)),""))</f>
        <v>“We protect the privacy of those who provide data.”</v>
      </c>
    </row>
    <row r="440" spans="1:8" x14ac:dyDescent="0.25">
      <c r="A440" s="36">
        <v>25</v>
      </c>
      <c r="B440" t="s">
        <v>98</v>
      </c>
      <c r="C440" s="4">
        <f>IF(Tabelle18[[#This Row],[binding_level_company]]&gt;=1,1,0)</f>
        <v>1</v>
      </c>
      <c r="D440" s="4">
        <f>IFERROR(_xlfn.MAXIFS(Tabelle5[binding_level],Tabelle5[company_id],Tabelle18[[#This Row],[company_id]],Tabelle5[value_id],Tabelle18[[#This Row],[value_id]],Tabelle5[value_present],1),0)</f>
        <v>3</v>
      </c>
      <c r="E440" s="4">
        <f>IFERROR(_xlfn.MAXIFS(Tabelle5[value_points],Tabelle5[company_id],Tabelle18[[#This Row],[company_id]],Tabelle5[value_id],Tabelle18[[#This Row],[value_id]]),0)</f>
        <v>3</v>
      </c>
      <c r="F440">
        <f>IF(Tabelle18[[#This Row],[value_points_company]]=0,"",IFERROR(_xlfn.MINIFS(Tabelle5[doc_id],Tabelle5[company_id],Tabelle18[[#This Row],[company_id]],Tabelle5[value_id],Tabelle18[[#This Row],[value_id]],Tabelle5[value_points],Tabelle18[[#This Row],[value_points_company]]),""))</f>
        <v>154</v>
      </c>
      <c r="G440" t="str" cm="1">
        <f t="array" ref="G440">IF(Tabelle18[[#This Row],[doc_id_strongest]]="","",IFERROR(INDEX(Tabelle5[evidence_location],MATCH(1,(Tabelle5[company_id]=Tabelle18[[#This Row],[company_id]])*(Tabelle5[value_id]=Tabelle18[[#This Row],[value_id]])*(Tabelle5[doc_id]=Tabelle18[[#This Row],[doc_id_strongest]]),0)),""))</f>
        <v>S. 9 „Security“</v>
      </c>
      <c r="H440" s="33" t="str" cm="1">
        <f t="array" ref="H440">IF(Tabelle18[[#This Row],[doc_id_strongest]]="","",IFERROR(INDEX(Tabelle5[evidence_quote],MATCH(1,(Tabelle5[company_id]=Tabelle18[[#This Row],[company_id]])*(Tabelle5[value_id]=Tabelle18[[#This Row],[value_id]])*(Tabelle5[doc_id]=Tabelle18[[#This Row],[doc_id_strongest]]),0)),""))</f>
        <v>“implement technical protection measures”</v>
      </c>
    </row>
    <row r="441" spans="1:8" x14ac:dyDescent="0.25">
      <c r="A441" s="36">
        <v>25</v>
      </c>
      <c r="B441" t="s">
        <v>106</v>
      </c>
      <c r="C441" s="4">
        <f>IF(Tabelle18[[#This Row],[binding_level_company]]&gt;=1,1,0)</f>
        <v>1</v>
      </c>
      <c r="D441" s="4">
        <f>IFERROR(_xlfn.MAXIFS(Tabelle5[binding_level],Tabelle5[company_id],Tabelle18[[#This Row],[company_id]],Tabelle5[value_id],Tabelle18[[#This Row],[value_id]],Tabelle5[value_present],1),0)</f>
        <v>2</v>
      </c>
      <c r="E441" s="4">
        <f>IFERROR(_xlfn.MAXIFS(Tabelle5[value_points],Tabelle5[company_id],Tabelle18[[#This Row],[company_id]],Tabelle5[value_id],Tabelle18[[#This Row],[value_id]]),0)</f>
        <v>2</v>
      </c>
      <c r="F441">
        <f>IF(Tabelle18[[#This Row],[value_points_company]]=0,"",IFERROR(_xlfn.MINIFS(Tabelle5[doc_id],Tabelle5[company_id],Tabelle18[[#This Row],[company_id]],Tabelle5[value_id],Tabelle18[[#This Row],[value_id]],Tabelle5[value_points],Tabelle18[[#This Row],[value_points_company]]),""))</f>
        <v>154</v>
      </c>
      <c r="G441" t="str" cm="1">
        <f t="array" ref="G441">IF(Tabelle18[[#This Row],[doc_id_strongest]]="","",IFERROR(INDEX(Tabelle5[evidence_location],MATCH(1,(Tabelle5[company_id]=Tabelle18[[#This Row],[company_id]])*(Tabelle5[value_id]=Tabelle18[[#This Row],[value_id]])*(Tabelle5[doc_id]=Tabelle18[[#This Row],[doc_id_strongest]]),0)),""))</f>
        <v>S. 10 „Non-Maleficence“</v>
      </c>
      <c r="H441" s="33" t="str" cm="1">
        <f t="array" ref="H441">IF(Tabelle18[[#This Row],[doc_id_strongest]]="","",IFERROR(INDEX(Tabelle5[evidence_quote],MATCH(1,(Tabelle5[company_id]=Tabelle18[[#This Row],[company_id]])*(Tabelle5[value_id]=Tabelle18[[#This Row],[value_id]])*(Tabelle5[doc_id]=Tabelle18[[#This Row],[doc_id_strongest]]),0)),""))</f>
        <v>“We avoid doing harm through our digital offerings.”</v>
      </c>
    </row>
    <row r="442" spans="1:8" x14ac:dyDescent="0.25">
      <c r="A442" s="36">
        <v>25</v>
      </c>
      <c r="B442" t="s">
        <v>112</v>
      </c>
      <c r="C442" s="4">
        <f>IF(Tabelle18[[#This Row],[binding_level_company]]&gt;=1,1,0)</f>
        <v>1</v>
      </c>
      <c r="D442" s="4">
        <f>IFERROR(_xlfn.MAXIFS(Tabelle5[binding_level],Tabelle5[company_id],Tabelle18[[#This Row],[company_id]],Tabelle5[value_id],Tabelle18[[#This Row],[value_id]],Tabelle5[value_present],1),0)</f>
        <v>3</v>
      </c>
      <c r="E442" s="4">
        <f>IFERROR(_xlfn.MAXIFS(Tabelle5[value_points],Tabelle5[company_id],Tabelle18[[#This Row],[company_id]],Tabelle5[value_id],Tabelle18[[#This Row],[value_id]]),0)</f>
        <v>3</v>
      </c>
      <c r="F442">
        <f>IF(Tabelle18[[#This Row],[value_points_company]]=0,"",IFERROR(_xlfn.MINIFS(Tabelle5[doc_id],Tabelle5[company_id],Tabelle18[[#This Row],[company_id]],Tabelle5[value_id],Tabelle18[[#This Row],[value_id]],Tabelle5[value_points],Tabelle18[[#This Row],[value_points_company]]),""))</f>
        <v>154</v>
      </c>
      <c r="G442" t="str" cm="1">
        <f t="array" ref="G442">IF(Tabelle18[[#This Row],[doc_id_strongest]]="","",IFERROR(INDEX(Tabelle5[evidence_location],MATCH(1,(Tabelle5[company_id]=Tabelle18[[#This Row],[company_id]])*(Tabelle5[value_id]=Tabelle18[[#This Row],[value_id]])*(Tabelle5[doc_id]=Tabelle18[[#This Row],[doc_id_strongest]]),0)),""))</f>
        <v>S. 19 „Reliability“</v>
      </c>
      <c r="H442" s="33" t="str" cm="1">
        <f t="array" ref="H442">IF(Tabelle18[[#This Row],[doc_id_strongest]]="","",IFERROR(INDEX(Tabelle5[evidence_quote],MATCH(1,(Tabelle5[company_id]=Tabelle18[[#This Row],[company_id]])*(Tabelle5[value_id]=Tabelle18[[#This Row],[value_id]])*(Tabelle5[doc_id]=Tabelle18[[#This Row],[doc_id_strongest]]),0)),""))</f>
        <v>“regularly check the constancy within their data chain and algorithmic systems”</v>
      </c>
    </row>
    <row r="443" spans="1:8" x14ac:dyDescent="0.25">
      <c r="A443" s="36">
        <v>25</v>
      </c>
      <c r="B443" t="s">
        <v>118</v>
      </c>
      <c r="C443" s="4">
        <f>IF(Tabelle18[[#This Row],[binding_level_company]]&gt;=1,1,0)</f>
        <v>0</v>
      </c>
      <c r="D443" s="4">
        <f>IFERROR(_xlfn.MAXIFS(Tabelle5[binding_level],Tabelle5[company_id],Tabelle18[[#This Row],[company_id]],Tabelle5[value_id],Tabelle18[[#This Row],[value_id]],Tabelle5[value_present],1),0)</f>
        <v>0</v>
      </c>
      <c r="E443" s="4">
        <f>IFERROR(_xlfn.MAXIFS(Tabelle5[value_points],Tabelle5[company_id],Tabelle18[[#This Row],[company_id]],Tabelle5[value_id],Tabelle18[[#This Row],[value_id]]),0)</f>
        <v>0</v>
      </c>
      <c r="F443" t="str">
        <f>IF(Tabelle18[[#This Row],[value_points_company]]=0,"",IFERROR(_xlfn.MINIFS(Tabelle5[doc_id],Tabelle5[company_id],Tabelle18[[#This Row],[company_id]],Tabelle5[value_id],Tabelle18[[#This Row],[value_id]],Tabelle5[value_points],Tabelle18[[#This Row],[value_points_company]]),""))</f>
        <v/>
      </c>
      <c r="G443" t="str" cm="1">
        <f t="array" ref="G443">IF(Tabelle18[[#This Row],[doc_id_strongest]]="","",IFERROR(INDEX(Tabelle5[evidence_location],MATCH(1,(Tabelle5[company_id]=Tabelle18[[#This Row],[company_id]])*(Tabelle5[value_id]=Tabelle18[[#This Row],[value_id]])*(Tabelle5[doc_id]=Tabelle18[[#This Row],[doc_id_strongest]]),0)),""))</f>
        <v/>
      </c>
      <c r="H443" s="33" t="str" cm="1">
        <f t="array" ref="H443">IF(Tabelle18[[#This Row],[doc_id_strongest]]="","",IFERROR(INDEX(Tabelle5[evidence_quote],MATCH(1,(Tabelle5[company_id]=Tabelle18[[#This Row],[company_id]])*(Tabelle5[value_id]=Tabelle18[[#This Row],[value_id]])*(Tabelle5[doc_id]=Tabelle18[[#This Row],[doc_id_strongest]]),0)),""))</f>
        <v/>
      </c>
    </row>
    <row r="444" spans="1:8" x14ac:dyDescent="0.25">
      <c r="A444" s="36">
        <v>25</v>
      </c>
      <c r="B444" t="s">
        <v>125</v>
      </c>
      <c r="C444" s="4">
        <f>IF(Tabelle18[[#This Row],[binding_level_company]]&gt;=1,1,0)</f>
        <v>1</v>
      </c>
      <c r="D444" s="4">
        <f>IFERROR(_xlfn.MAXIFS(Tabelle5[binding_level],Tabelle5[company_id],Tabelle18[[#This Row],[company_id]],Tabelle5[value_id],Tabelle18[[#This Row],[value_id]],Tabelle5[value_present],1),0)</f>
        <v>2</v>
      </c>
      <c r="E444" s="4">
        <f>IFERROR(_xlfn.MAXIFS(Tabelle5[value_points],Tabelle5[company_id],Tabelle18[[#This Row],[company_id]],Tabelle5[value_id],Tabelle18[[#This Row],[value_id]]),0)</f>
        <v>2</v>
      </c>
      <c r="F444">
        <f>IF(Tabelle18[[#This Row],[value_points_company]]=0,"",IFERROR(_xlfn.MINIFS(Tabelle5[doc_id],Tabelle5[company_id],Tabelle18[[#This Row],[company_id]],Tabelle5[value_id],Tabelle18[[#This Row],[value_id]],Tabelle5[value_points],Tabelle18[[#This Row],[value_points_company]]),""))</f>
        <v>154</v>
      </c>
      <c r="G444" t="str" cm="1">
        <f t="array" ref="G444">IF(Tabelle18[[#This Row],[doc_id_strongest]]="","",IFERROR(INDEX(Tabelle5[evidence_location],MATCH(1,(Tabelle5[company_id]=Tabelle18[[#This Row],[company_id]])*(Tabelle5[value_id]=Tabelle18[[#This Row],[value_id]])*(Tabelle5[doc_id]=Tabelle18[[#This Row],[doc_id_strongest]]),0)),""))</f>
        <v>S. 14 „Equality“</v>
      </c>
      <c r="H444" s="33" t="str" cm="1">
        <f t="array" ref="H444">IF(Tabelle18[[#This Row],[doc_id_strongest]]="","",IFERROR(INDEX(Tabelle5[evidence_quote],MATCH(1,(Tabelle5[company_id]=Tabelle18[[#This Row],[company_id]])*(Tabelle5[value_id]=Tabelle18[[#This Row],[value_id]])*(Tabelle5[doc_id]=Tabelle18[[#This Row],[doc_id_strongest]]),0)),""))</f>
        <v>“high-contrast presentations or read aloud elements”</v>
      </c>
    </row>
    <row r="445" spans="1:8" x14ac:dyDescent="0.25">
      <c r="A445" s="36">
        <v>25</v>
      </c>
      <c r="B445" t="s">
        <v>132</v>
      </c>
      <c r="C445" s="4">
        <f>IF(Tabelle18[[#This Row],[binding_level_company]]&gt;=1,1,0)</f>
        <v>1</v>
      </c>
      <c r="D445" s="4">
        <f>IFERROR(_xlfn.MAXIFS(Tabelle5[binding_level],Tabelle5[company_id],Tabelle18[[#This Row],[company_id]],Tabelle5[value_id],Tabelle18[[#This Row],[value_id]],Tabelle5[value_present],1),0)</f>
        <v>2</v>
      </c>
      <c r="E445" s="4">
        <f>IFERROR(_xlfn.MAXIFS(Tabelle5[value_points],Tabelle5[company_id],Tabelle18[[#This Row],[company_id]],Tabelle5[value_id],Tabelle18[[#This Row],[value_id]]),0)</f>
        <v>2</v>
      </c>
      <c r="F445">
        <f>IF(Tabelle18[[#This Row],[value_points_company]]=0,"",IFERROR(_xlfn.MINIFS(Tabelle5[doc_id],Tabelle5[company_id],Tabelle18[[#This Row],[company_id]],Tabelle5[value_id],Tabelle18[[#This Row],[value_id]],Tabelle5[value_points],Tabelle18[[#This Row],[value_points_company]]),""))</f>
        <v>154</v>
      </c>
      <c r="G445" t="str" cm="1">
        <f t="array" ref="G445">IF(Tabelle18[[#This Row],[doc_id_strongest]]="","",IFERROR(INDEX(Tabelle5[evidence_location],MATCH(1,(Tabelle5[company_id]=Tabelle18[[#This Row],[company_id]])*(Tabelle5[value_id]=Tabelle18[[#This Row],[value_id]])*(Tabelle5[doc_id]=Tabelle18[[#This Row],[doc_id_strongest]]),0)),""))</f>
        <v>S. 9 „Sustainability“; S. 17 Appendix „Sustainability“</v>
      </c>
      <c r="H445" s="33" t="str" cm="1">
        <f t="array" ref="H445">IF(Tabelle18[[#This Row],[doc_id_strongest]]="","",IFERROR(INDEX(Tabelle5[evidence_quote],MATCH(1,(Tabelle5[company_id]=Tabelle18[[#This Row],[company_id]])*(Tabelle5[value_id]=Tabelle18[[#This Row],[value_id]])*(Tabelle5[doc_id]=Tabelle18[[#This Row],[doc_id_strongest]]),0)),""))</f>
        <v>“design them to be sustainable”; “regularly review the potential impact”</v>
      </c>
    </row>
    <row r="446" spans="1:8" x14ac:dyDescent="0.25">
      <c r="A446" s="36">
        <v>25</v>
      </c>
      <c r="B446" t="s">
        <v>140</v>
      </c>
      <c r="C446" s="4">
        <f>IF(Tabelle18[[#This Row],[binding_level_company]]&gt;=1,1,0)</f>
        <v>1</v>
      </c>
      <c r="D446" s="4">
        <f>IFERROR(_xlfn.MAXIFS(Tabelle5[binding_level],Tabelle5[company_id],Tabelle18[[#This Row],[company_id]],Tabelle5[value_id],Tabelle18[[#This Row],[value_id]],Tabelle5[value_present],1),0)</f>
        <v>2</v>
      </c>
      <c r="E446" s="4">
        <f>IFERROR(_xlfn.MAXIFS(Tabelle5[value_points],Tabelle5[company_id],Tabelle18[[#This Row],[company_id]],Tabelle5[value_id],Tabelle18[[#This Row],[value_id]]),0)</f>
        <v>2</v>
      </c>
      <c r="F446">
        <f>IF(Tabelle18[[#This Row],[value_points_company]]=0,"",IFERROR(_xlfn.MINIFS(Tabelle5[doc_id],Tabelle5[company_id],Tabelle18[[#This Row],[company_id]],Tabelle5[value_id],Tabelle18[[#This Row],[value_id]],Tabelle5[value_points],Tabelle18[[#This Row],[value_points_company]]),""))</f>
        <v>154</v>
      </c>
      <c r="G446" t="str" cm="1">
        <f t="array" ref="G446">IF(Tabelle18[[#This Row],[doc_id_strongest]]="","",IFERROR(INDEX(Tabelle5[evidence_location],MATCH(1,(Tabelle5[company_id]=Tabelle18[[#This Row],[company_id]])*(Tabelle5[value_id]=Tabelle18[[#This Row],[value_id]])*(Tabelle5[doc_id]=Tabelle18[[#This Row],[doc_id_strongest]]),0)),""))</f>
        <v>S. 9 „Beneficence“</v>
      </c>
      <c r="H446" s="33" t="str" cm="1">
        <f t="array" ref="H446">IF(Tabelle18[[#This Row],[doc_id_strongest]]="","",IFERROR(INDEX(Tabelle5[evidence_quote],MATCH(1,(Tabelle5[company_id]=Tabelle18[[#This Row],[company_id]])*(Tabelle5[value_id]=Tabelle18[[#This Row],[value_id]])*(Tabelle5[doc_id]=Tabelle18[[#This Row],[doc_id_strongest]]),0)),""))</f>
        <v>“promote the well-being of individuals and society”</v>
      </c>
    </row>
    <row r="447" spans="1:8" x14ac:dyDescent="0.25">
      <c r="A447" s="36">
        <v>25</v>
      </c>
      <c r="B447" t="s">
        <v>147</v>
      </c>
      <c r="C447" s="4">
        <f>IF(Tabelle18[[#This Row],[binding_level_company]]&gt;=1,1,0)</f>
        <v>1</v>
      </c>
      <c r="D447" s="4">
        <f>IFERROR(_xlfn.MAXIFS(Tabelle5[binding_level],Tabelle5[company_id],Tabelle18[[#This Row],[company_id]],Tabelle5[value_id],Tabelle18[[#This Row],[value_id]],Tabelle5[value_present],1),0)</f>
        <v>2</v>
      </c>
      <c r="E447" s="4">
        <f>IFERROR(_xlfn.MAXIFS(Tabelle5[value_points],Tabelle5[company_id],Tabelle18[[#This Row],[company_id]],Tabelle5[value_id],Tabelle18[[#This Row],[value_id]]),0)</f>
        <v>2</v>
      </c>
      <c r="F447">
        <f>IF(Tabelle18[[#This Row],[value_points_company]]=0,"",IFERROR(_xlfn.MINIFS(Tabelle5[doc_id],Tabelle5[company_id],Tabelle18[[#This Row],[company_id]],Tabelle5[value_id],Tabelle18[[#This Row],[value_id]],Tabelle5[value_points],Tabelle18[[#This Row],[value_points_company]]),""))</f>
        <v>154</v>
      </c>
      <c r="G447" t="str" cm="1">
        <f t="array" ref="G447">IF(Tabelle18[[#This Row],[doc_id_strongest]]="","",IFERROR(INDEX(Tabelle5[evidence_location],MATCH(1,(Tabelle5[company_id]=Tabelle18[[#This Row],[company_id]])*(Tabelle5[value_id]=Tabelle18[[#This Row],[value_id]])*(Tabelle5[doc_id]=Tabelle18[[#This Row],[doc_id_strongest]]),0)),""))</f>
        <v>S. 4 „Preamble – Terms of Use“</v>
      </c>
      <c r="H447" s="33" t="str" cm="1">
        <f t="array" ref="H447">IF(Tabelle18[[#This Row],[doc_id_strongest]]="","",IFERROR(INDEX(Tabelle5[evidence_quote],MATCH(1,(Tabelle5[company_id]=Tabelle18[[#This Row],[company_id]])*(Tabelle5[value_id]=Tabelle18[[#This Row],[value_id]])*(Tabelle5[doc_id]=Tabelle18[[#This Row],[doc_id_strongest]]),0)),""))</f>
        <v>“linked to applicable law”; “apply to the development, commercialization, or utilization of all our digital products and processes”</v>
      </c>
    </row>
    <row r="448" spans="1:8" x14ac:dyDescent="0.25">
      <c r="A448" s="36">
        <v>25</v>
      </c>
      <c r="B448" t="s">
        <v>154</v>
      </c>
      <c r="C448" s="4">
        <f>IF(Tabelle18[[#This Row],[binding_level_company]]&gt;=1,1,0)</f>
        <v>1</v>
      </c>
      <c r="D448" s="4">
        <f>IFERROR(_xlfn.MAXIFS(Tabelle5[binding_level],Tabelle5[company_id],Tabelle18[[#This Row],[company_id]],Tabelle5[value_id],Tabelle18[[#This Row],[value_id]],Tabelle5[value_present],1),0)</f>
        <v>2</v>
      </c>
      <c r="E448" s="4">
        <f>IFERROR(_xlfn.MAXIFS(Tabelle5[value_points],Tabelle5[company_id],Tabelle18[[#This Row],[company_id]],Tabelle5[value_id],Tabelle18[[#This Row],[value_id]]),0)</f>
        <v>2</v>
      </c>
      <c r="F448">
        <f>IF(Tabelle18[[#This Row],[value_points_company]]=0,"",IFERROR(_xlfn.MINIFS(Tabelle5[doc_id],Tabelle5[company_id],Tabelle18[[#This Row],[company_id]],Tabelle5[value_id],Tabelle18[[#This Row],[value_id]],Tabelle5[value_points],Tabelle18[[#This Row],[value_points_company]]),""))</f>
        <v>154</v>
      </c>
      <c r="G448" t="str" cm="1">
        <f t="array" ref="G448">IF(Tabelle18[[#This Row],[doc_id_strongest]]="","",IFERROR(INDEX(Tabelle5[evidence_location],MATCH(1,(Tabelle5[company_id]=Tabelle18[[#This Row],[company_id]])*(Tabelle5[value_id]=Tabelle18[[#This Row],[value_id]])*(Tabelle5[doc_id]=Tabelle18[[#This Row],[doc_id_strongest]]),0)),""))</f>
        <v>S. 3–4 „Preamble“</v>
      </c>
      <c r="H448" s="33" t="str" cm="1">
        <f t="array" ref="H448">IF(Tabelle18[[#This Row],[doc_id_strongest]]="","",IFERROR(INDEX(Tabelle5[evidence_quote],MATCH(1,(Tabelle5[company_id]=Tabelle18[[#This Row],[company_id]])*(Tabelle5[value_id]=Tabelle18[[#This Row],[value_id]])*(Tabelle5[doc_id]=Tabelle18[[#This Row],[doc_id_strongest]]),0)),""))</f>
        <v>“developed 20 digital-ethical principles”; “apply to the development, commercialization, or utilization of all our digital products and processes”</v>
      </c>
    </row>
    <row r="449" spans="1:8" x14ac:dyDescent="0.25">
      <c r="A449" s="36">
        <v>25</v>
      </c>
      <c r="B449" t="s">
        <v>161</v>
      </c>
      <c r="C449" s="4">
        <f>IF(Tabelle18[[#This Row],[binding_level_company]]&gt;=1,1,0)</f>
        <v>1</v>
      </c>
      <c r="D449" s="4">
        <f>IFERROR(_xlfn.MAXIFS(Tabelle5[binding_level],Tabelle5[company_id],Tabelle18[[#This Row],[company_id]],Tabelle5[value_id],Tabelle18[[#This Row],[value_id]],Tabelle5[value_present],1),0)</f>
        <v>3</v>
      </c>
      <c r="E449" s="4">
        <f>IFERROR(_xlfn.MAXIFS(Tabelle5[value_points],Tabelle5[company_id],Tabelle18[[#This Row],[company_id]],Tabelle5[value_id],Tabelle18[[#This Row],[value_id]]),0)</f>
        <v>3</v>
      </c>
      <c r="F449">
        <f>IF(Tabelle18[[#This Row],[value_points_company]]=0,"",IFERROR(_xlfn.MINIFS(Tabelle5[doc_id],Tabelle5[company_id],Tabelle18[[#This Row],[company_id]],Tabelle5[value_id],Tabelle18[[#This Row],[value_id]],Tabelle5[value_points],Tabelle18[[#This Row],[value_points_company]]),""))</f>
        <v>154</v>
      </c>
      <c r="G449" t="str" cm="1">
        <f t="array" ref="G449">IF(Tabelle18[[#This Row],[doc_id_strongest]]="","",IFERROR(INDEX(Tabelle5[evidence_location],MATCH(1,(Tabelle5[company_id]=Tabelle18[[#This Row],[company_id]])*(Tabelle5[value_id]=Tabelle18[[#This Row],[value_id]])*(Tabelle5[doc_id]=Tabelle18[[#This Row],[doc_id_strongest]]),0)),""))</f>
        <v>S. 7 „Proportionality“; S. 21 „Traceability“</v>
      </c>
      <c r="H449" s="33" t="str" cm="1">
        <f t="array" ref="H449">IF(Tabelle18[[#This Row],[doc_id_strongest]]="","",IFERROR(INDEX(Tabelle5[evidence_quote],MATCH(1,(Tabelle5[company_id]=Tabelle18[[#This Row],[company_id]])*(Tabelle5[value_id]=Tabelle18[[#This Row],[value_id]])*(Tabelle5[doc_id]=Tabelle18[[#This Row],[doc_id_strongest]]),0)),""))</f>
        <v>“only necessary data is collected”; “qualified and verified sources”; “qualified and verified sources”</v>
      </c>
    </row>
    <row r="450" spans="1:8" x14ac:dyDescent="0.25">
      <c r="A450" s="36">
        <v>25</v>
      </c>
      <c r="B450" t="s">
        <v>166</v>
      </c>
      <c r="C450" s="4">
        <f>IF(Tabelle18[[#This Row],[binding_level_company]]&gt;=1,1,0)</f>
        <v>0</v>
      </c>
      <c r="D450" s="4">
        <f>IFERROR(_xlfn.MAXIFS(Tabelle5[binding_level],Tabelle5[company_id],Tabelle18[[#This Row],[company_id]],Tabelle5[value_id],Tabelle18[[#This Row],[value_id]],Tabelle5[value_present],1),0)</f>
        <v>0</v>
      </c>
      <c r="E450" s="4">
        <f>IFERROR(_xlfn.MAXIFS(Tabelle5[value_points],Tabelle5[company_id],Tabelle18[[#This Row],[company_id]],Tabelle5[value_id],Tabelle18[[#This Row],[value_id]]),0)</f>
        <v>0</v>
      </c>
      <c r="F450" t="str">
        <f>IF(Tabelle18[[#This Row],[value_points_company]]=0,"",IFERROR(_xlfn.MINIFS(Tabelle5[doc_id],Tabelle5[company_id],Tabelle18[[#This Row],[company_id]],Tabelle5[value_id],Tabelle18[[#This Row],[value_id]],Tabelle5[value_points],Tabelle18[[#This Row],[value_points_company]]),""))</f>
        <v/>
      </c>
      <c r="G450" t="str" cm="1">
        <f t="array" ref="G450">IF(Tabelle18[[#This Row],[doc_id_strongest]]="","",IFERROR(INDEX(Tabelle5[evidence_location],MATCH(1,(Tabelle5[company_id]=Tabelle18[[#This Row],[company_id]])*(Tabelle5[value_id]=Tabelle18[[#This Row],[value_id]])*(Tabelle5[doc_id]=Tabelle18[[#This Row],[doc_id_strongest]]),0)),""))</f>
        <v/>
      </c>
      <c r="H450" s="33" t="str" cm="1">
        <f t="array" ref="H450">IF(Tabelle18[[#This Row],[doc_id_strongest]]="","",IFERROR(INDEX(Tabelle5[evidence_quote],MATCH(1,(Tabelle5[company_id]=Tabelle18[[#This Row],[company_id]])*(Tabelle5[value_id]=Tabelle18[[#This Row],[value_id]])*(Tabelle5[doc_id]=Tabelle18[[#This Row],[doc_id_strongest]]),0)),""))</f>
        <v/>
      </c>
    </row>
    <row r="451" spans="1:8" ht="15.75" thickBot="1" x14ac:dyDescent="0.3">
      <c r="A451" s="37">
        <v>25</v>
      </c>
      <c r="B451" s="30" t="s">
        <v>174</v>
      </c>
      <c r="C451" s="49">
        <f>IF(Tabelle18[[#This Row],[binding_level_company]]&gt;=1,1,0)</f>
        <v>1</v>
      </c>
      <c r="D451" s="49">
        <f>IFERROR(_xlfn.MAXIFS(Tabelle5[binding_level],Tabelle5[company_id],Tabelle18[[#This Row],[company_id]],Tabelle5[value_id],Tabelle18[[#This Row],[value_id]],Tabelle5[value_present],1),0)</f>
        <v>2</v>
      </c>
      <c r="E451" s="49">
        <f>IFERROR(_xlfn.MAXIFS(Tabelle5[value_points],Tabelle5[company_id],Tabelle18[[#This Row],[company_id]],Tabelle5[value_id],Tabelle18[[#This Row],[value_id]]),0)</f>
        <v>2</v>
      </c>
      <c r="F451" s="30">
        <f>IF(Tabelle18[[#This Row],[value_points_company]]=0,"",IFERROR(_xlfn.MINIFS(Tabelle5[doc_id],Tabelle5[company_id],Tabelle18[[#This Row],[company_id]],Tabelle5[value_id],Tabelle18[[#This Row],[value_id]],Tabelle5[value_points],Tabelle18[[#This Row],[value_points_company]]),""))</f>
        <v>154</v>
      </c>
      <c r="G451" s="30" t="str" cm="1">
        <f t="array" ref="G451">IF(Tabelle18[[#This Row],[doc_id_strongest]]="","",IFERROR(INDEX(Tabelle5[evidence_location],MATCH(1,(Tabelle5[company_id]=Tabelle18[[#This Row],[company_id]])*(Tabelle5[value_id]=Tabelle18[[#This Row],[value_id]])*(Tabelle5[doc_id]=Tabelle18[[#This Row],[doc_id_strongest]]),0)),""))</f>
        <v>S. 4 „Preamble – Terms of Use“</v>
      </c>
      <c r="H451" s="34" t="str" cm="1">
        <f t="array" ref="H451">IF(Tabelle18[[#This Row],[doc_id_strongest]]="","",IFERROR(INDEX(Tabelle5[evidence_quote],MATCH(1,(Tabelle5[company_id]=Tabelle18[[#This Row],[company_id]])*(Tabelle5[value_id]=Tabelle18[[#This Row],[value_id]])*(Tabelle5[doc_id]=Tabelle18[[#This Row],[doc_id_strongest]]),0)),""))</f>
        <v>“an irrevocable commitment to human rights”</v>
      </c>
    </row>
    <row r="452" spans="1:8" x14ac:dyDescent="0.25">
      <c r="A452" s="35">
        <v>26</v>
      </c>
      <c r="B452" s="22" t="s">
        <v>53</v>
      </c>
      <c r="C452" s="48">
        <f>IF(Tabelle18[[#This Row],[binding_level_company]]&gt;=1,1,0)</f>
        <v>0</v>
      </c>
      <c r="D452" s="48">
        <f>IFERROR(_xlfn.MAXIFS(Tabelle5[binding_level],Tabelle5[company_id],Tabelle18[[#This Row],[company_id]],Tabelle5[value_id],Tabelle18[[#This Row],[value_id]],Tabelle5[value_present],1),0)</f>
        <v>0</v>
      </c>
      <c r="E452" s="48">
        <f>IFERROR(_xlfn.MAXIFS(Tabelle5[value_points],Tabelle5[company_id],Tabelle18[[#This Row],[company_id]],Tabelle5[value_id],Tabelle18[[#This Row],[value_id]]),0)</f>
        <v>0</v>
      </c>
      <c r="F452" s="22" t="str">
        <f>IF(Tabelle18[[#This Row],[value_points_company]]=0,"",IFERROR(_xlfn.MINIFS(Tabelle5[doc_id],Tabelle5[company_id],Tabelle18[[#This Row],[company_id]],Tabelle5[value_id],Tabelle18[[#This Row],[value_id]],Tabelle5[value_points],Tabelle18[[#This Row],[value_points_company]]),""))</f>
        <v/>
      </c>
      <c r="G452" s="22" t="str" cm="1">
        <f t="array" ref="G452">IF(Tabelle18[[#This Row],[doc_id_strongest]]="","",IFERROR(INDEX(Tabelle5[evidence_location],MATCH(1,(Tabelle5[company_id]=Tabelle18[[#This Row],[company_id]])*(Tabelle5[value_id]=Tabelle18[[#This Row],[value_id]])*(Tabelle5[doc_id]=Tabelle18[[#This Row],[doc_id_strongest]]),0)),""))</f>
        <v/>
      </c>
      <c r="H452" s="32" t="str" cm="1">
        <f t="array" ref="H452">IF(Tabelle18[[#This Row],[doc_id_strongest]]="","",IFERROR(INDEX(Tabelle5[evidence_quote],MATCH(1,(Tabelle5[company_id]=Tabelle18[[#This Row],[company_id]])*(Tabelle5[value_id]=Tabelle18[[#This Row],[value_id]])*(Tabelle5[doc_id]=Tabelle18[[#This Row],[doc_id_strongest]]),0)),""))</f>
        <v/>
      </c>
    </row>
    <row r="453" spans="1:8" x14ac:dyDescent="0.25">
      <c r="A453" s="36">
        <v>26</v>
      </c>
      <c r="B453" t="s">
        <v>61</v>
      </c>
      <c r="C453" s="4">
        <f>IF(Tabelle18[[#This Row],[binding_level_company]]&gt;=1,1,0)</f>
        <v>0</v>
      </c>
      <c r="D453" s="4">
        <f>IFERROR(_xlfn.MAXIFS(Tabelle5[binding_level],Tabelle5[company_id],Tabelle18[[#This Row],[company_id]],Tabelle5[value_id],Tabelle18[[#This Row],[value_id]],Tabelle5[value_present],1),0)</f>
        <v>0</v>
      </c>
      <c r="E453" s="4">
        <f>IFERROR(_xlfn.MAXIFS(Tabelle5[value_points],Tabelle5[company_id],Tabelle18[[#This Row],[company_id]],Tabelle5[value_id],Tabelle18[[#This Row],[value_id]]),0)</f>
        <v>0</v>
      </c>
      <c r="F453" t="str">
        <f>IF(Tabelle18[[#This Row],[value_points_company]]=0,"",IFERROR(_xlfn.MINIFS(Tabelle5[doc_id],Tabelle5[company_id],Tabelle18[[#This Row],[company_id]],Tabelle5[value_id],Tabelle18[[#This Row],[value_id]],Tabelle5[value_points],Tabelle18[[#This Row],[value_points_company]]),""))</f>
        <v/>
      </c>
      <c r="G453" t="str" cm="1">
        <f t="array" ref="G453">IF(Tabelle18[[#This Row],[doc_id_strongest]]="","",IFERROR(INDEX(Tabelle5[evidence_location],MATCH(1,(Tabelle5[company_id]=Tabelle18[[#This Row],[company_id]])*(Tabelle5[value_id]=Tabelle18[[#This Row],[value_id]])*(Tabelle5[doc_id]=Tabelle18[[#This Row],[doc_id_strongest]]),0)),""))</f>
        <v/>
      </c>
      <c r="H453" s="33" t="str" cm="1">
        <f t="array" ref="H453">IF(Tabelle18[[#This Row],[doc_id_strongest]]="","",IFERROR(INDEX(Tabelle5[evidence_quote],MATCH(1,(Tabelle5[company_id]=Tabelle18[[#This Row],[company_id]])*(Tabelle5[value_id]=Tabelle18[[#This Row],[value_id]])*(Tabelle5[doc_id]=Tabelle18[[#This Row],[doc_id_strongest]]),0)),""))</f>
        <v/>
      </c>
    </row>
    <row r="454" spans="1:8" x14ac:dyDescent="0.25">
      <c r="A454" s="36">
        <v>26</v>
      </c>
      <c r="B454" t="s">
        <v>69</v>
      </c>
      <c r="C454" s="4">
        <f>IF(Tabelle18[[#This Row],[binding_level_company]]&gt;=1,1,0)</f>
        <v>0</v>
      </c>
      <c r="D454" s="4">
        <f>IFERROR(_xlfn.MAXIFS(Tabelle5[binding_level],Tabelle5[company_id],Tabelle18[[#This Row],[company_id]],Tabelle5[value_id],Tabelle18[[#This Row],[value_id]],Tabelle5[value_present],1),0)</f>
        <v>0</v>
      </c>
      <c r="E454" s="4">
        <f>IFERROR(_xlfn.MAXIFS(Tabelle5[value_points],Tabelle5[company_id],Tabelle18[[#This Row],[company_id]],Tabelle5[value_id],Tabelle18[[#This Row],[value_id]]),0)</f>
        <v>0</v>
      </c>
      <c r="F454" t="str">
        <f>IF(Tabelle18[[#This Row],[value_points_company]]=0,"",IFERROR(_xlfn.MINIFS(Tabelle5[doc_id],Tabelle5[company_id],Tabelle18[[#This Row],[company_id]],Tabelle5[value_id],Tabelle18[[#This Row],[value_id]],Tabelle5[value_points],Tabelle18[[#This Row],[value_points_company]]),""))</f>
        <v/>
      </c>
      <c r="G454" t="str" cm="1">
        <f t="array" ref="G454">IF(Tabelle18[[#This Row],[doc_id_strongest]]="","",IFERROR(INDEX(Tabelle5[evidence_location],MATCH(1,(Tabelle5[company_id]=Tabelle18[[#This Row],[company_id]])*(Tabelle5[value_id]=Tabelle18[[#This Row],[value_id]])*(Tabelle5[doc_id]=Tabelle18[[#This Row],[doc_id_strongest]]),0)),""))</f>
        <v/>
      </c>
      <c r="H454" s="33" t="str" cm="1">
        <f t="array" ref="H454">IF(Tabelle18[[#This Row],[doc_id_strongest]]="","",IFERROR(INDEX(Tabelle5[evidence_quote],MATCH(1,(Tabelle5[company_id]=Tabelle18[[#This Row],[company_id]])*(Tabelle5[value_id]=Tabelle18[[#This Row],[value_id]])*(Tabelle5[doc_id]=Tabelle18[[#This Row],[doc_id_strongest]]),0)),""))</f>
        <v/>
      </c>
    </row>
    <row r="455" spans="1:8" x14ac:dyDescent="0.25">
      <c r="A455" s="36">
        <v>26</v>
      </c>
      <c r="B455" t="s">
        <v>76</v>
      </c>
      <c r="C455" s="4">
        <f>IF(Tabelle18[[#This Row],[binding_level_company]]&gt;=1,1,0)</f>
        <v>0</v>
      </c>
      <c r="D455" s="4">
        <f>IFERROR(_xlfn.MAXIFS(Tabelle5[binding_level],Tabelle5[company_id],Tabelle18[[#This Row],[company_id]],Tabelle5[value_id],Tabelle18[[#This Row],[value_id]],Tabelle5[value_present],1),0)</f>
        <v>0</v>
      </c>
      <c r="E455" s="4">
        <f>IFERROR(_xlfn.MAXIFS(Tabelle5[value_points],Tabelle5[company_id],Tabelle18[[#This Row],[company_id]],Tabelle5[value_id],Tabelle18[[#This Row],[value_id]]),0)</f>
        <v>0</v>
      </c>
      <c r="F455" t="str">
        <f>IF(Tabelle18[[#This Row],[value_points_company]]=0,"",IFERROR(_xlfn.MINIFS(Tabelle5[doc_id],Tabelle5[company_id],Tabelle18[[#This Row],[company_id]],Tabelle5[value_id],Tabelle18[[#This Row],[value_id]],Tabelle5[value_points],Tabelle18[[#This Row],[value_points_company]]),""))</f>
        <v/>
      </c>
      <c r="G455" t="str" cm="1">
        <f t="array" ref="G455">IF(Tabelle18[[#This Row],[doc_id_strongest]]="","",IFERROR(INDEX(Tabelle5[evidence_location],MATCH(1,(Tabelle5[company_id]=Tabelle18[[#This Row],[company_id]])*(Tabelle5[value_id]=Tabelle18[[#This Row],[value_id]])*(Tabelle5[doc_id]=Tabelle18[[#This Row],[doc_id_strongest]]),0)),""))</f>
        <v/>
      </c>
      <c r="H455" s="33" t="str" cm="1">
        <f t="array" ref="H455">IF(Tabelle18[[#This Row],[doc_id_strongest]]="","",IFERROR(INDEX(Tabelle5[evidence_quote],MATCH(1,(Tabelle5[company_id]=Tabelle18[[#This Row],[company_id]])*(Tabelle5[value_id]=Tabelle18[[#This Row],[value_id]])*(Tabelle5[doc_id]=Tabelle18[[#This Row],[doc_id_strongest]]),0)),""))</f>
        <v/>
      </c>
    </row>
    <row r="456" spans="1:8" x14ac:dyDescent="0.25">
      <c r="A456" s="36">
        <v>26</v>
      </c>
      <c r="B456" t="s">
        <v>83</v>
      </c>
      <c r="C456" s="4">
        <f>IF(Tabelle18[[#This Row],[binding_level_company]]&gt;=1,1,0)</f>
        <v>0</v>
      </c>
      <c r="D456" s="4">
        <f>IFERROR(_xlfn.MAXIFS(Tabelle5[binding_level],Tabelle5[company_id],Tabelle18[[#This Row],[company_id]],Tabelle5[value_id],Tabelle18[[#This Row],[value_id]],Tabelle5[value_present],1),0)</f>
        <v>0</v>
      </c>
      <c r="E456" s="4">
        <f>IFERROR(_xlfn.MAXIFS(Tabelle5[value_points],Tabelle5[company_id],Tabelle18[[#This Row],[company_id]],Tabelle5[value_id],Tabelle18[[#This Row],[value_id]]),0)</f>
        <v>0</v>
      </c>
      <c r="F456" t="str">
        <f>IF(Tabelle18[[#This Row],[value_points_company]]=0,"",IFERROR(_xlfn.MINIFS(Tabelle5[doc_id],Tabelle5[company_id],Tabelle18[[#This Row],[company_id]],Tabelle5[value_id],Tabelle18[[#This Row],[value_id]],Tabelle5[value_points],Tabelle18[[#This Row],[value_points_company]]),""))</f>
        <v/>
      </c>
      <c r="G456" t="str" cm="1">
        <f t="array" ref="G456">IF(Tabelle18[[#This Row],[doc_id_strongest]]="","",IFERROR(INDEX(Tabelle5[evidence_location],MATCH(1,(Tabelle5[company_id]=Tabelle18[[#This Row],[company_id]])*(Tabelle5[value_id]=Tabelle18[[#This Row],[value_id]])*(Tabelle5[doc_id]=Tabelle18[[#This Row],[doc_id_strongest]]),0)),""))</f>
        <v/>
      </c>
      <c r="H456" s="33" t="str" cm="1">
        <f t="array" ref="H456">IF(Tabelle18[[#This Row],[doc_id_strongest]]="","",IFERROR(INDEX(Tabelle5[evidence_quote],MATCH(1,(Tabelle5[company_id]=Tabelle18[[#This Row],[company_id]])*(Tabelle5[value_id]=Tabelle18[[#This Row],[value_id]])*(Tabelle5[doc_id]=Tabelle18[[#This Row],[doc_id_strongest]]),0)),""))</f>
        <v/>
      </c>
    </row>
    <row r="457" spans="1:8" x14ac:dyDescent="0.25">
      <c r="A457" s="36">
        <v>26</v>
      </c>
      <c r="B457" t="s">
        <v>90</v>
      </c>
      <c r="C457" s="4">
        <f>IF(Tabelle18[[#This Row],[binding_level_company]]&gt;=1,1,0)</f>
        <v>0</v>
      </c>
      <c r="D457" s="4">
        <f>IFERROR(_xlfn.MAXIFS(Tabelle5[binding_level],Tabelle5[company_id],Tabelle18[[#This Row],[company_id]],Tabelle5[value_id],Tabelle18[[#This Row],[value_id]],Tabelle5[value_present],1),0)</f>
        <v>0</v>
      </c>
      <c r="E457" s="4">
        <f>IFERROR(_xlfn.MAXIFS(Tabelle5[value_points],Tabelle5[company_id],Tabelle18[[#This Row],[company_id]],Tabelle5[value_id],Tabelle18[[#This Row],[value_id]]),0)</f>
        <v>0</v>
      </c>
      <c r="F457" t="str">
        <f>IF(Tabelle18[[#This Row],[value_points_company]]=0,"",IFERROR(_xlfn.MINIFS(Tabelle5[doc_id],Tabelle5[company_id],Tabelle18[[#This Row],[company_id]],Tabelle5[value_id],Tabelle18[[#This Row],[value_id]],Tabelle5[value_points],Tabelle18[[#This Row],[value_points_company]]),""))</f>
        <v/>
      </c>
      <c r="G457" t="str" cm="1">
        <f t="array" ref="G457">IF(Tabelle18[[#This Row],[doc_id_strongest]]="","",IFERROR(INDEX(Tabelle5[evidence_location],MATCH(1,(Tabelle5[company_id]=Tabelle18[[#This Row],[company_id]])*(Tabelle5[value_id]=Tabelle18[[#This Row],[value_id]])*(Tabelle5[doc_id]=Tabelle18[[#This Row],[doc_id_strongest]]),0)),""))</f>
        <v/>
      </c>
      <c r="H457" s="33" t="str" cm="1">
        <f t="array" ref="H457">IF(Tabelle18[[#This Row],[doc_id_strongest]]="","",IFERROR(INDEX(Tabelle5[evidence_quote],MATCH(1,(Tabelle5[company_id]=Tabelle18[[#This Row],[company_id]])*(Tabelle5[value_id]=Tabelle18[[#This Row],[value_id]])*(Tabelle5[doc_id]=Tabelle18[[#This Row],[doc_id_strongest]]),0)),""))</f>
        <v/>
      </c>
    </row>
    <row r="458" spans="1:8" x14ac:dyDescent="0.25">
      <c r="A458" s="36">
        <v>26</v>
      </c>
      <c r="B458" t="s">
        <v>98</v>
      </c>
      <c r="C458" s="4">
        <f>IF(Tabelle18[[#This Row],[binding_level_company]]&gt;=1,1,0)</f>
        <v>0</v>
      </c>
      <c r="D458" s="4">
        <f>IFERROR(_xlfn.MAXIFS(Tabelle5[binding_level],Tabelle5[company_id],Tabelle18[[#This Row],[company_id]],Tabelle5[value_id],Tabelle18[[#This Row],[value_id]],Tabelle5[value_present],1),0)</f>
        <v>0</v>
      </c>
      <c r="E458" s="4">
        <f>IFERROR(_xlfn.MAXIFS(Tabelle5[value_points],Tabelle5[company_id],Tabelle18[[#This Row],[company_id]],Tabelle5[value_id],Tabelle18[[#This Row],[value_id]]),0)</f>
        <v>0</v>
      </c>
      <c r="F458" t="str">
        <f>IF(Tabelle18[[#This Row],[value_points_company]]=0,"",IFERROR(_xlfn.MINIFS(Tabelle5[doc_id],Tabelle5[company_id],Tabelle18[[#This Row],[company_id]],Tabelle5[value_id],Tabelle18[[#This Row],[value_id]],Tabelle5[value_points],Tabelle18[[#This Row],[value_points_company]]),""))</f>
        <v/>
      </c>
      <c r="G458" t="str" cm="1">
        <f t="array" ref="G458">IF(Tabelle18[[#This Row],[doc_id_strongest]]="","",IFERROR(INDEX(Tabelle5[evidence_location],MATCH(1,(Tabelle5[company_id]=Tabelle18[[#This Row],[company_id]])*(Tabelle5[value_id]=Tabelle18[[#This Row],[value_id]])*(Tabelle5[doc_id]=Tabelle18[[#This Row],[doc_id_strongest]]),0)),""))</f>
        <v/>
      </c>
      <c r="H458" s="33" t="str" cm="1">
        <f t="array" ref="H458">IF(Tabelle18[[#This Row],[doc_id_strongest]]="","",IFERROR(INDEX(Tabelle5[evidence_quote],MATCH(1,(Tabelle5[company_id]=Tabelle18[[#This Row],[company_id]])*(Tabelle5[value_id]=Tabelle18[[#This Row],[value_id]])*(Tabelle5[doc_id]=Tabelle18[[#This Row],[doc_id_strongest]]),0)),""))</f>
        <v/>
      </c>
    </row>
    <row r="459" spans="1:8" x14ac:dyDescent="0.25">
      <c r="A459" s="36">
        <v>26</v>
      </c>
      <c r="B459" t="s">
        <v>106</v>
      </c>
      <c r="C459" s="4">
        <f>IF(Tabelle18[[#This Row],[binding_level_company]]&gt;=1,1,0)</f>
        <v>0</v>
      </c>
      <c r="D459" s="4">
        <f>IFERROR(_xlfn.MAXIFS(Tabelle5[binding_level],Tabelle5[company_id],Tabelle18[[#This Row],[company_id]],Tabelle5[value_id],Tabelle18[[#This Row],[value_id]],Tabelle5[value_present],1),0)</f>
        <v>0</v>
      </c>
      <c r="E459" s="4">
        <f>IFERROR(_xlfn.MAXIFS(Tabelle5[value_points],Tabelle5[company_id],Tabelle18[[#This Row],[company_id]],Tabelle5[value_id],Tabelle18[[#This Row],[value_id]]),0)</f>
        <v>0</v>
      </c>
      <c r="F459" t="str">
        <f>IF(Tabelle18[[#This Row],[value_points_company]]=0,"",IFERROR(_xlfn.MINIFS(Tabelle5[doc_id],Tabelle5[company_id],Tabelle18[[#This Row],[company_id]],Tabelle5[value_id],Tabelle18[[#This Row],[value_id]],Tabelle5[value_points],Tabelle18[[#This Row],[value_points_company]]),""))</f>
        <v/>
      </c>
      <c r="G459" t="str" cm="1">
        <f t="array" ref="G459">IF(Tabelle18[[#This Row],[doc_id_strongest]]="","",IFERROR(INDEX(Tabelle5[evidence_location],MATCH(1,(Tabelle5[company_id]=Tabelle18[[#This Row],[company_id]])*(Tabelle5[value_id]=Tabelle18[[#This Row],[value_id]])*(Tabelle5[doc_id]=Tabelle18[[#This Row],[doc_id_strongest]]),0)),""))</f>
        <v/>
      </c>
      <c r="H459" s="33" t="str" cm="1">
        <f t="array" ref="H459">IF(Tabelle18[[#This Row],[doc_id_strongest]]="","",IFERROR(INDEX(Tabelle5[evidence_quote],MATCH(1,(Tabelle5[company_id]=Tabelle18[[#This Row],[company_id]])*(Tabelle5[value_id]=Tabelle18[[#This Row],[value_id]])*(Tabelle5[doc_id]=Tabelle18[[#This Row],[doc_id_strongest]]),0)),""))</f>
        <v/>
      </c>
    </row>
    <row r="460" spans="1:8" x14ac:dyDescent="0.25">
      <c r="A460" s="36">
        <v>26</v>
      </c>
      <c r="B460" t="s">
        <v>112</v>
      </c>
      <c r="C460" s="4">
        <f>IF(Tabelle18[[#This Row],[binding_level_company]]&gt;=1,1,0)</f>
        <v>0</v>
      </c>
      <c r="D460" s="4">
        <f>IFERROR(_xlfn.MAXIFS(Tabelle5[binding_level],Tabelle5[company_id],Tabelle18[[#This Row],[company_id]],Tabelle5[value_id],Tabelle18[[#This Row],[value_id]],Tabelle5[value_present],1),0)</f>
        <v>0</v>
      </c>
      <c r="E460" s="4">
        <f>IFERROR(_xlfn.MAXIFS(Tabelle5[value_points],Tabelle5[company_id],Tabelle18[[#This Row],[company_id]],Tabelle5[value_id],Tabelle18[[#This Row],[value_id]]),0)</f>
        <v>0</v>
      </c>
      <c r="F460" t="str">
        <f>IF(Tabelle18[[#This Row],[value_points_company]]=0,"",IFERROR(_xlfn.MINIFS(Tabelle5[doc_id],Tabelle5[company_id],Tabelle18[[#This Row],[company_id]],Tabelle5[value_id],Tabelle18[[#This Row],[value_id]],Tabelle5[value_points],Tabelle18[[#This Row],[value_points_company]]),""))</f>
        <v/>
      </c>
      <c r="G460" t="str" cm="1">
        <f t="array" ref="G460">IF(Tabelle18[[#This Row],[doc_id_strongest]]="","",IFERROR(INDEX(Tabelle5[evidence_location],MATCH(1,(Tabelle5[company_id]=Tabelle18[[#This Row],[company_id]])*(Tabelle5[value_id]=Tabelle18[[#This Row],[value_id]])*(Tabelle5[doc_id]=Tabelle18[[#This Row],[doc_id_strongest]]),0)),""))</f>
        <v/>
      </c>
      <c r="H460" s="33" t="str" cm="1">
        <f t="array" ref="H460">IF(Tabelle18[[#This Row],[doc_id_strongest]]="","",IFERROR(INDEX(Tabelle5[evidence_quote],MATCH(1,(Tabelle5[company_id]=Tabelle18[[#This Row],[company_id]])*(Tabelle5[value_id]=Tabelle18[[#This Row],[value_id]])*(Tabelle5[doc_id]=Tabelle18[[#This Row],[doc_id_strongest]]),0)),""))</f>
        <v/>
      </c>
    </row>
    <row r="461" spans="1:8" x14ac:dyDescent="0.25">
      <c r="A461" s="36">
        <v>26</v>
      </c>
      <c r="B461" t="s">
        <v>118</v>
      </c>
      <c r="C461" s="4">
        <f>IF(Tabelle18[[#This Row],[binding_level_company]]&gt;=1,1,0)</f>
        <v>0</v>
      </c>
      <c r="D461" s="4">
        <f>IFERROR(_xlfn.MAXIFS(Tabelle5[binding_level],Tabelle5[company_id],Tabelle18[[#This Row],[company_id]],Tabelle5[value_id],Tabelle18[[#This Row],[value_id]],Tabelle5[value_present],1),0)</f>
        <v>0</v>
      </c>
      <c r="E461" s="4">
        <f>IFERROR(_xlfn.MAXIFS(Tabelle5[value_points],Tabelle5[company_id],Tabelle18[[#This Row],[company_id]],Tabelle5[value_id],Tabelle18[[#This Row],[value_id]]),0)</f>
        <v>0</v>
      </c>
      <c r="F461" t="str">
        <f>IF(Tabelle18[[#This Row],[value_points_company]]=0,"",IFERROR(_xlfn.MINIFS(Tabelle5[doc_id],Tabelle5[company_id],Tabelle18[[#This Row],[company_id]],Tabelle5[value_id],Tabelle18[[#This Row],[value_id]],Tabelle5[value_points],Tabelle18[[#This Row],[value_points_company]]),""))</f>
        <v/>
      </c>
      <c r="G461" t="str" cm="1">
        <f t="array" ref="G461">IF(Tabelle18[[#This Row],[doc_id_strongest]]="","",IFERROR(INDEX(Tabelle5[evidence_location],MATCH(1,(Tabelle5[company_id]=Tabelle18[[#This Row],[company_id]])*(Tabelle5[value_id]=Tabelle18[[#This Row],[value_id]])*(Tabelle5[doc_id]=Tabelle18[[#This Row],[doc_id_strongest]]),0)),""))</f>
        <v/>
      </c>
      <c r="H461" s="33" t="str" cm="1">
        <f t="array" ref="H461">IF(Tabelle18[[#This Row],[doc_id_strongest]]="","",IFERROR(INDEX(Tabelle5[evidence_quote],MATCH(1,(Tabelle5[company_id]=Tabelle18[[#This Row],[company_id]])*(Tabelle5[value_id]=Tabelle18[[#This Row],[value_id]])*(Tabelle5[doc_id]=Tabelle18[[#This Row],[doc_id_strongest]]),0)),""))</f>
        <v/>
      </c>
    </row>
    <row r="462" spans="1:8" x14ac:dyDescent="0.25">
      <c r="A462" s="36">
        <v>26</v>
      </c>
      <c r="B462" t="s">
        <v>125</v>
      </c>
      <c r="C462" s="4">
        <f>IF(Tabelle18[[#This Row],[binding_level_company]]&gt;=1,1,0)</f>
        <v>0</v>
      </c>
      <c r="D462" s="4">
        <f>IFERROR(_xlfn.MAXIFS(Tabelle5[binding_level],Tabelle5[company_id],Tabelle18[[#This Row],[company_id]],Tabelle5[value_id],Tabelle18[[#This Row],[value_id]],Tabelle5[value_present],1),0)</f>
        <v>0</v>
      </c>
      <c r="E462" s="4">
        <f>IFERROR(_xlfn.MAXIFS(Tabelle5[value_points],Tabelle5[company_id],Tabelle18[[#This Row],[company_id]],Tabelle5[value_id],Tabelle18[[#This Row],[value_id]]),0)</f>
        <v>0</v>
      </c>
      <c r="F462" t="str">
        <f>IF(Tabelle18[[#This Row],[value_points_company]]=0,"",IFERROR(_xlfn.MINIFS(Tabelle5[doc_id],Tabelle5[company_id],Tabelle18[[#This Row],[company_id]],Tabelle5[value_id],Tabelle18[[#This Row],[value_id]],Tabelle5[value_points],Tabelle18[[#This Row],[value_points_company]]),""))</f>
        <v/>
      </c>
      <c r="G462" t="str" cm="1">
        <f t="array" ref="G462">IF(Tabelle18[[#This Row],[doc_id_strongest]]="","",IFERROR(INDEX(Tabelle5[evidence_location],MATCH(1,(Tabelle5[company_id]=Tabelle18[[#This Row],[company_id]])*(Tabelle5[value_id]=Tabelle18[[#This Row],[value_id]])*(Tabelle5[doc_id]=Tabelle18[[#This Row],[doc_id_strongest]]),0)),""))</f>
        <v/>
      </c>
      <c r="H462" s="33" t="str" cm="1">
        <f t="array" ref="H462">IF(Tabelle18[[#This Row],[doc_id_strongest]]="","",IFERROR(INDEX(Tabelle5[evidence_quote],MATCH(1,(Tabelle5[company_id]=Tabelle18[[#This Row],[company_id]])*(Tabelle5[value_id]=Tabelle18[[#This Row],[value_id]])*(Tabelle5[doc_id]=Tabelle18[[#This Row],[doc_id_strongest]]),0)),""))</f>
        <v/>
      </c>
    </row>
    <row r="463" spans="1:8" x14ac:dyDescent="0.25">
      <c r="A463" s="36">
        <v>26</v>
      </c>
      <c r="B463" t="s">
        <v>132</v>
      </c>
      <c r="C463" s="4">
        <f>IF(Tabelle18[[#This Row],[binding_level_company]]&gt;=1,1,0)</f>
        <v>0</v>
      </c>
      <c r="D463" s="4">
        <f>IFERROR(_xlfn.MAXIFS(Tabelle5[binding_level],Tabelle5[company_id],Tabelle18[[#This Row],[company_id]],Tabelle5[value_id],Tabelle18[[#This Row],[value_id]],Tabelle5[value_present],1),0)</f>
        <v>0</v>
      </c>
      <c r="E463" s="4">
        <f>IFERROR(_xlfn.MAXIFS(Tabelle5[value_points],Tabelle5[company_id],Tabelle18[[#This Row],[company_id]],Tabelle5[value_id],Tabelle18[[#This Row],[value_id]]),0)</f>
        <v>0</v>
      </c>
      <c r="F463" t="str">
        <f>IF(Tabelle18[[#This Row],[value_points_company]]=0,"",IFERROR(_xlfn.MINIFS(Tabelle5[doc_id],Tabelle5[company_id],Tabelle18[[#This Row],[company_id]],Tabelle5[value_id],Tabelle18[[#This Row],[value_id]],Tabelle5[value_points],Tabelle18[[#This Row],[value_points_company]]),""))</f>
        <v/>
      </c>
      <c r="G463" t="str" cm="1">
        <f t="array" ref="G463">IF(Tabelle18[[#This Row],[doc_id_strongest]]="","",IFERROR(INDEX(Tabelle5[evidence_location],MATCH(1,(Tabelle5[company_id]=Tabelle18[[#This Row],[company_id]])*(Tabelle5[value_id]=Tabelle18[[#This Row],[value_id]])*(Tabelle5[doc_id]=Tabelle18[[#This Row],[doc_id_strongest]]),0)),""))</f>
        <v/>
      </c>
      <c r="H463" s="33" t="str" cm="1">
        <f t="array" ref="H463">IF(Tabelle18[[#This Row],[doc_id_strongest]]="","",IFERROR(INDEX(Tabelle5[evidence_quote],MATCH(1,(Tabelle5[company_id]=Tabelle18[[#This Row],[company_id]])*(Tabelle5[value_id]=Tabelle18[[#This Row],[value_id]])*(Tabelle5[doc_id]=Tabelle18[[#This Row],[doc_id_strongest]]),0)),""))</f>
        <v/>
      </c>
    </row>
    <row r="464" spans="1:8" x14ac:dyDescent="0.25">
      <c r="A464" s="36">
        <v>26</v>
      </c>
      <c r="B464" t="s">
        <v>140</v>
      </c>
      <c r="C464" s="4">
        <f>IF(Tabelle18[[#This Row],[binding_level_company]]&gt;=1,1,0)</f>
        <v>0</v>
      </c>
      <c r="D464" s="4">
        <f>IFERROR(_xlfn.MAXIFS(Tabelle5[binding_level],Tabelle5[company_id],Tabelle18[[#This Row],[company_id]],Tabelle5[value_id],Tabelle18[[#This Row],[value_id]],Tabelle5[value_present],1),0)</f>
        <v>0</v>
      </c>
      <c r="E464" s="4">
        <f>IFERROR(_xlfn.MAXIFS(Tabelle5[value_points],Tabelle5[company_id],Tabelle18[[#This Row],[company_id]],Tabelle5[value_id],Tabelle18[[#This Row],[value_id]]),0)</f>
        <v>0</v>
      </c>
      <c r="F464" t="str">
        <f>IF(Tabelle18[[#This Row],[value_points_company]]=0,"",IFERROR(_xlfn.MINIFS(Tabelle5[doc_id],Tabelle5[company_id],Tabelle18[[#This Row],[company_id]],Tabelle5[value_id],Tabelle18[[#This Row],[value_id]],Tabelle5[value_points],Tabelle18[[#This Row],[value_points_company]]),""))</f>
        <v/>
      </c>
      <c r="G464" t="str" cm="1">
        <f t="array" ref="G464">IF(Tabelle18[[#This Row],[doc_id_strongest]]="","",IFERROR(INDEX(Tabelle5[evidence_location],MATCH(1,(Tabelle5[company_id]=Tabelle18[[#This Row],[company_id]])*(Tabelle5[value_id]=Tabelle18[[#This Row],[value_id]])*(Tabelle5[doc_id]=Tabelle18[[#This Row],[doc_id_strongest]]),0)),""))</f>
        <v/>
      </c>
      <c r="H464" s="33" t="str" cm="1">
        <f t="array" ref="H464">IF(Tabelle18[[#This Row],[doc_id_strongest]]="","",IFERROR(INDEX(Tabelle5[evidence_quote],MATCH(1,(Tabelle5[company_id]=Tabelle18[[#This Row],[company_id]])*(Tabelle5[value_id]=Tabelle18[[#This Row],[value_id]])*(Tabelle5[doc_id]=Tabelle18[[#This Row],[doc_id_strongest]]),0)),""))</f>
        <v/>
      </c>
    </row>
    <row r="465" spans="1:8" x14ac:dyDescent="0.25">
      <c r="A465" s="36">
        <v>26</v>
      </c>
      <c r="B465" t="s">
        <v>147</v>
      </c>
      <c r="C465" s="4">
        <f>IF(Tabelle18[[#This Row],[binding_level_company]]&gt;=1,1,0)</f>
        <v>0</v>
      </c>
      <c r="D465" s="4">
        <f>IFERROR(_xlfn.MAXIFS(Tabelle5[binding_level],Tabelle5[company_id],Tabelle18[[#This Row],[company_id]],Tabelle5[value_id],Tabelle18[[#This Row],[value_id]],Tabelle5[value_present],1),0)</f>
        <v>0</v>
      </c>
      <c r="E465" s="4">
        <f>IFERROR(_xlfn.MAXIFS(Tabelle5[value_points],Tabelle5[company_id],Tabelle18[[#This Row],[company_id]],Tabelle5[value_id],Tabelle18[[#This Row],[value_id]]),0)</f>
        <v>0</v>
      </c>
      <c r="F465" t="str">
        <f>IF(Tabelle18[[#This Row],[value_points_company]]=0,"",IFERROR(_xlfn.MINIFS(Tabelle5[doc_id],Tabelle5[company_id],Tabelle18[[#This Row],[company_id]],Tabelle5[value_id],Tabelle18[[#This Row],[value_id]],Tabelle5[value_points],Tabelle18[[#This Row],[value_points_company]]),""))</f>
        <v/>
      </c>
      <c r="G465" t="str" cm="1">
        <f t="array" ref="G465">IF(Tabelle18[[#This Row],[doc_id_strongest]]="","",IFERROR(INDEX(Tabelle5[evidence_location],MATCH(1,(Tabelle5[company_id]=Tabelle18[[#This Row],[company_id]])*(Tabelle5[value_id]=Tabelle18[[#This Row],[value_id]])*(Tabelle5[doc_id]=Tabelle18[[#This Row],[doc_id_strongest]]),0)),""))</f>
        <v/>
      </c>
      <c r="H465" s="33" t="str" cm="1">
        <f t="array" ref="H465">IF(Tabelle18[[#This Row],[doc_id_strongest]]="","",IFERROR(INDEX(Tabelle5[evidence_quote],MATCH(1,(Tabelle5[company_id]=Tabelle18[[#This Row],[company_id]])*(Tabelle5[value_id]=Tabelle18[[#This Row],[value_id]])*(Tabelle5[doc_id]=Tabelle18[[#This Row],[doc_id_strongest]]),0)),""))</f>
        <v/>
      </c>
    </row>
    <row r="466" spans="1:8" x14ac:dyDescent="0.25">
      <c r="A466" s="36">
        <v>26</v>
      </c>
      <c r="B466" t="s">
        <v>154</v>
      </c>
      <c r="C466" s="4">
        <f>IF(Tabelle18[[#This Row],[binding_level_company]]&gt;=1,1,0)</f>
        <v>0</v>
      </c>
      <c r="D466" s="4">
        <f>IFERROR(_xlfn.MAXIFS(Tabelle5[binding_level],Tabelle5[company_id],Tabelle18[[#This Row],[company_id]],Tabelle5[value_id],Tabelle18[[#This Row],[value_id]],Tabelle5[value_present],1),0)</f>
        <v>0</v>
      </c>
      <c r="E466" s="4">
        <f>IFERROR(_xlfn.MAXIFS(Tabelle5[value_points],Tabelle5[company_id],Tabelle18[[#This Row],[company_id]],Tabelle5[value_id],Tabelle18[[#This Row],[value_id]]),0)</f>
        <v>0</v>
      </c>
      <c r="F466" t="str">
        <f>IF(Tabelle18[[#This Row],[value_points_company]]=0,"",IFERROR(_xlfn.MINIFS(Tabelle5[doc_id],Tabelle5[company_id],Tabelle18[[#This Row],[company_id]],Tabelle5[value_id],Tabelle18[[#This Row],[value_id]],Tabelle5[value_points],Tabelle18[[#This Row],[value_points_company]]),""))</f>
        <v/>
      </c>
      <c r="G466" t="str" cm="1">
        <f t="array" ref="G466">IF(Tabelle18[[#This Row],[doc_id_strongest]]="","",IFERROR(INDEX(Tabelle5[evidence_location],MATCH(1,(Tabelle5[company_id]=Tabelle18[[#This Row],[company_id]])*(Tabelle5[value_id]=Tabelle18[[#This Row],[value_id]])*(Tabelle5[doc_id]=Tabelle18[[#This Row],[doc_id_strongest]]),0)),""))</f>
        <v/>
      </c>
      <c r="H466" s="33" t="str" cm="1">
        <f t="array" ref="H466">IF(Tabelle18[[#This Row],[doc_id_strongest]]="","",IFERROR(INDEX(Tabelle5[evidence_quote],MATCH(1,(Tabelle5[company_id]=Tabelle18[[#This Row],[company_id]])*(Tabelle5[value_id]=Tabelle18[[#This Row],[value_id]])*(Tabelle5[doc_id]=Tabelle18[[#This Row],[doc_id_strongest]]),0)),""))</f>
        <v/>
      </c>
    </row>
    <row r="467" spans="1:8" x14ac:dyDescent="0.25">
      <c r="A467" s="36">
        <v>26</v>
      </c>
      <c r="B467" t="s">
        <v>161</v>
      </c>
      <c r="C467" s="4">
        <f>IF(Tabelle18[[#This Row],[binding_level_company]]&gt;=1,1,0)</f>
        <v>0</v>
      </c>
      <c r="D467" s="4">
        <f>IFERROR(_xlfn.MAXIFS(Tabelle5[binding_level],Tabelle5[company_id],Tabelle18[[#This Row],[company_id]],Tabelle5[value_id],Tabelle18[[#This Row],[value_id]],Tabelle5[value_present],1),0)</f>
        <v>0</v>
      </c>
      <c r="E467" s="4">
        <f>IFERROR(_xlfn.MAXIFS(Tabelle5[value_points],Tabelle5[company_id],Tabelle18[[#This Row],[company_id]],Tabelle5[value_id],Tabelle18[[#This Row],[value_id]]),0)</f>
        <v>0</v>
      </c>
      <c r="F467" t="str">
        <f>IF(Tabelle18[[#This Row],[value_points_company]]=0,"",IFERROR(_xlfn.MINIFS(Tabelle5[doc_id],Tabelle5[company_id],Tabelle18[[#This Row],[company_id]],Tabelle5[value_id],Tabelle18[[#This Row],[value_id]],Tabelle5[value_points],Tabelle18[[#This Row],[value_points_company]]),""))</f>
        <v/>
      </c>
      <c r="G467" t="str" cm="1">
        <f t="array" ref="G467">IF(Tabelle18[[#This Row],[doc_id_strongest]]="","",IFERROR(INDEX(Tabelle5[evidence_location],MATCH(1,(Tabelle5[company_id]=Tabelle18[[#This Row],[company_id]])*(Tabelle5[value_id]=Tabelle18[[#This Row],[value_id]])*(Tabelle5[doc_id]=Tabelle18[[#This Row],[doc_id_strongest]]),0)),""))</f>
        <v/>
      </c>
      <c r="H467" s="33" t="str" cm="1">
        <f t="array" ref="H467">IF(Tabelle18[[#This Row],[doc_id_strongest]]="","",IFERROR(INDEX(Tabelle5[evidence_quote],MATCH(1,(Tabelle5[company_id]=Tabelle18[[#This Row],[company_id]])*(Tabelle5[value_id]=Tabelle18[[#This Row],[value_id]])*(Tabelle5[doc_id]=Tabelle18[[#This Row],[doc_id_strongest]]),0)),""))</f>
        <v/>
      </c>
    </row>
    <row r="468" spans="1:8" x14ac:dyDescent="0.25">
      <c r="A468" s="36">
        <v>26</v>
      </c>
      <c r="B468" t="s">
        <v>166</v>
      </c>
      <c r="C468" s="4">
        <f>IF(Tabelle18[[#This Row],[binding_level_company]]&gt;=1,1,0)</f>
        <v>0</v>
      </c>
      <c r="D468" s="4">
        <f>IFERROR(_xlfn.MAXIFS(Tabelle5[binding_level],Tabelle5[company_id],Tabelle18[[#This Row],[company_id]],Tabelle5[value_id],Tabelle18[[#This Row],[value_id]],Tabelle5[value_present],1),0)</f>
        <v>0</v>
      </c>
      <c r="E468" s="4">
        <f>IFERROR(_xlfn.MAXIFS(Tabelle5[value_points],Tabelle5[company_id],Tabelle18[[#This Row],[company_id]],Tabelle5[value_id],Tabelle18[[#This Row],[value_id]]),0)</f>
        <v>0</v>
      </c>
      <c r="F468" t="str">
        <f>IF(Tabelle18[[#This Row],[value_points_company]]=0,"",IFERROR(_xlfn.MINIFS(Tabelle5[doc_id],Tabelle5[company_id],Tabelle18[[#This Row],[company_id]],Tabelle5[value_id],Tabelle18[[#This Row],[value_id]],Tabelle5[value_points],Tabelle18[[#This Row],[value_points_company]]),""))</f>
        <v/>
      </c>
      <c r="G468" t="str" cm="1">
        <f t="array" ref="G468">IF(Tabelle18[[#This Row],[doc_id_strongest]]="","",IFERROR(INDEX(Tabelle5[evidence_location],MATCH(1,(Tabelle5[company_id]=Tabelle18[[#This Row],[company_id]])*(Tabelle5[value_id]=Tabelle18[[#This Row],[value_id]])*(Tabelle5[doc_id]=Tabelle18[[#This Row],[doc_id_strongest]]),0)),""))</f>
        <v/>
      </c>
      <c r="H468" s="33" t="str" cm="1">
        <f t="array" ref="H468">IF(Tabelle18[[#This Row],[doc_id_strongest]]="","",IFERROR(INDEX(Tabelle5[evidence_quote],MATCH(1,(Tabelle5[company_id]=Tabelle18[[#This Row],[company_id]])*(Tabelle5[value_id]=Tabelle18[[#This Row],[value_id]])*(Tabelle5[doc_id]=Tabelle18[[#This Row],[doc_id_strongest]]),0)),""))</f>
        <v/>
      </c>
    </row>
    <row r="469" spans="1:8" ht="15.75" thickBot="1" x14ac:dyDescent="0.3">
      <c r="A469" s="37">
        <v>26</v>
      </c>
      <c r="B469" s="30" t="s">
        <v>174</v>
      </c>
      <c r="C469" s="49">
        <f>IF(Tabelle18[[#This Row],[binding_level_company]]&gt;=1,1,0)</f>
        <v>0</v>
      </c>
      <c r="D469" s="49">
        <f>IFERROR(_xlfn.MAXIFS(Tabelle5[binding_level],Tabelle5[company_id],Tabelle18[[#This Row],[company_id]],Tabelle5[value_id],Tabelle18[[#This Row],[value_id]],Tabelle5[value_present],1),0)</f>
        <v>0</v>
      </c>
      <c r="E469" s="49">
        <f>IFERROR(_xlfn.MAXIFS(Tabelle5[value_points],Tabelle5[company_id],Tabelle18[[#This Row],[company_id]],Tabelle5[value_id],Tabelle18[[#This Row],[value_id]]),0)</f>
        <v>0</v>
      </c>
      <c r="F469" s="30" t="str">
        <f>IF(Tabelle18[[#This Row],[value_points_company]]=0,"",IFERROR(_xlfn.MINIFS(Tabelle5[doc_id],Tabelle5[company_id],Tabelle18[[#This Row],[company_id]],Tabelle5[value_id],Tabelle18[[#This Row],[value_id]],Tabelle5[value_points],Tabelle18[[#This Row],[value_points_company]]),""))</f>
        <v/>
      </c>
      <c r="G469" s="30" t="str" cm="1">
        <f t="array" ref="G469">IF(Tabelle18[[#This Row],[doc_id_strongest]]="","",IFERROR(INDEX(Tabelle5[evidence_location],MATCH(1,(Tabelle5[company_id]=Tabelle18[[#This Row],[company_id]])*(Tabelle5[value_id]=Tabelle18[[#This Row],[value_id]])*(Tabelle5[doc_id]=Tabelle18[[#This Row],[doc_id_strongest]]),0)),""))</f>
        <v/>
      </c>
      <c r="H469" s="34" t="str" cm="1">
        <f t="array" ref="H469">IF(Tabelle18[[#This Row],[doc_id_strongest]]="","",IFERROR(INDEX(Tabelle5[evidence_quote],MATCH(1,(Tabelle5[company_id]=Tabelle18[[#This Row],[company_id]])*(Tabelle5[value_id]=Tabelle18[[#This Row],[value_id]])*(Tabelle5[doc_id]=Tabelle18[[#This Row],[doc_id_strongest]]),0)),""))</f>
        <v/>
      </c>
    </row>
    <row r="470" spans="1:8" x14ac:dyDescent="0.25">
      <c r="A470" s="35">
        <v>27</v>
      </c>
      <c r="B470" s="22" t="s">
        <v>53</v>
      </c>
      <c r="C470" s="48">
        <f>IF(Tabelle18[[#This Row],[binding_level_company]]&gt;=1,1,0)</f>
        <v>0</v>
      </c>
      <c r="D470" s="48">
        <f>IFERROR(_xlfn.MAXIFS(Tabelle5[binding_level],Tabelle5[company_id],Tabelle18[[#This Row],[company_id]],Tabelle5[value_id],Tabelle18[[#This Row],[value_id]],Tabelle5[value_present],1),0)</f>
        <v>0</v>
      </c>
      <c r="E470" s="48">
        <f>IFERROR(_xlfn.MAXIFS(Tabelle5[value_points],Tabelle5[company_id],Tabelle18[[#This Row],[company_id]],Tabelle5[value_id],Tabelle18[[#This Row],[value_id]]),0)</f>
        <v>0</v>
      </c>
      <c r="F470" s="22" t="str">
        <f>IF(Tabelle18[[#This Row],[value_points_company]]=0,"",IFERROR(_xlfn.MINIFS(Tabelle5[doc_id],Tabelle5[company_id],Tabelle18[[#This Row],[company_id]],Tabelle5[value_id],Tabelle18[[#This Row],[value_id]],Tabelle5[value_points],Tabelle18[[#This Row],[value_points_company]]),""))</f>
        <v/>
      </c>
      <c r="G470" s="22" t="str" cm="1">
        <f t="array" ref="G470">IF(Tabelle18[[#This Row],[doc_id_strongest]]="","",IFERROR(INDEX(Tabelle5[evidence_location],MATCH(1,(Tabelle5[company_id]=Tabelle18[[#This Row],[company_id]])*(Tabelle5[value_id]=Tabelle18[[#This Row],[value_id]])*(Tabelle5[doc_id]=Tabelle18[[#This Row],[doc_id_strongest]]),0)),""))</f>
        <v/>
      </c>
      <c r="H470" s="32" t="str" cm="1">
        <f t="array" ref="H470">IF(Tabelle18[[#This Row],[doc_id_strongest]]="","",IFERROR(INDEX(Tabelle5[evidence_quote],MATCH(1,(Tabelle5[company_id]=Tabelle18[[#This Row],[company_id]])*(Tabelle5[value_id]=Tabelle18[[#This Row],[value_id]])*(Tabelle5[doc_id]=Tabelle18[[#This Row],[doc_id_strongest]]),0)),""))</f>
        <v/>
      </c>
    </row>
    <row r="471" spans="1:8" x14ac:dyDescent="0.25">
      <c r="A471" s="36">
        <v>27</v>
      </c>
      <c r="B471" t="s">
        <v>61</v>
      </c>
      <c r="C471" s="4">
        <f>IF(Tabelle18[[#This Row],[binding_level_company]]&gt;=1,1,0)</f>
        <v>0</v>
      </c>
      <c r="D471" s="4">
        <f>IFERROR(_xlfn.MAXIFS(Tabelle5[binding_level],Tabelle5[company_id],Tabelle18[[#This Row],[company_id]],Tabelle5[value_id],Tabelle18[[#This Row],[value_id]],Tabelle5[value_present],1),0)</f>
        <v>0</v>
      </c>
      <c r="E471" s="4">
        <f>IFERROR(_xlfn.MAXIFS(Tabelle5[value_points],Tabelle5[company_id],Tabelle18[[#This Row],[company_id]],Tabelle5[value_id],Tabelle18[[#This Row],[value_id]]),0)</f>
        <v>0</v>
      </c>
      <c r="F471" t="str">
        <f>IF(Tabelle18[[#This Row],[value_points_company]]=0,"",IFERROR(_xlfn.MINIFS(Tabelle5[doc_id],Tabelle5[company_id],Tabelle18[[#This Row],[company_id]],Tabelle5[value_id],Tabelle18[[#This Row],[value_id]],Tabelle5[value_points],Tabelle18[[#This Row],[value_points_company]]),""))</f>
        <v/>
      </c>
      <c r="G471" t="str" cm="1">
        <f t="array" ref="G471">IF(Tabelle18[[#This Row],[doc_id_strongest]]="","",IFERROR(INDEX(Tabelle5[evidence_location],MATCH(1,(Tabelle5[company_id]=Tabelle18[[#This Row],[company_id]])*(Tabelle5[value_id]=Tabelle18[[#This Row],[value_id]])*(Tabelle5[doc_id]=Tabelle18[[#This Row],[doc_id_strongest]]),0)),""))</f>
        <v/>
      </c>
      <c r="H471" s="33" t="str" cm="1">
        <f t="array" ref="H471">IF(Tabelle18[[#This Row],[doc_id_strongest]]="","",IFERROR(INDEX(Tabelle5[evidence_quote],MATCH(1,(Tabelle5[company_id]=Tabelle18[[#This Row],[company_id]])*(Tabelle5[value_id]=Tabelle18[[#This Row],[value_id]])*(Tabelle5[doc_id]=Tabelle18[[#This Row],[doc_id_strongest]]),0)),""))</f>
        <v/>
      </c>
    </row>
    <row r="472" spans="1:8" x14ac:dyDescent="0.25">
      <c r="A472" s="36">
        <v>27</v>
      </c>
      <c r="B472" t="s">
        <v>69</v>
      </c>
      <c r="C472" s="4">
        <f>IF(Tabelle18[[#This Row],[binding_level_company]]&gt;=1,1,0)</f>
        <v>1</v>
      </c>
      <c r="D472" s="4">
        <f>IFERROR(_xlfn.MAXIFS(Tabelle5[binding_level],Tabelle5[company_id],Tabelle18[[#This Row],[company_id]],Tabelle5[value_id],Tabelle18[[#This Row],[value_id]],Tabelle5[value_present],1),0)</f>
        <v>1</v>
      </c>
      <c r="E472" s="4">
        <f>IFERROR(_xlfn.MAXIFS(Tabelle5[value_points],Tabelle5[company_id],Tabelle18[[#This Row],[company_id]],Tabelle5[value_id],Tabelle18[[#This Row],[value_id]]),0)</f>
        <v>1</v>
      </c>
      <c r="F472">
        <f>IF(Tabelle18[[#This Row],[value_points_company]]=0,"",IFERROR(_xlfn.MINIFS(Tabelle5[doc_id],Tabelle5[company_id],Tabelle18[[#This Row],[company_id]],Tabelle5[value_id],Tabelle18[[#This Row],[value_id]],Tabelle5[value_points],Tabelle18[[#This Row],[value_points_company]]),""))</f>
        <v>163</v>
      </c>
      <c r="G472" t="str" cm="1">
        <f t="array" ref="G472">IF(Tabelle18[[#This Row],[doc_id_strongest]]="","",IFERROR(INDEX(Tabelle5[evidence_location],MATCH(1,(Tabelle5[company_id]=Tabelle18[[#This Row],[company_id]])*(Tabelle5[value_id]=Tabelle18[[#This Row],[value_id]])*(Tabelle5[doc_id]=Tabelle18[[#This Row],[doc_id_strongest]]),0)),""))</f>
        <v>S. 60 „Measures“</v>
      </c>
      <c r="H472" s="33" t="str" cm="1">
        <f t="array" ref="H472">IF(Tabelle18[[#This Row],[doc_id_strongest]]="","",IFERROR(INDEX(Tabelle5[evidence_quote],MATCH(1,(Tabelle5[company_id]=Tabelle18[[#This Row],[company_id]])*(Tabelle5[value_id]=Tabelle18[[#This Row],[value_id]])*(Tabelle5[doc_id]=Tabelle18[[#This Row],[doc_id_strongest]]),0)),""))</f>
        <v>“making our algorithms as transparent as possible”</v>
      </c>
    </row>
    <row r="473" spans="1:8" x14ac:dyDescent="0.25">
      <c r="A473" s="36">
        <v>27</v>
      </c>
      <c r="B473" t="s">
        <v>76</v>
      </c>
      <c r="C473" s="4">
        <f>IF(Tabelle18[[#This Row],[binding_level_company]]&gt;=1,1,0)</f>
        <v>1</v>
      </c>
      <c r="D473" s="4">
        <f>IFERROR(_xlfn.MAXIFS(Tabelle5[binding_level],Tabelle5[company_id],Tabelle18[[#This Row],[company_id]],Tabelle5[value_id],Tabelle18[[#This Row],[value_id]],Tabelle5[value_present],1),0)</f>
        <v>2</v>
      </c>
      <c r="E473" s="4">
        <f>IFERROR(_xlfn.MAXIFS(Tabelle5[value_points],Tabelle5[company_id],Tabelle18[[#This Row],[company_id]],Tabelle5[value_id],Tabelle18[[#This Row],[value_id]]),0)</f>
        <v>2</v>
      </c>
      <c r="F473">
        <f>IF(Tabelle18[[#This Row],[value_points_company]]=0,"",IFERROR(_xlfn.MINIFS(Tabelle5[doc_id],Tabelle5[company_id],Tabelle18[[#This Row],[company_id]],Tabelle5[value_id],Tabelle18[[#This Row],[value_id]],Tabelle5[value_points],Tabelle18[[#This Row],[value_points_company]]),""))</f>
        <v>163</v>
      </c>
      <c r="G473" t="str" cm="1">
        <f t="array" ref="G473">IF(Tabelle18[[#This Row],[doc_id_strongest]]="","",IFERROR(INDEX(Tabelle5[evidence_location],MATCH(1,(Tabelle5[company_id]=Tabelle18[[#This Row],[company_id]])*(Tabelle5[value_id]=Tabelle18[[#This Row],[value_id]])*(Tabelle5[doc_id]=Tabelle18[[#This Row],[doc_id_strongest]]),0)),""))</f>
        <v>S. 60 „Measures“</v>
      </c>
      <c r="H473" s="33" t="str" cm="1">
        <f t="array" ref="H473">IF(Tabelle18[[#This Row],[doc_id_strongest]]="","",IFERROR(INDEX(Tabelle5[evidence_quote],MATCH(1,(Tabelle5[company_id]=Tabelle18[[#This Row],[company_id]])*(Tabelle5[value_id]=Tabelle18[[#This Row],[value_id]])*(Tabelle5[doc_id]=Tabelle18[[#This Row],[doc_id_strongest]]),0)),""))</f>
        <v>“techniques for illustrating the behaviour of AI systems”</v>
      </c>
    </row>
    <row r="474" spans="1:8" x14ac:dyDescent="0.25">
      <c r="A474" s="36">
        <v>27</v>
      </c>
      <c r="B474" t="s">
        <v>83</v>
      </c>
      <c r="C474" s="4">
        <f>IF(Tabelle18[[#This Row],[binding_level_company]]&gt;=1,1,0)</f>
        <v>1</v>
      </c>
      <c r="D474" s="4">
        <f>IFERROR(_xlfn.MAXIFS(Tabelle5[binding_level],Tabelle5[company_id],Tabelle18[[#This Row],[company_id]],Tabelle5[value_id],Tabelle18[[#This Row],[value_id]],Tabelle5[value_present],1),0)</f>
        <v>3</v>
      </c>
      <c r="E474" s="4">
        <f>IFERROR(_xlfn.MAXIFS(Tabelle5[value_points],Tabelle5[company_id],Tabelle18[[#This Row],[company_id]],Tabelle5[value_id],Tabelle18[[#This Row],[value_id]]),0)</f>
        <v>3</v>
      </c>
      <c r="F474">
        <f>IF(Tabelle18[[#This Row],[value_points_company]]=0,"",IFERROR(_xlfn.MINIFS(Tabelle5[doc_id],Tabelle5[company_id],Tabelle18[[#This Row],[company_id]],Tabelle5[value_id],Tabelle18[[#This Row],[value_id]],Tabelle5[value_points],Tabelle18[[#This Row],[value_points_company]]),""))</f>
        <v>163</v>
      </c>
      <c r="G474" t="str" cm="1">
        <f t="array" ref="G474">IF(Tabelle18[[#This Row],[doc_id_strongest]]="","",IFERROR(INDEX(Tabelle5[evidence_location],MATCH(1,(Tabelle5[company_id]=Tabelle18[[#This Row],[company_id]])*(Tabelle5[value_id]=Tabelle18[[#This Row],[value_id]])*(Tabelle5[doc_id]=Tabelle18[[#This Row],[doc_id_strongest]]),0)),""))</f>
        <v>S. 60 „Measures“</v>
      </c>
      <c r="H474" s="33" t="str" cm="1">
        <f t="array" ref="H474">IF(Tabelle18[[#This Row],[doc_id_strongest]]="","",IFERROR(INDEX(Tabelle5[evidence_quote],MATCH(1,(Tabelle5[company_id]=Tabelle18[[#This Row],[company_id]])*(Tabelle5[value_id]=Tabelle18[[#This Row],[value_id]])*(Tabelle5[doc_id]=Tabelle18[[#This Row],[doc_id_strongest]]),0)),""))</f>
        <v>“avoid any type of discrimination through AI”; “age, sex, nationality or ethnic background”; “we check that our data resources cover all relevant demographic groups”</v>
      </c>
    </row>
    <row r="475" spans="1:8" x14ac:dyDescent="0.25">
      <c r="A475" s="36">
        <v>27</v>
      </c>
      <c r="B475" t="s">
        <v>90</v>
      </c>
      <c r="C475" s="4">
        <f>IF(Tabelle18[[#This Row],[binding_level_company]]&gt;=1,1,0)</f>
        <v>0</v>
      </c>
      <c r="D475" s="4">
        <f>IFERROR(_xlfn.MAXIFS(Tabelle5[binding_level],Tabelle5[company_id],Tabelle18[[#This Row],[company_id]],Tabelle5[value_id],Tabelle18[[#This Row],[value_id]],Tabelle5[value_present],1),0)</f>
        <v>0</v>
      </c>
      <c r="E475" s="4">
        <f>IFERROR(_xlfn.MAXIFS(Tabelle5[value_points],Tabelle5[company_id],Tabelle18[[#This Row],[company_id]],Tabelle5[value_id],Tabelle18[[#This Row],[value_id]]),0)</f>
        <v>0</v>
      </c>
      <c r="F475" t="str">
        <f>IF(Tabelle18[[#This Row],[value_points_company]]=0,"",IFERROR(_xlfn.MINIFS(Tabelle5[doc_id],Tabelle5[company_id],Tabelle18[[#This Row],[company_id]],Tabelle5[value_id],Tabelle18[[#This Row],[value_id]],Tabelle5[value_points],Tabelle18[[#This Row],[value_points_company]]),""))</f>
        <v/>
      </c>
      <c r="G475" t="str" cm="1">
        <f t="array" ref="G475">IF(Tabelle18[[#This Row],[doc_id_strongest]]="","",IFERROR(INDEX(Tabelle5[evidence_location],MATCH(1,(Tabelle5[company_id]=Tabelle18[[#This Row],[company_id]])*(Tabelle5[value_id]=Tabelle18[[#This Row],[value_id]])*(Tabelle5[doc_id]=Tabelle18[[#This Row],[doc_id_strongest]]),0)),""))</f>
        <v/>
      </c>
      <c r="H475" s="33" t="str" cm="1">
        <f t="array" ref="H475">IF(Tabelle18[[#This Row],[doc_id_strongest]]="","",IFERROR(INDEX(Tabelle5[evidence_quote],MATCH(1,(Tabelle5[company_id]=Tabelle18[[#This Row],[company_id]])*(Tabelle5[value_id]=Tabelle18[[#This Row],[value_id]])*(Tabelle5[doc_id]=Tabelle18[[#This Row],[doc_id_strongest]]),0)),""))</f>
        <v/>
      </c>
    </row>
    <row r="476" spans="1:8" x14ac:dyDescent="0.25">
      <c r="A476" s="36">
        <v>27</v>
      </c>
      <c r="B476" t="s">
        <v>98</v>
      </c>
      <c r="C476" s="4">
        <f>IF(Tabelle18[[#This Row],[binding_level_company]]&gt;=1,1,0)</f>
        <v>0</v>
      </c>
      <c r="D476" s="4">
        <f>IFERROR(_xlfn.MAXIFS(Tabelle5[binding_level],Tabelle5[company_id],Tabelle18[[#This Row],[company_id]],Tabelle5[value_id],Tabelle18[[#This Row],[value_id]],Tabelle5[value_present],1),0)</f>
        <v>0</v>
      </c>
      <c r="E476" s="4">
        <f>IFERROR(_xlfn.MAXIFS(Tabelle5[value_points],Tabelle5[company_id],Tabelle18[[#This Row],[company_id]],Tabelle5[value_id],Tabelle18[[#This Row],[value_id]]),0)</f>
        <v>0</v>
      </c>
      <c r="F476" t="str">
        <f>IF(Tabelle18[[#This Row],[value_points_company]]=0,"",IFERROR(_xlfn.MINIFS(Tabelle5[doc_id],Tabelle5[company_id],Tabelle18[[#This Row],[company_id]],Tabelle5[value_id],Tabelle18[[#This Row],[value_id]],Tabelle5[value_points],Tabelle18[[#This Row],[value_points_company]]),""))</f>
        <v/>
      </c>
      <c r="G476" t="str" cm="1">
        <f t="array" ref="G476">IF(Tabelle18[[#This Row],[doc_id_strongest]]="","",IFERROR(INDEX(Tabelle5[evidence_location],MATCH(1,(Tabelle5[company_id]=Tabelle18[[#This Row],[company_id]])*(Tabelle5[value_id]=Tabelle18[[#This Row],[value_id]])*(Tabelle5[doc_id]=Tabelle18[[#This Row],[doc_id_strongest]]),0)),""))</f>
        <v/>
      </c>
      <c r="H476" s="33" t="str" cm="1">
        <f t="array" ref="H476">IF(Tabelle18[[#This Row],[doc_id_strongest]]="","",IFERROR(INDEX(Tabelle5[evidence_quote],MATCH(1,(Tabelle5[company_id]=Tabelle18[[#This Row],[company_id]])*(Tabelle5[value_id]=Tabelle18[[#This Row],[value_id]])*(Tabelle5[doc_id]=Tabelle18[[#This Row],[doc_id_strongest]]),0)),""))</f>
        <v/>
      </c>
    </row>
    <row r="477" spans="1:8" x14ac:dyDescent="0.25">
      <c r="A477" s="36">
        <v>27</v>
      </c>
      <c r="B477" t="s">
        <v>106</v>
      </c>
      <c r="C477" s="4">
        <f>IF(Tabelle18[[#This Row],[binding_level_company]]&gt;=1,1,0)</f>
        <v>0</v>
      </c>
      <c r="D477" s="4">
        <f>IFERROR(_xlfn.MAXIFS(Tabelle5[binding_level],Tabelle5[company_id],Tabelle18[[#This Row],[company_id]],Tabelle5[value_id],Tabelle18[[#This Row],[value_id]],Tabelle5[value_present],1),0)</f>
        <v>0</v>
      </c>
      <c r="E477" s="4">
        <f>IFERROR(_xlfn.MAXIFS(Tabelle5[value_points],Tabelle5[company_id],Tabelle18[[#This Row],[company_id]],Tabelle5[value_id],Tabelle18[[#This Row],[value_id]]),0)</f>
        <v>0</v>
      </c>
      <c r="F477" t="str">
        <f>IF(Tabelle18[[#This Row],[value_points_company]]=0,"",IFERROR(_xlfn.MINIFS(Tabelle5[doc_id],Tabelle5[company_id],Tabelle18[[#This Row],[company_id]],Tabelle5[value_id],Tabelle18[[#This Row],[value_id]],Tabelle5[value_points],Tabelle18[[#This Row],[value_points_company]]),""))</f>
        <v/>
      </c>
      <c r="G477" t="str" cm="1">
        <f t="array" ref="G477">IF(Tabelle18[[#This Row],[doc_id_strongest]]="","",IFERROR(INDEX(Tabelle5[evidence_location],MATCH(1,(Tabelle5[company_id]=Tabelle18[[#This Row],[company_id]])*(Tabelle5[value_id]=Tabelle18[[#This Row],[value_id]])*(Tabelle5[doc_id]=Tabelle18[[#This Row],[doc_id_strongest]]),0)),""))</f>
        <v/>
      </c>
      <c r="H477" s="33" t="str" cm="1">
        <f t="array" ref="H477">IF(Tabelle18[[#This Row],[doc_id_strongest]]="","",IFERROR(INDEX(Tabelle5[evidence_quote],MATCH(1,(Tabelle5[company_id]=Tabelle18[[#This Row],[company_id]])*(Tabelle5[value_id]=Tabelle18[[#This Row],[value_id]])*(Tabelle5[doc_id]=Tabelle18[[#This Row],[doc_id_strongest]]),0)),""))</f>
        <v/>
      </c>
    </row>
    <row r="478" spans="1:8" x14ac:dyDescent="0.25">
      <c r="A478" s="36">
        <v>27</v>
      </c>
      <c r="B478" t="s">
        <v>112</v>
      </c>
      <c r="C478" s="4">
        <f>IF(Tabelle18[[#This Row],[binding_level_company]]&gt;=1,1,0)</f>
        <v>0</v>
      </c>
      <c r="D478" s="4">
        <f>IFERROR(_xlfn.MAXIFS(Tabelle5[binding_level],Tabelle5[company_id],Tabelle18[[#This Row],[company_id]],Tabelle5[value_id],Tabelle18[[#This Row],[value_id]],Tabelle5[value_present],1),0)</f>
        <v>0</v>
      </c>
      <c r="E478" s="4">
        <f>IFERROR(_xlfn.MAXIFS(Tabelle5[value_points],Tabelle5[company_id],Tabelle18[[#This Row],[company_id]],Tabelle5[value_id],Tabelle18[[#This Row],[value_id]]),0)</f>
        <v>0</v>
      </c>
      <c r="F478" t="str">
        <f>IF(Tabelle18[[#This Row],[value_points_company]]=0,"",IFERROR(_xlfn.MINIFS(Tabelle5[doc_id],Tabelle5[company_id],Tabelle18[[#This Row],[company_id]],Tabelle5[value_id],Tabelle18[[#This Row],[value_id]],Tabelle5[value_points],Tabelle18[[#This Row],[value_points_company]]),""))</f>
        <v/>
      </c>
      <c r="G478" t="str" cm="1">
        <f t="array" ref="G478">IF(Tabelle18[[#This Row],[doc_id_strongest]]="","",IFERROR(INDEX(Tabelle5[evidence_location],MATCH(1,(Tabelle5[company_id]=Tabelle18[[#This Row],[company_id]])*(Tabelle5[value_id]=Tabelle18[[#This Row],[value_id]])*(Tabelle5[doc_id]=Tabelle18[[#This Row],[doc_id_strongest]]),0)),""))</f>
        <v/>
      </c>
      <c r="H478" s="33" t="str" cm="1">
        <f t="array" ref="H478">IF(Tabelle18[[#This Row],[doc_id_strongest]]="","",IFERROR(INDEX(Tabelle5[evidence_quote],MATCH(1,(Tabelle5[company_id]=Tabelle18[[#This Row],[company_id]])*(Tabelle5[value_id]=Tabelle18[[#This Row],[value_id]])*(Tabelle5[doc_id]=Tabelle18[[#This Row],[doc_id_strongest]]),0)),""))</f>
        <v/>
      </c>
    </row>
    <row r="479" spans="1:8" x14ac:dyDescent="0.25">
      <c r="A479" s="36">
        <v>27</v>
      </c>
      <c r="B479" t="s">
        <v>118</v>
      </c>
      <c r="C479" s="4">
        <f>IF(Tabelle18[[#This Row],[binding_level_company]]&gt;=1,1,0)</f>
        <v>0</v>
      </c>
      <c r="D479" s="4">
        <f>IFERROR(_xlfn.MAXIFS(Tabelle5[binding_level],Tabelle5[company_id],Tabelle18[[#This Row],[company_id]],Tabelle5[value_id],Tabelle18[[#This Row],[value_id]],Tabelle5[value_present],1),0)</f>
        <v>0</v>
      </c>
      <c r="E479" s="4">
        <f>IFERROR(_xlfn.MAXIFS(Tabelle5[value_points],Tabelle5[company_id],Tabelle18[[#This Row],[company_id]],Tabelle5[value_id],Tabelle18[[#This Row],[value_id]]),0)</f>
        <v>0</v>
      </c>
      <c r="F479" t="str">
        <f>IF(Tabelle18[[#This Row],[value_points_company]]=0,"",IFERROR(_xlfn.MINIFS(Tabelle5[doc_id],Tabelle5[company_id],Tabelle18[[#This Row],[company_id]],Tabelle5[value_id],Tabelle18[[#This Row],[value_id]],Tabelle5[value_points],Tabelle18[[#This Row],[value_points_company]]),""))</f>
        <v/>
      </c>
      <c r="G479" t="str" cm="1">
        <f t="array" ref="G479">IF(Tabelle18[[#This Row],[doc_id_strongest]]="","",IFERROR(INDEX(Tabelle5[evidence_location],MATCH(1,(Tabelle5[company_id]=Tabelle18[[#This Row],[company_id]])*(Tabelle5[value_id]=Tabelle18[[#This Row],[value_id]])*(Tabelle5[doc_id]=Tabelle18[[#This Row],[doc_id_strongest]]),0)),""))</f>
        <v/>
      </c>
      <c r="H479" s="33" t="str" cm="1">
        <f t="array" ref="H479">IF(Tabelle18[[#This Row],[doc_id_strongest]]="","",IFERROR(INDEX(Tabelle5[evidence_quote],MATCH(1,(Tabelle5[company_id]=Tabelle18[[#This Row],[company_id]])*(Tabelle5[value_id]=Tabelle18[[#This Row],[value_id]])*(Tabelle5[doc_id]=Tabelle18[[#This Row],[doc_id_strongest]]),0)),""))</f>
        <v/>
      </c>
    </row>
    <row r="480" spans="1:8" x14ac:dyDescent="0.25">
      <c r="A480" s="36">
        <v>27</v>
      </c>
      <c r="B480" t="s">
        <v>125</v>
      </c>
      <c r="C480" s="4">
        <f>IF(Tabelle18[[#This Row],[binding_level_company]]&gt;=1,1,0)</f>
        <v>0</v>
      </c>
      <c r="D480" s="4">
        <f>IFERROR(_xlfn.MAXIFS(Tabelle5[binding_level],Tabelle5[company_id],Tabelle18[[#This Row],[company_id]],Tabelle5[value_id],Tabelle18[[#This Row],[value_id]],Tabelle5[value_present],1),0)</f>
        <v>0</v>
      </c>
      <c r="E480" s="4">
        <f>IFERROR(_xlfn.MAXIFS(Tabelle5[value_points],Tabelle5[company_id],Tabelle18[[#This Row],[company_id]],Tabelle5[value_id],Tabelle18[[#This Row],[value_id]]),0)</f>
        <v>0</v>
      </c>
      <c r="F480" t="str">
        <f>IF(Tabelle18[[#This Row],[value_points_company]]=0,"",IFERROR(_xlfn.MINIFS(Tabelle5[doc_id],Tabelle5[company_id],Tabelle18[[#This Row],[company_id]],Tabelle5[value_id],Tabelle18[[#This Row],[value_id]],Tabelle5[value_points],Tabelle18[[#This Row],[value_points_company]]),""))</f>
        <v/>
      </c>
      <c r="G480" t="str" cm="1">
        <f t="array" ref="G480">IF(Tabelle18[[#This Row],[doc_id_strongest]]="","",IFERROR(INDEX(Tabelle5[evidence_location],MATCH(1,(Tabelle5[company_id]=Tabelle18[[#This Row],[company_id]])*(Tabelle5[value_id]=Tabelle18[[#This Row],[value_id]])*(Tabelle5[doc_id]=Tabelle18[[#This Row],[doc_id_strongest]]),0)),""))</f>
        <v/>
      </c>
      <c r="H480" s="33" t="str" cm="1">
        <f t="array" ref="H480">IF(Tabelle18[[#This Row],[doc_id_strongest]]="","",IFERROR(INDEX(Tabelle5[evidence_quote],MATCH(1,(Tabelle5[company_id]=Tabelle18[[#This Row],[company_id]])*(Tabelle5[value_id]=Tabelle18[[#This Row],[value_id]])*(Tabelle5[doc_id]=Tabelle18[[#This Row],[doc_id_strongest]]),0)),""))</f>
        <v/>
      </c>
    </row>
    <row r="481" spans="1:8" x14ac:dyDescent="0.25">
      <c r="A481" s="36">
        <v>27</v>
      </c>
      <c r="B481" t="s">
        <v>132</v>
      </c>
      <c r="C481" s="4">
        <f>IF(Tabelle18[[#This Row],[binding_level_company]]&gt;=1,1,0)</f>
        <v>0</v>
      </c>
      <c r="D481" s="4">
        <f>IFERROR(_xlfn.MAXIFS(Tabelle5[binding_level],Tabelle5[company_id],Tabelle18[[#This Row],[company_id]],Tabelle5[value_id],Tabelle18[[#This Row],[value_id]],Tabelle5[value_present],1),0)</f>
        <v>0</v>
      </c>
      <c r="E481" s="4">
        <f>IFERROR(_xlfn.MAXIFS(Tabelle5[value_points],Tabelle5[company_id],Tabelle18[[#This Row],[company_id]],Tabelle5[value_id],Tabelle18[[#This Row],[value_id]]),0)</f>
        <v>0</v>
      </c>
      <c r="F481" t="str">
        <f>IF(Tabelle18[[#This Row],[value_points_company]]=0,"",IFERROR(_xlfn.MINIFS(Tabelle5[doc_id],Tabelle5[company_id],Tabelle18[[#This Row],[company_id]],Tabelle5[value_id],Tabelle18[[#This Row],[value_id]],Tabelle5[value_points],Tabelle18[[#This Row],[value_points_company]]),""))</f>
        <v/>
      </c>
      <c r="G481" t="str" cm="1">
        <f t="array" ref="G481">IF(Tabelle18[[#This Row],[doc_id_strongest]]="","",IFERROR(INDEX(Tabelle5[evidence_location],MATCH(1,(Tabelle5[company_id]=Tabelle18[[#This Row],[company_id]])*(Tabelle5[value_id]=Tabelle18[[#This Row],[value_id]])*(Tabelle5[doc_id]=Tabelle18[[#This Row],[doc_id_strongest]]),0)),""))</f>
        <v/>
      </c>
      <c r="H481" s="33" t="str" cm="1">
        <f t="array" ref="H481">IF(Tabelle18[[#This Row],[doc_id_strongest]]="","",IFERROR(INDEX(Tabelle5[evidence_quote],MATCH(1,(Tabelle5[company_id]=Tabelle18[[#This Row],[company_id]])*(Tabelle5[value_id]=Tabelle18[[#This Row],[value_id]])*(Tabelle5[doc_id]=Tabelle18[[#This Row],[doc_id_strongest]]),0)),""))</f>
        <v/>
      </c>
    </row>
    <row r="482" spans="1:8" x14ac:dyDescent="0.25">
      <c r="A482" s="36">
        <v>27</v>
      </c>
      <c r="B482" t="s">
        <v>140</v>
      </c>
      <c r="C482" s="4">
        <f>IF(Tabelle18[[#This Row],[binding_level_company]]&gt;=1,1,0)</f>
        <v>1</v>
      </c>
      <c r="D482" s="4">
        <f>IFERROR(_xlfn.MAXIFS(Tabelle5[binding_level],Tabelle5[company_id],Tabelle18[[#This Row],[company_id]],Tabelle5[value_id],Tabelle18[[#This Row],[value_id]],Tabelle5[value_present],1),0)</f>
        <v>1</v>
      </c>
      <c r="E482" s="4">
        <f>IFERROR(_xlfn.MAXIFS(Tabelle5[value_points],Tabelle5[company_id],Tabelle18[[#This Row],[company_id]],Tabelle5[value_id],Tabelle18[[#This Row],[value_id]]),0)</f>
        <v>1</v>
      </c>
      <c r="F482">
        <f>IF(Tabelle18[[#This Row],[value_points_company]]=0,"",IFERROR(_xlfn.MINIFS(Tabelle5[doc_id],Tabelle5[company_id],Tabelle18[[#This Row],[company_id]],Tabelle5[value_id],Tabelle18[[#This Row],[value_id]],Tabelle5[value_points],Tabelle18[[#This Row],[value_points_company]]),""))</f>
        <v>162</v>
      </c>
      <c r="G482" t="str" cm="1">
        <f t="array" ref="G482">IF(Tabelle18[[#This Row],[doc_id_strongest]]="","",IFERROR(INDEX(Tabelle5[evidence_location],MATCH(1,(Tabelle5[company_id]=Tabelle18[[#This Row],[company_id]])*(Tabelle5[value_id]=Tabelle18[[#This Row],[value_id]])*(Tabelle5[doc_id]=Tabelle18[[#This Row],[doc_id_strongest]]),0)),""))</f>
        <v>S. 3 „Corporate responsibility strategy and governance“</v>
      </c>
      <c r="H482" s="33" t="str" cm="1">
        <f t="array" ref="H482">IF(Tabelle18[[#This Row],[doc_id_strongest]]="","",IFERROR(INDEX(Tabelle5[evidence_quote],MATCH(1,(Tabelle5[company_id]=Tabelle18[[#This Row],[company_id]])*(Tabelle5[value_id]=Tabelle18[[#This Row],[value_id]])*(Tabelle5[doc_id]=Tabelle18[[#This Row],[doc_id_strongest]]),0)),""))</f>
        <v>“offer insurance solutions that are tailored to our customers’ needs”; “easier and quicker for us to assess risks, settle claims”</v>
      </c>
    </row>
    <row r="483" spans="1:8" x14ac:dyDescent="0.25">
      <c r="A483" s="36">
        <v>27</v>
      </c>
      <c r="B483" t="s">
        <v>147</v>
      </c>
      <c r="C483" s="4">
        <f>IF(Tabelle18[[#This Row],[binding_level_company]]&gt;=1,1,0)</f>
        <v>1</v>
      </c>
      <c r="D483" s="4">
        <f>IFERROR(_xlfn.MAXIFS(Tabelle5[binding_level],Tabelle5[company_id],Tabelle18[[#This Row],[company_id]],Tabelle5[value_id],Tabelle18[[#This Row],[value_id]],Tabelle5[value_present],1),0)</f>
        <v>2</v>
      </c>
      <c r="E483" s="4">
        <f>IFERROR(_xlfn.MAXIFS(Tabelle5[value_points],Tabelle5[company_id],Tabelle18[[#This Row],[company_id]],Tabelle5[value_id],Tabelle18[[#This Row],[value_id]]),0)</f>
        <v>2</v>
      </c>
      <c r="F483">
        <f>IF(Tabelle18[[#This Row],[value_points_company]]=0,"",IFERROR(_xlfn.MINIFS(Tabelle5[doc_id],Tabelle5[company_id],Tabelle18[[#This Row],[company_id]],Tabelle5[value_id],Tabelle18[[#This Row],[value_id]],Tabelle5[value_points],Tabelle18[[#This Row],[value_points_company]]),""))</f>
        <v>162</v>
      </c>
      <c r="G483" t="str" cm="1">
        <f t="array" ref="G483">IF(Tabelle18[[#This Row],[doc_id_strongest]]="","",IFERROR(INDEX(Tabelle5[evidence_location],MATCH(1,(Tabelle5[company_id]=Tabelle18[[#This Row],[company_id]])*(Tabelle5[value_id]=Tabelle18[[#This Row],[value_id]])*(Tabelle5[doc_id]=Tabelle18[[#This Row],[doc_id_strongest]]),0)),""))</f>
        <v>S. 3 „Corporate responsibility strategy and governance“</v>
      </c>
      <c r="H483" s="33" t="str" cm="1">
        <f t="array" ref="H483">IF(Tabelle18[[#This Row],[doc_id_strongest]]="","",IFERROR(INDEX(Tabelle5[evidence_quote],MATCH(1,(Tabelle5[company_id]=Tabelle18[[#This Row],[company_id]])*(Tabelle5[value_id]=Tabelle18[[#This Row],[value_id]])*(Tabelle5[doc_id]=Tabelle18[[#This Row],[doc_id_strongest]]),0)),""))</f>
        <v>“Complying with data protection law is also of utmost importance”; “when using artificial intelligence to process personal data”</v>
      </c>
    </row>
    <row r="484" spans="1:8" x14ac:dyDescent="0.25">
      <c r="A484" s="36">
        <v>27</v>
      </c>
      <c r="B484" t="s">
        <v>154</v>
      </c>
      <c r="C484" s="4">
        <f>IF(Tabelle18[[#This Row],[binding_level_company]]&gt;=1,1,0)</f>
        <v>1</v>
      </c>
      <c r="D484" s="4">
        <f>IFERROR(_xlfn.MAXIFS(Tabelle5[binding_level],Tabelle5[company_id],Tabelle18[[#This Row],[company_id]],Tabelle5[value_id],Tabelle18[[#This Row],[value_id]],Tabelle5[value_present],1),0)</f>
        <v>1</v>
      </c>
      <c r="E484" s="4">
        <f>IFERROR(_xlfn.MAXIFS(Tabelle5[value_points],Tabelle5[company_id],Tabelle18[[#This Row],[company_id]],Tabelle5[value_id],Tabelle18[[#This Row],[value_id]]),0)</f>
        <v>1</v>
      </c>
      <c r="F484">
        <f>IF(Tabelle18[[#This Row],[value_points_company]]=0,"",IFERROR(_xlfn.MINIFS(Tabelle5[doc_id],Tabelle5[company_id],Tabelle18[[#This Row],[company_id]],Tabelle5[value_id],Tabelle18[[#This Row],[value_id]],Tabelle5[value_points],Tabelle18[[#This Row],[value_points_company]]),""))</f>
        <v>163</v>
      </c>
      <c r="G484" t="str" cm="1">
        <f t="array" ref="G484">IF(Tabelle18[[#This Row],[doc_id_strongest]]="","",IFERROR(INDEX(Tabelle5[evidence_location],MATCH(1,(Tabelle5[company_id]=Tabelle18[[#This Row],[company_id]])*(Tabelle5[value_id]=Tabelle18[[#This Row],[value_id]])*(Tabelle5[doc_id]=Tabelle18[[#This Row],[doc_id_strongest]]),0)),""))</f>
        <v>S. 58 „Responsible digital transformation…“</v>
      </c>
      <c r="H484" s="33" t="str" cm="1">
        <f t="array" ref="H484">IF(Tabelle18[[#This Row],[doc_id_strongest]]="","",IFERROR(INDEX(Tabelle5[evidence_quote],MATCH(1,(Tabelle5[company_id]=Tabelle18[[#This Row],[company_id]])*(Tabelle5[value_id]=Tabelle18[[#This Row],[value_id]])*(Tabelle5[doc_id]=Tabelle18[[#This Row],[doc_id_strongest]]),0)),""))</f>
        <v>“The idea of ‘responsible artificial intelligence’ is the foundation”</v>
      </c>
    </row>
    <row r="485" spans="1:8" x14ac:dyDescent="0.25">
      <c r="A485" s="36">
        <v>27</v>
      </c>
      <c r="B485" t="s">
        <v>161</v>
      </c>
      <c r="C485" s="4">
        <f>IF(Tabelle18[[#This Row],[binding_level_company]]&gt;=1,1,0)</f>
        <v>1</v>
      </c>
      <c r="D485" s="4">
        <f>IFERROR(_xlfn.MAXIFS(Tabelle5[binding_level],Tabelle5[company_id],Tabelle18[[#This Row],[company_id]],Tabelle5[value_id],Tabelle18[[#This Row],[value_id]],Tabelle5[value_present],1),0)</f>
        <v>3</v>
      </c>
      <c r="E485" s="4">
        <f>IFERROR(_xlfn.MAXIFS(Tabelle5[value_points],Tabelle5[company_id],Tabelle18[[#This Row],[company_id]],Tabelle5[value_id],Tabelle18[[#This Row],[value_id]]),0)</f>
        <v>3</v>
      </c>
      <c r="F485">
        <f>IF(Tabelle18[[#This Row],[value_points_company]]=0,"",IFERROR(_xlfn.MINIFS(Tabelle5[doc_id],Tabelle5[company_id],Tabelle18[[#This Row],[company_id]],Tabelle5[value_id],Tabelle18[[#This Row],[value_id]],Tabelle5[value_points],Tabelle18[[#This Row],[value_points_company]]),""))</f>
        <v>163</v>
      </c>
      <c r="G485" t="str" cm="1">
        <f t="array" ref="G485">IF(Tabelle18[[#This Row],[doc_id_strongest]]="","",IFERROR(INDEX(Tabelle5[evidence_location],MATCH(1,(Tabelle5[company_id]=Tabelle18[[#This Row],[company_id]])*(Tabelle5[value_id]=Tabelle18[[#This Row],[value_id]])*(Tabelle5[doc_id]=Tabelle18[[#This Row],[doc_id_strongest]]),0)),""))</f>
        <v>S. 60 „Measures“</v>
      </c>
      <c r="H485" s="33" t="str" cm="1">
        <f t="array" ref="H485">IF(Tabelle18[[#This Row],[doc_id_strongest]]="","",IFERROR(INDEX(Tabelle5[evidence_quote],MATCH(1,(Tabelle5[company_id]=Tabelle18[[#This Row],[company_id]])*(Tabelle5[value_id]=Tabelle18[[#This Row],[value_id]])*(Tabelle5[doc_id]=Tabelle18[[#This Row],[doc_id_strongest]]),0)),""))</f>
        <v>“we check that our data resources cover all relevant demographic groups”</v>
      </c>
    </row>
    <row r="486" spans="1:8" x14ac:dyDescent="0.25">
      <c r="A486" s="36">
        <v>27</v>
      </c>
      <c r="B486" t="s">
        <v>166</v>
      </c>
      <c r="C486" s="4">
        <f>IF(Tabelle18[[#This Row],[binding_level_company]]&gt;=1,1,0)</f>
        <v>0</v>
      </c>
      <c r="D486" s="4">
        <f>IFERROR(_xlfn.MAXIFS(Tabelle5[binding_level],Tabelle5[company_id],Tabelle18[[#This Row],[company_id]],Tabelle5[value_id],Tabelle18[[#This Row],[value_id]],Tabelle5[value_present],1),0)</f>
        <v>0</v>
      </c>
      <c r="E486" s="4">
        <f>IFERROR(_xlfn.MAXIFS(Tabelle5[value_points],Tabelle5[company_id],Tabelle18[[#This Row],[company_id]],Tabelle5[value_id],Tabelle18[[#This Row],[value_id]]),0)</f>
        <v>0</v>
      </c>
      <c r="F486" t="str">
        <f>IF(Tabelle18[[#This Row],[value_points_company]]=0,"",IFERROR(_xlfn.MINIFS(Tabelle5[doc_id],Tabelle5[company_id],Tabelle18[[#This Row],[company_id]],Tabelle5[value_id],Tabelle18[[#This Row],[value_id]],Tabelle5[value_points],Tabelle18[[#This Row],[value_points_company]]),""))</f>
        <v/>
      </c>
      <c r="G486" t="str" cm="1">
        <f t="array" ref="G486">IF(Tabelle18[[#This Row],[doc_id_strongest]]="","",IFERROR(INDEX(Tabelle5[evidence_location],MATCH(1,(Tabelle5[company_id]=Tabelle18[[#This Row],[company_id]])*(Tabelle5[value_id]=Tabelle18[[#This Row],[value_id]])*(Tabelle5[doc_id]=Tabelle18[[#This Row],[doc_id_strongest]]),0)),""))</f>
        <v/>
      </c>
      <c r="H486" s="33" t="str" cm="1">
        <f t="array" ref="H486">IF(Tabelle18[[#This Row],[doc_id_strongest]]="","",IFERROR(INDEX(Tabelle5[evidence_quote],MATCH(1,(Tabelle5[company_id]=Tabelle18[[#This Row],[company_id]])*(Tabelle5[value_id]=Tabelle18[[#This Row],[value_id]])*(Tabelle5[doc_id]=Tabelle18[[#This Row],[doc_id_strongest]]),0)),""))</f>
        <v/>
      </c>
    </row>
    <row r="487" spans="1:8" ht="15.75" thickBot="1" x14ac:dyDescent="0.3">
      <c r="A487" s="37">
        <v>27</v>
      </c>
      <c r="B487" s="30" t="s">
        <v>174</v>
      </c>
      <c r="C487" s="49">
        <f>IF(Tabelle18[[#This Row],[binding_level_company]]&gt;=1,1,0)</f>
        <v>1</v>
      </c>
      <c r="D487" s="49">
        <f>IFERROR(_xlfn.MAXIFS(Tabelle5[binding_level],Tabelle5[company_id],Tabelle18[[#This Row],[company_id]],Tabelle5[value_id],Tabelle18[[#This Row],[value_id]],Tabelle5[value_present],1),0)</f>
        <v>2</v>
      </c>
      <c r="E487" s="49">
        <f>IFERROR(_xlfn.MAXIFS(Tabelle5[value_points],Tabelle5[company_id],Tabelle18[[#This Row],[company_id]],Tabelle5[value_id],Tabelle18[[#This Row],[value_id]]),0)</f>
        <v>2</v>
      </c>
      <c r="F487" s="30">
        <f>IF(Tabelle18[[#This Row],[value_points_company]]=0,"",IFERROR(_xlfn.MINIFS(Tabelle5[doc_id],Tabelle5[company_id],Tabelle18[[#This Row],[company_id]],Tabelle5[value_id],Tabelle18[[#This Row],[value_id]],Tabelle5[value_points],Tabelle18[[#This Row],[value_points_company]]),""))</f>
        <v>163</v>
      </c>
      <c r="G487" s="30" t="str" cm="1">
        <f t="array" ref="G487">IF(Tabelle18[[#This Row],[doc_id_strongest]]="","",IFERROR(INDEX(Tabelle5[evidence_location],MATCH(1,(Tabelle5[company_id]=Tabelle18[[#This Row],[company_id]])*(Tabelle5[value_id]=Tabelle18[[#This Row],[value_id]])*(Tabelle5[doc_id]=Tabelle18[[#This Row],[doc_id_strongest]]),0)),""))</f>
        <v>S. 49 „Human rights“</v>
      </c>
      <c r="H487" s="34" t="str" cm="1">
        <f t="array" ref="H487">IF(Tabelle18[[#This Row],[doc_id_strongest]]="","",IFERROR(INDEX(Tabelle5[evidence_quote],MATCH(1,(Tabelle5[company_id]=Tabelle18[[#This Row],[company_id]])*(Tabelle5[value_id]=Tabelle18[[#This Row],[value_id]])*(Tabelle5[doc_id]=Tabelle18[[#This Row],[doc_id_strongest]]),0)),""))</f>
        <v>“human-rights-based strategy for using artificial intelligence”; “covers data protection, monitoring, discrimination, bias”</v>
      </c>
    </row>
    <row r="488" spans="1:8" x14ac:dyDescent="0.25">
      <c r="A488" s="35">
        <v>28</v>
      </c>
      <c r="B488" s="22" t="s">
        <v>53</v>
      </c>
      <c r="C488" s="48">
        <f>IF(Tabelle18[[#This Row],[binding_level_company]]&gt;=1,1,0)</f>
        <v>0</v>
      </c>
      <c r="D488" s="48">
        <f>IFERROR(_xlfn.MAXIFS(Tabelle5[binding_level],Tabelle5[company_id],Tabelle18[[#This Row],[company_id]],Tabelle5[value_id],Tabelle18[[#This Row],[value_id]],Tabelle5[value_present],1),0)</f>
        <v>0</v>
      </c>
      <c r="E488" s="48">
        <f>IFERROR(_xlfn.MAXIFS(Tabelle5[value_points],Tabelle5[company_id],Tabelle18[[#This Row],[company_id]],Tabelle5[value_id],Tabelle18[[#This Row],[value_id]]),0)</f>
        <v>0</v>
      </c>
      <c r="F488" s="22" t="str">
        <f>IF(Tabelle18[[#This Row],[value_points_company]]=0,"",IFERROR(_xlfn.MINIFS(Tabelle5[doc_id],Tabelle5[company_id],Tabelle18[[#This Row],[company_id]],Tabelle5[value_id],Tabelle18[[#This Row],[value_id]],Tabelle5[value_points],Tabelle18[[#This Row],[value_points_company]]),""))</f>
        <v/>
      </c>
      <c r="G488" s="22" t="str" cm="1">
        <f t="array" ref="G488">IF(Tabelle18[[#This Row],[doc_id_strongest]]="","",IFERROR(INDEX(Tabelle5[evidence_location],MATCH(1,(Tabelle5[company_id]=Tabelle18[[#This Row],[company_id]])*(Tabelle5[value_id]=Tabelle18[[#This Row],[value_id]])*(Tabelle5[doc_id]=Tabelle18[[#This Row],[doc_id_strongest]]),0)),""))</f>
        <v/>
      </c>
      <c r="H488" s="32" t="str" cm="1">
        <f t="array" ref="H488">IF(Tabelle18[[#This Row],[doc_id_strongest]]="","",IFERROR(INDEX(Tabelle5[evidence_quote],MATCH(1,(Tabelle5[company_id]=Tabelle18[[#This Row],[company_id]])*(Tabelle5[value_id]=Tabelle18[[#This Row],[value_id]])*(Tabelle5[doc_id]=Tabelle18[[#This Row],[doc_id_strongest]]),0)),""))</f>
        <v/>
      </c>
    </row>
    <row r="489" spans="1:8" x14ac:dyDescent="0.25">
      <c r="A489" s="36">
        <v>28</v>
      </c>
      <c r="B489" t="s">
        <v>61</v>
      </c>
      <c r="C489" s="4">
        <f>IF(Tabelle18[[#This Row],[binding_level_company]]&gt;=1,1,0)</f>
        <v>0</v>
      </c>
      <c r="D489" s="4">
        <f>IFERROR(_xlfn.MAXIFS(Tabelle5[binding_level],Tabelle5[company_id],Tabelle18[[#This Row],[company_id]],Tabelle5[value_id],Tabelle18[[#This Row],[value_id]],Tabelle5[value_present],1),0)</f>
        <v>0</v>
      </c>
      <c r="E489" s="4">
        <f>IFERROR(_xlfn.MAXIFS(Tabelle5[value_points],Tabelle5[company_id],Tabelle18[[#This Row],[company_id]],Tabelle5[value_id],Tabelle18[[#This Row],[value_id]]),0)</f>
        <v>0</v>
      </c>
      <c r="F489" t="str">
        <f>IF(Tabelle18[[#This Row],[value_points_company]]=0,"",IFERROR(_xlfn.MINIFS(Tabelle5[doc_id],Tabelle5[company_id],Tabelle18[[#This Row],[company_id]],Tabelle5[value_id],Tabelle18[[#This Row],[value_id]],Tabelle5[value_points],Tabelle18[[#This Row],[value_points_company]]),""))</f>
        <v/>
      </c>
      <c r="G489" t="str" cm="1">
        <f t="array" ref="G489">IF(Tabelle18[[#This Row],[doc_id_strongest]]="","",IFERROR(INDEX(Tabelle5[evidence_location],MATCH(1,(Tabelle5[company_id]=Tabelle18[[#This Row],[company_id]])*(Tabelle5[value_id]=Tabelle18[[#This Row],[value_id]])*(Tabelle5[doc_id]=Tabelle18[[#This Row],[doc_id_strongest]]),0)),""))</f>
        <v/>
      </c>
      <c r="H489" s="33" t="str" cm="1">
        <f t="array" ref="H489">IF(Tabelle18[[#This Row],[doc_id_strongest]]="","",IFERROR(INDEX(Tabelle5[evidence_quote],MATCH(1,(Tabelle5[company_id]=Tabelle18[[#This Row],[company_id]])*(Tabelle5[value_id]=Tabelle18[[#This Row],[value_id]])*(Tabelle5[doc_id]=Tabelle18[[#This Row],[doc_id_strongest]]),0)),""))</f>
        <v/>
      </c>
    </row>
    <row r="490" spans="1:8" x14ac:dyDescent="0.25">
      <c r="A490" s="36">
        <v>28</v>
      </c>
      <c r="B490" t="s">
        <v>69</v>
      </c>
      <c r="C490" s="4">
        <f>IF(Tabelle18[[#This Row],[binding_level_company]]&gt;=1,1,0)</f>
        <v>0</v>
      </c>
      <c r="D490" s="4">
        <f>IFERROR(_xlfn.MAXIFS(Tabelle5[binding_level],Tabelle5[company_id],Tabelle18[[#This Row],[company_id]],Tabelle5[value_id],Tabelle18[[#This Row],[value_id]],Tabelle5[value_present],1),0)</f>
        <v>0</v>
      </c>
      <c r="E490" s="4">
        <f>IFERROR(_xlfn.MAXIFS(Tabelle5[value_points],Tabelle5[company_id],Tabelle18[[#This Row],[company_id]],Tabelle5[value_id],Tabelle18[[#This Row],[value_id]]),0)</f>
        <v>0</v>
      </c>
      <c r="F490" t="str">
        <f>IF(Tabelle18[[#This Row],[value_points_company]]=0,"",IFERROR(_xlfn.MINIFS(Tabelle5[doc_id],Tabelle5[company_id],Tabelle18[[#This Row],[company_id]],Tabelle5[value_id],Tabelle18[[#This Row],[value_id]],Tabelle5[value_points],Tabelle18[[#This Row],[value_points_company]]),""))</f>
        <v/>
      </c>
      <c r="G490" t="str" cm="1">
        <f t="array" ref="G490">IF(Tabelle18[[#This Row],[doc_id_strongest]]="","",IFERROR(INDEX(Tabelle5[evidence_location],MATCH(1,(Tabelle5[company_id]=Tabelle18[[#This Row],[company_id]])*(Tabelle5[value_id]=Tabelle18[[#This Row],[value_id]])*(Tabelle5[doc_id]=Tabelle18[[#This Row],[doc_id_strongest]]),0)),""))</f>
        <v/>
      </c>
      <c r="H490" s="33" t="str" cm="1">
        <f t="array" ref="H490">IF(Tabelle18[[#This Row],[doc_id_strongest]]="","",IFERROR(INDEX(Tabelle5[evidence_quote],MATCH(1,(Tabelle5[company_id]=Tabelle18[[#This Row],[company_id]])*(Tabelle5[value_id]=Tabelle18[[#This Row],[value_id]])*(Tabelle5[doc_id]=Tabelle18[[#This Row],[doc_id_strongest]]),0)),""))</f>
        <v/>
      </c>
    </row>
    <row r="491" spans="1:8" x14ac:dyDescent="0.25">
      <c r="A491" s="36">
        <v>28</v>
      </c>
      <c r="B491" t="s">
        <v>76</v>
      </c>
      <c r="C491" s="4">
        <f>IF(Tabelle18[[#This Row],[binding_level_company]]&gt;=1,1,0)</f>
        <v>0</v>
      </c>
      <c r="D491" s="4">
        <f>IFERROR(_xlfn.MAXIFS(Tabelle5[binding_level],Tabelle5[company_id],Tabelle18[[#This Row],[company_id]],Tabelle5[value_id],Tabelle18[[#This Row],[value_id]],Tabelle5[value_present],1),0)</f>
        <v>0</v>
      </c>
      <c r="E491" s="4">
        <f>IFERROR(_xlfn.MAXIFS(Tabelle5[value_points],Tabelle5[company_id],Tabelle18[[#This Row],[company_id]],Tabelle5[value_id],Tabelle18[[#This Row],[value_id]]),0)</f>
        <v>0</v>
      </c>
      <c r="F491" t="str">
        <f>IF(Tabelle18[[#This Row],[value_points_company]]=0,"",IFERROR(_xlfn.MINIFS(Tabelle5[doc_id],Tabelle5[company_id],Tabelle18[[#This Row],[company_id]],Tabelle5[value_id],Tabelle18[[#This Row],[value_id]],Tabelle5[value_points],Tabelle18[[#This Row],[value_points_company]]),""))</f>
        <v/>
      </c>
      <c r="G491" t="str" cm="1">
        <f t="array" ref="G491">IF(Tabelle18[[#This Row],[doc_id_strongest]]="","",IFERROR(INDEX(Tabelle5[evidence_location],MATCH(1,(Tabelle5[company_id]=Tabelle18[[#This Row],[company_id]])*(Tabelle5[value_id]=Tabelle18[[#This Row],[value_id]])*(Tabelle5[doc_id]=Tabelle18[[#This Row],[doc_id_strongest]]),0)),""))</f>
        <v/>
      </c>
      <c r="H491" s="33" t="str" cm="1">
        <f t="array" ref="H491">IF(Tabelle18[[#This Row],[doc_id_strongest]]="","",IFERROR(INDEX(Tabelle5[evidence_quote],MATCH(1,(Tabelle5[company_id]=Tabelle18[[#This Row],[company_id]])*(Tabelle5[value_id]=Tabelle18[[#This Row],[value_id]])*(Tabelle5[doc_id]=Tabelle18[[#This Row],[doc_id_strongest]]),0)),""))</f>
        <v/>
      </c>
    </row>
    <row r="492" spans="1:8" x14ac:dyDescent="0.25">
      <c r="A492" s="36">
        <v>28</v>
      </c>
      <c r="B492" t="s">
        <v>83</v>
      </c>
      <c r="C492" s="4">
        <f>IF(Tabelle18[[#This Row],[binding_level_company]]&gt;=1,1,0)</f>
        <v>0</v>
      </c>
      <c r="D492" s="4">
        <f>IFERROR(_xlfn.MAXIFS(Tabelle5[binding_level],Tabelle5[company_id],Tabelle18[[#This Row],[company_id]],Tabelle5[value_id],Tabelle18[[#This Row],[value_id]],Tabelle5[value_present],1),0)</f>
        <v>0</v>
      </c>
      <c r="E492" s="4">
        <f>IFERROR(_xlfn.MAXIFS(Tabelle5[value_points],Tabelle5[company_id],Tabelle18[[#This Row],[company_id]],Tabelle5[value_id],Tabelle18[[#This Row],[value_id]]),0)</f>
        <v>0</v>
      </c>
      <c r="F492" t="str">
        <f>IF(Tabelle18[[#This Row],[value_points_company]]=0,"",IFERROR(_xlfn.MINIFS(Tabelle5[doc_id],Tabelle5[company_id],Tabelle18[[#This Row],[company_id]],Tabelle5[value_id],Tabelle18[[#This Row],[value_id]],Tabelle5[value_points],Tabelle18[[#This Row],[value_points_company]]),""))</f>
        <v/>
      </c>
      <c r="G492" t="str" cm="1">
        <f t="array" ref="G492">IF(Tabelle18[[#This Row],[doc_id_strongest]]="","",IFERROR(INDEX(Tabelle5[evidence_location],MATCH(1,(Tabelle5[company_id]=Tabelle18[[#This Row],[company_id]])*(Tabelle5[value_id]=Tabelle18[[#This Row],[value_id]])*(Tabelle5[doc_id]=Tabelle18[[#This Row],[doc_id_strongest]]),0)),""))</f>
        <v/>
      </c>
      <c r="H492" s="33" t="str" cm="1">
        <f t="array" ref="H492">IF(Tabelle18[[#This Row],[doc_id_strongest]]="","",IFERROR(INDEX(Tabelle5[evidence_quote],MATCH(1,(Tabelle5[company_id]=Tabelle18[[#This Row],[company_id]])*(Tabelle5[value_id]=Tabelle18[[#This Row],[value_id]])*(Tabelle5[doc_id]=Tabelle18[[#This Row],[doc_id_strongest]]),0)),""))</f>
        <v/>
      </c>
    </row>
    <row r="493" spans="1:8" x14ac:dyDescent="0.25">
      <c r="A493" s="36">
        <v>28</v>
      </c>
      <c r="B493" t="s">
        <v>90</v>
      </c>
      <c r="C493" s="4">
        <f>IF(Tabelle18[[#This Row],[binding_level_company]]&gt;=1,1,0)</f>
        <v>0</v>
      </c>
      <c r="D493" s="4">
        <f>IFERROR(_xlfn.MAXIFS(Tabelle5[binding_level],Tabelle5[company_id],Tabelle18[[#This Row],[company_id]],Tabelle5[value_id],Tabelle18[[#This Row],[value_id]],Tabelle5[value_present],1),0)</f>
        <v>0</v>
      </c>
      <c r="E493" s="4">
        <f>IFERROR(_xlfn.MAXIFS(Tabelle5[value_points],Tabelle5[company_id],Tabelle18[[#This Row],[company_id]],Tabelle5[value_id],Tabelle18[[#This Row],[value_id]]),0)</f>
        <v>0</v>
      </c>
      <c r="F493" t="str">
        <f>IF(Tabelle18[[#This Row],[value_points_company]]=0,"",IFERROR(_xlfn.MINIFS(Tabelle5[doc_id],Tabelle5[company_id],Tabelle18[[#This Row],[company_id]],Tabelle5[value_id],Tabelle18[[#This Row],[value_id]],Tabelle5[value_points],Tabelle18[[#This Row],[value_points_company]]),""))</f>
        <v/>
      </c>
      <c r="G493" t="str" cm="1">
        <f t="array" ref="G493">IF(Tabelle18[[#This Row],[doc_id_strongest]]="","",IFERROR(INDEX(Tabelle5[evidence_location],MATCH(1,(Tabelle5[company_id]=Tabelle18[[#This Row],[company_id]])*(Tabelle5[value_id]=Tabelle18[[#This Row],[value_id]])*(Tabelle5[doc_id]=Tabelle18[[#This Row],[doc_id_strongest]]),0)),""))</f>
        <v/>
      </c>
      <c r="H493" s="33" t="str" cm="1">
        <f t="array" ref="H493">IF(Tabelle18[[#This Row],[doc_id_strongest]]="","",IFERROR(INDEX(Tabelle5[evidence_quote],MATCH(1,(Tabelle5[company_id]=Tabelle18[[#This Row],[company_id]])*(Tabelle5[value_id]=Tabelle18[[#This Row],[value_id]])*(Tabelle5[doc_id]=Tabelle18[[#This Row],[doc_id_strongest]]),0)),""))</f>
        <v/>
      </c>
    </row>
    <row r="494" spans="1:8" x14ac:dyDescent="0.25">
      <c r="A494" s="36">
        <v>28</v>
      </c>
      <c r="B494" t="s">
        <v>98</v>
      </c>
      <c r="C494" s="4">
        <f>IF(Tabelle18[[#This Row],[binding_level_company]]&gt;=1,1,0)</f>
        <v>0</v>
      </c>
      <c r="D494" s="4">
        <f>IFERROR(_xlfn.MAXIFS(Tabelle5[binding_level],Tabelle5[company_id],Tabelle18[[#This Row],[company_id]],Tabelle5[value_id],Tabelle18[[#This Row],[value_id]],Tabelle5[value_present],1),0)</f>
        <v>0</v>
      </c>
      <c r="E494" s="4">
        <f>IFERROR(_xlfn.MAXIFS(Tabelle5[value_points],Tabelle5[company_id],Tabelle18[[#This Row],[company_id]],Tabelle5[value_id],Tabelle18[[#This Row],[value_id]]),0)</f>
        <v>0</v>
      </c>
      <c r="F494" t="str">
        <f>IF(Tabelle18[[#This Row],[value_points_company]]=0,"",IFERROR(_xlfn.MINIFS(Tabelle5[doc_id],Tabelle5[company_id],Tabelle18[[#This Row],[company_id]],Tabelle5[value_id],Tabelle18[[#This Row],[value_id]],Tabelle5[value_points],Tabelle18[[#This Row],[value_points_company]]),""))</f>
        <v/>
      </c>
      <c r="G494" t="str" cm="1">
        <f t="array" ref="G494">IF(Tabelle18[[#This Row],[doc_id_strongest]]="","",IFERROR(INDEX(Tabelle5[evidence_location],MATCH(1,(Tabelle5[company_id]=Tabelle18[[#This Row],[company_id]])*(Tabelle5[value_id]=Tabelle18[[#This Row],[value_id]])*(Tabelle5[doc_id]=Tabelle18[[#This Row],[doc_id_strongest]]),0)),""))</f>
        <v/>
      </c>
      <c r="H494" s="33" t="str" cm="1">
        <f t="array" ref="H494">IF(Tabelle18[[#This Row],[doc_id_strongest]]="","",IFERROR(INDEX(Tabelle5[evidence_quote],MATCH(1,(Tabelle5[company_id]=Tabelle18[[#This Row],[company_id]])*(Tabelle5[value_id]=Tabelle18[[#This Row],[value_id]])*(Tabelle5[doc_id]=Tabelle18[[#This Row],[doc_id_strongest]]),0)),""))</f>
        <v/>
      </c>
    </row>
    <row r="495" spans="1:8" x14ac:dyDescent="0.25">
      <c r="A495" s="36">
        <v>28</v>
      </c>
      <c r="B495" t="s">
        <v>106</v>
      </c>
      <c r="C495" s="4">
        <f>IF(Tabelle18[[#This Row],[binding_level_company]]&gt;=1,1,0)</f>
        <v>0</v>
      </c>
      <c r="D495" s="4">
        <f>IFERROR(_xlfn.MAXIFS(Tabelle5[binding_level],Tabelle5[company_id],Tabelle18[[#This Row],[company_id]],Tabelle5[value_id],Tabelle18[[#This Row],[value_id]],Tabelle5[value_present],1),0)</f>
        <v>0</v>
      </c>
      <c r="E495" s="4">
        <f>IFERROR(_xlfn.MAXIFS(Tabelle5[value_points],Tabelle5[company_id],Tabelle18[[#This Row],[company_id]],Tabelle5[value_id],Tabelle18[[#This Row],[value_id]]),0)</f>
        <v>0</v>
      </c>
      <c r="F495" t="str">
        <f>IF(Tabelle18[[#This Row],[value_points_company]]=0,"",IFERROR(_xlfn.MINIFS(Tabelle5[doc_id],Tabelle5[company_id],Tabelle18[[#This Row],[company_id]],Tabelle5[value_id],Tabelle18[[#This Row],[value_id]],Tabelle5[value_points],Tabelle18[[#This Row],[value_points_company]]),""))</f>
        <v/>
      </c>
      <c r="G495" t="str" cm="1">
        <f t="array" ref="G495">IF(Tabelle18[[#This Row],[doc_id_strongest]]="","",IFERROR(INDEX(Tabelle5[evidence_location],MATCH(1,(Tabelle5[company_id]=Tabelle18[[#This Row],[company_id]])*(Tabelle5[value_id]=Tabelle18[[#This Row],[value_id]])*(Tabelle5[doc_id]=Tabelle18[[#This Row],[doc_id_strongest]]),0)),""))</f>
        <v/>
      </c>
      <c r="H495" s="33" t="str" cm="1">
        <f t="array" ref="H495">IF(Tabelle18[[#This Row],[doc_id_strongest]]="","",IFERROR(INDEX(Tabelle5[evidence_quote],MATCH(1,(Tabelle5[company_id]=Tabelle18[[#This Row],[company_id]])*(Tabelle5[value_id]=Tabelle18[[#This Row],[value_id]])*(Tabelle5[doc_id]=Tabelle18[[#This Row],[doc_id_strongest]]),0)),""))</f>
        <v/>
      </c>
    </row>
    <row r="496" spans="1:8" x14ac:dyDescent="0.25">
      <c r="A496" s="36">
        <v>28</v>
      </c>
      <c r="B496" t="s">
        <v>112</v>
      </c>
      <c r="C496" s="4">
        <f>IF(Tabelle18[[#This Row],[binding_level_company]]&gt;=1,1,0)</f>
        <v>0</v>
      </c>
      <c r="D496" s="4">
        <f>IFERROR(_xlfn.MAXIFS(Tabelle5[binding_level],Tabelle5[company_id],Tabelle18[[#This Row],[company_id]],Tabelle5[value_id],Tabelle18[[#This Row],[value_id]],Tabelle5[value_present],1),0)</f>
        <v>0</v>
      </c>
      <c r="E496" s="4">
        <f>IFERROR(_xlfn.MAXIFS(Tabelle5[value_points],Tabelle5[company_id],Tabelle18[[#This Row],[company_id]],Tabelle5[value_id],Tabelle18[[#This Row],[value_id]]),0)</f>
        <v>0</v>
      </c>
      <c r="F496" t="str">
        <f>IF(Tabelle18[[#This Row],[value_points_company]]=0,"",IFERROR(_xlfn.MINIFS(Tabelle5[doc_id],Tabelle5[company_id],Tabelle18[[#This Row],[company_id]],Tabelle5[value_id],Tabelle18[[#This Row],[value_id]],Tabelle5[value_points],Tabelle18[[#This Row],[value_points_company]]),""))</f>
        <v/>
      </c>
      <c r="G496" t="str" cm="1">
        <f t="array" ref="G496">IF(Tabelle18[[#This Row],[doc_id_strongest]]="","",IFERROR(INDEX(Tabelle5[evidence_location],MATCH(1,(Tabelle5[company_id]=Tabelle18[[#This Row],[company_id]])*(Tabelle5[value_id]=Tabelle18[[#This Row],[value_id]])*(Tabelle5[doc_id]=Tabelle18[[#This Row],[doc_id_strongest]]),0)),""))</f>
        <v/>
      </c>
      <c r="H496" s="33" t="str" cm="1">
        <f t="array" ref="H496">IF(Tabelle18[[#This Row],[doc_id_strongest]]="","",IFERROR(INDEX(Tabelle5[evidence_quote],MATCH(1,(Tabelle5[company_id]=Tabelle18[[#This Row],[company_id]])*(Tabelle5[value_id]=Tabelle18[[#This Row],[value_id]])*(Tabelle5[doc_id]=Tabelle18[[#This Row],[doc_id_strongest]]),0)),""))</f>
        <v/>
      </c>
    </row>
    <row r="497" spans="1:8" x14ac:dyDescent="0.25">
      <c r="A497" s="36">
        <v>28</v>
      </c>
      <c r="B497" t="s">
        <v>118</v>
      </c>
      <c r="C497" s="4">
        <f>IF(Tabelle18[[#This Row],[binding_level_company]]&gt;=1,1,0)</f>
        <v>0</v>
      </c>
      <c r="D497" s="4">
        <f>IFERROR(_xlfn.MAXIFS(Tabelle5[binding_level],Tabelle5[company_id],Tabelle18[[#This Row],[company_id]],Tabelle5[value_id],Tabelle18[[#This Row],[value_id]],Tabelle5[value_present],1),0)</f>
        <v>0</v>
      </c>
      <c r="E497" s="4">
        <f>IFERROR(_xlfn.MAXIFS(Tabelle5[value_points],Tabelle5[company_id],Tabelle18[[#This Row],[company_id]],Tabelle5[value_id],Tabelle18[[#This Row],[value_id]]),0)</f>
        <v>0</v>
      </c>
      <c r="F497" t="str">
        <f>IF(Tabelle18[[#This Row],[value_points_company]]=0,"",IFERROR(_xlfn.MINIFS(Tabelle5[doc_id],Tabelle5[company_id],Tabelle18[[#This Row],[company_id]],Tabelle5[value_id],Tabelle18[[#This Row],[value_id]],Tabelle5[value_points],Tabelle18[[#This Row],[value_points_company]]),""))</f>
        <v/>
      </c>
      <c r="G497" t="str" cm="1">
        <f t="array" ref="G497">IF(Tabelle18[[#This Row],[doc_id_strongest]]="","",IFERROR(INDEX(Tabelle5[evidence_location],MATCH(1,(Tabelle5[company_id]=Tabelle18[[#This Row],[company_id]])*(Tabelle5[value_id]=Tabelle18[[#This Row],[value_id]])*(Tabelle5[doc_id]=Tabelle18[[#This Row],[doc_id_strongest]]),0)),""))</f>
        <v/>
      </c>
      <c r="H497" s="33" t="str" cm="1">
        <f t="array" ref="H497">IF(Tabelle18[[#This Row],[doc_id_strongest]]="","",IFERROR(INDEX(Tabelle5[evidence_quote],MATCH(1,(Tabelle5[company_id]=Tabelle18[[#This Row],[company_id]])*(Tabelle5[value_id]=Tabelle18[[#This Row],[value_id]])*(Tabelle5[doc_id]=Tabelle18[[#This Row],[doc_id_strongest]]),0)),""))</f>
        <v/>
      </c>
    </row>
    <row r="498" spans="1:8" x14ac:dyDescent="0.25">
      <c r="A498" s="36">
        <v>28</v>
      </c>
      <c r="B498" t="s">
        <v>125</v>
      </c>
      <c r="C498" s="4">
        <f>IF(Tabelle18[[#This Row],[binding_level_company]]&gt;=1,1,0)</f>
        <v>0</v>
      </c>
      <c r="D498" s="4">
        <f>IFERROR(_xlfn.MAXIFS(Tabelle5[binding_level],Tabelle5[company_id],Tabelle18[[#This Row],[company_id]],Tabelle5[value_id],Tabelle18[[#This Row],[value_id]],Tabelle5[value_present],1),0)</f>
        <v>0</v>
      </c>
      <c r="E498" s="4">
        <f>IFERROR(_xlfn.MAXIFS(Tabelle5[value_points],Tabelle5[company_id],Tabelle18[[#This Row],[company_id]],Tabelle5[value_id],Tabelle18[[#This Row],[value_id]]),0)</f>
        <v>0</v>
      </c>
      <c r="F498" t="str">
        <f>IF(Tabelle18[[#This Row],[value_points_company]]=0,"",IFERROR(_xlfn.MINIFS(Tabelle5[doc_id],Tabelle5[company_id],Tabelle18[[#This Row],[company_id]],Tabelle5[value_id],Tabelle18[[#This Row],[value_id]],Tabelle5[value_points],Tabelle18[[#This Row],[value_points_company]]),""))</f>
        <v/>
      </c>
      <c r="G498" t="str" cm="1">
        <f t="array" ref="G498">IF(Tabelle18[[#This Row],[doc_id_strongest]]="","",IFERROR(INDEX(Tabelle5[evidence_location],MATCH(1,(Tabelle5[company_id]=Tabelle18[[#This Row],[company_id]])*(Tabelle5[value_id]=Tabelle18[[#This Row],[value_id]])*(Tabelle5[doc_id]=Tabelle18[[#This Row],[doc_id_strongest]]),0)),""))</f>
        <v/>
      </c>
      <c r="H498" s="33" t="str" cm="1">
        <f t="array" ref="H498">IF(Tabelle18[[#This Row],[doc_id_strongest]]="","",IFERROR(INDEX(Tabelle5[evidence_quote],MATCH(1,(Tabelle5[company_id]=Tabelle18[[#This Row],[company_id]])*(Tabelle5[value_id]=Tabelle18[[#This Row],[value_id]])*(Tabelle5[doc_id]=Tabelle18[[#This Row],[doc_id_strongest]]),0)),""))</f>
        <v/>
      </c>
    </row>
    <row r="499" spans="1:8" x14ac:dyDescent="0.25">
      <c r="A499" s="36">
        <v>28</v>
      </c>
      <c r="B499" t="s">
        <v>132</v>
      </c>
      <c r="C499" s="4">
        <f>IF(Tabelle18[[#This Row],[binding_level_company]]&gt;=1,1,0)</f>
        <v>0</v>
      </c>
      <c r="D499" s="4">
        <f>IFERROR(_xlfn.MAXIFS(Tabelle5[binding_level],Tabelle5[company_id],Tabelle18[[#This Row],[company_id]],Tabelle5[value_id],Tabelle18[[#This Row],[value_id]],Tabelle5[value_present],1),0)</f>
        <v>0</v>
      </c>
      <c r="E499" s="4">
        <f>IFERROR(_xlfn.MAXIFS(Tabelle5[value_points],Tabelle5[company_id],Tabelle18[[#This Row],[company_id]],Tabelle5[value_id],Tabelle18[[#This Row],[value_id]]),0)</f>
        <v>0</v>
      </c>
      <c r="F499" t="str">
        <f>IF(Tabelle18[[#This Row],[value_points_company]]=0,"",IFERROR(_xlfn.MINIFS(Tabelle5[doc_id],Tabelle5[company_id],Tabelle18[[#This Row],[company_id]],Tabelle5[value_id],Tabelle18[[#This Row],[value_id]],Tabelle5[value_points],Tabelle18[[#This Row],[value_points_company]]),""))</f>
        <v/>
      </c>
      <c r="G499" t="str" cm="1">
        <f t="array" ref="G499">IF(Tabelle18[[#This Row],[doc_id_strongest]]="","",IFERROR(INDEX(Tabelle5[evidence_location],MATCH(1,(Tabelle5[company_id]=Tabelle18[[#This Row],[company_id]])*(Tabelle5[value_id]=Tabelle18[[#This Row],[value_id]])*(Tabelle5[doc_id]=Tabelle18[[#This Row],[doc_id_strongest]]),0)),""))</f>
        <v/>
      </c>
      <c r="H499" s="33" t="str" cm="1">
        <f t="array" ref="H499">IF(Tabelle18[[#This Row],[doc_id_strongest]]="","",IFERROR(INDEX(Tabelle5[evidence_quote],MATCH(1,(Tabelle5[company_id]=Tabelle18[[#This Row],[company_id]])*(Tabelle5[value_id]=Tabelle18[[#This Row],[value_id]])*(Tabelle5[doc_id]=Tabelle18[[#This Row],[doc_id_strongest]]),0)),""))</f>
        <v/>
      </c>
    </row>
    <row r="500" spans="1:8" x14ac:dyDescent="0.25">
      <c r="A500" s="36">
        <v>28</v>
      </c>
      <c r="B500" t="s">
        <v>140</v>
      </c>
      <c r="C500" s="4">
        <f>IF(Tabelle18[[#This Row],[binding_level_company]]&gt;=1,1,0)</f>
        <v>0</v>
      </c>
      <c r="D500" s="4">
        <f>IFERROR(_xlfn.MAXIFS(Tabelle5[binding_level],Tabelle5[company_id],Tabelle18[[#This Row],[company_id]],Tabelle5[value_id],Tabelle18[[#This Row],[value_id]],Tabelle5[value_present],1),0)</f>
        <v>0</v>
      </c>
      <c r="E500" s="4">
        <f>IFERROR(_xlfn.MAXIFS(Tabelle5[value_points],Tabelle5[company_id],Tabelle18[[#This Row],[company_id]],Tabelle5[value_id],Tabelle18[[#This Row],[value_id]]),0)</f>
        <v>0</v>
      </c>
      <c r="F500" t="str">
        <f>IF(Tabelle18[[#This Row],[value_points_company]]=0,"",IFERROR(_xlfn.MINIFS(Tabelle5[doc_id],Tabelle5[company_id],Tabelle18[[#This Row],[company_id]],Tabelle5[value_id],Tabelle18[[#This Row],[value_id]],Tabelle5[value_points],Tabelle18[[#This Row],[value_points_company]]),""))</f>
        <v/>
      </c>
      <c r="G500" t="str" cm="1">
        <f t="array" ref="G500">IF(Tabelle18[[#This Row],[doc_id_strongest]]="","",IFERROR(INDEX(Tabelle5[evidence_location],MATCH(1,(Tabelle5[company_id]=Tabelle18[[#This Row],[company_id]])*(Tabelle5[value_id]=Tabelle18[[#This Row],[value_id]])*(Tabelle5[doc_id]=Tabelle18[[#This Row],[doc_id_strongest]]),0)),""))</f>
        <v/>
      </c>
      <c r="H500" s="33" t="str" cm="1">
        <f t="array" ref="H500">IF(Tabelle18[[#This Row],[doc_id_strongest]]="","",IFERROR(INDEX(Tabelle5[evidence_quote],MATCH(1,(Tabelle5[company_id]=Tabelle18[[#This Row],[company_id]])*(Tabelle5[value_id]=Tabelle18[[#This Row],[value_id]])*(Tabelle5[doc_id]=Tabelle18[[#This Row],[doc_id_strongest]]),0)),""))</f>
        <v/>
      </c>
    </row>
    <row r="501" spans="1:8" x14ac:dyDescent="0.25">
      <c r="A501" s="36">
        <v>28</v>
      </c>
      <c r="B501" t="s">
        <v>147</v>
      </c>
      <c r="C501" s="4">
        <f>IF(Tabelle18[[#This Row],[binding_level_company]]&gt;=1,1,0)</f>
        <v>0</v>
      </c>
      <c r="D501" s="4">
        <f>IFERROR(_xlfn.MAXIFS(Tabelle5[binding_level],Tabelle5[company_id],Tabelle18[[#This Row],[company_id]],Tabelle5[value_id],Tabelle18[[#This Row],[value_id]],Tabelle5[value_present],1),0)</f>
        <v>0</v>
      </c>
      <c r="E501" s="4">
        <f>IFERROR(_xlfn.MAXIFS(Tabelle5[value_points],Tabelle5[company_id],Tabelle18[[#This Row],[company_id]],Tabelle5[value_id],Tabelle18[[#This Row],[value_id]]),0)</f>
        <v>0</v>
      </c>
      <c r="F501" t="str">
        <f>IF(Tabelle18[[#This Row],[value_points_company]]=0,"",IFERROR(_xlfn.MINIFS(Tabelle5[doc_id],Tabelle5[company_id],Tabelle18[[#This Row],[company_id]],Tabelle5[value_id],Tabelle18[[#This Row],[value_id]],Tabelle5[value_points],Tabelle18[[#This Row],[value_points_company]]),""))</f>
        <v/>
      </c>
      <c r="G501" t="str" cm="1">
        <f t="array" ref="G501">IF(Tabelle18[[#This Row],[doc_id_strongest]]="","",IFERROR(INDEX(Tabelle5[evidence_location],MATCH(1,(Tabelle5[company_id]=Tabelle18[[#This Row],[company_id]])*(Tabelle5[value_id]=Tabelle18[[#This Row],[value_id]])*(Tabelle5[doc_id]=Tabelle18[[#This Row],[doc_id_strongest]]),0)),""))</f>
        <v/>
      </c>
      <c r="H501" s="33" t="str" cm="1">
        <f t="array" ref="H501">IF(Tabelle18[[#This Row],[doc_id_strongest]]="","",IFERROR(INDEX(Tabelle5[evidence_quote],MATCH(1,(Tabelle5[company_id]=Tabelle18[[#This Row],[company_id]])*(Tabelle5[value_id]=Tabelle18[[#This Row],[value_id]])*(Tabelle5[doc_id]=Tabelle18[[#This Row],[doc_id_strongest]]),0)),""))</f>
        <v/>
      </c>
    </row>
    <row r="502" spans="1:8" x14ac:dyDescent="0.25">
      <c r="A502" s="36">
        <v>28</v>
      </c>
      <c r="B502" t="s">
        <v>154</v>
      </c>
      <c r="C502" s="4">
        <f>IF(Tabelle18[[#This Row],[binding_level_company]]&gt;=1,1,0)</f>
        <v>0</v>
      </c>
      <c r="D502" s="4">
        <f>IFERROR(_xlfn.MAXIFS(Tabelle5[binding_level],Tabelle5[company_id],Tabelle18[[#This Row],[company_id]],Tabelle5[value_id],Tabelle18[[#This Row],[value_id]],Tabelle5[value_present],1),0)</f>
        <v>0</v>
      </c>
      <c r="E502" s="4">
        <f>IFERROR(_xlfn.MAXIFS(Tabelle5[value_points],Tabelle5[company_id],Tabelle18[[#This Row],[company_id]],Tabelle5[value_id],Tabelle18[[#This Row],[value_id]]),0)</f>
        <v>0</v>
      </c>
      <c r="F502" t="str">
        <f>IF(Tabelle18[[#This Row],[value_points_company]]=0,"",IFERROR(_xlfn.MINIFS(Tabelle5[doc_id],Tabelle5[company_id],Tabelle18[[#This Row],[company_id]],Tabelle5[value_id],Tabelle18[[#This Row],[value_id]],Tabelle5[value_points],Tabelle18[[#This Row],[value_points_company]]),""))</f>
        <v/>
      </c>
      <c r="G502" t="str" cm="1">
        <f t="array" ref="G502">IF(Tabelle18[[#This Row],[doc_id_strongest]]="","",IFERROR(INDEX(Tabelle5[evidence_location],MATCH(1,(Tabelle5[company_id]=Tabelle18[[#This Row],[company_id]])*(Tabelle5[value_id]=Tabelle18[[#This Row],[value_id]])*(Tabelle5[doc_id]=Tabelle18[[#This Row],[doc_id_strongest]]),0)),""))</f>
        <v/>
      </c>
      <c r="H502" s="33" t="str" cm="1">
        <f t="array" ref="H502">IF(Tabelle18[[#This Row],[doc_id_strongest]]="","",IFERROR(INDEX(Tabelle5[evidence_quote],MATCH(1,(Tabelle5[company_id]=Tabelle18[[#This Row],[company_id]])*(Tabelle5[value_id]=Tabelle18[[#This Row],[value_id]])*(Tabelle5[doc_id]=Tabelle18[[#This Row],[doc_id_strongest]]),0)),""))</f>
        <v/>
      </c>
    </row>
    <row r="503" spans="1:8" x14ac:dyDescent="0.25">
      <c r="A503" s="36">
        <v>28</v>
      </c>
      <c r="B503" t="s">
        <v>161</v>
      </c>
      <c r="C503" s="4">
        <f>IF(Tabelle18[[#This Row],[binding_level_company]]&gt;=1,1,0)</f>
        <v>0</v>
      </c>
      <c r="D503" s="4">
        <f>IFERROR(_xlfn.MAXIFS(Tabelle5[binding_level],Tabelle5[company_id],Tabelle18[[#This Row],[company_id]],Tabelle5[value_id],Tabelle18[[#This Row],[value_id]],Tabelle5[value_present],1),0)</f>
        <v>0</v>
      </c>
      <c r="E503" s="4">
        <f>IFERROR(_xlfn.MAXIFS(Tabelle5[value_points],Tabelle5[company_id],Tabelle18[[#This Row],[company_id]],Tabelle5[value_id],Tabelle18[[#This Row],[value_id]]),0)</f>
        <v>0</v>
      </c>
      <c r="F503" t="str">
        <f>IF(Tabelle18[[#This Row],[value_points_company]]=0,"",IFERROR(_xlfn.MINIFS(Tabelle5[doc_id],Tabelle5[company_id],Tabelle18[[#This Row],[company_id]],Tabelle5[value_id],Tabelle18[[#This Row],[value_id]],Tabelle5[value_points],Tabelle18[[#This Row],[value_points_company]]),""))</f>
        <v/>
      </c>
      <c r="G503" t="str" cm="1">
        <f t="array" ref="G503">IF(Tabelle18[[#This Row],[doc_id_strongest]]="","",IFERROR(INDEX(Tabelle5[evidence_location],MATCH(1,(Tabelle5[company_id]=Tabelle18[[#This Row],[company_id]])*(Tabelle5[value_id]=Tabelle18[[#This Row],[value_id]])*(Tabelle5[doc_id]=Tabelle18[[#This Row],[doc_id_strongest]]),0)),""))</f>
        <v/>
      </c>
      <c r="H503" s="33" t="str" cm="1">
        <f t="array" ref="H503">IF(Tabelle18[[#This Row],[doc_id_strongest]]="","",IFERROR(INDEX(Tabelle5[evidence_quote],MATCH(1,(Tabelle5[company_id]=Tabelle18[[#This Row],[company_id]])*(Tabelle5[value_id]=Tabelle18[[#This Row],[value_id]])*(Tabelle5[doc_id]=Tabelle18[[#This Row],[doc_id_strongest]]),0)),""))</f>
        <v/>
      </c>
    </row>
    <row r="504" spans="1:8" x14ac:dyDescent="0.25">
      <c r="A504" s="36">
        <v>28</v>
      </c>
      <c r="B504" t="s">
        <v>166</v>
      </c>
      <c r="C504" s="4">
        <f>IF(Tabelle18[[#This Row],[binding_level_company]]&gt;=1,1,0)</f>
        <v>0</v>
      </c>
      <c r="D504" s="4">
        <f>IFERROR(_xlfn.MAXIFS(Tabelle5[binding_level],Tabelle5[company_id],Tabelle18[[#This Row],[company_id]],Tabelle5[value_id],Tabelle18[[#This Row],[value_id]],Tabelle5[value_present],1),0)</f>
        <v>0</v>
      </c>
      <c r="E504" s="4">
        <f>IFERROR(_xlfn.MAXIFS(Tabelle5[value_points],Tabelle5[company_id],Tabelle18[[#This Row],[company_id]],Tabelle5[value_id],Tabelle18[[#This Row],[value_id]]),0)</f>
        <v>0</v>
      </c>
      <c r="F504" t="str">
        <f>IF(Tabelle18[[#This Row],[value_points_company]]=0,"",IFERROR(_xlfn.MINIFS(Tabelle5[doc_id],Tabelle5[company_id],Tabelle18[[#This Row],[company_id]],Tabelle5[value_id],Tabelle18[[#This Row],[value_id]],Tabelle5[value_points],Tabelle18[[#This Row],[value_points_company]]),""))</f>
        <v/>
      </c>
      <c r="G504" t="str" cm="1">
        <f t="array" ref="G504">IF(Tabelle18[[#This Row],[doc_id_strongest]]="","",IFERROR(INDEX(Tabelle5[evidence_location],MATCH(1,(Tabelle5[company_id]=Tabelle18[[#This Row],[company_id]])*(Tabelle5[value_id]=Tabelle18[[#This Row],[value_id]])*(Tabelle5[doc_id]=Tabelle18[[#This Row],[doc_id_strongest]]),0)),""))</f>
        <v/>
      </c>
      <c r="H504" s="33" t="str" cm="1">
        <f t="array" ref="H504">IF(Tabelle18[[#This Row],[doc_id_strongest]]="","",IFERROR(INDEX(Tabelle5[evidence_quote],MATCH(1,(Tabelle5[company_id]=Tabelle18[[#This Row],[company_id]])*(Tabelle5[value_id]=Tabelle18[[#This Row],[value_id]])*(Tabelle5[doc_id]=Tabelle18[[#This Row],[doc_id_strongest]]),0)),""))</f>
        <v/>
      </c>
    </row>
    <row r="505" spans="1:8" ht="15.75" thickBot="1" x14ac:dyDescent="0.3">
      <c r="A505" s="37">
        <v>28</v>
      </c>
      <c r="B505" s="30" t="s">
        <v>174</v>
      </c>
      <c r="C505" s="49">
        <f>IF(Tabelle18[[#This Row],[binding_level_company]]&gt;=1,1,0)</f>
        <v>0</v>
      </c>
      <c r="D505" s="49">
        <f>IFERROR(_xlfn.MAXIFS(Tabelle5[binding_level],Tabelle5[company_id],Tabelle18[[#This Row],[company_id]],Tabelle5[value_id],Tabelle18[[#This Row],[value_id]],Tabelle5[value_present],1),0)</f>
        <v>0</v>
      </c>
      <c r="E505" s="49">
        <f>IFERROR(_xlfn.MAXIFS(Tabelle5[value_points],Tabelle5[company_id],Tabelle18[[#This Row],[company_id]],Tabelle5[value_id],Tabelle18[[#This Row],[value_id]]),0)</f>
        <v>0</v>
      </c>
      <c r="F505" s="30" t="str">
        <f>IF(Tabelle18[[#This Row],[value_points_company]]=0,"",IFERROR(_xlfn.MINIFS(Tabelle5[doc_id],Tabelle5[company_id],Tabelle18[[#This Row],[company_id]],Tabelle5[value_id],Tabelle18[[#This Row],[value_id]],Tabelle5[value_points],Tabelle18[[#This Row],[value_points_company]]),""))</f>
        <v/>
      </c>
      <c r="G505" s="30" t="str" cm="1">
        <f t="array" ref="G505">IF(Tabelle18[[#This Row],[doc_id_strongest]]="","",IFERROR(INDEX(Tabelle5[evidence_location],MATCH(1,(Tabelle5[company_id]=Tabelle18[[#This Row],[company_id]])*(Tabelle5[value_id]=Tabelle18[[#This Row],[value_id]])*(Tabelle5[doc_id]=Tabelle18[[#This Row],[doc_id_strongest]]),0)),""))</f>
        <v/>
      </c>
      <c r="H505" s="34" t="str" cm="1">
        <f t="array" ref="H505">IF(Tabelle18[[#This Row],[doc_id_strongest]]="","",IFERROR(INDEX(Tabelle5[evidence_quote],MATCH(1,(Tabelle5[company_id]=Tabelle18[[#This Row],[company_id]])*(Tabelle5[value_id]=Tabelle18[[#This Row],[value_id]])*(Tabelle5[doc_id]=Tabelle18[[#This Row],[doc_id_strongest]]),0)),""))</f>
        <v/>
      </c>
    </row>
    <row r="506" spans="1:8" x14ac:dyDescent="0.25">
      <c r="A506" s="35">
        <v>29</v>
      </c>
      <c r="B506" s="22" t="s">
        <v>53</v>
      </c>
      <c r="C506" s="48">
        <f>IF(Tabelle18[[#This Row],[binding_level_company]]&gt;=1,1,0)</f>
        <v>0</v>
      </c>
      <c r="D506" s="48">
        <f>IFERROR(_xlfn.MAXIFS(Tabelle5[binding_level],Tabelle5[company_id],Tabelle18[[#This Row],[company_id]],Tabelle5[value_id],Tabelle18[[#This Row],[value_id]],Tabelle5[value_present],1),0)</f>
        <v>0</v>
      </c>
      <c r="E506" s="48">
        <f>IFERROR(_xlfn.MAXIFS(Tabelle5[value_points],Tabelle5[company_id],Tabelle18[[#This Row],[company_id]],Tabelle5[value_id],Tabelle18[[#This Row],[value_id]]),0)</f>
        <v>0</v>
      </c>
      <c r="F506" s="22" t="str">
        <f>IF(Tabelle18[[#This Row],[value_points_company]]=0,"",IFERROR(_xlfn.MINIFS(Tabelle5[doc_id],Tabelle5[company_id],Tabelle18[[#This Row],[company_id]],Tabelle5[value_id],Tabelle18[[#This Row],[value_id]],Tabelle5[value_points],Tabelle18[[#This Row],[value_points_company]]),""))</f>
        <v/>
      </c>
      <c r="G506" s="22" t="str" cm="1">
        <f t="array" ref="G506">IF(Tabelle18[[#This Row],[doc_id_strongest]]="","",IFERROR(INDEX(Tabelle5[evidence_location],MATCH(1,(Tabelle5[company_id]=Tabelle18[[#This Row],[company_id]])*(Tabelle5[value_id]=Tabelle18[[#This Row],[value_id]])*(Tabelle5[doc_id]=Tabelle18[[#This Row],[doc_id_strongest]]),0)),""))</f>
        <v/>
      </c>
      <c r="H506" s="32" t="str" cm="1">
        <f t="array" ref="H506">IF(Tabelle18[[#This Row],[doc_id_strongest]]="","",IFERROR(INDEX(Tabelle5[evidence_quote],MATCH(1,(Tabelle5[company_id]=Tabelle18[[#This Row],[company_id]])*(Tabelle5[value_id]=Tabelle18[[#This Row],[value_id]])*(Tabelle5[doc_id]=Tabelle18[[#This Row],[doc_id_strongest]]),0)),""))</f>
        <v/>
      </c>
    </row>
    <row r="507" spans="1:8" x14ac:dyDescent="0.25">
      <c r="A507" s="36">
        <v>29</v>
      </c>
      <c r="B507" t="s">
        <v>61</v>
      </c>
      <c r="C507" s="4">
        <f>IF(Tabelle18[[#This Row],[binding_level_company]]&gt;=1,1,0)</f>
        <v>0</v>
      </c>
      <c r="D507" s="4">
        <f>IFERROR(_xlfn.MAXIFS(Tabelle5[binding_level],Tabelle5[company_id],Tabelle18[[#This Row],[company_id]],Tabelle5[value_id],Tabelle18[[#This Row],[value_id]],Tabelle5[value_present],1),0)</f>
        <v>0</v>
      </c>
      <c r="E507" s="4">
        <f>IFERROR(_xlfn.MAXIFS(Tabelle5[value_points],Tabelle5[company_id],Tabelle18[[#This Row],[company_id]],Tabelle5[value_id],Tabelle18[[#This Row],[value_id]]),0)</f>
        <v>0</v>
      </c>
      <c r="F507" t="str">
        <f>IF(Tabelle18[[#This Row],[value_points_company]]=0,"",IFERROR(_xlfn.MINIFS(Tabelle5[doc_id],Tabelle5[company_id],Tabelle18[[#This Row],[company_id]],Tabelle5[value_id],Tabelle18[[#This Row],[value_id]],Tabelle5[value_points],Tabelle18[[#This Row],[value_points_company]]),""))</f>
        <v/>
      </c>
      <c r="G507" t="str" cm="1">
        <f t="array" ref="G507">IF(Tabelle18[[#This Row],[doc_id_strongest]]="","",IFERROR(INDEX(Tabelle5[evidence_location],MATCH(1,(Tabelle5[company_id]=Tabelle18[[#This Row],[company_id]])*(Tabelle5[value_id]=Tabelle18[[#This Row],[value_id]])*(Tabelle5[doc_id]=Tabelle18[[#This Row],[doc_id_strongest]]),0)),""))</f>
        <v/>
      </c>
      <c r="H507" s="33" t="str" cm="1">
        <f t="array" ref="H507">IF(Tabelle18[[#This Row],[doc_id_strongest]]="","",IFERROR(INDEX(Tabelle5[evidence_quote],MATCH(1,(Tabelle5[company_id]=Tabelle18[[#This Row],[company_id]])*(Tabelle5[value_id]=Tabelle18[[#This Row],[value_id]])*(Tabelle5[doc_id]=Tabelle18[[#This Row],[doc_id_strongest]]),0)),""))</f>
        <v/>
      </c>
    </row>
    <row r="508" spans="1:8" x14ac:dyDescent="0.25">
      <c r="A508" s="36">
        <v>29</v>
      </c>
      <c r="B508" t="s">
        <v>69</v>
      </c>
      <c r="C508" s="4">
        <f>IF(Tabelle18[[#This Row],[binding_level_company]]&gt;=1,1,0)</f>
        <v>0</v>
      </c>
      <c r="D508" s="4">
        <f>IFERROR(_xlfn.MAXIFS(Tabelle5[binding_level],Tabelle5[company_id],Tabelle18[[#This Row],[company_id]],Tabelle5[value_id],Tabelle18[[#This Row],[value_id]],Tabelle5[value_present],1),0)</f>
        <v>0</v>
      </c>
      <c r="E508" s="4">
        <f>IFERROR(_xlfn.MAXIFS(Tabelle5[value_points],Tabelle5[company_id],Tabelle18[[#This Row],[company_id]],Tabelle5[value_id],Tabelle18[[#This Row],[value_id]]),0)</f>
        <v>0</v>
      </c>
      <c r="F508" t="str">
        <f>IF(Tabelle18[[#This Row],[value_points_company]]=0,"",IFERROR(_xlfn.MINIFS(Tabelle5[doc_id],Tabelle5[company_id],Tabelle18[[#This Row],[company_id]],Tabelle5[value_id],Tabelle18[[#This Row],[value_id]],Tabelle5[value_points],Tabelle18[[#This Row],[value_points_company]]),""))</f>
        <v/>
      </c>
      <c r="G508" t="str" cm="1">
        <f t="array" ref="G508">IF(Tabelle18[[#This Row],[doc_id_strongest]]="","",IFERROR(INDEX(Tabelle5[evidence_location],MATCH(1,(Tabelle5[company_id]=Tabelle18[[#This Row],[company_id]])*(Tabelle5[value_id]=Tabelle18[[#This Row],[value_id]])*(Tabelle5[doc_id]=Tabelle18[[#This Row],[doc_id_strongest]]),0)),""))</f>
        <v/>
      </c>
      <c r="H508" s="33" t="str" cm="1">
        <f t="array" ref="H508">IF(Tabelle18[[#This Row],[doc_id_strongest]]="","",IFERROR(INDEX(Tabelle5[evidence_quote],MATCH(1,(Tabelle5[company_id]=Tabelle18[[#This Row],[company_id]])*(Tabelle5[value_id]=Tabelle18[[#This Row],[value_id]])*(Tabelle5[doc_id]=Tabelle18[[#This Row],[doc_id_strongest]]),0)),""))</f>
        <v/>
      </c>
    </row>
    <row r="509" spans="1:8" x14ac:dyDescent="0.25">
      <c r="A509" s="36">
        <v>29</v>
      </c>
      <c r="B509" t="s">
        <v>76</v>
      </c>
      <c r="C509" s="4">
        <f>IF(Tabelle18[[#This Row],[binding_level_company]]&gt;=1,1,0)</f>
        <v>0</v>
      </c>
      <c r="D509" s="4">
        <f>IFERROR(_xlfn.MAXIFS(Tabelle5[binding_level],Tabelle5[company_id],Tabelle18[[#This Row],[company_id]],Tabelle5[value_id],Tabelle18[[#This Row],[value_id]],Tabelle5[value_present],1),0)</f>
        <v>0</v>
      </c>
      <c r="E509" s="4">
        <f>IFERROR(_xlfn.MAXIFS(Tabelle5[value_points],Tabelle5[company_id],Tabelle18[[#This Row],[company_id]],Tabelle5[value_id],Tabelle18[[#This Row],[value_id]]),0)</f>
        <v>0</v>
      </c>
      <c r="F509" t="str">
        <f>IF(Tabelle18[[#This Row],[value_points_company]]=0,"",IFERROR(_xlfn.MINIFS(Tabelle5[doc_id],Tabelle5[company_id],Tabelle18[[#This Row],[company_id]],Tabelle5[value_id],Tabelle18[[#This Row],[value_id]],Tabelle5[value_points],Tabelle18[[#This Row],[value_points_company]]),""))</f>
        <v/>
      </c>
      <c r="G509" t="str" cm="1">
        <f t="array" ref="G509">IF(Tabelle18[[#This Row],[doc_id_strongest]]="","",IFERROR(INDEX(Tabelle5[evidence_location],MATCH(1,(Tabelle5[company_id]=Tabelle18[[#This Row],[company_id]])*(Tabelle5[value_id]=Tabelle18[[#This Row],[value_id]])*(Tabelle5[doc_id]=Tabelle18[[#This Row],[doc_id_strongest]]),0)),""))</f>
        <v/>
      </c>
      <c r="H509" s="33" t="str" cm="1">
        <f t="array" ref="H509">IF(Tabelle18[[#This Row],[doc_id_strongest]]="","",IFERROR(INDEX(Tabelle5[evidence_quote],MATCH(1,(Tabelle5[company_id]=Tabelle18[[#This Row],[company_id]])*(Tabelle5[value_id]=Tabelle18[[#This Row],[value_id]])*(Tabelle5[doc_id]=Tabelle18[[#This Row],[doc_id_strongest]]),0)),""))</f>
        <v/>
      </c>
    </row>
    <row r="510" spans="1:8" x14ac:dyDescent="0.25">
      <c r="A510" s="36">
        <v>29</v>
      </c>
      <c r="B510" t="s">
        <v>83</v>
      </c>
      <c r="C510" s="4">
        <f>IF(Tabelle18[[#This Row],[binding_level_company]]&gt;=1,1,0)</f>
        <v>0</v>
      </c>
      <c r="D510" s="4">
        <f>IFERROR(_xlfn.MAXIFS(Tabelle5[binding_level],Tabelle5[company_id],Tabelle18[[#This Row],[company_id]],Tabelle5[value_id],Tabelle18[[#This Row],[value_id]],Tabelle5[value_present],1),0)</f>
        <v>0</v>
      </c>
      <c r="E510" s="4">
        <f>IFERROR(_xlfn.MAXIFS(Tabelle5[value_points],Tabelle5[company_id],Tabelle18[[#This Row],[company_id]],Tabelle5[value_id],Tabelle18[[#This Row],[value_id]]),0)</f>
        <v>0</v>
      </c>
      <c r="F510" t="str">
        <f>IF(Tabelle18[[#This Row],[value_points_company]]=0,"",IFERROR(_xlfn.MINIFS(Tabelle5[doc_id],Tabelle5[company_id],Tabelle18[[#This Row],[company_id]],Tabelle5[value_id],Tabelle18[[#This Row],[value_id]],Tabelle5[value_points],Tabelle18[[#This Row],[value_points_company]]),""))</f>
        <v/>
      </c>
      <c r="G510" t="str" cm="1">
        <f t="array" ref="G510">IF(Tabelle18[[#This Row],[doc_id_strongest]]="","",IFERROR(INDEX(Tabelle5[evidence_location],MATCH(1,(Tabelle5[company_id]=Tabelle18[[#This Row],[company_id]])*(Tabelle5[value_id]=Tabelle18[[#This Row],[value_id]])*(Tabelle5[doc_id]=Tabelle18[[#This Row],[doc_id_strongest]]),0)),""))</f>
        <v/>
      </c>
      <c r="H510" s="33" t="str" cm="1">
        <f t="array" ref="H510">IF(Tabelle18[[#This Row],[doc_id_strongest]]="","",IFERROR(INDEX(Tabelle5[evidence_quote],MATCH(1,(Tabelle5[company_id]=Tabelle18[[#This Row],[company_id]])*(Tabelle5[value_id]=Tabelle18[[#This Row],[value_id]])*(Tabelle5[doc_id]=Tabelle18[[#This Row],[doc_id_strongest]]),0)),""))</f>
        <v/>
      </c>
    </row>
    <row r="511" spans="1:8" x14ac:dyDescent="0.25">
      <c r="A511" s="36">
        <v>29</v>
      </c>
      <c r="B511" t="s">
        <v>90</v>
      </c>
      <c r="C511" s="4">
        <f>IF(Tabelle18[[#This Row],[binding_level_company]]&gt;=1,1,0)</f>
        <v>0</v>
      </c>
      <c r="D511" s="4">
        <f>IFERROR(_xlfn.MAXIFS(Tabelle5[binding_level],Tabelle5[company_id],Tabelle18[[#This Row],[company_id]],Tabelle5[value_id],Tabelle18[[#This Row],[value_id]],Tabelle5[value_present],1),0)</f>
        <v>0</v>
      </c>
      <c r="E511" s="4">
        <f>IFERROR(_xlfn.MAXIFS(Tabelle5[value_points],Tabelle5[company_id],Tabelle18[[#This Row],[company_id]],Tabelle5[value_id],Tabelle18[[#This Row],[value_id]]),0)</f>
        <v>0</v>
      </c>
      <c r="F511" t="str">
        <f>IF(Tabelle18[[#This Row],[value_points_company]]=0,"",IFERROR(_xlfn.MINIFS(Tabelle5[doc_id],Tabelle5[company_id],Tabelle18[[#This Row],[company_id]],Tabelle5[value_id],Tabelle18[[#This Row],[value_id]],Tabelle5[value_points],Tabelle18[[#This Row],[value_points_company]]),""))</f>
        <v/>
      </c>
      <c r="G511" t="str" cm="1">
        <f t="array" ref="G511">IF(Tabelle18[[#This Row],[doc_id_strongest]]="","",IFERROR(INDEX(Tabelle5[evidence_location],MATCH(1,(Tabelle5[company_id]=Tabelle18[[#This Row],[company_id]])*(Tabelle5[value_id]=Tabelle18[[#This Row],[value_id]])*(Tabelle5[doc_id]=Tabelle18[[#This Row],[doc_id_strongest]]),0)),""))</f>
        <v/>
      </c>
      <c r="H511" s="33" t="str" cm="1">
        <f t="array" ref="H511">IF(Tabelle18[[#This Row],[doc_id_strongest]]="","",IFERROR(INDEX(Tabelle5[evidence_quote],MATCH(1,(Tabelle5[company_id]=Tabelle18[[#This Row],[company_id]])*(Tabelle5[value_id]=Tabelle18[[#This Row],[value_id]])*(Tabelle5[doc_id]=Tabelle18[[#This Row],[doc_id_strongest]]),0)),""))</f>
        <v/>
      </c>
    </row>
    <row r="512" spans="1:8" x14ac:dyDescent="0.25">
      <c r="A512" s="36">
        <v>29</v>
      </c>
      <c r="B512" t="s">
        <v>98</v>
      </c>
      <c r="C512" s="4">
        <f>IF(Tabelle18[[#This Row],[binding_level_company]]&gt;=1,1,0)</f>
        <v>0</v>
      </c>
      <c r="D512" s="4">
        <f>IFERROR(_xlfn.MAXIFS(Tabelle5[binding_level],Tabelle5[company_id],Tabelle18[[#This Row],[company_id]],Tabelle5[value_id],Tabelle18[[#This Row],[value_id]],Tabelle5[value_present],1),0)</f>
        <v>0</v>
      </c>
      <c r="E512" s="4">
        <f>IFERROR(_xlfn.MAXIFS(Tabelle5[value_points],Tabelle5[company_id],Tabelle18[[#This Row],[company_id]],Tabelle5[value_id],Tabelle18[[#This Row],[value_id]]),0)</f>
        <v>0</v>
      </c>
      <c r="F512" t="str">
        <f>IF(Tabelle18[[#This Row],[value_points_company]]=0,"",IFERROR(_xlfn.MINIFS(Tabelle5[doc_id],Tabelle5[company_id],Tabelle18[[#This Row],[company_id]],Tabelle5[value_id],Tabelle18[[#This Row],[value_id]],Tabelle5[value_points],Tabelle18[[#This Row],[value_points_company]]),""))</f>
        <v/>
      </c>
      <c r="G512" t="str" cm="1">
        <f t="array" ref="G512">IF(Tabelle18[[#This Row],[doc_id_strongest]]="","",IFERROR(INDEX(Tabelle5[evidence_location],MATCH(1,(Tabelle5[company_id]=Tabelle18[[#This Row],[company_id]])*(Tabelle5[value_id]=Tabelle18[[#This Row],[value_id]])*(Tabelle5[doc_id]=Tabelle18[[#This Row],[doc_id_strongest]]),0)),""))</f>
        <v/>
      </c>
      <c r="H512" s="33" t="str" cm="1">
        <f t="array" ref="H512">IF(Tabelle18[[#This Row],[doc_id_strongest]]="","",IFERROR(INDEX(Tabelle5[evidence_quote],MATCH(1,(Tabelle5[company_id]=Tabelle18[[#This Row],[company_id]])*(Tabelle5[value_id]=Tabelle18[[#This Row],[value_id]])*(Tabelle5[doc_id]=Tabelle18[[#This Row],[doc_id_strongest]]),0)),""))</f>
        <v/>
      </c>
    </row>
    <row r="513" spans="1:8" x14ac:dyDescent="0.25">
      <c r="A513" s="36">
        <v>29</v>
      </c>
      <c r="B513" t="s">
        <v>106</v>
      </c>
      <c r="C513" s="4">
        <f>IF(Tabelle18[[#This Row],[binding_level_company]]&gt;=1,1,0)</f>
        <v>0</v>
      </c>
      <c r="D513" s="4">
        <f>IFERROR(_xlfn.MAXIFS(Tabelle5[binding_level],Tabelle5[company_id],Tabelle18[[#This Row],[company_id]],Tabelle5[value_id],Tabelle18[[#This Row],[value_id]],Tabelle5[value_present],1),0)</f>
        <v>0</v>
      </c>
      <c r="E513" s="4">
        <f>IFERROR(_xlfn.MAXIFS(Tabelle5[value_points],Tabelle5[company_id],Tabelle18[[#This Row],[company_id]],Tabelle5[value_id],Tabelle18[[#This Row],[value_id]]),0)</f>
        <v>0</v>
      </c>
      <c r="F513" t="str">
        <f>IF(Tabelle18[[#This Row],[value_points_company]]=0,"",IFERROR(_xlfn.MINIFS(Tabelle5[doc_id],Tabelle5[company_id],Tabelle18[[#This Row],[company_id]],Tabelle5[value_id],Tabelle18[[#This Row],[value_id]],Tabelle5[value_points],Tabelle18[[#This Row],[value_points_company]]),""))</f>
        <v/>
      </c>
      <c r="G513" t="str" cm="1">
        <f t="array" ref="G513">IF(Tabelle18[[#This Row],[doc_id_strongest]]="","",IFERROR(INDEX(Tabelle5[evidence_location],MATCH(1,(Tabelle5[company_id]=Tabelle18[[#This Row],[company_id]])*(Tabelle5[value_id]=Tabelle18[[#This Row],[value_id]])*(Tabelle5[doc_id]=Tabelle18[[#This Row],[doc_id_strongest]]),0)),""))</f>
        <v/>
      </c>
      <c r="H513" s="33" t="str" cm="1">
        <f t="array" ref="H513">IF(Tabelle18[[#This Row],[doc_id_strongest]]="","",IFERROR(INDEX(Tabelle5[evidence_quote],MATCH(1,(Tabelle5[company_id]=Tabelle18[[#This Row],[company_id]])*(Tabelle5[value_id]=Tabelle18[[#This Row],[value_id]])*(Tabelle5[doc_id]=Tabelle18[[#This Row],[doc_id_strongest]]),0)),""))</f>
        <v/>
      </c>
    </row>
    <row r="514" spans="1:8" x14ac:dyDescent="0.25">
      <c r="A514" s="36">
        <v>29</v>
      </c>
      <c r="B514" t="s">
        <v>112</v>
      </c>
      <c r="C514" s="4">
        <f>IF(Tabelle18[[#This Row],[binding_level_company]]&gt;=1,1,0)</f>
        <v>0</v>
      </c>
      <c r="D514" s="4">
        <f>IFERROR(_xlfn.MAXIFS(Tabelle5[binding_level],Tabelle5[company_id],Tabelle18[[#This Row],[company_id]],Tabelle5[value_id],Tabelle18[[#This Row],[value_id]],Tabelle5[value_present],1),0)</f>
        <v>0</v>
      </c>
      <c r="E514" s="4">
        <f>IFERROR(_xlfn.MAXIFS(Tabelle5[value_points],Tabelle5[company_id],Tabelle18[[#This Row],[company_id]],Tabelle5[value_id],Tabelle18[[#This Row],[value_id]]),0)</f>
        <v>0</v>
      </c>
      <c r="F514" t="str">
        <f>IF(Tabelle18[[#This Row],[value_points_company]]=0,"",IFERROR(_xlfn.MINIFS(Tabelle5[doc_id],Tabelle5[company_id],Tabelle18[[#This Row],[company_id]],Tabelle5[value_id],Tabelle18[[#This Row],[value_id]],Tabelle5[value_points],Tabelle18[[#This Row],[value_points_company]]),""))</f>
        <v/>
      </c>
      <c r="G514" t="str" cm="1">
        <f t="array" ref="G514">IF(Tabelle18[[#This Row],[doc_id_strongest]]="","",IFERROR(INDEX(Tabelle5[evidence_location],MATCH(1,(Tabelle5[company_id]=Tabelle18[[#This Row],[company_id]])*(Tabelle5[value_id]=Tabelle18[[#This Row],[value_id]])*(Tabelle5[doc_id]=Tabelle18[[#This Row],[doc_id_strongest]]),0)),""))</f>
        <v/>
      </c>
      <c r="H514" s="33" t="str" cm="1">
        <f t="array" ref="H514">IF(Tabelle18[[#This Row],[doc_id_strongest]]="","",IFERROR(INDEX(Tabelle5[evidence_quote],MATCH(1,(Tabelle5[company_id]=Tabelle18[[#This Row],[company_id]])*(Tabelle5[value_id]=Tabelle18[[#This Row],[value_id]])*(Tabelle5[doc_id]=Tabelle18[[#This Row],[doc_id_strongest]]),0)),""))</f>
        <v/>
      </c>
    </row>
    <row r="515" spans="1:8" x14ac:dyDescent="0.25">
      <c r="A515" s="36">
        <v>29</v>
      </c>
      <c r="B515" t="s">
        <v>118</v>
      </c>
      <c r="C515" s="4">
        <f>IF(Tabelle18[[#This Row],[binding_level_company]]&gt;=1,1,0)</f>
        <v>0</v>
      </c>
      <c r="D515" s="4">
        <f>IFERROR(_xlfn.MAXIFS(Tabelle5[binding_level],Tabelle5[company_id],Tabelle18[[#This Row],[company_id]],Tabelle5[value_id],Tabelle18[[#This Row],[value_id]],Tabelle5[value_present],1),0)</f>
        <v>0</v>
      </c>
      <c r="E515" s="4">
        <f>IFERROR(_xlfn.MAXIFS(Tabelle5[value_points],Tabelle5[company_id],Tabelle18[[#This Row],[company_id]],Tabelle5[value_id],Tabelle18[[#This Row],[value_id]]),0)</f>
        <v>0</v>
      </c>
      <c r="F515" t="str">
        <f>IF(Tabelle18[[#This Row],[value_points_company]]=0,"",IFERROR(_xlfn.MINIFS(Tabelle5[doc_id],Tabelle5[company_id],Tabelle18[[#This Row],[company_id]],Tabelle5[value_id],Tabelle18[[#This Row],[value_id]],Tabelle5[value_points],Tabelle18[[#This Row],[value_points_company]]),""))</f>
        <v/>
      </c>
      <c r="G515" t="str" cm="1">
        <f t="array" ref="G515">IF(Tabelle18[[#This Row],[doc_id_strongest]]="","",IFERROR(INDEX(Tabelle5[evidence_location],MATCH(1,(Tabelle5[company_id]=Tabelle18[[#This Row],[company_id]])*(Tabelle5[value_id]=Tabelle18[[#This Row],[value_id]])*(Tabelle5[doc_id]=Tabelle18[[#This Row],[doc_id_strongest]]),0)),""))</f>
        <v/>
      </c>
      <c r="H515" s="33" t="str" cm="1">
        <f t="array" ref="H515">IF(Tabelle18[[#This Row],[doc_id_strongest]]="","",IFERROR(INDEX(Tabelle5[evidence_quote],MATCH(1,(Tabelle5[company_id]=Tabelle18[[#This Row],[company_id]])*(Tabelle5[value_id]=Tabelle18[[#This Row],[value_id]])*(Tabelle5[doc_id]=Tabelle18[[#This Row],[doc_id_strongest]]),0)),""))</f>
        <v/>
      </c>
    </row>
    <row r="516" spans="1:8" x14ac:dyDescent="0.25">
      <c r="A516" s="36">
        <v>29</v>
      </c>
      <c r="B516" t="s">
        <v>125</v>
      </c>
      <c r="C516" s="4">
        <f>IF(Tabelle18[[#This Row],[binding_level_company]]&gt;=1,1,0)</f>
        <v>0</v>
      </c>
      <c r="D516" s="4">
        <f>IFERROR(_xlfn.MAXIFS(Tabelle5[binding_level],Tabelle5[company_id],Tabelle18[[#This Row],[company_id]],Tabelle5[value_id],Tabelle18[[#This Row],[value_id]],Tabelle5[value_present],1),0)</f>
        <v>0</v>
      </c>
      <c r="E516" s="4">
        <f>IFERROR(_xlfn.MAXIFS(Tabelle5[value_points],Tabelle5[company_id],Tabelle18[[#This Row],[company_id]],Tabelle5[value_id],Tabelle18[[#This Row],[value_id]]),0)</f>
        <v>0</v>
      </c>
      <c r="F516" t="str">
        <f>IF(Tabelle18[[#This Row],[value_points_company]]=0,"",IFERROR(_xlfn.MINIFS(Tabelle5[doc_id],Tabelle5[company_id],Tabelle18[[#This Row],[company_id]],Tabelle5[value_id],Tabelle18[[#This Row],[value_id]],Tabelle5[value_points],Tabelle18[[#This Row],[value_points_company]]),""))</f>
        <v/>
      </c>
      <c r="G516" t="str" cm="1">
        <f t="array" ref="G516">IF(Tabelle18[[#This Row],[doc_id_strongest]]="","",IFERROR(INDEX(Tabelle5[evidence_location],MATCH(1,(Tabelle5[company_id]=Tabelle18[[#This Row],[company_id]])*(Tabelle5[value_id]=Tabelle18[[#This Row],[value_id]])*(Tabelle5[doc_id]=Tabelle18[[#This Row],[doc_id_strongest]]),0)),""))</f>
        <v/>
      </c>
      <c r="H516" s="33" t="str" cm="1">
        <f t="array" ref="H516">IF(Tabelle18[[#This Row],[doc_id_strongest]]="","",IFERROR(INDEX(Tabelle5[evidence_quote],MATCH(1,(Tabelle5[company_id]=Tabelle18[[#This Row],[company_id]])*(Tabelle5[value_id]=Tabelle18[[#This Row],[value_id]])*(Tabelle5[doc_id]=Tabelle18[[#This Row],[doc_id_strongest]]),0)),""))</f>
        <v/>
      </c>
    </row>
    <row r="517" spans="1:8" x14ac:dyDescent="0.25">
      <c r="A517" s="36">
        <v>29</v>
      </c>
      <c r="B517" t="s">
        <v>132</v>
      </c>
      <c r="C517" s="4">
        <f>IF(Tabelle18[[#This Row],[binding_level_company]]&gt;=1,1,0)</f>
        <v>0</v>
      </c>
      <c r="D517" s="4">
        <f>IFERROR(_xlfn.MAXIFS(Tabelle5[binding_level],Tabelle5[company_id],Tabelle18[[#This Row],[company_id]],Tabelle5[value_id],Tabelle18[[#This Row],[value_id]],Tabelle5[value_present],1),0)</f>
        <v>0</v>
      </c>
      <c r="E517" s="4">
        <f>IFERROR(_xlfn.MAXIFS(Tabelle5[value_points],Tabelle5[company_id],Tabelle18[[#This Row],[company_id]],Tabelle5[value_id],Tabelle18[[#This Row],[value_id]]),0)</f>
        <v>0</v>
      </c>
      <c r="F517" t="str">
        <f>IF(Tabelle18[[#This Row],[value_points_company]]=0,"",IFERROR(_xlfn.MINIFS(Tabelle5[doc_id],Tabelle5[company_id],Tabelle18[[#This Row],[company_id]],Tabelle5[value_id],Tabelle18[[#This Row],[value_id]],Tabelle5[value_points],Tabelle18[[#This Row],[value_points_company]]),""))</f>
        <v/>
      </c>
      <c r="G517" t="str" cm="1">
        <f t="array" ref="G517">IF(Tabelle18[[#This Row],[doc_id_strongest]]="","",IFERROR(INDEX(Tabelle5[evidence_location],MATCH(1,(Tabelle5[company_id]=Tabelle18[[#This Row],[company_id]])*(Tabelle5[value_id]=Tabelle18[[#This Row],[value_id]])*(Tabelle5[doc_id]=Tabelle18[[#This Row],[doc_id_strongest]]),0)),""))</f>
        <v/>
      </c>
      <c r="H517" s="33" t="str" cm="1">
        <f t="array" ref="H517">IF(Tabelle18[[#This Row],[doc_id_strongest]]="","",IFERROR(INDEX(Tabelle5[evidence_quote],MATCH(1,(Tabelle5[company_id]=Tabelle18[[#This Row],[company_id]])*(Tabelle5[value_id]=Tabelle18[[#This Row],[value_id]])*(Tabelle5[doc_id]=Tabelle18[[#This Row],[doc_id_strongest]]),0)),""))</f>
        <v/>
      </c>
    </row>
    <row r="518" spans="1:8" x14ac:dyDescent="0.25">
      <c r="A518" s="36">
        <v>29</v>
      </c>
      <c r="B518" t="s">
        <v>140</v>
      </c>
      <c r="C518" s="4">
        <f>IF(Tabelle18[[#This Row],[binding_level_company]]&gt;=1,1,0)</f>
        <v>0</v>
      </c>
      <c r="D518" s="4">
        <f>IFERROR(_xlfn.MAXIFS(Tabelle5[binding_level],Tabelle5[company_id],Tabelle18[[#This Row],[company_id]],Tabelle5[value_id],Tabelle18[[#This Row],[value_id]],Tabelle5[value_present],1),0)</f>
        <v>0</v>
      </c>
      <c r="E518" s="4">
        <f>IFERROR(_xlfn.MAXIFS(Tabelle5[value_points],Tabelle5[company_id],Tabelle18[[#This Row],[company_id]],Tabelle5[value_id],Tabelle18[[#This Row],[value_id]]),0)</f>
        <v>0</v>
      </c>
      <c r="F518" t="str">
        <f>IF(Tabelle18[[#This Row],[value_points_company]]=0,"",IFERROR(_xlfn.MINIFS(Tabelle5[doc_id],Tabelle5[company_id],Tabelle18[[#This Row],[company_id]],Tabelle5[value_id],Tabelle18[[#This Row],[value_id]],Tabelle5[value_points],Tabelle18[[#This Row],[value_points_company]]),""))</f>
        <v/>
      </c>
      <c r="G518" t="str" cm="1">
        <f t="array" ref="G518">IF(Tabelle18[[#This Row],[doc_id_strongest]]="","",IFERROR(INDEX(Tabelle5[evidence_location],MATCH(1,(Tabelle5[company_id]=Tabelle18[[#This Row],[company_id]])*(Tabelle5[value_id]=Tabelle18[[#This Row],[value_id]])*(Tabelle5[doc_id]=Tabelle18[[#This Row],[doc_id_strongest]]),0)),""))</f>
        <v/>
      </c>
      <c r="H518" s="33" t="str" cm="1">
        <f t="array" ref="H518">IF(Tabelle18[[#This Row],[doc_id_strongest]]="","",IFERROR(INDEX(Tabelle5[evidence_quote],MATCH(1,(Tabelle5[company_id]=Tabelle18[[#This Row],[company_id]])*(Tabelle5[value_id]=Tabelle18[[#This Row],[value_id]])*(Tabelle5[doc_id]=Tabelle18[[#This Row],[doc_id_strongest]]),0)),""))</f>
        <v/>
      </c>
    </row>
    <row r="519" spans="1:8" x14ac:dyDescent="0.25">
      <c r="A519" s="36">
        <v>29</v>
      </c>
      <c r="B519" t="s">
        <v>147</v>
      </c>
      <c r="C519" s="4">
        <f>IF(Tabelle18[[#This Row],[binding_level_company]]&gt;=1,1,0)</f>
        <v>0</v>
      </c>
      <c r="D519" s="4">
        <f>IFERROR(_xlfn.MAXIFS(Tabelle5[binding_level],Tabelle5[company_id],Tabelle18[[#This Row],[company_id]],Tabelle5[value_id],Tabelle18[[#This Row],[value_id]],Tabelle5[value_present],1),0)</f>
        <v>0</v>
      </c>
      <c r="E519" s="4">
        <f>IFERROR(_xlfn.MAXIFS(Tabelle5[value_points],Tabelle5[company_id],Tabelle18[[#This Row],[company_id]],Tabelle5[value_id],Tabelle18[[#This Row],[value_id]]),0)</f>
        <v>0</v>
      </c>
      <c r="F519" t="str">
        <f>IF(Tabelle18[[#This Row],[value_points_company]]=0,"",IFERROR(_xlfn.MINIFS(Tabelle5[doc_id],Tabelle5[company_id],Tabelle18[[#This Row],[company_id]],Tabelle5[value_id],Tabelle18[[#This Row],[value_id]],Tabelle5[value_points],Tabelle18[[#This Row],[value_points_company]]),""))</f>
        <v/>
      </c>
      <c r="G519" t="str" cm="1">
        <f t="array" ref="G519">IF(Tabelle18[[#This Row],[doc_id_strongest]]="","",IFERROR(INDEX(Tabelle5[evidence_location],MATCH(1,(Tabelle5[company_id]=Tabelle18[[#This Row],[company_id]])*(Tabelle5[value_id]=Tabelle18[[#This Row],[value_id]])*(Tabelle5[doc_id]=Tabelle18[[#This Row],[doc_id_strongest]]),0)),""))</f>
        <v/>
      </c>
      <c r="H519" s="33" t="str" cm="1">
        <f t="array" ref="H519">IF(Tabelle18[[#This Row],[doc_id_strongest]]="","",IFERROR(INDEX(Tabelle5[evidence_quote],MATCH(1,(Tabelle5[company_id]=Tabelle18[[#This Row],[company_id]])*(Tabelle5[value_id]=Tabelle18[[#This Row],[value_id]])*(Tabelle5[doc_id]=Tabelle18[[#This Row],[doc_id_strongest]]),0)),""))</f>
        <v/>
      </c>
    </row>
    <row r="520" spans="1:8" x14ac:dyDescent="0.25">
      <c r="A520" s="36">
        <v>29</v>
      </c>
      <c r="B520" t="s">
        <v>154</v>
      </c>
      <c r="C520" s="4">
        <f>IF(Tabelle18[[#This Row],[binding_level_company]]&gt;=1,1,0)</f>
        <v>0</v>
      </c>
      <c r="D520" s="4">
        <f>IFERROR(_xlfn.MAXIFS(Tabelle5[binding_level],Tabelle5[company_id],Tabelle18[[#This Row],[company_id]],Tabelle5[value_id],Tabelle18[[#This Row],[value_id]],Tabelle5[value_present],1),0)</f>
        <v>0</v>
      </c>
      <c r="E520" s="4">
        <f>IFERROR(_xlfn.MAXIFS(Tabelle5[value_points],Tabelle5[company_id],Tabelle18[[#This Row],[company_id]],Tabelle5[value_id],Tabelle18[[#This Row],[value_id]]),0)</f>
        <v>0</v>
      </c>
      <c r="F520" t="str">
        <f>IF(Tabelle18[[#This Row],[value_points_company]]=0,"",IFERROR(_xlfn.MINIFS(Tabelle5[doc_id],Tabelle5[company_id],Tabelle18[[#This Row],[company_id]],Tabelle5[value_id],Tabelle18[[#This Row],[value_id]],Tabelle5[value_points],Tabelle18[[#This Row],[value_points_company]]),""))</f>
        <v/>
      </c>
      <c r="G520" t="str" cm="1">
        <f t="array" ref="G520">IF(Tabelle18[[#This Row],[doc_id_strongest]]="","",IFERROR(INDEX(Tabelle5[evidence_location],MATCH(1,(Tabelle5[company_id]=Tabelle18[[#This Row],[company_id]])*(Tabelle5[value_id]=Tabelle18[[#This Row],[value_id]])*(Tabelle5[doc_id]=Tabelle18[[#This Row],[doc_id_strongest]]),0)),""))</f>
        <v/>
      </c>
      <c r="H520" s="33" t="str" cm="1">
        <f t="array" ref="H520">IF(Tabelle18[[#This Row],[doc_id_strongest]]="","",IFERROR(INDEX(Tabelle5[evidence_quote],MATCH(1,(Tabelle5[company_id]=Tabelle18[[#This Row],[company_id]])*(Tabelle5[value_id]=Tabelle18[[#This Row],[value_id]])*(Tabelle5[doc_id]=Tabelle18[[#This Row],[doc_id_strongest]]),0)),""))</f>
        <v/>
      </c>
    </row>
    <row r="521" spans="1:8" x14ac:dyDescent="0.25">
      <c r="A521" s="36">
        <v>29</v>
      </c>
      <c r="B521" t="s">
        <v>161</v>
      </c>
      <c r="C521" s="4">
        <f>IF(Tabelle18[[#This Row],[binding_level_company]]&gt;=1,1,0)</f>
        <v>0</v>
      </c>
      <c r="D521" s="4">
        <f>IFERROR(_xlfn.MAXIFS(Tabelle5[binding_level],Tabelle5[company_id],Tabelle18[[#This Row],[company_id]],Tabelle5[value_id],Tabelle18[[#This Row],[value_id]],Tabelle5[value_present],1),0)</f>
        <v>0</v>
      </c>
      <c r="E521" s="4">
        <f>IFERROR(_xlfn.MAXIFS(Tabelle5[value_points],Tabelle5[company_id],Tabelle18[[#This Row],[company_id]],Tabelle5[value_id],Tabelle18[[#This Row],[value_id]]),0)</f>
        <v>0</v>
      </c>
      <c r="F521" t="str">
        <f>IF(Tabelle18[[#This Row],[value_points_company]]=0,"",IFERROR(_xlfn.MINIFS(Tabelle5[doc_id],Tabelle5[company_id],Tabelle18[[#This Row],[company_id]],Tabelle5[value_id],Tabelle18[[#This Row],[value_id]],Tabelle5[value_points],Tabelle18[[#This Row],[value_points_company]]),""))</f>
        <v/>
      </c>
      <c r="G521" t="str" cm="1">
        <f t="array" ref="G521">IF(Tabelle18[[#This Row],[doc_id_strongest]]="","",IFERROR(INDEX(Tabelle5[evidence_location],MATCH(1,(Tabelle5[company_id]=Tabelle18[[#This Row],[company_id]])*(Tabelle5[value_id]=Tabelle18[[#This Row],[value_id]])*(Tabelle5[doc_id]=Tabelle18[[#This Row],[doc_id_strongest]]),0)),""))</f>
        <v/>
      </c>
      <c r="H521" s="33" t="str" cm="1">
        <f t="array" ref="H521">IF(Tabelle18[[#This Row],[doc_id_strongest]]="","",IFERROR(INDEX(Tabelle5[evidence_quote],MATCH(1,(Tabelle5[company_id]=Tabelle18[[#This Row],[company_id]])*(Tabelle5[value_id]=Tabelle18[[#This Row],[value_id]])*(Tabelle5[doc_id]=Tabelle18[[#This Row],[doc_id_strongest]]),0)),""))</f>
        <v/>
      </c>
    </row>
    <row r="522" spans="1:8" x14ac:dyDescent="0.25">
      <c r="A522" s="36">
        <v>29</v>
      </c>
      <c r="B522" t="s">
        <v>166</v>
      </c>
      <c r="C522" s="4">
        <f>IF(Tabelle18[[#This Row],[binding_level_company]]&gt;=1,1,0)</f>
        <v>0</v>
      </c>
      <c r="D522" s="4">
        <f>IFERROR(_xlfn.MAXIFS(Tabelle5[binding_level],Tabelle5[company_id],Tabelle18[[#This Row],[company_id]],Tabelle5[value_id],Tabelle18[[#This Row],[value_id]],Tabelle5[value_present],1),0)</f>
        <v>0</v>
      </c>
      <c r="E522" s="4">
        <f>IFERROR(_xlfn.MAXIFS(Tabelle5[value_points],Tabelle5[company_id],Tabelle18[[#This Row],[company_id]],Tabelle5[value_id],Tabelle18[[#This Row],[value_id]]),0)</f>
        <v>0</v>
      </c>
      <c r="F522" t="str">
        <f>IF(Tabelle18[[#This Row],[value_points_company]]=0,"",IFERROR(_xlfn.MINIFS(Tabelle5[doc_id],Tabelle5[company_id],Tabelle18[[#This Row],[company_id]],Tabelle5[value_id],Tabelle18[[#This Row],[value_id]],Tabelle5[value_points],Tabelle18[[#This Row],[value_points_company]]),""))</f>
        <v/>
      </c>
      <c r="G522" t="str" cm="1">
        <f t="array" ref="G522">IF(Tabelle18[[#This Row],[doc_id_strongest]]="","",IFERROR(INDEX(Tabelle5[evidence_location],MATCH(1,(Tabelle5[company_id]=Tabelle18[[#This Row],[company_id]])*(Tabelle5[value_id]=Tabelle18[[#This Row],[value_id]])*(Tabelle5[doc_id]=Tabelle18[[#This Row],[doc_id_strongest]]),0)),""))</f>
        <v/>
      </c>
      <c r="H522" s="33" t="str" cm="1">
        <f t="array" ref="H522">IF(Tabelle18[[#This Row],[doc_id_strongest]]="","",IFERROR(INDEX(Tabelle5[evidence_quote],MATCH(1,(Tabelle5[company_id]=Tabelle18[[#This Row],[company_id]])*(Tabelle5[value_id]=Tabelle18[[#This Row],[value_id]])*(Tabelle5[doc_id]=Tabelle18[[#This Row],[doc_id_strongest]]),0)),""))</f>
        <v/>
      </c>
    </row>
    <row r="523" spans="1:8" ht="15.75" thickBot="1" x14ac:dyDescent="0.3">
      <c r="A523" s="37">
        <v>29</v>
      </c>
      <c r="B523" s="30" t="s">
        <v>174</v>
      </c>
      <c r="C523" s="49">
        <f>IF(Tabelle18[[#This Row],[binding_level_company]]&gt;=1,1,0)</f>
        <v>0</v>
      </c>
      <c r="D523" s="49">
        <f>IFERROR(_xlfn.MAXIFS(Tabelle5[binding_level],Tabelle5[company_id],Tabelle18[[#This Row],[company_id]],Tabelle5[value_id],Tabelle18[[#This Row],[value_id]],Tabelle5[value_present],1),0)</f>
        <v>0</v>
      </c>
      <c r="E523" s="49">
        <f>IFERROR(_xlfn.MAXIFS(Tabelle5[value_points],Tabelle5[company_id],Tabelle18[[#This Row],[company_id]],Tabelle5[value_id],Tabelle18[[#This Row],[value_id]]),0)</f>
        <v>0</v>
      </c>
      <c r="F523" s="30" t="str">
        <f>IF(Tabelle18[[#This Row],[value_points_company]]=0,"",IFERROR(_xlfn.MINIFS(Tabelle5[doc_id],Tabelle5[company_id],Tabelle18[[#This Row],[company_id]],Tabelle5[value_id],Tabelle18[[#This Row],[value_id]],Tabelle5[value_points],Tabelle18[[#This Row],[value_points_company]]),""))</f>
        <v/>
      </c>
      <c r="G523" s="30" t="str" cm="1">
        <f t="array" ref="G523">IF(Tabelle18[[#This Row],[doc_id_strongest]]="","",IFERROR(INDEX(Tabelle5[evidence_location],MATCH(1,(Tabelle5[company_id]=Tabelle18[[#This Row],[company_id]])*(Tabelle5[value_id]=Tabelle18[[#This Row],[value_id]])*(Tabelle5[doc_id]=Tabelle18[[#This Row],[doc_id_strongest]]),0)),""))</f>
        <v/>
      </c>
      <c r="H523" s="34" t="str" cm="1">
        <f t="array" ref="H523">IF(Tabelle18[[#This Row],[doc_id_strongest]]="","",IFERROR(INDEX(Tabelle5[evidence_quote],MATCH(1,(Tabelle5[company_id]=Tabelle18[[#This Row],[company_id]])*(Tabelle5[value_id]=Tabelle18[[#This Row],[value_id]])*(Tabelle5[doc_id]=Tabelle18[[#This Row],[doc_id_strongest]]),0)),""))</f>
        <v/>
      </c>
    </row>
    <row r="524" spans="1:8" x14ac:dyDescent="0.25">
      <c r="A524" s="35">
        <v>30</v>
      </c>
      <c r="B524" s="22" t="s">
        <v>53</v>
      </c>
      <c r="C524" s="48">
        <f>IF(Tabelle18[[#This Row],[binding_level_company]]&gt;=1,1,0)</f>
        <v>0</v>
      </c>
      <c r="D524" s="48">
        <f>IFERROR(_xlfn.MAXIFS(Tabelle5[binding_level],Tabelle5[company_id],Tabelle18[[#This Row],[company_id]],Tabelle5[value_id],Tabelle18[[#This Row],[value_id]],Tabelle5[value_present],1),0)</f>
        <v>0</v>
      </c>
      <c r="E524" s="48">
        <f>IFERROR(_xlfn.MAXIFS(Tabelle5[value_points],Tabelle5[company_id],Tabelle18[[#This Row],[company_id]],Tabelle5[value_id],Tabelle18[[#This Row],[value_id]]),0)</f>
        <v>0</v>
      </c>
      <c r="F524" s="22" t="str">
        <f>IF(Tabelle18[[#This Row],[value_points_company]]=0,"",IFERROR(_xlfn.MINIFS(Tabelle5[doc_id],Tabelle5[company_id],Tabelle18[[#This Row],[company_id]],Tabelle5[value_id],Tabelle18[[#This Row],[value_id]],Tabelle5[value_points],Tabelle18[[#This Row],[value_points_company]]),""))</f>
        <v/>
      </c>
      <c r="G524" s="22" t="str" cm="1">
        <f t="array" ref="G524">IF(Tabelle18[[#This Row],[doc_id_strongest]]="","",IFERROR(INDEX(Tabelle5[evidence_location],MATCH(1,(Tabelle5[company_id]=Tabelle18[[#This Row],[company_id]])*(Tabelle5[value_id]=Tabelle18[[#This Row],[value_id]])*(Tabelle5[doc_id]=Tabelle18[[#This Row],[doc_id_strongest]]),0)),""))</f>
        <v/>
      </c>
      <c r="H524" s="32" t="str" cm="1">
        <f t="array" ref="H524">IF(Tabelle18[[#This Row],[doc_id_strongest]]="","",IFERROR(INDEX(Tabelle5[evidence_quote],MATCH(1,(Tabelle5[company_id]=Tabelle18[[#This Row],[company_id]])*(Tabelle5[value_id]=Tabelle18[[#This Row],[value_id]])*(Tabelle5[doc_id]=Tabelle18[[#This Row],[doc_id_strongest]]),0)),""))</f>
        <v/>
      </c>
    </row>
    <row r="525" spans="1:8" x14ac:dyDescent="0.25">
      <c r="A525" s="36">
        <v>30</v>
      </c>
      <c r="B525" t="s">
        <v>61</v>
      </c>
      <c r="C525" s="4">
        <f>IF(Tabelle18[[#This Row],[binding_level_company]]&gt;=1,1,0)</f>
        <v>0</v>
      </c>
      <c r="D525" s="4">
        <f>IFERROR(_xlfn.MAXIFS(Tabelle5[binding_level],Tabelle5[company_id],Tabelle18[[#This Row],[company_id]],Tabelle5[value_id],Tabelle18[[#This Row],[value_id]],Tabelle5[value_present],1),0)</f>
        <v>0</v>
      </c>
      <c r="E525" s="4">
        <f>IFERROR(_xlfn.MAXIFS(Tabelle5[value_points],Tabelle5[company_id],Tabelle18[[#This Row],[company_id]],Tabelle5[value_id],Tabelle18[[#This Row],[value_id]]),0)</f>
        <v>0</v>
      </c>
      <c r="F525" t="str">
        <f>IF(Tabelle18[[#This Row],[value_points_company]]=0,"",IFERROR(_xlfn.MINIFS(Tabelle5[doc_id],Tabelle5[company_id],Tabelle18[[#This Row],[company_id]],Tabelle5[value_id],Tabelle18[[#This Row],[value_id]],Tabelle5[value_points],Tabelle18[[#This Row],[value_points_company]]),""))</f>
        <v/>
      </c>
      <c r="G525" t="str" cm="1">
        <f t="array" ref="G525">IF(Tabelle18[[#This Row],[doc_id_strongest]]="","",IFERROR(INDEX(Tabelle5[evidence_location],MATCH(1,(Tabelle5[company_id]=Tabelle18[[#This Row],[company_id]])*(Tabelle5[value_id]=Tabelle18[[#This Row],[value_id]])*(Tabelle5[doc_id]=Tabelle18[[#This Row],[doc_id_strongest]]),0)),""))</f>
        <v/>
      </c>
      <c r="H525" s="33" t="str" cm="1">
        <f t="array" ref="H525">IF(Tabelle18[[#This Row],[doc_id_strongest]]="","",IFERROR(INDEX(Tabelle5[evidence_quote],MATCH(1,(Tabelle5[company_id]=Tabelle18[[#This Row],[company_id]])*(Tabelle5[value_id]=Tabelle18[[#This Row],[value_id]])*(Tabelle5[doc_id]=Tabelle18[[#This Row],[doc_id_strongest]]),0)),""))</f>
        <v/>
      </c>
    </row>
    <row r="526" spans="1:8" x14ac:dyDescent="0.25">
      <c r="A526" s="36">
        <v>30</v>
      </c>
      <c r="B526" t="s">
        <v>69</v>
      </c>
      <c r="C526" s="4">
        <f>IF(Tabelle18[[#This Row],[binding_level_company]]&gt;=1,1,0)</f>
        <v>0</v>
      </c>
      <c r="D526" s="4">
        <f>IFERROR(_xlfn.MAXIFS(Tabelle5[binding_level],Tabelle5[company_id],Tabelle18[[#This Row],[company_id]],Tabelle5[value_id],Tabelle18[[#This Row],[value_id]],Tabelle5[value_present],1),0)</f>
        <v>0</v>
      </c>
      <c r="E526" s="4">
        <f>IFERROR(_xlfn.MAXIFS(Tabelle5[value_points],Tabelle5[company_id],Tabelle18[[#This Row],[company_id]],Tabelle5[value_id],Tabelle18[[#This Row],[value_id]]),0)</f>
        <v>0</v>
      </c>
      <c r="F526" t="str">
        <f>IF(Tabelle18[[#This Row],[value_points_company]]=0,"",IFERROR(_xlfn.MINIFS(Tabelle5[doc_id],Tabelle5[company_id],Tabelle18[[#This Row],[company_id]],Tabelle5[value_id],Tabelle18[[#This Row],[value_id]],Tabelle5[value_points],Tabelle18[[#This Row],[value_points_company]]),""))</f>
        <v/>
      </c>
      <c r="G526" t="str" cm="1">
        <f t="array" ref="G526">IF(Tabelle18[[#This Row],[doc_id_strongest]]="","",IFERROR(INDEX(Tabelle5[evidence_location],MATCH(1,(Tabelle5[company_id]=Tabelle18[[#This Row],[company_id]])*(Tabelle5[value_id]=Tabelle18[[#This Row],[value_id]])*(Tabelle5[doc_id]=Tabelle18[[#This Row],[doc_id_strongest]]),0)),""))</f>
        <v/>
      </c>
      <c r="H526" s="33" t="str" cm="1">
        <f t="array" ref="H526">IF(Tabelle18[[#This Row],[doc_id_strongest]]="","",IFERROR(INDEX(Tabelle5[evidence_quote],MATCH(1,(Tabelle5[company_id]=Tabelle18[[#This Row],[company_id]])*(Tabelle5[value_id]=Tabelle18[[#This Row],[value_id]])*(Tabelle5[doc_id]=Tabelle18[[#This Row],[doc_id_strongest]]),0)),""))</f>
        <v/>
      </c>
    </row>
    <row r="527" spans="1:8" x14ac:dyDescent="0.25">
      <c r="A527" s="36">
        <v>30</v>
      </c>
      <c r="B527" t="s">
        <v>76</v>
      </c>
      <c r="C527" s="4">
        <f>IF(Tabelle18[[#This Row],[binding_level_company]]&gt;=1,1,0)</f>
        <v>0</v>
      </c>
      <c r="D527" s="4">
        <f>IFERROR(_xlfn.MAXIFS(Tabelle5[binding_level],Tabelle5[company_id],Tabelle18[[#This Row],[company_id]],Tabelle5[value_id],Tabelle18[[#This Row],[value_id]],Tabelle5[value_present],1),0)</f>
        <v>0</v>
      </c>
      <c r="E527" s="4">
        <f>IFERROR(_xlfn.MAXIFS(Tabelle5[value_points],Tabelle5[company_id],Tabelle18[[#This Row],[company_id]],Tabelle5[value_id],Tabelle18[[#This Row],[value_id]]),0)</f>
        <v>0</v>
      </c>
      <c r="F527" t="str">
        <f>IF(Tabelle18[[#This Row],[value_points_company]]=0,"",IFERROR(_xlfn.MINIFS(Tabelle5[doc_id],Tabelle5[company_id],Tabelle18[[#This Row],[company_id]],Tabelle5[value_id],Tabelle18[[#This Row],[value_id]],Tabelle5[value_points],Tabelle18[[#This Row],[value_points_company]]),""))</f>
        <v/>
      </c>
      <c r="G527" t="str" cm="1">
        <f t="array" ref="G527">IF(Tabelle18[[#This Row],[doc_id_strongest]]="","",IFERROR(INDEX(Tabelle5[evidence_location],MATCH(1,(Tabelle5[company_id]=Tabelle18[[#This Row],[company_id]])*(Tabelle5[value_id]=Tabelle18[[#This Row],[value_id]])*(Tabelle5[doc_id]=Tabelle18[[#This Row],[doc_id_strongest]]),0)),""))</f>
        <v/>
      </c>
      <c r="H527" s="33" t="str" cm="1">
        <f t="array" ref="H527">IF(Tabelle18[[#This Row],[doc_id_strongest]]="","",IFERROR(INDEX(Tabelle5[evidence_quote],MATCH(1,(Tabelle5[company_id]=Tabelle18[[#This Row],[company_id]])*(Tabelle5[value_id]=Tabelle18[[#This Row],[value_id]])*(Tabelle5[doc_id]=Tabelle18[[#This Row],[doc_id_strongest]]),0)),""))</f>
        <v/>
      </c>
    </row>
    <row r="528" spans="1:8" x14ac:dyDescent="0.25">
      <c r="A528" s="36">
        <v>30</v>
      </c>
      <c r="B528" t="s">
        <v>83</v>
      </c>
      <c r="C528" s="4">
        <f>IF(Tabelle18[[#This Row],[binding_level_company]]&gt;=1,1,0)</f>
        <v>0</v>
      </c>
      <c r="D528" s="4">
        <f>IFERROR(_xlfn.MAXIFS(Tabelle5[binding_level],Tabelle5[company_id],Tabelle18[[#This Row],[company_id]],Tabelle5[value_id],Tabelle18[[#This Row],[value_id]],Tabelle5[value_present],1),0)</f>
        <v>0</v>
      </c>
      <c r="E528" s="4">
        <f>IFERROR(_xlfn.MAXIFS(Tabelle5[value_points],Tabelle5[company_id],Tabelle18[[#This Row],[company_id]],Tabelle5[value_id],Tabelle18[[#This Row],[value_id]]),0)</f>
        <v>0</v>
      </c>
      <c r="F528" t="str">
        <f>IF(Tabelle18[[#This Row],[value_points_company]]=0,"",IFERROR(_xlfn.MINIFS(Tabelle5[doc_id],Tabelle5[company_id],Tabelle18[[#This Row],[company_id]],Tabelle5[value_id],Tabelle18[[#This Row],[value_id]],Tabelle5[value_points],Tabelle18[[#This Row],[value_points_company]]),""))</f>
        <v/>
      </c>
      <c r="G528" t="str" cm="1">
        <f t="array" ref="G528">IF(Tabelle18[[#This Row],[doc_id_strongest]]="","",IFERROR(INDEX(Tabelle5[evidence_location],MATCH(1,(Tabelle5[company_id]=Tabelle18[[#This Row],[company_id]])*(Tabelle5[value_id]=Tabelle18[[#This Row],[value_id]])*(Tabelle5[doc_id]=Tabelle18[[#This Row],[doc_id_strongest]]),0)),""))</f>
        <v/>
      </c>
      <c r="H528" s="33" t="str" cm="1">
        <f t="array" ref="H528">IF(Tabelle18[[#This Row],[doc_id_strongest]]="","",IFERROR(INDEX(Tabelle5[evidence_quote],MATCH(1,(Tabelle5[company_id]=Tabelle18[[#This Row],[company_id]])*(Tabelle5[value_id]=Tabelle18[[#This Row],[value_id]])*(Tabelle5[doc_id]=Tabelle18[[#This Row],[doc_id_strongest]]),0)),""))</f>
        <v/>
      </c>
    </row>
    <row r="529" spans="1:8" x14ac:dyDescent="0.25">
      <c r="A529" s="36">
        <v>30</v>
      </c>
      <c r="B529" t="s">
        <v>90</v>
      </c>
      <c r="C529" s="4">
        <f>IF(Tabelle18[[#This Row],[binding_level_company]]&gt;=1,1,0)</f>
        <v>0</v>
      </c>
      <c r="D529" s="4">
        <f>IFERROR(_xlfn.MAXIFS(Tabelle5[binding_level],Tabelle5[company_id],Tabelle18[[#This Row],[company_id]],Tabelle5[value_id],Tabelle18[[#This Row],[value_id]],Tabelle5[value_present],1),0)</f>
        <v>0</v>
      </c>
      <c r="E529" s="4">
        <f>IFERROR(_xlfn.MAXIFS(Tabelle5[value_points],Tabelle5[company_id],Tabelle18[[#This Row],[company_id]],Tabelle5[value_id],Tabelle18[[#This Row],[value_id]]),0)</f>
        <v>0</v>
      </c>
      <c r="F529" t="str">
        <f>IF(Tabelle18[[#This Row],[value_points_company]]=0,"",IFERROR(_xlfn.MINIFS(Tabelle5[doc_id],Tabelle5[company_id],Tabelle18[[#This Row],[company_id]],Tabelle5[value_id],Tabelle18[[#This Row],[value_id]],Tabelle5[value_points],Tabelle18[[#This Row],[value_points_company]]),""))</f>
        <v/>
      </c>
      <c r="G529" t="str" cm="1">
        <f t="array" ref="G529">IF(Tabelle18[[#This Row],[doc_id_strongest]]="","",IFERROR(INDEX(Tabelle5[evidence_location],MATCH(1,(Tabelle5[company_id]=Tabelle18[[#This Row],[company_id]])*(Tabelle5[value_id]=Tabelle18[[#This Row],[value_id]])*(Tabelle5[doc_id]=Tabelle18[[#This Row],[doc_id_strongest]]),0)),""))</f>
        <v/>
      </c>
      <c r="H529" s="33" t="str" cm="1">
        <f t="array" ref="H529">IF(Tabelle18[[#This Row],[doc_id_strongest]]="","",IFERROR(INDEX(Tabelle5[evidence_quote],MATCH(1,(Tabelle5[company_id]=Tabelle18[[#This Row],[company_id]])*(Tabelle5[value_id]=Tabelle18[[#This Row],[value_id]])*(Tabelle5[doc_id]=Tabelle18[[#This Row],[doc_id_strongest]]),0)),""))</f>
        <v/>
      </c>
    </row>
    <row r="530" spans="1:8" x14ac:dyDescent="0.25">
      <c r="A530" s="36">
        <v>30</v>
      </c>
      <c r="B530" t="s">
        <v>98</v>
      </c>
      <c r="C530" s="4">
        <f>IF(Tabelle18[[#This Row],[binding_level_company]]&gt;=1,1,0)</f>
        <v>0</v>
      </c>
      <c r="D530" s="4">
        <f>IFERROR(_xlfn.MAXIFS(Tabelle5[binding_level],Tabelle5[company_id],Tabelle18[[#This Row],[company_id]],Tabelle5[value_id],Tabelle18[[#This Row],[value_id]],Tabelle5[value_present],1),0)</f>
        <v>0</v>
      </c>
      <c r="E530" s="4">
        <f>IFERROR(_xlfn.MAXIFS(Tabelle5[value_points],Tabelle5[company_id],Tabelle18[[#This Row],[company_id]],Tabelle5[value_id],Tabelle18[[#This Row],[value_id]]),0)</f>
        <v>0</v>
      </c>
      <c r="F530" t="str">
        <f>IF(Tabelle18[[#This Row],[value_points_company]]=0,"",IFERROR(_xlfn.MINIFS(Tabelle5[doc_id],Tabelle5[company_id],Tabelle18[[#This Row],[company_id]],Tabelle5[value_id],Tabelle18[[#This Row],[value_id]],Tabelle5[value_points],Tabelle18[[#This Row],[value_points_company]]),""))</f>
        <v/>
      </c>
      <c r="G530" t="str" cm="1">
        <f t="array" ref="G530">IF(Tabelle18[[#This Row],[doc_id_strongest]]="","",IFERROR(INDEX(Tabelle5[evidence_location],MATCH(1,(Tabelle5[company_id]=Tabelle18[[#This Row],[company_id]])*(Tabelle5[value_id]=Tabelle18[[#This Row],[value_id]])*(Tabelle5[doc_id]=Tabelle18[[#This Row],[doc_id_strongest]]),0)),""))</f>
        <v/>
      </c>
      <c r="H530" s="33" t="str" cm="1">
        <f t="array" ref="H530">IF(Tabelle18[[#This Row],[doc_id_strongest]]="","",IFERROR(INDEX(Tabelle5[evidence_quote],MATCH(1,(Tabelle5[company_id]=Tabelle18[[#This Row],[company_id]])*(Tabelle5[value_id]=Tabelle18[[#This Row],[value_id]])*(Tabelle5[doc_id]=Tabelle18[[#This Row],[doc_id_strongest]]),0)),""))</f>
        <v/>
      </c>
    </row>
    <row r="531" spans="1:8" x14ac:dyDescent="0.25">
      <c r="A531" s="36">
        <v>30</v>
      </c>
      <c r="B531" t="s">
        <v>106</v>
      </c>
      <c r="C531" s="4">
        <f>IF(Tabelle18[[#This Row],[binding_level_company]]&gt;=1,1,0)</f>
        <v>0</v>
      </c>
      <c r="D531" s="4">
        <f>IFERROR(_xlfn.MAXIFS(Tabelle5[binding_level],Tabelle5[company_id],Tabelle18[[#This Row],[company_id]],Tabelle5[value_id],Tabelle18[[#This Row],[value_id]],Tabelle5[value_present],1),0)</f>
        <v>0</v>
      </c>
      <c r="E531" s="4">
        <f>IFERROR(_xlfn.MAXIFS(Tabelle5[value_points],Tabelle5[company_id],Tabelle18[[#This Row],[company_id]],Tabelle5[value_id],Tabelle18[[#This Row],[value_id]]),0)</f>
        <v>0</v>
      </c>
      <c r="F531" t="str">
        <f>IF(Tabelle18[[#This Row],[value_points_company]]=0,"",IFERROR(_xlfn.MINIFS(Tabelle5[doc_id],Tabelle5[company_id],Tabelle18[[#This Row],[company_id]],Tabelle5[value_id],Tabelle18[[#This Row],[value_id]],Tabelle5[value_points],Tabelle18[[#This Row],[value_points_company]]),""))</f>
        <v/>
      </c>
      <c r="G531" t="str" cm="1">
        <f t="array" ref="G531">IF(Tabelle18[[#This Row],[doc_id_strongest]]="","",IFERROR(INDEX(Tabelle5[evidence_location],MATCH(1,(Tabelle5[company_id]=Tabelle18[[#This Row],[company_id]])*(Tabelle5[value_id]=Tabelle18[[#This Row],[value_id]])*(Tabelle5[doc_id]=Tabelle18[[#This Row],[doc_id_strongest]]),0)),""))</f>
        <v/>
      </c>
      <c r="H531" s="33" t="str" cm="1">
        <f t="array" ref="H531">IF(Tabelle18[[#This Row],[doc_id_strongest]]="","",IFERROR(INDEX(Tabelle5[evidence_quote],MATCH(1,(Tabelle5[company_id]=Tabelle18[[#This Row],[company_id]])*(Tabelle5[value_id]=Tabelle18[[#This Row],[value_id]])*(Tabelle5[doc_id]=Tabelle18[[#This Row],[doc_id_strongest]]),0)),""))</f>
        <v/>
      </c>
    </row>
    <row r="532" spans="1:8" x14ac:dyDescent="0.25">
      <c r="A532" s="36">
        <v>30</v>
      </c>
      <c r="B532" t="s">
        <v>112</v>
      </c>
      <c r="C532" s="4">
        <f>IF(Tabelle18[[#This Row],[binding_level_company]]&gt;=1,1,0)</f>
        <v>0</v>
      </c>
      <c r="D532" s="4">
        <f>IFERROR(_xlfn.MAXIFS(Tabelle5[binding_level],Tabelle5[company_id],Tabelle18[[#This Row],[company_id]],Tabelle5[value_id],Tabelle18[[#This Row],[value_id]],Tabelle5[value_present],1),0)</f>
        <v>0</v>
      </c>
      <c r="E532" s="4">
        <f>IFERROR(_xlfn.MAXIFS(Tabelle5[value_points],Tabelle5[company_id],Tabelle18[[#This Row],[company_id]],Tabelle5[value_id],Tabelle18[[#This Row],[value_id]]),0)</f>
        <v>0</v>
      </c>
      <c r="F532" t="str">
        <f>IF(Tabelle18[[#This Row],[value_points_company]]=0,"",IFERROR(_xlfn.MINIFS(Tabelle5[doc_id],Tabelle5[company_id],Tabelle18[[#This Row],[company_id]],Tabelle5[value_id],Tabelle18[[#This Row],[value_id]],Tabelle5[value_points],Tabelle18[[#This Row],[value_points_company]]),""))</f>
        <v/>
      </c>
      <c r="G532" t="str" cm="1">
        <f t="array" ref="G532">IF(Tabelle18[[#This Row],[doc_id_strongest]]="","",IFERROR(INDEX(Tabelle5[evidence_location],MATCH(1,(Tabelle5[company_id]=Tabelle18[[#This Row],[company_id]])*(Tabelle5[value_id]=Tabelle18[[#This Row],[value_id]])*(Tabelle5[doc_id]=Tabelle18[[#This Row],[doc_id_strongest]]),0)),""))</f>
        <v/>
      </c>
      <c r="H532" s="33" t="str" cm="1">
        <f t="array" ref="H532">IF(Tabelle18[[#This Row],[doc_id_strongest]]="","",IFERROR(INDEX(Tabelle5[evidence_quote],MATCH(1,(Tabelle5[company_id]=Tabelle18[[#This Row],[company_id]])*(Tabelle5[value_id]=Tabelle18[[#This Row],[value_id]])*(Tabelle5[doc_id]=Tabelle18[[#This Row],[doc_id_strongest]]),0)),""))</f>
        <v/>
      </c>
    </row>
    <row r="533" spans="1:8" x14ac:dyDescent="0.25">
      <c r="A533" s="36">
        <v>30</v>
      </c>
      <c r="B533" t="s">
        <v>118</v>
      </c>
      <c r="C533" s="4">
        <f>IF(Tabelle18[[#This Row],[binding_level_company]]&gt;=1,1,0)</f>
        <v>0</v>
      </c>
      <c r="D533" s="4">
        <f>IFERROR(_xlfn.MAXIFS(Tabelle5[binding_level],Tabelle5[company_id],Tabelle18[[#This Row],[company_id]],Tabelle5[value_id],Tabelle18[[#This Row],[value_id]],Tabelle5[value_present],1),0)</f>
        <v>0</v>
      </c>
      <c r="E533" s="4">
        <f>IFERROR(_xlfn.MAXIFS(Tabelle5[value_points],Tabelle5[company_id],Tabelle18[[#This Row],[company_id]],Tabelle5[value_id],Tabelle18[[#This Row],[value_id]]),0)</f>
        <v>0</v>
      </c>
      <c r="F533" t="str">
        <f>IF(Tabelle18[[#This Row],[value_points_company]]=0,"",IFERROR(_xlfn.MINIFS(Tabelle5[doc_id],Tabelle5[company_id],Tabelle18[[#This Row],[company_id]],Tabelle5[value_id],Tabelle18[[#This Row],[value_id]],Tabelle5[value_points],Tabelle18[[#This Row],[value_points_company]]),""))</f>
        <v/>
      </c>
      <c r="G533" t="str" cm="1">
        <f t="array" ref="G533">IF(Tabelle18[[#This Row],[doc_id_strongest]]="","",IFERROR(INDEX(Tabelle5[evidence_location],MATCH(1,(Tabelle5[company_id]=Tabelle18[[#This Row],[company_id]])*(Tabelle5[value_id]=Tabelle18[[#This Row],[value_id]])*(Tabelle5[doc_id]=Tabelle18[[#This Row],[doc_id_strongest]]),0)),""))</f>
        <v/>
      </c>
      <c r="H533" s="33" t="str" cm="1">
        <f t="array" ref="H533">IF(Tabelle18[[#This Row],[doc_id_strongest]]="","",IFERROR(INDEX(Tabelle5[evidence_quote],MATCH(1,(Tabelle5[company_id]=Tabelle18[[#This Row],[company_id]])*(Tabelle5[value_id]=Tabelle18[[#This Row],[value_id]])*(Tabelle5[doc_id]=Tabelle18[[#This Row],[doc_id_strongest]]),0)),""))</f>
        <v/>
      </c>
    </row>
    <row r="534" spans="1:8" x14ac:dyDescent="0.25">
      <c r="A534" s="36">
        <v>30</v>
      </c>
      <c r="B534" t="s">
        <v>125</v>
      </c>
      <c r="C534" s="4">
        <f>IF(Tabelle18[[#This Row],[binding_level_company]]&gt;=1,1,0)</f>
        <v>0</v>
      </c>
      <c r="D534" s="4">
        <f>IFERROR(_xlfn.MAXIFS(Tabelle5[binding_level],Tabelle5[company_id],Tabelle18[[#This Row],[company_id]],Tabelle5[value_id],Tabelle18[[#This Row],[value_id]],Tabelle5[value_present],1),0)</f>
        <v>0</v>
      </c>
      <c r="E534" s="4">
        <f>IFERROR(_xlfn.MAXIFS(Tabelle5[value_points],Tabelle5[company_id],Tabelle18[[#This Row],[company_id]],Tabelle5[value_id],Tabelle18[[#This Row],[value_id]]),0)</f>
        <v>0</v>
      </c>
      <c r="F534" t="str">
        <f>IF(Tabelle18[[#This Row],[value_points_company]]=0,"",IFERROR(_xlfn.MINIFS(Tabelle5[doc_id],Tabelle5[company_id],Tabelle18[[#This Row],[company_id]],Tabelle5[value_id],Tabelle18[[#This Row],[value_id]],Tabelle5[value_points],Tabelle18[[#This Row],[value_points_company]]),""))</f>
        <v/>
      </c>
      <c r="G534" t="str" cm="1">
        <f t="array" ref="G534">IF(Tabelle18[[#This Row],[doc_id_strongest]]="","",IFERROR(INDEX(Tabelle5[evidence_location],MATCH(1,(Tabelle5[company_id]=Tabelle18[[#This Row],[company_id]])*(Tabelle5[value_id]=Tabelle18[[#This Row],[value_id]])*(Tabelle5[doc_id]=Tabelle18[[#This Row],[doc_id_strongest]]),0)),""))</f>
        <v/>
      </c>
      <c r="H534" s="33" t="str" cm="1">
        <f t="array" ref="H534">IF(Tabelle18[[#This Row],[doc_id_strongest]]="","",IFERROR(INDEX(Tabelle5[evidence_quote],MATCH(1,(Tabelle5[company_id]=Tabelle18[[#This Row],[company_id]])*(Tabelle5[value_id]=Tabelle18[[#This Row],[value_id]])*(Tabelle5[doc_id]=Tabelle18[[#This Row],[doc_id_strongest]]),0)),""))</f>
        <v/>
      </c>
    </row>
    <row r="535" spans="1:8" x14ac:dyDescent="0.25">
      <c r="A535" s="36">
        <v>30</v>
      </c>
      <c r="B535" t="s">
        <v>132</v>
      </c>
      <c r="C535" s="4">
        <f>IF(Tabelle18[[#This Row],[binding_level_company]]&gt;=1,1,0)</f>
        <v>0</v>
      </c>
      <c r="D535" s="4">
        <f>IFERROR(_xlfn.MAXIFS(Tabelle5[binding_level],Tabelle5[company_id],Tabelle18[[#This Row],[company_id]],Tabelle5[value_id],Tabelle18[[#This Row],[value_id]],Tabelle5[value_present],1),0)</f>
        <v>0</v>
      </c>
      <c r="E535" s="4">
        <f>IFERROR(_xlfn.MAXIFS(Tabelle5[value_points],Tabelle5[company_id],Tabelle18[[#This Row],[company_id]],Tabelle5[value_id],Tabelle18[[#This Row],[value_id]]),0)</f>
        <v>0</v>
      </c>
      <c r="F535" t="str">
        <f>IF(Tabelle18[[#This Row],[value_points_company]]=0,"",IFERROR(_xlfn.MINIFS(Tabelle5[doc_id],Tabelle5[company_id],Tabelle18[[#This Row],[company_id]],Tabelle5[value_id],Tabelle18[[#This Row],[value_id]],Tabelle5[value_points],Tabelle18[[#This Row],[value_points_company]]),""))</f>
        <v/>
      </c>
      <c r="G535" t="str" cm="1">
        <f t="array" ref="G535">IF(Tabelle18[[#This Row],[doc_id_strongest]]="","",IFERROR(INDEX(Tabelle5[evidence_location],MATCH(1,(Tabelle5[company_id]=Tabelle18[[#This Row],[company_id]])*(Tabelle5[value_id]=Tabelle18[[#This Row],[value_id]])*(Tabelle5[doc_id]=Tabelle18[[#This Row],[doc_id_strongest]]),0)),""))</f>
        <v/>
      </c>
      <c r="H535" s="33" t="str" cm="1">
        <f t="array" ref="H535">IF(Tabelle18[[#This Row],[doc_id_strongest]]="","",IFERROR(INDEX(Tabelle5[evidence_quote],MATCH(1,(Tabelle5[company_id]=Tabelle18[[#This Row],[company_id]])*(Tabelle5[value_id]=Tabelle18[[#This Row],[value_id]])*(Tabelle5[doc_id]=Tabelle18[[#This Row],[doc_id_strongest]]),0)),""))</f>
        <v/>
      </c>
    </row>
    <row r="536" spans="1:8" x14ac:dyDescent="0.25">
      <c r="A536" s="36">
        <v>30</v>
      </c>
      <c r="B536" t="s">
        <v>140</v>
      </c>
      <c r="C536" s="4">
        <f>IF(Tabelle18[[#This Row],[binding_level_company]]&gt;=1,1,0)</f>
        <v>0</v>
      </c>
      <c r="D536" s="4">
        <f>IFERROR(_xlfn.MAXIFS(Tabelle5[binding_level],Tabelle5[company_id],Tabelle18[[#This Row],[company_id]],Tabelle5[value_id],Tabelle18[[#This Row],[value_id]],Tabelle5[value_present],1),0)</f>
        <v>0</v>
      </c>
      <c r="E536" s="4">
        <f>IFERROR(_xlfn.MAXIFS(Tabelle5[value_points],Tabelle5[company_id],Tabelle18[[#This Row],[company_id]],Tabelle5[value_id],Tabelle18[[#This Row],[value_id]]),0)</f>
        <v>0</v>
      </c>
      <c r="F536" t="str">
        <f>IF(Tabelle18[[#This Row],[value_points_company]]=0,"",IFERROR(_xlfn.MINIFS(Tabelle5[doc_id],Tabelle5[company_id],Tabelle18[[#This Row],[company_id]],Tabelle5[value_id],Tabelle18[[#This Row],[value_id]],Tabelle5[value_points],Tabelle18[[#This Row],[value_points_company]]),""))</f>
        <v/>
      </c>
      <c r="G536" t="str" cm="1">
        <f t="array" ref="G536">IF(Tabelle18[[#This Row],[doc_id_strongest]]="","",IFERROR(INDEX(Tabelle5[evidence_location],MATCH(1,(Tabelle5[company_id]=Tabelle18[[#This Row],[company_id]])*(Tabelle5[value_id]=Tabelle18[[#This Row],[value_id]])*(Tabelle5[doc_id]=Tabelle18[[#This Row],[doc_id_strongest]]),0)),""))</f>
        <v/>
      </c>
      <c r="H536" s="33" t="str" cm="1">
        <f t="array" ref="H536">IF(Tabelle18[[#This Row],[doc_id_strongest]]="","",IFERROR(INDEX(Tabelle5[evidence_quote],MATCH(1,(Tabelle5[company_id]=Tabelle18[[#This Row],[company_id]])*(Tabelle5[value_id]=Tabelle18[[#This Row],[value_id]])*(Tabelle5[doc_id]=Tabelle18[[#This Row],[doc_id_strongest]]),0)),""))</f>
        <v/>
      </c>
    </row>
    <row r="537" spans="1:8" x14ac:dyDescent="0.25">
      <c r="A537" s="36">
        <v>30</v>
      </c>
      <c r="B537" t="s">
        <v>147</v>
      </c>
      <c r="C537" s="4">
        <f>IF(Tabelle18[[#This Row],[binding_level_company]]&gt;=1,1,0)</f>
        <v>0</v>
      </c>
      <c r="D537" s="4">
        <f>IFERROR(_xlfn.MAXIFS(Tabelle5[binding_level],Tabelle5[company_id],Tabelle18[[#This Row],[company_id]],Tabelle5[value_id],Tabelle18[[#This Row],[value_id]],Tabelle5[value_present],1),0)</f>
        <v>0</v>
      </c>
      <c r="E537" s="4">
        <f>IFERROR(_xlfn.MAXIFS(Tabelle5[value_points],Tabelle5[company_id],Tabelle18[[#This Row],[company_id]],Tabelle5[value_id],Tabelle18[[#This Row],[value_id]]),0)</f>
        <v>0</v>
      </c>
      <c r="F537" t="str">
        <f>IF(Tabelle18[[#This Row],[value_points_company]]=0,"",IFERROR(_xlfn.MINIFS(Tabelle5[doc_id],Tabelle5[company_id],Tabelle18[[#This Row],[company_id]],Tabelle5[value_id],Tabelle18[[#This Row],[value_id]],Tabelle5[value_points],Tabelle18[[#This Row],[value_points_company]]),""))</f>
        <v/>
      </c>
      <c r="G537" t="str" cm="1">
        <f t="array" ref="G537">IF(Tabelle18[[#This Row],[doc_id_strongest]]="","",IFERROR(INDEX(Tabelle5[evidence_location],MATCH(1,(Tabelle5[company_id]=Tabelle18[[#This Row],[company_id]])*(Tabelle5[value_id]=Tabelle18[[#This Row],[value_id]])*(Tabelle5[doc_id]=Tabelle18[[#This Row],[doc_id_strongest]]),0)),""))</f>
        <v/>
      </c>
      <c r="H537" s="33" t="str" cm="1">
        <f t="array" ref="H537">IF(Tabelle18[[#This Row],[doc_id_strongest]]="","",IFERROR(INDEX(Tabelle5[evidence_quote],MATCH(1,(Tabelle5[company_id]=Tabelle18[[#This Row],[company_id]])*(Tabelle5[value_id]=Tabelle18[[#This Row],[value_id]])*(Tabelle5[doc_id]=Tabelle18[[#This Row],[doc_id_strongest]]),0)),""))</f>
        <v/>
      </c>
    </row>
    <row r="538" spans="1:8" x14ac:dyDescent="0.25">
      <c r="A538" s="36">
        <v>30</v>
      </c>
      <c r="B538" t="s">
        <v>154</v>
      </c>
      <c r="C538" s="4">
        <f>IF(Tabelle18[[#This Row],[binding_level_company]]&gt;=1,1,0)</f>
        <v>0</v>
      </c>
      <c r="D538" s="4">
        <f>IFERROR(_xlfn.MAXIFS(Tabelle5[binding_level],Tabelle5[company_id],Tabelle18[[#This Row],[company_id]],Tabelle5[value_id],Tabelle18[[#This Row],[value_id]],Tabelle5[value_present],1),0)</f>
        <v>0</v>
      </c>
      <c r="E538" s="4">
        <f>IFERROR(_xlfn.MAXIFS(Tabelle5[value_points],Tabelle5[company_id],Tabelle18[[#This Row],[company_id]],Tabelle5[value_id],Tabelle18[[#This Row],[value_id]]),0)</f>
        <v>0</v>
      </c>
      <c r="F538" t="str">
        <f>IF(Tabelle18[[#This Row],[value_points_company]]=0,"",IFERROR(_xlfn.MINIFS(Tabelle5[doc_id],Tabelle5[company_id],Tabelle18[[#This Row],[company_id]],Tabelle5[value_id],Tabelle18[[#This Row],[value_id]],Tabelle5[value_points],Tabelle18[[#This Row],[value_points_company]]),""))</f>
        <v/>
      </c>
      <c r="G538" t="str" cm="1">
        <f t="array" ref="G538">IF(Tabelle18[[#This Row],[doc_id_strongest]]="","",IFERROR(INDEX(Tabelle5[evidence_location],MATCH(1,(Tabelle5[company_id]=Tabelle18[[#This Row],[company_id]])*(Tabelle5[value_id]=Tabelle18[[#This Row],[value_id]])*(Tabelle5[doc_id]=Tabelle18[[#This Row],[doc_id_strongest]]),0)),""))</f>
        <v/>
      </c>
      <c r="H538" s="33" t="str" cm="1">
        <f t="array" ref="H538">IF(Tabelle18[[#This Row],[doc_id_strongest]]="","",IFERROR(INDEX(Tabelle5[evidence_quote],MATCH(1,(Tabelle5[company_id]=Tabelle18[[#This Row],[company_id]])*(Tabelle5[value_id]=Tabelle18[[#This Row],[value_id]])*(Tabelle5[doc_id]=Tabelle18[[#This Row],[doc_id_strongest]]),0)),""))</f>
        <v/>
      </c>
    </row>
    <row r="539" spans="1:8" x14ac:dyDescent="0.25">
      <c r="A539" s="36">
        <v>30</v>
      </c>
      <c r="B539" t="s">
        <v>161</v>
      </c>
      <c r="C539" s="4">
        <f>IF(Tabelle18[[#This Row],[binding_level_company]]&gt;=1,1,0)</f>
        <v>0</v>
      </c>
      <c r="D539" s="4">
        <f>IFERROR(_xlfn.MAXIFS(Tabelle5[binding_level],Tabelle5[company_id],Tabelle18[[#This Row],[company_id]],Tabelle5[value_id],Tabelle18[[#This Row],[value_id]],Tabelle5[value_present],1),0)</f>
        <v>0</v>
      </c>
      <c r="E539" s="4">
        <f>IFERROR(_xlfn.MAXIFS(Tabelle5[value_points],Tabelle5[company_id],Tabelle18[[#This Row],[company_id]],Tabelle5[value_id],Tabelle18[[#This Row],[value_id]]),0)</f>
        <v>0</v>
      </c>
      <c r="F539" t="str">
        <f>IF(Tabelle18[[#This Row],[value_points_company]]=0,"",IFERROR(_xlfn.MINIFS(Tabelle5[doc_id],Tabelle5[company_id],Tabelle18[[#This Row],[company_id]],Tabelle5[value_id],Tabelle18[[#This Row],[value_id]],Tabelle5[value_points],Tabelle18[[#This Row],[value_points_company]]),""))</f>
        <v/>
      </c>
      <c r="G539" t="str" cm="1">
        <f t="array" ref="G539">IF(Tabelle18[[#This Row],[doc_id_strongest]]="","",IFERROR(INDEX(Tabelle5[evidence_location],MATCH(1,(Tabelle5[company_id]=Tabelle18[[#This Row],[company_id]])*(Tabelle5[value_id]=Tabelle18[[#This Row],[value_id]])*(Tabelle5[doc_id]=Tabelle18[[#This Row],[doc_id_strongest]]),0)),""))</f>
        <v/>
      </c>
      <c r="H539" s="33" t="str" cm="1">
        <f t="array" ref="H539">IF(Tabelle18[[#This Row],[doc_id_strongest]]="","",IFERROR(INDEX(Tabelle5[evidence_quote],MATCH(1,(Tabelle5[company_id]=Tabelle18[[#This Row],[company_id]])*(Tabelle5[value_id]=Tabelle18[[#This Row],[value_id]])*(Tabelle5[doc_id]=Tabelle18[[#This Row],[doc_id_strongest]]),0)),""))</f>
        <v/>
      </c>
    </row>
    <row r="540" spans="1:8" x14ac:dyDescent="0.25">
      <c r="A540" s="36">
        <v>30</v>
      </c>
      <c r="B540" t="s">
        <v>166</v>
      </c>
      <c r="C540" s="4">
        <f>IF(Tabelle18[[#This Row],[binding_level_company]]&gt;=1,1,0)</f>
        <v>0</v>
      </c>
      <c r="D540" s="4">
        <f>IFERROR(_xlfn.MAXIFS(Tabelle5[binding_level],Tabelle5[company_id],Tabelle18[[#This Row],[company_id]],Tabelle5[value_id],Tabelle18[[#This Row],[value_id]],Tabelle5[value_present],1),0)</f>
        <v>0</v>
      </c>
      <c r="E540" s="4">
        <f>IFERROR(_xlfn.MAXIFS(Tabelle5[value_points],Tabelle5[company_id],Tabelle18[[#This Row],[company_id]],Tabelle5[value_id],Tabelle18[[#This Row],[value_id]]),0)</f>
        <v>0</v>
      </c>
      <c r="F540" t="str">
        <f>IF(Tabelle18[[#This Row],[value_points_company]]=0,"",IFERROR(_xlfn.MINIFS(Tabelle5[doc_id],Tabelle5[company_id],Tabelle18[[#This Row],[company_id]],Tabelle5[value_id],Tabelle18[[#This Row],[value_id]],Tabelle5[value_points],Tabelle18[[#This Row],[value_points_company]]),""))</f>
        <v/>
      </c>
      <c r="G540" t="str" cm="1">
        <f t="array" ref="G540">IF(Tabelle18[[#This Row],[doc_id_strongest]]="","",IFERROR(INDEX(Tabelle5[evidence_location],MATCH(1,(Tabelle5[company_id]=Tabelle18[[#This Row],[company_id]])*(Tabelle5[value_id]=Tabelle18[[#This Row],[value_id]])*(Tabelle5[doc_id]=Tabelle18[[#This Row],[doc_id_strongest]]),0)),""))</f>
        <v/>
      </c>
      <c r="H540" s="33" t="str" cm="1">
        <f t="array" ref="H540">IF(Tabelle18[[#This Row],[doc_id_strongest]]="","",IFERROR(INDEX(Tabelle5[evidence_quote],MATCH(1,(Tabelle5[company_id]=Tabelle18[[#This Row],[company_id]])*(Tabelle5[value_id]=Tabelle18[[#This Row],[value_id]])*(Tabelle5[doc_id]=Tabelle18[[#This Row],[doc_id_strongest]]),0)),""))</f>
        <v/>
      </c>
    </row>
    <row r="541" spans="1:8" ht="15.75" thickBot="1" x14ac:dyDescent="0.3">
      <c r="A541" s="37">
        <v>30</v>
      </c>
      <c r="B541" s="30" t="s">
        <v>174</v>
      </c>
      <c r="C541" s="49">
        <f>IF(Tabelle18[[#This Row],[binding_level_company]]&gt;=1,1,0)</f>
        <v>0</v>
      </c>
      <c r="D541" s="49">
        <f>IFERROR(_xlfn.MAXIFS(Tabelle5[binding_level],Tabelle5[company_id],Tabelle18[[#This Row],[company_id]],Tabelle5[value_id],Tabelle18[[#This Row],[value_id]],Tabelle5[value_present],1),0)</f>
        <v>0</v>
      </c>
      <c r="E541" s="49">
        <f>IFERROR(_xlfn.MAXIFS(Tabelle5[value_points],Tabelle5[company_id],Tabelle18[[#This Row],[company_id]],Tabelle5[value_id],Tabelle18[[#This Row],[value_id]]),0)</f>
        <v>0</v>
      </c>
      <c r="F541" s="30" t="str">
        <f>IF(Tabelle18[[#This Row],[value_points_company]]=0,"",IFERROR(_xlfn.MINIFS(Tabelle5[doc_id],Tabelle5[company_id],Tabelle18[[#This Row],[company_id]],Tabelle5[value_id],Tabelle18[[#This Row],[value_id]],Tabelle5[value_points],Tabelle18[[#This Row],[value_points_company]]),""))</f>
        <v/>
      </c>
      <c r="G541" s="30" t="str" cm="1">
        <f t="array" ref="G541">IF(Tabelle18[[#This Row],[doc_id_strongest]]="","",IFERROR(INDEX(Tabelle5[evidence_location],MATCH(1,(Tabelle5[company_id]=Tabelle18[[#This Row],[company_id]])*(Tabelle5[value_id]=Tabelle18[[#This Row],[value_id]])*(Tabelle5[doc_id]=Tabelle18[[#This Row],[doc_id_strongest]]),0)),""))</f>
        <v/>
      </c>
      <c r="H541" s="34" t="str" cm="1">
        <f t="array" ref="H541">IF(Tabelle18[[#This Row],[doc_id_strongest]]="","",IFERROR(INDEX(Tabelle5[evidence_quote],MATCH(1,(Tabelle5[company_id]=Tabelle18[[#This Row],[company_id]])*(Tabelle5[value_id]=Tabelle18[[#This Row],[value_id]])*(Tabelle5[doc_id]=Tabelle18[[#This Row],[doc_id_strongest]]),0)),""))</f>
        <v/>
      </c>
    </row>
    <row r="542" spans="1:8" x14ac:dyDescent="0.25">
      <c r="A542" s="35">
        <v>31</v>
      </c>
      <c r="B542" s="22" t="s">
        <v>53</v>
      </c>
      <c r="C542" s="48">
        <f>IF(Tabelle18[[#This Row],[binding_level_company]]&gt;=1,1,0)</f>
        <v>1</v>
      </c>
      <c r="D542" s="48">
        <f>IFERROR(_xlfn.MAXIFS(Tabelle5[binding_level],Tabelle5[company_id],Tabelle18[[#This Row],[company_id]],Tabelle5[value_id],Tabelle18[[#This Row],[value_id]],Tabelle5[value_present],1),0)</f>
        <v>2</v>
      </c>
      <c r="E542" s="48">
        <f>IFERROR(_xlfn.MAXIFS(Tabelle5[value_points],Tabelle5[company_id],Tabelle18[[#This Row],[company_id]],Tabelle5[value_id],Tabelle18[[#This Row],[value_id]]),0)</f>
        <v>2</v>
      </c>
      <c r="F542" s="22">
        <f>IF(Tabelle18[[#This Row],[value_points_company]]=0,"",IFERROR(_xlfn.MINIFS(Tabelle5[doc_id],Tabelle5[company_id],Tabelle18[[#This Row],[company_id]],Tabelle5[value_id],Tabelle18[[#This Row],[value_id]],Tabelle5[value_points],Tabelle18[[#This Row],[value_points_company]]),""))</f>
        <v>184</v>
      </c>
      <c r="G542" s="22" t="str" cm="1">
        <f t="array" ref="G542">IF(Tabelle18[[#This Row],[doc_id_strongest]]="","",IFERROR(INDEX(Tabelle5[evidence_location],MATCH(1,(Tabelle5[company_id]=Tabelle18[[#This Row],[company_id]])*(Tabelle5[value_id]=Tabelle18[[#This Row],[value_id]])*(Tabelle5[doc_id]=Tabelle18[[#This Row],[doc_id_strongest]]),0)),""))</f>
        <v>S. 2 „Human-Centricity“ / Einleitung</v>
      </c>
      <c r="H542" s="32" t="str" cm="1">
        <f t="array" ref="H542">IF(Tabelle18[[#This Row],[doc_id_strongest]]="","",IFERROR(INDEX(Tabelle5[evidence_quote],MATCH(1,(Tabelle5[company_id]=Tabelle18[[#This Row],[company_id]])*(Tabelle5[value_id]=Tabelle18[[#This Row],[value_id]])*(Tabelle5[doc_id]=Tabelle18[[#This Row],[doc_id_strongest]]),0)),""))</f>
        <v>“our AI standards place people firmly at the heart of the process”; “AI systems are always controlled and supervised”</v>
      </c>
    </row>
    <row r="543" spans="1:8" x14ac:dyDescent="0.25">
      <c r="A543" s="36">
        <v>31</v>
      </c>
      <c r="B543" t="s">
        <v>61</v>
      </c>
      <c r="C543" s="4">
        <f>IF(Tabelle18[[#This Row],[binding_level_company]]&gt;=1,1,0)</f>
        <v>0</v>
      </c>
      <c r="D543" s="4">
        <f>IFERROR(_xlfn.MAXIFS(Tabelle5[binding_level],Tabelle5[company_id],Tabelle18[[#This Row],[company_id]],Tabelle5[value_id],Tabelle18[[#This Row],[value_id]],Tabelle5[value_present],1),0)</f>
        <v>0</v>
      </c>
      <c r="E543" s="4">
        <f>IFERROR(_xlfn.MAXIFS(Tabelle5[value_points],Tabelle5[company_id],Tabelle18[[#This Row],[company_id]],Tabelle5[value_id],Tabelle18[[#This Row],[value_id]]),0)</f>
        <v>0</v>
      </c>
      <c r="F543" t="str">
        <f>IF(Tabelle18[[#This Row],[value_points_company]]=0,"",IFERROR(_xlfn.MINIFS(Tabelle5[doc_id],Tabelle5[company_id],Tabelle18[[#This Row],[company_id]],Tabelle5[value_id],Tabelle18[[#This Row],[value_id]],Tabelle5[value_points],Tabelle18[[#This Row],[value_points_company]]),""))</f>
        <v/>
      </c>
      <c r="G543" t="str" cm="1">
        <f t="array" ref="G543">IF(Tabelle18[[#This Row],[doc_id_strongest]]="","",IFERROR(INDEX(Tabelle5[evidence_location],MATCH(1,(Tabelle5[company_id]=Tabelle18[[#This Row],[company_id]])*(Tabelle5[value_id]=Tabelle18[[#This Row],[value_id]])*(Tabelle5[doc_id]=Tabelle18[[#This Row],[doc_id_strongest]]),0)),""))</f>
        <v/>
      </c>
      <c r="H543" s="33" t="str" cm="1">
        <f t="array" ref="H543">IF(Tabelle18[[#This Row],[doc_id_strongest]]="","",IFERROR(INDEX(Tabelle5[evidence_quote],MATCH(1,(Tabelle5[company_id]=Tabelle18[[#This Row],[company_id]])*(Tabelle5[value_id]=Tabelle18[[#This Row],[value_id]])*(Tabelle5[doc_id]=Tabelle18[[#This Row],[doc_id_strongest]]),0)),""))</f>
        <v/>
      </c>
    </row>
    <row r="544" spans="1:8" x14ac:dyDescent="0.25">
      <c r="A544" s="36">
        <v>31</v>
      </c>
      <c r="B544" t="s">
        <v>69</v>
      </c>
      <c r="C544" s="4">
        <f>IF(Tabelle18[[#This Row],[binding_level_company]]&gt;=1,1,0)</f>
        <v>1</v>
      </c>
      <c r="D544" s="4">
        <f>IFERROR(_xlfn.MAXIFS(Tabelle5[binding_level],Tabelle5[company_id],Tabelle18[[#This Row],[company_id]],Tabelle5[value_id],Tabelle18[[#This Row],[value_id]],Tabelle5[value_present],1),0)</f>
        <v>2</v>
      </c>
      <c r="E544" s="4">
        <f>IFERROR(_xlfn.MAXIFS(Tabelle5[value_points],Tabelle5[company_id],Tabelle18[[#This Row],[company_id]],Tabelle5[value_id],Tabelle18[[#This Row],[value_id]]),0)</f>
        <v>2</v>
      </c>
      <c r="F544">
        <f>IF(Tabelle18[[#This Row],[value_points_company]]=0,"",IFERROR(_xlfn.MINIFS(Tabelle5[doc_id],Tabelle5[company_id],Tabelle18[[#This Row],[company_id]],Tabelle5[value_id],Tabelle18[[#This Row],[value_id]],Tabelle5[value_points],Tabelle18[[#This Row],[value_points_company]]),""))</f>
        <v>184</v>
      </c>
      <c r="G544" t="str" cm="1">
        <f t="array" ref="G544">IF(Tabelle18[[#This Row],[doc_id_strongest]]="","",IFERROR(INDEX(Tabelle5[evidence_location],MATCH(1,(Tabelle5[company_id]=Tabelle18[[#This Row],[company_id]])*(Tabelle5[value_id]=Tabelle18[[#This Row],[value_id]])*(Tabelle5[doc_id]=Tabelle18[[#This Row],[doc_id_strongest]]),0)),""))</f>
        <v>S. 2 „Transparency &amp; Explainability“</v>
      </c>
      <c r="H544" s="33" t="str" cm="1">
        <f t="array" ref="H544">IF(Tabelle18[[#This Row],[doc_id_strongest]]="","",IFERROR(INDEX(Tabelle5[evidence_quote],MATCH(1,(Tabelle5[company_id]=Tabelle18[[#This Row],[company_id]])*(Tabelle5[value_id]=Tabelle18[[#This Row],[value_id]])*(Tabelle5[doc_id]=Tabelle18[[#This Row],[doc_id_strongest]]),0)),""))</f>
        <v>“purpose, application, and results of our AI are comprehensible”</v>
      </c>
    </row>
    <row r="545" spans="1:8" x14ac:dyDescent="0.25">
      <c r="A545" s="36">
        <v>31</v>
      </c>
      <c r="B545" t="s">
        <v>76</v>
      </c>
      <c r="C545" s="4">
        <f>IF(Tabelle18[[#This Row],[binding_level_company]]&gt;=1,1,0)</f>
        <v>1</v>
      </c>
      <c r="D545" s="4">
        <f>IFERROR(_xlfn.MAXIFS(Tabelle5[binding_level],Tabelle5[company_id],Tabelle18[[#This Row],[company_id]],Tabelle5[value_id],Tabelle18[[#This Row],[value_id]],Tabelle5[value_present],1),0)</f>
        <v>2</v>
      </c>
      <c r="E545" s="4">
        <f>IFERROR(_xlfn.MAXIFS(Tabelle5[value_points],Tabelle5[company_id],Tabelle18[[#This Row],[company_id]],Tabelle5[value_id],Tabelle18[[#This Row],[value_id]]),0)</f>
        <v>2</v>
      </c>
      <c r="F545">
        <f>IF(Tabelle18[[#This Row],[value_points_company]]=0,"",IFERROR(_xlfn.MINIFS(Tabelle5[doc_id],Tabelle5[company_id],Tabelle18[[#This Row],[company_id]],Tabelle5[value_id],Tabelle18[[#This Row],[value_id]],Tabelle5[value_points],Tabelle18[[#This Row],[value_points_company]]),""))</f>
        <v>184</v>
      </c>
      <c r="G545" t="str" cm="1">
        <f t="array" ref="G545">IF(Tabelle18[[#This Row],[doc_id_strongest]]="","",IFERROR(INDEX(Tabelle5[evidence_location],MATCH(1,(Tabelle5[company_id]=Tabelle18[[#This Row],[company_id]])*(Tabelle5[value_id]=Tabelle18[[#This Row],[value_id]])*(Tabelle5[doc_id]=Tabelle18[[#This Row],[doc_id_strongest]]),0)),""))</f>
        <v>S. 2 „Transparency &amp; Explainability“</v>
      </c>
      <c r="H545" s="33" t="str" cm="1">
        <f t="array" ref="H545">IF(Tabelle18[[#This Row],[doc_id_strongest]]="","",IFERROR(INDEX(Tabelle5[evidence_quote],MATCH(1,(Tabelle5[company_id]=Tabelle18[[#This Row],[company_id]])*(Tabelle5[value_id]=Tabelle18[[#This Row],[value_id]])*(Tabelle5[doc_id]=Tabelle18[[#This Row],[doc_id_strongest]]),0)),""))</f>
        <v>“understandable, and communicated openly”</v>
      </c>
    </row>
    <row r="546" spans="1:8" x14ac:dyDescent="0.25">
      <c r="A546" s="36">
        <v>31</v>
      </c>
      <c r="B546" t="s">
        <v>83</v>
      </c>
      <c r="C546" s="4">
        <f>IF(Tabelle18[[#This Row],[binding_level_company]]&gt;=1,1,0)</f>
        <v>1</v>
      </c>
      <c r="D546" s="4">
        <f>IFERROR(_xlfn.MAXIFS(Tabelle5[binding_level],Tabelle5[company_id],Tabelle18[[#This Row],[company_id]],Tabelle5[value_id],Tabelle18[[#This Row],[value_id]],Tabelle5[value_present],1),0)</f>
        <v>2</v>
      </c>
      <c r="E546" s="4">
        <f>IFERROR(_xlfn.MAXIFS(Tabelle5[value_points],Tabelle5[company_id],Tabelle18[[#This Row],[company_id]],Tabelle5[value_id],Tabelle18[[#This Row],[value_id]]),0)</f>
        <v>2</v>
      </c>
      <c r="F546">
        <f>IF(Tabelle18[[#This Row],[value_points_company]]=0,"",IFERROR(_xlfn.MINIFS(Tabelle5[doc_id],Tabelle5[company_id],Tabelle18[[#This Row],[company_id]],Tabelle5[value_id],Tabelle18[[#This Row],[value_id]],Tabelle5[value_points],Tabelle18[[#This Row],[value_points_company]]),""))</f>
        <v>184</v>
      </c>
      <c r="G546" t="str" cm="1">
        <f t="array" ref="G546">IF(Tabelle18[[#This Row],[doc_id_strongest]]="","",IFERROR(INDEX(Tabelle5[evidence_location],MATCH(1,(Tabelle5[company_id]=Tabelle18[[#This Row],[company_id]])*(Tabelle5[value_id]=Tabelle18[[#This Row],[value_id]])*(Tabelle5[doc_id]=Tabelle18[[#This Row],[doc_id_strongest]]),0)),""))</f>
        <v>S. 2 „Diversity, Equity &amp; Inclusion“</v>
      </c>
      <c r="H546" s="33" t="str" cm="1">
        <f t="array" ref="H546">IF(Tabelle18[[#This Row],[doc_id_strongest]]="","",IFERROR(INDEX(Tabelle5[evidence_quote],MATCH(1,(Tabelle5[company_id]=Tabelle18[[#This Row],[company_id]])*(Tabelle5[value_id]=Tabelle18[[#This Row],[value_id]])*(Tabelle5[doc_id]=Tabelle18[[#This Row],[doc_id_strongest]]),0)),""))</f>
        <v>“actively prevents discrimination”</v>
      </c>
    </row>
    <row r="547" spans="1:8" x14ac:dyDescent="0.25">
      <c r="A547" s="36">
        <v>31</v>
      </c>
      <c r="B547" t="s">
        <v>90</v>
      </c>
      <c r="C547" s="4">
        <f>IF(Tabelle18[[#This Row],[binding_level_company]]&gt;=1,1,0)</f>
        <v>1</v>
      </c>
      <c r="D547" s="4">
        <f>IFERROR(_xlfn.MAXIFS(Tabelle5[binding_level],Tabelle5[company_id],Tabelle18[[#This Row],[company_id]],Tabelle5[value_id],Tabelle18[[#This Row],[value_id]],Tabelle5[value_present],1),0)</f>
        <v>3</v>
      </c>
      <c r="E547" s="4">
        <f>IFERROR(_xlfn.MAXIFS(Tabelle5[value_points],Tabelle5[company_id],Tabelle18[[#This Row],[company_id]],Tabelle5[value_id],Tabelle18[[#This Row],[value_id]]),0)</f>
        <v>3</v>
      </c>
      <c r="F547">
        <f>IF(Tabelle18[[#This Row],[value_points_company]]=0,"",IFERROR(_xlfn.MINIFS(Tabelle5[doc_id],Tabelle5[company_id],Tabelle18[[#This Row],[company_id]],Tabelle5[value_id],Tabelle18[[#This Row],[value_id]],Tabelle5[value_points],Tabelle18[[#This Row],[value_points_company]]),""))</f>
        <v>184</v>
      </c>
      <c r="G547" t="str" cm="1">
        <f t="array" ref="G547">IF(Tabelle18[[#This Row],[doc_id_strongest]]="","",IFERROR(INDEX(Tabelle5[evidence_location],MATCH(1,(Tabelle5[company_id]=Tabelle18[[#This Row],[company_id]])*(Tabelle5[value_id]=Tabelle18[[#This Row],[value_id]])*(Tabelle5[doc_id]=Tabelle18[[#This Row],[doc_id_strongest]]),0)),""))</f>
        <v>S. 2 „Data Protection &amp; Cybersecurity“</v>
      </c>
      <c r="H547" s="33" t="str" cm="1">
        <f t="array" ref="H547">IF(Tabelle18[[#This Row],[doc_id_strongest]]="","",IFERROR(INDEX(Tabelle5[evidence_quote],MATCH(1,(Tabelle5[company_id]=Tabelle18[[#This Row],[company_id]])*(Tabelle5[value_id]=Tabelle18[[#This Row],[value_id]])*(Tabelle5[doc_id]=Tabelle18[[#This Row],[doc_id_strongest]]),0)),""))</f>
        <v>“follow a ‘privacy/security by design’ approach”</v>
      </c>
    </row>
    <row r="548" spans="1:8" x14ac:dyDescent="0.25">
      <c r="A548" s="36">
        <v>31</v>
      </c>
      <c r="B548" t="s">
        <v>98</v>
      </c>
      <c r="C548" s="4">
        <f>IF(Tabelle18[[#This Row],[binding_level_company]]&gt;=1,1,0)</f>
        <v>1</v>
      </c>
      <c r="D548" s="4">
        <f>IFERROR(_xlfn.MAXIFS(Tabelle5[binding_level],Tabelle5[company_id],Tabelle18[[#This Row],[company_id]],Tabelle5[value_id],Tabelle18[[#This Row],[value_id]],Tabelle5[value_present],1),0)</f>
        <v>3</v>
      </c>
      <c r="E548" s="4">
        <f>IFERROR(_xlfn.MAXIFS(Tabelle5[value_points],Tabelle5[company_id],Tabelle18[[#This Row],[company_id]],Tabelle5[value_id],Tabelle18[[#This Row],[value_id]]),0)</f>
        <v>3</v>
      </c>
      <c r="F548">
        <f>IF(Tabelle18[[#This Row],[value_points_company]]=0,"",IFERROR(_xlfn.MINIFS(Tabelle5[doc_id],Tabelle5[company_id],Tabelle18[[#This Row],[company_id]],Tabelle5[value_id],Tabelle18[[#This Row],[value_id]],Tabelle5[value_points],Tabelle18[[#This Row],[value_points_company]]),""))</f>
        <v>184</v>
      </c>
      <c r="G548" t="str" cm="1">
        <f t="array" ref="G548">IF(Tabelle18[[#This Row],[doc_id_strongest]]="","",IFERROR(INDEX(Tabelle5[evidence_location],MATCH(1,(Tabelle5[company_id]=Tabelle18[[#This Row],[company_id]])*(Tabelle5[value_id]=Tabelle18[[#This Row],[value_id]])*(Tabelle5[doc_id]=Tabelle18[[#This Row],[doc_id_strongest]]),0)),""))</f>
        <v>S. 2 „Reliability, Safety &amp; Quality“ / „Data Protection &amp; Cybersecurity“</v>
      </c>
      <c r="H548" s="33" t="str" cm="1">
        <f t="array" ref="H548">IF(Tabelle18[[#This Row],[doc_id_strongest]]="","",IFERROR(INDEX(Tabelle5[evidence_quote],MATCH(1,(Tabelle5[company_id]=Tabelle18[[#This Row],[company_id]])*(Tabelle5[value_id]=Tabelle18[[#This Row],[value_id]])*(Tabelle5[doc_id]=Tabelle18[[#This Row],[doc_id_strongest]]),0)),""))</f>
        <v>“secure AI infrastructure”; “follow a ‘privacy/security by design’ approach”</v>
      </c>
    </row>
    <row r="549" spans="1:8" x14ac:dyDescent="0.25">
      <c r="A549" s="36">
        <v>31</v>
      </c>
      <c r="B549" t="s">
        <v>106</v>
      </c>
      <c r="C549" s="4">
        <f>IF(Tabelle18[[#This Row],[binding_level_company]]&gt;=1,1,0)</f>
        <v>1</v>
      </c>
      <c r="D549" s="4">
        <f>IFERROR(_xlfn.MAXIFS(Tabelle5[binding_level],Tabelle5[company_id],Tabelle18[[#This Row],[company_id]],Tabelle5[value_id],Tabelle18[[#This Row],[value_id]],Tabelle5[value_present],1),0)</f>
        <v>3</v>
      </c>
      <c r="E549" s="4">
        <f>IFERROR(_xlfn.MAXIFS(Tabelle5[value_points],Tabelle5[company_id],Tabelle18[[#This Row],[company_id]],Tabelle5[value_id],Tabelle18[[#This Row],[value_id]]),0)</f>
        <v>3</v>
      </c>
      <c r="F549">
        <f>IF(Tabelle18[[#This Row],[value_points_company]]=0,"",IFERROR(_xlfn.MINIFS(Tabelle5[doc_id],Tabelle5[company_id],Tabelle18[[#This Row],[company_id]],Tabelle5[value_id],Tabelle18[[#This Row],[value_id]],Tabelle5[value_points],Tabelle18[[#This Row],[value_points_company]]),""))</f>
        <v>184</v>
      </c>
      <c r="G549" t="str" cm="1">
        <f t="array" ref="G549">IF(Tabelle18[[#This Row],[doc_id_strongest]]="","",IFERROR(INDEX(Tabelle5[evidence_location],MATCH(1,(Tabelle5[company_id]=Tabelle18[[#This Row],[company_id]])*(Tabelle5[value_id]=Tabelle18[[#This Row],[value_id]])*(Tabelle5[doc_id]=Tabelle18[[#This Row],[doc_id_strongest]]),0)),""))</f>
        <v>S. 2 „Reliability, Safety &amp; Quality“</v>
      </c>
      <c r="H549" s="33" t="str" cm="1">
        <f t="array" ref="H549">IF(Tabelle18[[#This Row],[doc_id_strongest]]="","",IFERROR(INDEX(Tabelle5[evidence_quote],MATCH(1,(Tabelle5[company_id]=Tabelle18[[#This Row],[company_id]])*(Tabelle5[value_id]=Tabelle18[[#This Row],[value_id]])*(Tabelle5[doc_id]=Tabelle18[[#This Row],[doc_id_strongest]]),0)),""))</f>
        <v>“ongoing testing, high-quality data, and continuous monitoring”</v>
      </c>
    </row>
    <row r="550" spans="1:8" x14ac:dyDescent="0.25">
      <c r="A550" s="36">
        <v>31</v>
      </c>
      <c r="B550" t="s">
        <v>112</v>
      </c>
      <c r="C550" s="4">
        <f>IF(Tabelle18[[#This Row],[binding_level_company]]&gt;=1,1,0)</f>
        <v>1</v>
      </c>
      <c r="D550" s="4">
        <f>IFERROR(_xlfn.MAXIFS(Tabelle5[binding_level],Tabelle5[company_id],Tabelle18[[#This Row],[company_id]],Tabelle5[value_id],Tabelle18[[#This Row],[value_id]],Tabelle5[value_present],1),0)</f>
        <v>3</v>
      </c>
      <c r="E550" s="4">
        <f>IFERROR(_xlfn.MAXIFS(Tabelle5[value_points],Tabelle5[company_id],Tabelle18[[#This Row],[company_id]],Tabelle5[value_id],Tabelle18[[#This Row],[value_id]]),0)</f>
        <v>3</v>
      </c>
      <c r="F550">
        <f>IF(Tabelle18[[#This Row],[value_points_company]]=0,"",IFERROR(_xlfn.MINIFS(Tabelle5[doc_id],Tabelle5[company_id],Tabelle18[[#This Row],[company_id]],Tabelle5[value_id],Tabelle18[[#This Row],[value_id]],Tabelle5[value_points],Tabelle18[[#This Row],[value_points_company]]),""))</f>
        <v>184</v>
      </c>
      <c r="G550" t="str" cm="1">
        <f t="array" ref="G550">IF(Tabelle18[[#This Row],[doc_id_strongest]]="","",IFERROR(INDEX(Tabelle5[evidence_location],MATCH(1,(Tabelle5[company_id]=Tabelle18[[#This Row],[company_id]])*(Tabelle5[value_id]=Tabelle18[[#This Row],[value_id]])*(Tabelle5[doc_id]=Tabelle18[[#This Row],[doc_id_strongest]]),0)),""))</f>
        <v>S. 2 „Reliability, Safety &amp; Quality“</v>
      </c>
      <c r="H550" s="33" t="str" cm="1">
        <f t="array" ref="H550">IF(Tabelle18[[#This Row],[doc_id_strongest]]="","",IFERROR(INDEX(Tabelle5[evidence_quote],MATCH(1,(Tabelle5[company_id]=Tabelle18[[#This Row],[company_id]])*(Tabelle5[value_id]=Tabelle18[[#This Row],[value_id]])*(Tabelle5[doc_id]=Tabelle18[[#This Row],[doc_id_strongest]]),0)),""))</f>
        <v>“ongoing testing, high-quality data, and continuous monitoring”</v>
      </c>
    </row>
    <row r="551" spans="1:8" x14ac:dyDescent="0.25">
      <c r="A551" s="36">
        <v>31</v>
      </c>
      <c r="B551" t="s">
        <v>118</v>
      </c>
      <c r="C551" s="4">
        <f>IF(Tabelle18[[#This Row],[binding_level_company]]&gt;=1,1,0)</f>
        <v>0</v>
      </c>
      <c r="D551" s="4">
        <f>IFERROR(_xlfn.MAXIFS(Tabelle5[binding_level],Tabelle5[company_id],Tabelle18[[#This Row],[company_id]],Tabelle5[value_id],Tabelle18[[#This Row],[value_id]],Tabelle5[value_present],1),0)</f>
        <v>0</v>
      </c>
      <c r="E551" s="4">
        <f>IFERROR(_xlfn.MAXIFS(Tabelle5[value_points],Tabelle5[company_id],Tabelle18[[#This Row],[company_id]],Tabelle5[value_id],Tabelle18[[#This Row],[value_id]]),0)</f>
        <v>0</v>
      </c>
      <c r="F551" t="str">
        <f>IF(Tabelle18[[#This Row],[value_points_company]]=0,"",IFERROR(_xlfn.MINIFS(Tabelle5[doc_id],Tabelle5[company_id],Tabelle18[[#This Row],[company_id]],Tabelle5[value_id],Tabelle18[[#This Row],[value_id]],Tabelle5[value_points],Tabelle18[[#This Row],[value_points_company]]),""))</f>
        <v/>
      </c>
      <c r="G551" t="str" cm="1">
        <f t="array" ref="G551">IF(Tabelle18[[#This Row],[doc_id_strongest]]="","",IFERROR(INDEX(Tabelle5[evidence_location],MATCH(1,(Tabelle5[company_id]=Tabelle18[[#This Row],[company_id]])*(Tabelle5[value_id]=Tabelle18[[#This Row],[value_id]])*(Tabelle5[doc_id]=Tabelle18[[#This Row],[doc_id_strongest]]),0)),""))</f>
        <v/>
      </c>
      <c r="H551" s="33" t="str" cm="1">
        <f t="array" ref="H551">IF(Tabelle18[[#This Row],[doc_id_strongest]]="","",IFERROR(INDEX(Tabelle5[evidence_quote],MATCH(1,(Tabelle5[company_id]=Tabelle18[[#This Row],[company_id]])*(Tabelle5[value_id]=Tabelle18[[#This Row],[value_id]])*(Tabelle5[doc_id]=Tabelle18[[#This Row],[doc_id_strongest]]),0)),""))</f>
        <v/>
      </c>
    </row>
    <row r="552" spans="1:8" x14ac:dyDescent="0.25">
      <c r="A552" s="36">
        <v>31</v>
      </c>
      <c r="B552" t="s">
        <v>125</v>
      </c>
      <c r="C552" s="4">
        <f>IF(Tabelle18[[#This Row],[binding_level_company]]&gt;=1,1,0)</f>
        <v>0</v>
      </c>
      <c r="D552" s="4">
        <f>IFERROR(_xlfn.MAXIFS(Tabelle5[binding_level],Tabelle5[company_id],Tabelle18[[#This Row],[company_id]],Tabelle5[value_id],Tabelle18[[#This Row],[value_id]],Tabelle5[value_present],1),0)</f>
        <v>0</v>
      </c>
      <c r="E552" s="4">
        <f>IFERROR(_xlfn.MAXIFS(Tabelle5[value_points],Tabelle5[company_id],Tabelle18[[#This Row],[company_id]],Tabelle5[value_id],Tabelle18[[#This Row],[value_id]]),0)</f>
        <v>0</v>
      </c>
      <c r="F552" t="str">
        <f>IF(Tabelle18[[#This Row],[value_points_company]]=0,"",IFERROR(_xlfn.MINIFS(Tabelle5[doc_id],Tabelle5[company_id],Tabelle18[[#This Row],[company_id]],Tabelle5[value_id],Tabelle18[[#This Row],[value_id]],Tabelle5[value_points],Tabelle18[[#This Row],[value_points_company]]),""))</f>
        <v/>
      </c>
      <c r="G552" t="str" cm="1">
        <f t="array" ref="G552">IF(Tabelle18[[#This Row],[doc_id_strongest]]="","",IFERROR(INDEX(Tabelle5[evidence_location],MATCH(1,(Tabelle5[company_id]=Tabelle18[[#This Row],[company_id]])*(Tabelle5[value_id]=Tabelle18[[#This Row],[value_id]])*(Tabelle5[doc_id]=Tabelle18[[#This Row],[doc_id_strongest]]),0)),""))</f>
        <v/>
      </c>
      <c r="H552" s="33" t="str" cm="1">
        <f t="array" ref="H552">IF(Tabelle18[[#This Row],[doc_id_strongest]]="","",IFERROR(INDEX(Tabelle5[evidence_quote],MATCH(1,(Tabelle5[company_id]=Tabelle18[[#This Row],[company_id]])*(Tabelle5[value_id]=Tabelle18[[#This Row],[value_id]])*(Tabelle5[doc_id]=Tabelle18[[#This Row],[doc_id_strongest]]),0)),""))</f>
        <v/>
      </c>
    </row>
    <row r="553" spans="1:8" x14ac:dyDescent="0.25">
      <c r="A553" s="36">
        <v>31</v>
      </c>
      <c r="B553" t="s">
        <v>132</v>
      </c>
      <c r="C553" s="4">
        <f>IF(Tabelle18[[#This Row],[binding_level_company]]&gt;=1,1,0)</f>
        <v>1</v>
      </c>
      <c r="D553" s="4">
        <f>IFERROR(_xlfn.MAXIFS(Tabelle5[binding_level],Tabelle5[company_id],Tabelle18[[#This Row],[company_id]],Tabelle5[value_id],Tabelle18[[#This Row],[value_id]],Tabelle5[value_present],1),0)</f>
        <v>1</v>
      </c>
      <c r="E553" s="4">
        <f>IFERROR(_xlfn.MAXIFS(Tabelle5[value_points],Tabelle5[company_id],Tabelle18[[#This Row],[company_id]],Tabelle5[value_id],Tabelle18[[#This Row],[value_id]]),0)</f>
        <v>1</v>
      </c>
      <c r="F553">
        <f>IF(Tabelle18[[#This Row],[value_points_company]]=0,"",IFERROR(_xlfn.MINIFS(Tabelle5[doc_id],Tabelle5[company_id],Tabelle18[[#This Row],[company_id]],Tabelle5[value_id],Tabelle18[[#This Row],[value_id]],Tabelle5[value_points],Tabelle18[[#This Row],[value_points_company]]),""))</f>
        <v>184</v>
      </c>
      <c r="G553" t="str" cm="1">
        <f t="array" ref="G553">IF(Tabelle18[[#This Row],[doc_id_strongest]]="","",IFERROR(INDEX(Tabelle5[evidence_location],MATCH(1,(Tabelle5[company_id]=Tabelle18[[#This Row],[company_id]])*(Tabelle5[value_id]=Tabelle18[[#This Row],[value_id]])*(Tabelle5[doc_id]=Tabelle18[[#This Row],[doc_id_strongest]]),0)),""))</f>
        <v>S. 2 Einleitung / Schlussabsatz</v>
      </c>
      <c r="H553" s="33" t="str" cm="1">
        <f t="array" ref="H553">IF(Tabelle18[[#This Row],[doc_id_strongest]]="","",IFERROR(INDEX(Tabelle5[evidence_quote],MATCH(1,(Tabelle5[company_id]=Tabelle18[[#This Row],[company_id]])*(Tabelle5[value_id]=Tabelle18[[#This Row],[value_id]])*(Tabelle5[doc_id]=Tabelle18[[#This Row],[doc_id_strongest]]),0)),""))</f>
        <v>“towards a more sustainable energy future”; “AI supports our efforts to become climate neutral by 2040”</v>
      </c>
    </row>
    <row r="554" spans="1:8" x14ac:dyDescent="0.25">
      <c r="A554" s="36">
        <v>31</v>
      </c>
      <c r="B554" t="s">
        <v>140</v>
      </c>
      <c r="C554" s="4">
        <f>IF(Tabelle18[[#This Row],[binding_level_company]]&gt;=1,1,0)</f>
        <v>1</v>
      </c>
      <c r="D554" s="4">
        <f>IFERROR(_xlfn.MAXIFS(Tabelle5[binding_level],Tabelle5[company_id],Tabelle18[[#This Row],[company_id]],Tabelle5[value_id],Tabelle18[[#This Row],[value_id]],Tabelle5[value_present],1),0)</f>
        <v>1</v>
      </c>
      <c r="E554" s="4">
        <f>IFERROR(_xlfn.MAXIFS(Tabelle5[value_points],Tabelle5[company_id],Tabelle18[[#This Row],[company_id]],Tabelle5[value_id],Tabelle18[[#This Row],[value_id]]),0)</f>
        <v>1</v>
      </c>
      <c r="F554">
        <f>IF(Tabelle18[[#This Row],[value_points_company]]=0,"",IFERROR(_xlfn.MINIFS(Tabelle5[doc_id],Tabelle5[company_id],Tabelle18[[#This Row],[company_id]],Tabelle5[value_id],Tabelle18[[#This Row],[value_id]],Tabelle5[value_points],Tabelle18[[#This Row],[value_points_company]]),""))</f>
        <v>184</v>
      </c>
      <c r="G554" t="str" cm="1">
        <f t="array" ref="G554">IF(Tabelle18[[#This Row],[doc_id_strongest]]="","",IFERROR(INDEX(Tabelle5[evidence_location],MATCH(1,(Tabelle5[company_id]=Tabelle18[[#This Row],[company_id]])*(Tabelle5[value_id]=Tabelle18[[#This Row],[value_id]])*(Tabelle5[doc_id]=Tabelle18[[#This Row],[doc_id_strongest]]),0)),""))</f>
        <v>S. 2 „Human-Centricity“ / Schlussabsatz</v>
      </c>
      <c r="H554" s="33" t="str" cm="1">
        <f t="array" ref="H554">IF(Tabelle18[[#This Row],[doc_id_strongest]]="","",IFERROR(INDEX(Tabelle5[evidence_quote],MATCH(1,(Tabelle5[company_id]=Tabelle18[[#This Row],[company_id]])*(Tabelle5[value_id]=Tabelle18[[#This Row],[value_id]])*(Tabelle5[doc_id]=Tabelle18[[#This Row],[doc_id_strongest]]),0)),""))</f>
        <v>“the well-being of all stakeholders”; “ensure a reliable and efficient energy supply”</v>
      </c>
    </row>
    <row r="555" spans="1:8" x14ac:dyDescent="0.25">
      <c r="A555" s="36">
        <v>31</v>
      </c>
      <c r="B555" t="s">
        <v>147</v>
      </c>
      <c r="C555" s="4">
        <f>IF(Tabelle18[[#This Row],[binding_level_company]]&gt;=1,1,0)</f>
        <v>1</v>
      </c>
      <c r="D555" s="4">
        <f>IFERROR(_xlfn.MAXIFS(Tabelle5[binding_level],Tabelle5[company_id],Tabelle18[[#This Row],[company_id]],Tabelle5[value_id],Tabelle18[[#This Row],[value_id]],Tabelle5[value_present],1),0)</f>
        <v>2</v>
      </c>
      <c r="E555" s="4">
        <f>IFERROR(_xlfn.MAXIFS(Tabelle5[value_points],Tabelle5[company_id],Tabelle18[[#This Row],[company_id]],Tabelle5[value_id],Tabelle18[[#This Row],[value_id]]),0)</f>
        <v>2</v>
      </c>
      <c r="F555">
        <f>IF(Tabelle18[[#This Row],[value_points_company]]=0,"",IFERROR(_xlfn.MINIFS(Tabelle5[doc_id],Tabelle5[company_id],Tabelle18[[#This Row],[company_id]],Tabelle5[value_id],Tabelle18[[#This Row],[value_id]],Tabelle5[value_points],Tabelle18[[#This Row],[value_points_company]]),""))</f>
        <v>184</v>
      </c>
      <c r="G555" t="str" cm="1">
        <f t="array" ref="G555">IF(Tabelle18[[#This Row],[doc_id_strongest]]="","",IFERROR(INDEX(Tabelle5[evidence_location],MATCH(1,(Tabelle5[company_id]=Tabelle18[[#This Row],[company_id]])*(Tabelle5[value_id]=Tabelle18[[#This Row],[value_id]])*(Tabelle5[doc_id]=Tabelle18[[#This Row],[doc_id_strongest]]),0)),""))</f>
        <v>S. 2 „Data Protection &amp; Cybersecurity“</v>
      </c>
      <c r="H555" s="33" t="str" cm="1">
        <f t="array" ref="H555">IF(Tabelle18[[#This Row],[doc_id_strongest]]="","",IFERROR(INDEX(Tabelle5[evidence_quote],MATCH(1,(Tabelle5[company_id]=Tabelle18[[#This Row],[company_id]])*(Tabelle5[value_id]=Tabelle18[[#This Row],[value_id]])*(Tabelle5[doc_id]=Tabelle18[[#This Row],[doc_id_strongest]]),0)),""))</f>
        <v>“comply with legal requirements”</v>
      </c>
    </row>
    <row r="556" spans="1:8" x14ac:dyDescent="0.25">
      <c r="A556" s="36">
        <v>31</v>
      </c>
      <c r="B556" t="s">
        <v>154</v>
      </c>
      <c r="C556" s="4">
        <f>IF(Tabelle18[[#This Row],[binding_level_company]]&gt;=1,1,0)</f>
        <v>1</v>
      </c>
      <c r="D556" s="4">
        <f>IFERROR(_xlfn.MAXIFS(Tabelle5[binding_level],Tabelle5[company_id],Tabelle18[[#This Row],[company_id]],Tabelle5[value_id],Tabelle18[[#This Row],[value_id]],Tabelle5[value_present],1),0)</f>
        <v>1</v>
      </c>
      <c r="E556" s="4">
        <f>IFERROR(_xlfn.MAXIFS(Tabelle5[value_points],Tabelle5[company_id],Tabelle18[[#This Row],[company_id]],Tabelle5[value_id],Tabelle18[[#This Row],[value_id]]),0)</f>
        <v>1</v>
      </c>
      <c r="F556">
        <f>IF(Tabelle18[[#This Row],[value_points_company]]=0,"",IFERROR(_xlfn.MINIFS(Tabelle5[doc_id],Tabelle5[company_id],Tabelle18[[#This Row],[company_id]],Tabelle5[value_id],Tabelle18[[#This Row],[value_id]],Tabelle5[value_points],Tabelle18[[#This Row],[value_points_company]]),""))</f>
        <v>184</v>
      </c>
      <c r="G556" t="str" cm="1">
        <f t="array" ref="G556">IF(Tabelle18[[#This Row],[doc_id_strongest]]="","",IFERROR(INDEX(Tabelle5[evidence_location],MATCH(1,(Tabelle5[company_id]=Tabelle18[[#This Row],[company_id]])*(Tabelle5[value_id]=Tabelle18[[#This Row],[value_id]])*(Tabelle5[doc_id]=Tabelle18[[#This Row],[doc_id_strongest]]),0)),""))</f>
        <v>S. 2 Zwischenüberschrift „Where integrity meets innovation“</v>
      </c>
      <c r="H556" s="33" t="str" cm="1">
        <f t="array" ref="H556">IF(Tabelle18[[#This Row],[doc_id_strongest]]="","",IFERROR(INDEX(Tabelle5[evidence_quote],MATCH(1,(Tabelle5[company_id]=Tabelle18[[#This Row],[company_id]])*(Tabelle5[value_id]=Tabelle18[[#This Row],[value_id]])*(Tabelle5[doc_id]=Tabelle18[[#This Row],[doc_id_strongest]]),0)),""))</f>
        <v>“Where integrity meets innovation”</v>
      </c>
    </row>
    <row r="557" spans="1:8" x14ac:dyDescent="0.25">
      <c r="A557" s="36">
        <v>31</v>
      </c>
      <c r="B557" t="s">
        <v>161</v>
      </c>
      <c r="C557" s="4">
        <f>IF(Tabelle18[[#This Row],[binding_level_company]]&gt;=1,1,0)</f>
        <v>1</v>
      </c>
      <c r="D557" s="4">
        <f>IFERROR(_xlfn.MAXIFS(Tabelle5[binding_level],Tabelle5[company_id],Tabelle18[[#This Row],[company_id]],Tabelle5[value_id],Tabelle18[[#This Row],[value_id]],Tabelle5[value_present],1),0)</f>
        <v>3</v>
      </c>
      <c r="E557" s="4">
        <f>IFERROR(_xlfn.MAXIFS(Tabelle5[value_points],Tabelle5[company_id],Tabelle18[[#This Row],[company_id]],Tabelle5[value_id],Tabelle18[[#This Row],[value_id]]),0)</f>
        <v>3</v>
      </c>
      <c r="F557">
        <f>IF(Tabelle18[[#This Row],[value_points_company]]=0,"",IFERROR(_xlfn.MINIFS(Tabelle5[doc_id],Tabelle5[company_id],Tabelle18[[#This Row],[company_id]],Tabelle5[value_id],Tabelle18[[#This Row],[value_id]],Tabelle5[value_points],Tabelle18[[#This Row],[value_points_company]]),""))</f>
        <v>184</v>
      </c>
      <c r="G557" t="str" cm="1">
        <f t="array" ref="G557">IF(Tabelle18[[#This Row],[doc_id_strongest]]="","",IFERROR(INDEX(Tabelle5[evidence_location],MATCH(1,(Tabelle5[company_id]=Tabelle18[[#This Row],[company_id]])*(Tabelle5[value_id]=Tabelle18[[#This Row],[value_id]])*(Tabelle5[doc_id]=Tabelle18[[#This Row],[doc_id_strongest]]),0)),""))</f>
        <v>S. 2 „Reliability, Safety &amp; Quality“</v>
      </c>
      <c r="H557" s="33" t="str" cm="1">
        <f t="array" ref="H557">IF(Tabelle18[[#This Row],[doc_id_strongest]]="","",IFERROR(INDEX(Tabelle5[evidence_quote],MATCH(1,(Tabelle5[company_id]=Tabelle18[[#This Row],[company_id]])*(Tabelle5[value_id]=Tabelle18[[#This Row],[value_id]])*(Tabelle5[doc_id]=Tabelle18[[#This Row],[doc_id_strongest]]),0)),""))</f>
        <v>“ongoing testing, high-quality data, and continuous monitoring”; “high-quality data”</v>
      </c>
    </row>
    <row r="558" spans="1:8" x14ac:dyDescent="0.25">
      <c r="A558" s="36">
        <v>31</v>
      </c>
      <c r="B558" t="s">
        <v>166</v>
      </c>
      <c r="C558" s="4">
        <f>IF(Tabelle18[[#This Row],[binding_level_company]]&gt;=1,1,0)</f>
        <v>0</v>
      </c>
      <c r="D558" s="4">
        <f>IFERROR(_xlfn.MAXIFS(Tabelle5[binding_level],Tabelle5[company_id],Tabelle18[[#This Row],[company_id]],Tabelle5[value_id],Tabelle18[[#This Row],[value_id]],Tabelle5[value_present],1),0)</f>
        <v>0</v>
      </c>
      <c r="E558" s="4">
        <f>IFERROR(_xlfn.MAXIFS(Tabelle5[value_points],Tabelle5[company_id],Tabelle18[[#This Row],[company_id]],Tabelle5[value_id],Tabelle18[[#This Row],[value_id]]),0)</f>
        <v>0</v>
      </c>
      <c r="F558" t="str">
        <f>IF(Tabelle18[[#This Row],[value_points_company]]=0,"",IFERROR(_xlfn.MINIFS(Tabelle5[doc_id],Tabelle5[company_id],Tabelle18[[#This Row],[company_id]],Tabelle5[value_id],Tabelle18[[#This Row],[value_id]],Tabelle5[value_points],Tabelle18[[#This Row],[value_points_company]]),""))</f>
        <v/>
      </c>
      <c r="G558" t="str" cm="1">
        <f t="array" ref="G558">IF(Tabelle18[[#This Row],[doc_id_strongest]]="","",IFERROR(INDEX(Tabelle5[evidence_location],MATCH(1,(Tabelle5[company_id]=Tabelle18[[#This Row],[company_id]])*(Tabelle5[value_id]=Tabelle18[[#This Row],[value_id]])*(Tabelle5[doc_id]=Tabelle18[[#This Row],[doc_id_strongest]]),0)),""))</f>
        <v/>
      </c>
      <c r="H558" s="33" t="str" cm="1">
        <f t="array" ref="H558">IF(Tabelle18[[#This Row],[doc_id_strongest]]="","",IFERROR(INDEX(Tabelle5[evidence_quote],MATCH(1,(Tabelle5[company_id]=Tabelle18[[#This Row],[company_id]])*(Tabelle5[value_id]=Tabelle18[[#This Row],[value_id]])*(Tabelle5[doc_id]=Tabelle18[[#This Row],[doc_id_strongest]]),0)),""))</f>
        <v/>
      </c>
    </row>
    <row r="559" spans="1:8" ht="15.75" thickBot="1" x14ac:dyDescent="0.3">
      <c r="A559" s="37">
        <v>31</v>
      </c>
      <c r="B559" s="30" t="s">
        <v>174</v>
      </c>
      <c r="C559" s="49">
        <f>IF(Tabelle18[[#This Row],[binding_level_company]]&gt;=1,1,0)</f>
        <v>1</v>
      </c>
      <c r="D559" s="49">
        <f>IFERROR(_xlfn.MAXIFS(Tabelle5[binding_level],Tabelle5[company_id],Tabelle18[[#This Row],[company_id]],Tabelle5[value_id],Tabelle18[[#This Row],[value_id]],Tabelle5[value_present],1),0)</f>
        <v>1</v>
      </c>
      <c r="E559" s="49">
        <f>IFERROR(_xlfn.MAXIFS(Tabelle5[value_points],Tabelle5[company_id],Tabelle18[[#This Row],[company_id]],Tabelle5[value_id],Tabelle18[[#This Row],[value_id]]),0)</f>
        <v>1</v>
      </c>
      <c r="F559" s="30">
        <f>IF(Tabelle18[[#This Row],[value_points_company]]=0,"",IFERROR(_xlfn.MINIFS(Tabelle5[doc_id],Tabelle5[company_id],Tabelle18[[#This Row],[company_id]],Tabelle5[value_id],Tabelle18[[#This Row],[value_id]],Tabelle5[value_points],Tabelle18[[#This Row],[value_points_company]]),""))</f>
        <v>184</v>
      </c>
      <c r="G559" s="30" t="str" cm="1">
        <f t="array" ref="G559">IF(Tabelle18[[#This Row],[doc_id_strongest]]="","",IFERROR(INDEX(Tabelle5[evidence_location],MATCH(1,(Tabelle5[company_id]=Tabelle18[[#This Row],[company_id]])*(Tabelle5[value_id]=Tabelle18[[#This Row],[value_id]])*(Tabelle5[doc_id]=Tabelle18[[#This Row],[doc_id_strongest]]),0)),""))</f>
        <v>S. 2 „Human-Centricity“</v>
      </c>
      <c r="H559" s="34" t="str" cm="1">
        <f t="array" ref="H559">IF(Tabelle18[[#This Row],[doc_id_strongest]]="","",IFERROR(INDEX(Tabelle5[evidence_quote],MATCH(1,(Tabelle5[company_id]=Tabelle18[[#This Row],[company_id]])*(Tabelle5[value_id]=Tabelle18[[#This Row],[value_id]])*(Tabelle5[doc_id]=Tabelle18[[#This Row],[doc_id_strongest]]),0)),""))</f>
        <v>“based on fundamental values, human rights”</v>
      </c>
    </row>
    <row r="560" spans="1:8" x14ac:dyDescent="0.25">
      <c r="A560" s="35">
        <v>32</v>
      </c>
      <c r="B560" s="22" t="s">
        <v>53</v>
      </c>
      <c r="C560" s="48">
        <f>IF(Tabelle18[[#This Row],[binding_level_company]]&gt;=1,1,0)</f>
        <v>1</v>
      </c>
      <c r="D560" s="48">
        <f>IFERROR(_xlfn.MAXIFS(Tabelle5[binding_level],Tabelle5[company_id],Tabelle18[[#This Row],[company_id]],Tabelle5[value_id],Tabelle18[[#This Row],[value_id]],Tabelle5[value_present],1),0)</f>
        <v>3</v>
      </c>
      <c r="E560" s="48">
        <f>IFERROR(_xlfn.MAXIFS(Tabelle5[value_points],Tabelle5[company_id],Tabelle18[[#This Row],[company_id]],Tabelle5[value_id],Tabelle18[[#This Row],[value_id]]),0)</f>
        <v>3</v>
      </c>
      <c r="F560" s="22">
        <f>IF(Tabelle18[[#This Row],[value_points_company]]=0,"",IFERROR(_xlfn.MINIFS(Tabelle5[doc_id],Tabelle5[company_id],Tabelle18[[#This Row],[company_id]],Tabelle5[value_id],Tabelle18[[#This Row],[value_id]],Tabelle5[value_points],Tabelle18[[#This Row],[value_points_company]]),""))</f>
        <v>188</v>
      </c>
      <c r="G560" s="22" t="str" cm="1">
        <f t="array" ref="G560">IF(Tabelle18[[#This Row],[doc_id_strongest]]="","",IFERROR(INDEX(Tabelle5[evidence_location],MATCH(1,(Tabelle5[company_id]=Tabelle18[[#This Row],[company_id]])*(Tabelle5[value_id]=Tabelle18[[#This Row],[value_id]])*(Tabelle5[doc_id]=Tabelle18[[#This Row],[doc_id_strongest]]),0)),""))</f>
        <v>S. 10 „Principle 6“</v>
      </c>
      <c r="H560" s="32" t="str" cm="1">
        <f t="array" ref="H560">IF(Tabelle18[[#This Row],[doc_id_strongest]]="","",IFERROR(INDEX(Tabelle5[evidence_quote],MATCH(1,(Tabelle5[company_id]=Tabelle18[[#This Row],[company_id]])*(Tabelle5[value_id]=Tabelle18[[#This Row],[value_id]])*(Tabelle5[doc_id]=Tabelle18[[#This Row],[doc_id_strongest]]),0)),""))</f>
        <v>“Human oversight shall be achieved”</v>
      </c>
    </row>
    <row r="561" spans="1:8" x14ac:dyDescent="0.25">
      <c r="A561" s="36">
        <v>32</v>
      </c>
      <c r="B561" t="s">
        <v>61</v>
      </c>
      <c r="C561" s="4">
        <f>IF(Tabelle18[[#This Row],[binding_level_company]]&gt;=1,1,0)</f>
        <v>1</v>
      </c>
      <c r="D561" s="4">
        <f>IFERROR(_xlfn.MAXIFS(Tabelle5[binding_level],Tabelle5[company_id],Tabelle18[[#This Row],[company_id]],Tabelle5[value_id],Tabelle18[[#This Row],[value_id]],Tabelle5[value_present],1),0)</f>
        <v>3</v>
      </c>
      <c r="E561" s="4">
        <f>IFERROR(_xlfn.MAXIFS(Tabelle5[value_points],Tabelle5[company_id],Tabelle18[[#This Row],[company_id]],Tabelle5[value_id],Tabelle18[[#This Row],[value_id]]),0)</f>
        <v>3</v>
      </c>
      <c r="F561">
        <f>IF(Tabelle18[[#This Row],[value_points_company]]=0,"",IFERROR(_xlfn.MINIFS(Tabelle5[doc_id],Tabelle5[company_id],Tabelle18[[#This Row],[company_id]],Tabelle5[value_id],Tabelle18[[#This Row],[value_id]],Tabelle5[value_points],Tabelle18[[#This Row],[value_points_company]]),""))</f>
        <v>188</v>
      </c>
      <c r="G561" t="str" cm="1">
        <f t="array" ref="G561">IF(Tabelle18[[#This Row],[doc_id_strongest]]="","",IFERROR(INDEX(Tabelle5[evidence_location],MATCH(1,(Tabelle5[company_id]=Tabelle18[[#This Row],[company_id]])*(Tabelle5[value_id]=Tabelle18[[#This Row],[value_id]])*(Tabelle5[doc_id]=Tabelle18[[#This Row],[doc_id_strongest]]),0)),""))</f>
        <v>S. 11 „Principle 8“; S. 6 „Roles and Responsibilities“</v>
      </c>
      <c r="H561" s="33" t="str" cm="1">
        <f t="array" ref="H561">IF(Tabelle18[[#This Row],[doc_id_strongest]]="","",IFERROR(INDEX(Tabelle5[evidence_quote],MATCH(1,(Tabelle5[company_id]=Tabelle18[[#This Row],[company_id]])*(Tabelle5[value_id]=Tabelle18[[#This Row],[value_id]])*(Tabelle5[doc_id]=Tabelle18[[#This Row],[doc_id_strongest]]),0)),""))</f>
        <v>“responsibility must always be attributable to actors”; “Accountable for approving high-risk use cases”; “first point of contact for any AI Ethics related queries”</v>
      </c>
    </row>
    <row r="562" spans="1:8" x14ac:dyDescent="0.25">
      <c r="A562" s="36">
        <v>32</v>
      </c>
      <c r="B562" t="s">
        <v>69</v>
      </c>
      <c r="C562" s="4">
        <f>IF(Tabelle18[[#This Row],[binding_level_company]]&gt;=1,1,0)</f>
        <v>1</v>
      </c>
      <c r="D562" s="4">
        <f>IFERROR(_xlfn.MAXIFS(Tabelle5[binding_level],Tabelle5[company_id],Tabelle18[[#This Row],[company_id]],Tabelle5[value_id],Tabelle18[[#This Row],[value_id]],Tabelle5[value_present],1),0)</f>
        <v>3</v>
      </c>
      <c r="E562" s="4">
        <f>IFERROR(_xlfn.MAXIFS(Tabelle5[value_points],Tabelle5[company_id],Tabelle18[[#This Row],[company_id]],Tabelle5[value_id],Tabelle18[[#This Row],[value_id]]),0)</f>
        <v>3</v>
      </c>
      <c r="F562">
        <f>IF(Tabelle18[[#This Row],[value_points_company]]=0,"",IFERROR(_xlfn.MINIFS(Tabelle5[doc_id],Tabelle5[company_id],Tabelle18[[#This Row],[company_id]],Tabelle5[value_id],Tabelle18[[#This Row],[value_id]],Tabelle5[value_points],Tabelle18[[#This Row],[value_points_company]]),""))</f>
        <v>188</v>
      </c>
      <c r="G562" t="str" cm="1">
        <f t="array" ref="G562">IF(Tabelle18[[#This Row],[doc_id_strongest]]="","",IFERROR(INDEX(Tabelle5[evidence_location],MATCH(1,(Tabelle5[company_id]=Tabelle18[[#This Row],[company_id]])*(Tabelle5[value_id]=Tabelle18[[#This Row],[value_id]])*(Tabelle5[doc_id]=Tabelle18[[#This Row],[doc_id_strongest]]),0)),""))</f>
        <v>S. 10-11 „Principle 7“</v>
      </c>
      <c r="H562" s="33" t="str" cm="1">
        <f t="array" ref="H562">IF(Tabelle18[[#This Row],[doc_id_strongest]]="","",IFERROR(INDEX(Tabelle5[evidence_quote],MATCH(1,(Tabelle5[company_id]=Tabelle18[[#This Row],[company_id]])*(Tabelle5[value_id]=Tabelle18[[#This Row],[value_id]])*(Tabelle5[doc_id]=Tabelle18[[#This Row],[doc_id_strongest]]),0)),""))</f>
        <v>“must be communicated clearly”; “End-users must always be aware”;  “promptly documented … and shared with other actors”</v>
      </c>
    </row>
    <row r="563" spans="1:8" x14ac:dyDescent="0.25">
      <c r="A563" s="36">
        <v>32</v>
      </c>
      <c r="B563" t="s">
        <v>76</v>
      </c>
      <c r="C563" s="4">
        <f>IF(Tabelle18[[#This Row],[binding_level_company]]&gt;=1,1,0)</f>
        <v>1</v>
      </c>
      <c r="D563" s="4">
        <f>IFERROR(_xlfn.MAXIFS(Tabelle5[binding_level],Tabelle5[company_id],Tabelle18[[#This Row],[company_id]],Tabelle5[value_id],Tabelle18[[#This Row],[value_id]],Tabelle5[value_present],1),0)</f>
        <v>3</v>
      </c>
      <c r="E563" s="4">
        <f>IFERROR(_xlfn.MAXIFS(Tabelle5[value_points],Tabelle5[company_id],Tabelle18[[#This Row],[company_id]],Tabelle5[value_id],Tabelle18[[#This Row],[value_id]]),0)</f>
        <v>3</v>
      </c>
      <c r="F563">
        <f>IF(Tabelle18[[#This Row],[value_points_company]]=0,"",IFERROR(_xlfn.MINIFS(Tabelle5[doc_id],Tabelle5[company_id],Tabelle18[[#This Row],[company_id]],Tabelle5[value_id],Tabelle18[[#This Row],[value_id]],Tabelle5[value_points],Tabelle18[[#This Row],[value_points_company]]),""))</f>
        <v>188</v>
      </c>
      <c r="G563" t="str" cm="1">
        <f t="array" ref="G563">IF(Tabelle18[[#This Row],[doc_id_strongest]]="","",IFERROR(INDEX(Tabelle5[evidence_location],MATCH(1,(Tabelle5[company_id]=Tabelle18[[#This Row],[company_id]])*(Tabelle5[value_id]=Tabelle18[[#This Row],[value_id]])*(Tabelle5[doc_id]=Tabelle18[[#This Row],[doc_id_strongest]]),0)),""))</f>
        <v>S. 11 „Principle 7.3 Explainability“</v>
      </c>
      <c r="H563" s="33" t="str" cm="1">
        <f t="array" ref="H563">IF(Tabelle18[[#This Row],[doc_id_strongest]]="","",IFERROR(INDEX(Tabelle5[evidence_quote],MATCH(1,(Tabelle5[company_id]=Tabelle18[[#This Row],[company_id]])*(Tabelle5[value_id]=Tabelle18[[#This Row],[value_id]])*(Tabelle5[doc_id]=Tabelle18[[#This Row],[doc_id_strongest]]),0)),""))</f>
        <v>“explanation of how a decision was made”</v>
      </c>
    </row>
    <row r="564" spans="1:8" x14ac:dyDescent="0.25">
      <c r="A564" s="36">
        <v>32</v>
      </c>
      <c r="B564" t="s">
        <v>83</v>
      </c>
      <c r="C564" s="4">
        <f>IF(Tabelle18[[#This Row],[binding_level_company]]&gt;=1,1,0)</f>
        <v>1</v>
      </c>
      <c r="D564" s="4">
        <f>IFERROR(_xlfn.MAXIFS(Tabelle5[binding_level],Tabelle5[company_id],Tabelle18[[#This Row],[company_id]],Tabelle5[value_id],Tabelle18[[#This Row],[value_id]],Tabelle5[value_present],1),0)</f>
        <v>3</v>
      </c>
      <c r="E564" s="4">
        <f>IFERROR(_xlfn.MAXIFS(Tabelle5[value_points],Tabelle5[company_id],Tabelle18[[#This Row],[company_id]],Tabelle5[value_id],Tabelle18[[#This Row],[value_id]]),0)</f>
        <v>3</v>
      </c>
      <c r="F564">
        <f>IF(Tabelle18[[#This Row],[value_points_company]]=0,"",IFERROR(_xlfn.MINIFS(Tabelle5[doc_id],Tabelle5[company_id],Tabelle18[[#This Row],[company_id]],Tabelle5[value_id],Tabelle18[[#This Row],[value_id]],Tabelle5[value_points],Tabelle18[[#This Row],[value_points_company]]),""))</f>
        <v>188</v>
      </c>
      <c r="G564" t="str" cm="1">
        <f t="array" ref="G564">IF(Tabelle18[[#This Row],[doc_id_strongest]]="","",IFERROR(INDEX(Tabelle5[evidence_location],MATCH(1,(Tabelle5[company_id]=Tabelle18[[#This Row],[company_id]])*(Tabelle5[value_id]=Tabelle18[[#This Row],[value_id]])*(Tabelle5[doc_id]=Tabelle18[[#This Row],[doc_id_strongest]]),0)),""))</f>
        <v>S. 8–9 „Principle 3“</v>
      </c>
      <c r="H564" s="33" t="str" cm="1">
        <f t="array" ref="H564">IF(Tabelle18[[#This Row],[doc_id_strongest]]="","",IFERROR(INDEX(Tabelle5[evidence_quote],MATCH(1,(Tabelle5[company_id]=Tabelle18[[#This Row],[company_id]])*(Tabelle5[value_id]=Tabelle18[[#This Row],[value_id]])*(Tabelle5[doc_id]=Tabelle18[[#This Row],[doc_id_strongest]]),0)),""))</f>
        <v>“avoid discriminatory or biased outcomes”; “enable the affected individuals to evaluate the outputs and object”; “SAP will implement corrective measures”</v>
      </c>
    </row>
    <row r="565" spans="1:8" x14ac:dyDescent="0.25">
      <c r="A565" s="36">
        <v>32</v>
      </c>
      <c r="B565" t="s">
        <v>90</v>
      </c>
      <c r="C565" s="4">
        <f>IF(Tabelle18[[#This Row],[binding_level_company]]&gt;=1,1,0)</f>
        <v>1</v>
      </c>
      <c r="D565" s="4">
        <f>IFERROR(_xlfn.MAXIFS(Tabelle5[binding_level],Tabelle5[company_id],Tabelle18[[#This Row],[company_id]],Tabelle5[value_id],Tabelle18[[#This Row],[value_id]],Tabelle5[value_present],1),0)</f>
        <v>3</v>
      </c>
      <c r="E565" s="4">
        <f>IFERROR(_xlfn.MAXIFS(Tabelle5[value_points],Tabelle5[company_id],Tabelle18[[#This Row],[company_id]],Tabelle5[value_id],Tabelle18[[#This Row],[value_id]]),0)</f>
        <v>3</v>
      </c>
      <c r="F565">
        <f>IF(Tabelle18[[#This Row],[value_points_company]]=0,"",IFERROR(_xlfn.MINIFS(Tabelle5[doc_id],Tabelle5[company_id],Tabelle18[[#This Row],[company_id]],Tabelle5[value_id],Tabelle18[[#This Row],[value_id]],Tabelle5[value_points],Tabelle18[[#This Row],[value_points_company]]),""))</f>
        <v>189</v>
      </c>
      <c r="G565" t="str" cm="1">
        <f t="array" ref="G565">IF(Tabelle18[[#This Row],[doc_id_strongest]]="","",IFERROR(INDEX(Tabelle5[evidence_location],MATCH(1,(Tabelle5[company_id]=Tabelle18[[#This Row],[company_id]])*(Tabelle5[value_id]=Tabelle18[[#This Row],[value_id]])*(Tabelle5[doc_id]=Tabelle18[[#This Row],[doc_id_strongest]]),0)),""))</f>
        <v>S. 6; S. 16</v>
      </c>
      <c r="H565" s="33" t="str" cm="1">
        <f t="array" ref="H565">IF(Tabelle18[[#This Row],[doc_id_strongest]]="","",IFERROR(INDEX(Tabelle5[evidence_quote],MATCH(1,(Tabelle5[company_id]=Tabelle18[[#This Row],[company_id]])*(Tabelle5[value_id]=Tabelle18[[#This Row],[value_id]])*(Tabelle5[doc_id]=Tabelle18[[#This Row],[doc_id_strongest]]),0)),""))</f>
        <v>“Implement safeguards to protect personal data used to train AI models.”; “shall comply with applicable data protection, and privacy laws.”</v>
      </c>
    </row>
    <row r="566" spans="1:8" x14ac:dyDescent="0.25">
      <c r="A566" s="36">
        <v>32</v>
      </c>
      <c r="B566" t="s">
        <v>98</v>
      </c>
      <c r="C566" s="4">
        <f>IF(Tabelle18[[#This Row],[binding_level_company]]&gt;=1,1,0)</f>
        <v>1</v>
      </c>
      <c r="D566" s="4">
        <f>IFERROR(_xlfn.MAXIFS(Tabelle5[binding_level],Tabelle5[company_id],Tabelle18[[#This Row],[company_id]],Tabelle5[value_id],Tabelle18[[#This Row],[value_id]],Tabelle5[value_present],1),0)</f>
        <v>3</v>
      </c>
      <c r="E566" s="4">
        <f>IFERROR(_xlfn.MAXIFS(Tabelle5[value_points],Tabelle5[company_id],Tabelle18[[#This Row],[company_id]],Tabelle5[value_id],Tabelle18[[#This Row],[value_id]]),0)</f>
        <v>3</v>
      </c>
      <c r="F566">
        <f>IF(Tabelle18[[#This Row],[value_points_company]]=0,"",IFERROR(_xlfn.MINIFS(Tabelle5[doc_id],Tabelle5[company_id],Tabelle18[[#This Row],[company_id]],Tabelle5[value_id],Tabelle18[[#This Row],[value_id]],Tabelle5[value_points],Tabelle18[[#This Row],[value_points_company]]),""))</f>
        <v>188</v>
      </c>
      <c r="G566" t="str" cm="1">
        <f t="array" ref="G566">IF(Tabelle18[[#This Row],[doc_id_strongest]]="","",IFERROR(INDEX(Tabelle5[evidence_location],MATCH(1,(Tabelle5[company_id]=Tabelle18[[#This Row],[company_id]])*(Tabelle5[value_id]=Tabelle18[[#This Row],[value_id]])*(Tabelle5[doc_id]=Tabelle18[[#This Row],[doc_id_strongest]]),0)),""))</f>
        <v>S. 8 „Principle 2“</v>
      </c>
      <c r="H566" s="33" t="str" cm="1">
        <f t="array" ref="H566">IF(Tabelle18[[#This Row],[doc_id_strongest]]="","",IFERROR(INDEX(Tabelle5[evidence_quote],MATCH(1,(Tabelle5[company_id]=Tabelle18[[#This Row],[company_id]])*(Tabelle5[value_id]=Tabelle18[[#This Row],[value_id]])*(Tabelle5[doc_id]=Tabelle18[[#This Row],[doc_id_strongest]]),0)),""))</f>
        <v>“Safety and security measures must be guaranteed”; “AI systems must be tested extensively”</v>
      </c>
    </row>
    <row r="567" spans="1:8" x14ac:dyDescent="0.25">
      <c r="A567" s="36">
        <v>32</v>
      </c>
      <c r="B567" t="s">
        <v>106</v>
      </c>
      <c r="C567" s="4">
        <f>IF(Tabelle18[[#This Row],[binding_level_company]]&gt;=1,1,0)</f>
        <v>1</v>
      </c>
      <c r="D567" s="4">
        <f>IFERROR(_xlfn.MAXIFS(Tabelle5[binding_level],Tabelle5[company_id],Tabelle18[[#This Row],[company_id]],Tabelle5[value_id],Tabelle18[[#This Row],[value_id]],Tabelle5[value_present],1),0)</f>
        <v>3</v>
      </c>
      <c r="E567" s="4">
        <f>IFERROR(_xlfn.MAXIFS(Tabelle5[value_points],Tabelle5[company_id],Tabelle18[[#This Row],[company_id]],Tabelle5[value_id],Tabelle18[[#This Row],[value_id]]),0)</f>
        <v>3</v>
      </c>
      <c r="F567">
        <f>IF(Tabelle18[[#This Row],[value_points_company]]=0,"",IFERROR(_xlfn.MINIFS(Tabelle5[doc_id],Tabelle5[company_id],Tabelle18[[#This Row],[company_id]],Tabelle5[value_id],Tabelle18[[#This Row],[value_id]],Tabelle5[value_points],Tabelle18[[#This Row],[value_points_company]]),""))</f>
        <v>188</v>
      </c>
      <c r="G567" t="str" cm="1">
        <f t="array" ref="G567">IF(Tabelle18[[#This Row],[doc_id_strongest]]="","",IFERROR(INDEX(Tabelle5[evidence_location],MATCH(1,(Tabelle5[company_id]=Tabelle18[[#This Row],[company_id]])*(Tabelle5[value_id]=Tabelle18[[#This Row],[value_id]])*(Tabelle5[doc_id]=Tabelle18[[#This Row],[doc_id_strongest]]),0)),""))</f>
        <v>S. 7-8 „Principle 1–2“</v>
      </c>
      <c r="H567" s="33" t="str" cm="1">
        <f t="array" ref="H567">IF(Tabelle18[[#This Row],[doc_id_strongest]]="","",IFERROR(INDEX(Tabelle5[evidence_quote],MATCH(1,(Tabelle5[company_id]=Tabelle18[[#This Row],[company_id]])*(Tabelle5[value_id]=Tabelle18[[#This Row],[value_id]])*(Tabelle5[doc_id]=Tabelle18[[#This Row],[doc_id_strongest]]),0)),""))</f>
        <v>“Impact classification mechanisms and measures to prevent harm shall be defined”; “prohibits continuation of the design and development”; “Safety and security measures must be guaranteed”</v>
      </c>
    </row>
    <row r="568" spans="1:8" x14ac:dyDescent="0.25">
      <c r="A568" s="36">
        <v>32</v>
      </c>
      <c r="B568" t="s">
        <v>112</v>
      </c>
      <c r="C568" s="4">
        <f>IF(Tabelle18[[#This Row],[binding_level_company]]&gt;=1,1,0)</f>
        <v>1</v>
      </c>
      <c r="D568" s="4">
        <f>IFERROR(_xlfn.MAXIFS(Tabelle5[binding_level],Tabelle5[company_id],Tabelle18[[#This Row],[company_id]],Tabelle5[value_id],Tabelle18[[#This Row],[value_id]],Tabelle5[value_present],1),0)</f>
        <v>3</v>
      </c>
      <c r="E568" s="4">
        <f>IFERROR(_xlfn.MAXIFS(Tabelle5[value_points],Tabelle5[company_id],Tabelle18[[#This Row],[company_id]],Tabelle5[value_id],Tabelle18[[#This Row],[value_id]]),0)</f>
        <v>3</v>
      </c>
      <c r="F568">
        <f>IF(Tabelle18[[#This Row],[value_points_company]]=0,"",IFERROR(_xlfn.MINIFS(Tabelle5[doc_id],Tabelle5[company_id],Tabelle18[[#This Row],[company_id]],Tabelle5[value_id],Tabelle18[[#This Row],[value_id]],Tabelle5[value_points],Tabelle18[[#This Row],[value_points_company]]),""))</f>
        <v>188</v>
      </c>
      <c r="G568" t="str" cm="1">
        <f t="array" ref="G568">IF(Tabelle18[[#This Row],[doc_id_strongest]]="","",IFERROR(INDEX(Tabelle5[evidence_location],MATCH(1,(Tabelle5[company_id]=Tabelle18[[#This Row],[company_id]])*(Tabelle5[value_id]=Tabelle18[[#This Row],[value_id]])*(Tabelle5[doc_id]=Tabelle18[[#This Row],[doc_id_strongest]]),0)),""))</f>
        <v>S. 8 „Principle 2“</v>
      </c>
      <c r="H568" s="33" t="str" cm="1">
        <f t="array" ref="H568">IF(Tabelle18[[#This Row],[doc_id_strongest]]="","",IFERROR(INDEX(Tabelle5[evidence_quote],MATCH(1,(Tabelle5[company_id]=Tabelle18[[#This Row],[company_id]])*(Tabelle5[value_id]=Tabelle18[[#This Row],[value_id]])*(Tabelle5[doc_id]=Tabelle18[[#This Row],[doc_id_strongest]]),0)),""))</f>
        <v>“AI systems must be tested extensively”; “AI system should be monitored continuously”</v>
      </c>
    </row>
    <row r="569" spans="1:8" x14ac:dyDescent="0.25">
      <c r="A569" s="36">
        <v>32</v>
      </c>
      <c r="B569" t="s">
        <v>118</v>
      </c>
      <c r="C569" s="4">
        <f>IF(Tabelle18[[#This Row],[binding_level_company]]&gt;=1,1,0)</f>
        <v>1</v>
      </c>
      <c r="D569" s="4">
        <f>IFERROR(_xlfn.MAXIFS(Tabelle5[binding_level],Tabelle5[company_id],Tabelle18[[#This Row],[company_id]],Tabelle5[value_id],Tabelle18[[#This Row],[value_id]],Tabelle5[value_present],1),0)</f>
        <v>3</v>
      </c>
      <c r="E569" s="4">
        <f>IFERROR(_xlfn.MAXIFS(Tabelle5[value_points],Tabelle5[company_id],Tabelle18[[#This Row],[company_id]],Tabelle5[value_id],Tabelle18[[#This Row],[value_id]]),0)</f>
        <v>3</v>
      </c>
      <c r="F569">
        <f>IF(Tabelle18[[#This Row],[value_points_company]]=0,"",IFERROR(_xlfn.MINIFS(Tabelle5[doc_id],Tabelle5[company_id],Tabelle18[[#This Row],[company_id]],Tabelle5[value_id],Tabelle18[[#This Row],[value_id]],Tabelle5[value_points],Tabelle18[[#This Row],[value_points_company]]),""))</f>
        <v>188</v>
      </c>
      <c r="G569" t="str" cm="1">
        <f t="array" ref="G569">IF(Tabelle18[[#This Row],[doc_id_strongest]]="","",IFERROR(INDEX(Tabelle5[evidence_location],MATCH(1,(Tabelle5[company_id]=Tabelle18[[#This Row],[company_id]])*(Tabelle5[value_id]=Tabelle18[[#This Row],[value_id]])*(Tabelle5[doc_id]=Tabelle18[[#This Row],[doc_id_strongest]]),0)),""))</f>
        <v>S. 9 „Principle 3.2“; S. 12 „Governance“</v>
      </c>
      <c r="H569" s="33" t="str" cm="1">
        <f t="array" ref="H569">IF(Tabelle18[[#This Row],[doc_id_strongest]]="","",IFERROR(INDEX(Tabelle5[evidence_quote],MATCH(1,(Tabelle5[company_id]=Tabelle18[[#This Row],[company_id]])*(Tabelle5[value_id]=Tabelle18[[#This Row],[value_id]])*(Tabelle5[doc_id]=Tabelle18[[#This Row],[doc_id_strongest]]),0)),""))</f>
        <v>“enable the affected individuals to evaluate the outputs and object”; “have a right to challenge”; “they can use the Speak Out tool”</v>
      </c>
    </row>
    <row r="570" spans="1:8" x14ac:dyDescent="0.25">
      <c r="A570" s="36">
        <v>32</v>
      </c>
      <c r="B570" t="s">
        <v>125</v>
      </c>
      <c r="C570" s="4">
        <f>IF(Tabelle18[[#This Row],[binding_level_company]]&gt;=1,1,0)</f>
        <v>1</v>
      </c>
      <c r="D570" s="4">
        <f>IFERROR(_xlfn.MAXIFS(Tabelle5[binding_level],Tabelle5[company_id],Tabelle18[[#This Row],[company_id]],Tabelle5[value_id],Tabelle18[[#This Row],[value_id]],Tabelle5[value_present],1),0)</f>
        <v>3</v>
      </c>
      <c r="E570" s="4">
        <f>IFERROR(_xlfn.MAXIFS(Tabelle5[value_points],Tabelle5[company_id],Tabelle18[[#This Row],[company_id]],Tabelle5[value_id],Tabelle18[[#This Row],[value_id]]),0)</f>
        <v>3</v>
      </c>
      <c r="F570">
        <f>IF(Tabelle18[[#This Row],[value_points_company]]=0,"",IFERROR(_xlfn.MINIFS(Tabelle5[doc_id],Tabelle5[company_id],Tabelle18[[#This Row],[company_id]],Tabelle5[value_id],Tabelle18[[#This Row],[value_id]],Tabelle5[value_points],Tabelle18[[#This Row],[value_points_company]]),""))</f>
        <v>189</v>
      </c>
      <c r="G570" t="str" cm="1">
        <f t="array" ref="G570">IF(Tabelle18[[#This Row],[doc_id_strongest]]="","",IFERROR(INDEX(Tabelle5[evidence_location],MATCH(1,(Tabelle5[company_id]=Tabelle18[[#This Row],[company_id]])*(Tabelle5[value_id]=Tabelle18[[#This Row],[value_id]])*(Tabelle5[doc_id]=Tabelle18[[#This Row],[doc_id_strongest]]),0)),""))</f>
        <v>S. 16</v>
      </c>
      <c r="H570" s="33" t="str" cm="1">
        <f t="array" ref="H570">IF(Tabelle18[[#This Row],[doc_id_strongest]]="","",IFERROR(INDEX(Tabelle5[evidence_quote],MATCH(1,(Tabelle5[company_id]=Tabelle18[[#This Row],[company_id]])*(Tabelle5[value_id]=Tabelle18[[#This Row],[value_id]])*(Tabelle5[doc_id]=Tabelle18[[#This Row],[doc_id_strongest]]),0)),""))</f>
        <v>“following relevant accessibility standards”</v>
      </c>
    </row>
    <row r="571" spans="1:8" x14ac:dyDescent="0.25">
      <c r="A571" s="36">
        <v>32</v>
      </c>
      <c r="B571" t="s">
        <v>132</v>
      </c>
      <c r="C571" s="4">
        <f>IF(Tabelle18[[#This Row],[binding_level_company]]&gt;=1,1,0)</f>
        <v>1</v>
      </c>
      <c r="D571" s="4">
        <f>IFERROR(_xlfn.MAXIFS(Tabelle5[binding_level],Tabelle5[company_id],Tabelle18[[#This Row],[company_id]],Tabelle5[value_id],Tabelle18[[#This Row],[value_id]],Tabelle5[value_present],1),0)</f>
        <v>2</v>
      </c>
      <c r="E571" s="4">
        <f>IFERROR(_xlfn.MAXIFS(Tabelle5[value_points],Tabelle5[company_id],Tabelle18[[#This Row],[company_id]],Tabelle5[value_id],Tabelle18[[#This Row],[value_id]]),0)</f>
        <v>2</v>
      </c>
      <c r="F571">
        <f>IF(Tabelle18[[#This Row],[value_points_company]]=0,"",IFERROR(_xlfn.MINIFS(Tabelle5[doc_id],Tabelle5[company_id],Tabelle18[[#This Row],[company_id]],Tabelle5[value_id],Tabelle18[[#This Row],[value_id]],Tabelle5[value_points],Tabelle18[[#This Row],[value_points_company]]),""))</f>
        <v>188</v>
      </c>
      <c r="G571" t="str" cm="1">
        <f t="array" ref="G571">IF(Tabelle18[[#This Row],[doc_id_strongest]]="","",IFERROR(INDEX(Tabelle5[evidence_location],MATCH(1,(Tabelle5[company_id]=Tabelle18[[#This Row],[company_id]])*(Tabelle5[value_id]=Tabelle18[[#This Row],[value_id]])*(Tabelle5[doc_id]=Tabelle18[[#This Row],[doc_id_strongest]]),0)),""))</f>
        <v>S. 9 „Principle 4“</v>
      </c>
      <c r="H571" s="33" t="str" cm="1">
        <f t="array" ref="H571">IF(Tabelle18[[#This Row],[doc_id_strongest]]="","",IFERROR(INDEX(Tabelle5[evidence_quote],MATCH(1,(Tabelle5[company_id]=Tabelle18[[#This Row],[company_id]])*(Tabelle5[value_id]=Tabelle18[[#This Row],[value_id]])*(Tabelle5[doc_id]=Tabelle18[[#This Row],[doc_id_strongest]]),0)),""))</f>
        <v>“AI systems should foster environmental, economic, and social sustainability”</v>
      </c>
    </row>
    <row r="572" spans="1:8" x14ac:dyDescent="0.25">
      <c r="A572" s="36">
        <v>32</v>
      </c>
      <c r="B572" t="s">
        <v>140</v>
      </c>
      <c r="C572" s="4">
        <f>IF(Tabelle18[[#This Row],[binding_level_company]]&gt;=1,1,0)</f>
        <v>1</v>
      </c>
      <c r="D572" s="4">
        <f>IFERROR(_xlfn.MAXIFS(Tabelle5[binding_level],Tabelle5[company_id],Tabelle18[[#This Row],[company_id]],Tabelle5[value_id],Tabelle18[[#This Row],[value_id]],Tabelle5[value_present],1),0)</f>
        <v>1</v>
      </c>
      <c r="E572" s="4">
        <f>IFERROR(_xlfn.MAXIFS(Tabelle5[value_points],Tabelle5[company_id],Tabelle18[[#This Row],[company_id]],Tabelle5[value_id],Tabelle18[[#This Row],[value_id]]),0)</f>
        <v>1</v>
      </c>
      <c r="F572">
        <f>IF(Tabelle18[[#This Row],[value_points_company]]=0,"",IFERROR(_xlfn.MINIFS(Tabelle5[doc_id],Tabelle5[company_id],Tabelle18[[#This Row],[company_id]],Tabelle5[value_id],Tabelle18[[#This Row],[value_id]],Tabelle5[value_points],Tabelle18[[#This Row],[value_points_company]]),""))</f>
        <v>189</v>
      </c>
      <c r="G572" t="str" cm="1">
        <f t="array" ref="G572">IF(Tabelle18[[#This Row],[doc_id_strongest]]="","",IFERROR(INDEX(Tabelle5[evidence_location],MATCH(1,(Tabelle5[company_id]=Tabelle18[[#This Row],[company_id]])*(Tabelle5[value_id]=Tabelle18[[#This Row],[value_id]])*(Tabelle5[doc_id]=Tabelle18[[#This Row],[doc_id_strongest]]),0)),""))</f>
        <v>S. 11</v>
      </c>
      <c r="H572" s="33" t="str" cm="1">
        <f t="array" ref="H572">IF(Tabelle18[[#This Row],[doc_id_strongest]]="","",IFERROR(INDEX(Tabelle5[evidence_quote],MATCH(1,(Tabelle5[company_id]=Tabelle18[[#This Row],[company_id]])*(Tabelle5[value_id]=Tabelle18[[#This Row],[value_id]])*(Tabelle5[doc_id]=Tabelle18[[#This Row],[doc_id_strongest]]),0)),""))</f>
        <v>“strengthen the benefits of users and society in business”</v>
      </c>
    </row>
    <row r="573" spans="1:8" x14ac:dyDescent="0.25">
      <c r="A573" s="36">
        <v>32</v>
      </c>
      <c r="B573" t="s">
        <v>147</v>
      </c>
      <c r="C573" s="4">
        <f>IF(Tabelle18[[#This Row],[binding_level_company]]&gt;=1,1,0)</f>
        <v>1</v>
      </c>
      <c r="D573" s="4">
        <f>IFERROR(_xlfn.MAXIFS(Tabelle5[binding_level],Tabelle5[company_id],Tabelle18[[#This Row],[company_id]],Tabelle5[value_id],Tabelle18[[#This Row],[value_id]],Tabelle5[value_present],1),0)</f>
        <v>3</v>
      </c>
      <c r="E573" s="4">
        <f>IFERROR(_xlfn.MAXIFS(Tabelle5[value_points],Tabelle5[company_id],Tabelle18[[#This Row],[company_id]],Tabelle5[value_id],Tabelle18[[#This Row],[value_id]]),0)</f>
        <v>3</v>
      </c>
      <c r="F573">
        <f>IF(Tabelle18[[#This Row],[value_points_company]]=0,"",IFERROR(_xlfn.MINIFS(Tabelle5[doc_id],Tabelle5[company_id],Tabelle18[[#This Row],[company_id]],Tabelle5[value_id],Tabelle18[[#This Row],[value_id]],Tabelle5[value_points],Tabelle18[[#This Row],[value_points_company]]),""))</f>
        <v>189</v>
      </c>
      <c r="G573" t="str" cm="1">
        <f t="array" ref="G573">IF(Tabelle18[[#This Row],[doc_id_strongest]]="","",IFERROR(INDEX(Tabelle5[evidence_location],MATCH(1,(Tabelle5[company_id]=Tabelle18[[#This Row],[company_id]])*(Tabelle5[value_id]=Tabelle18[[#This Row],[value_id]])*(Tabelle5[doc_id]=Tabelle18[[#This Row],[doc_id_strongest]]),0)),""))</f>
        <v>S. 6; S. 16</v>
      </c>
      <c r="H573" s="33" t="str" cm="1">
        <f t="array" ref="H573">IF(Tabelle18[[#This Row],[doc_id_strongest]]="","",IFERROR(INDEX(Tabelle5[evidence_quote],MATCH(1,(Tabelle5[company_id]=Tabelle18[[#This Row],[company_id]])*(Tabelle5[value_id]=Tabelle18[[#This Row],[value_id]])*(Tabelle5[doc_id]=Tabelle18[[#This Row],[doc_id_strongest]]),0)),""))</f>
        <v>“defines intent, expectations and obligations for employees”; “shall comply with applicable data protection, and privacy laws.”</v>
      </c>
    </row>
    <row r="574" spans="1:8" x14ac:dyDescent="0.25">
      <c r="A574" s="36">
        <v>32</v>
      </c>
      <c r="B574" t="s">
        <v>154</v>
      </c>
      <c r="C574" s="4">
        <f>IF(Tabelle18[[#This Row],[binding_level_company]]&gt;=1,1,0)</f>
        <v>1</v>
      </c>
      <c r="D574" s="4">
        <f>IFERROR(_xlfn.MAXIFS(Tabelle5[binding_level],Tabelle5[company_id],Tabelle18[[#This Row],[company_id]],Tabelle5[value_id],Tabelle18[[#This Row],[value_id]],Tabelle5[value_present],1),0)</f>
        <v>2</v>
      </c>
      <c r="E574" s="4">
        <f>IFERROR(_xlfn.MAXIFS(Tabelle5[value_points],Tabelle5[company_id],Tabelle18[[#This Row],[company_id]],Tabelle5[value_id],Tabelle18[[#This Row],[value_id]]),0)</f>
        <v>2</v>
      </c>
      <c r="F574">
        <f>IF(Tabelle18[[#This Row],[value_points_company]]=0,"",IFERROR(_xlfn.MINIFS(Tabelle5[doc_id],Tabelle5[company_id],Tabelle18[[#This Row],[company_id]],Tabelle5[value_id],Tabelle18[[#This Row],[value_id]],Tabelle5[value_points],Tabelle18[[#This Row],[value_points_company]]),""))</f>
        <v>188</v>
      </c>
      <c r="G574" t="str" cm="1">
        <f t="array" ref="G574">IF(Tabelle18[[#This Row],[doc_id_strongest]]="","",IFERROR(INDEX(Tabelle5[evidence_location],MATCH(1,(Tabelle5[company_id]=Tabelle18[[#This Row],[company_id]])*(Tabelle5[value_id]=Tabelle18[[#This Row],[value_id]])*(Tabelle5[doc_id]=Tabelle18[[#This Row],[doc_id_strongest]]),0)),""))</f>
        <v>S. 3 „Introduction“</v>
      </c>
      <c r="H574" s="33" t="str" cm="1">
        <f t="array" ref="H574">IF(Tabelle18[[#This Row],[doc_id_strongest]]="","",IFERROR(INDEX(Tabelle5[evidence_quote],MATCH(1,(Tabelle5[company_id]=Tabelle18[[#This Row],[company_id]])*(Tabelle5[value_id]=Tabelle18[[#This Row],[value_id]])*(Tabelle5[doc_id]=Tabelle18[[#This Row],[doc_id_strongest]]),0)),""))</f>
        <v>“ethical development, deployment, use, and sale of AI systems”</v>
      </c>
    </row>
    <row r="575" spans="1:8" x14ac:dyDescent="0.25">
      <c r="A575" s="36">
        <v>32</v>
      </c>
      <c r="B575" t="s">
        <v>161</v>
      </c>
      <c r="C575" s="4">
        <f>IF(Tabelle18[[#This Row],[binding_level_company]]&gt;=1,1,0)</f>
        <v>1</v>
      </c>
      <c r="D575" s="4">
        <f>IFERROR(_xlfn.MAXIFS(Tabelle5[binding_level],Tabelle5[company_id],Tabelle18[[#This Row],[company_id]],Tabelle5[value_id],Tabelle18[[#This Row],[value_id]],Tabelle5[value_present],1),0)</f>
        <v>3</v>
      </c>
      <c r="E575" s="4">
        <f>IFERROR(_xlfn.MAXIFS(Tabelle5[value_points],Tabelle5[company_id],Tabelle18[[#This Row],[company_id]],Tabelle5[value_id],Tabelle18[[#This Row],[value_id]]),0)</f>
        <v>3</v>
      </c>
      <c r="F575">
        <f>IF(Tabelle18[[#This Row],[value_points_company]]=0,"",IFERROR(_xlfn.MINIFS(Tabelle5[doc_id],Tabelle5[company_id],Tabelle18[[#This Row],[company_id]],Tabelle5[value_id],Tabelle18[[#This Row],[value_id]],Tabelle5[value_points],Tabelle18[[#This Row],[value_points_company]]),""))</f>
        <v>188</v>
      </c>
      <c r="G575" t="str" cm="1">
        <f t="array" ref="G575">IF(Tabelle18[[#This Row],[doc_id_strongest]]="","",IFERROR(INDEX(Tabelle5[evidence_location],MATCH(1,(Tabelle5[company_id]=Tabelle18[[#This Row],[company_id]])*(Tabelle5[value_id]=Tabelle18[[#This Row],[value_id]])*(Tabelle5[doc_id]=Tabelle18[[#This Row],[doc_id_strongest]]),0)),""))</f>
        <v>S. 9 „Principle 3.1 Data“; S. 10–11 „Documentation“</v>
      </c>
      <c r="H575" s="33" t="str" cm="1">
        <f t="array" ref="H575">IF(Tabelle18[[#This Row],[doc_id_strongest]]="","",IFERROR(INDEX(Tabelle5[evidence_quote],MATCH(1,(Tabelle5[company_id]=Tabelle18[[#This Row],[company_id]])*(Tabelle5[value_id]=Tabelle18[[#This Row],[value_id]])*(Tabelle5[doc_id]=Tabelle18[[#This Row],[doc_id_strongest]]),0)),""))</f>
        <v>“representative, relevant, accurate, and generalizable”; “promptly documented … and shared with other actors”</v>
      </c>
    </row>
    <row r="576" spans="1:8" x14ac:dyDescent="0.25">
      <c r="A576" s="36">
        <v>32</v>
      </c>
      <c r="B576" t="s">
        <v>166</v>
      </c>
      <c r="C576" s="4">
        <f>IF(Tabelle18[[#This Row],[binding_level_company]]&gt;=1,1,0)</f>
        <v>0</v>
      </c>
      <c r="D576" s="4">
        <f>IFERROR(_xlfn.MAXIFS(Tabelle5[binding_level],Tabelle5[company_id],Tabelle18[[#This Row],[company_id]],Tabelle5[value_id],Tabelle18[[#This Row],[value_id]],Tabelle5[value_present],1),0)</f>
        <v>0</v>
      </c>
      <c r="E576" s="4">
        <f>IFERROR(_xlfn.MAXIFS(Tabelle5[value_points],Tabelle5[company_id],Tabelle18[[#This Row],[company_id]],Tabelle5[value_id],Tabelle18[[#This Row],[value_id]]),0)</f>
        <v>0</v>
      </c>
      <c r="F576" t="str">
        <f>IF(Tabelle18[[#This Row],[value_points_company]]=0,"",IFERROR(_xlfn.MINIFS(Tabelle5[doc_id],Tabelle5[company_id],Tabelle18[[#This Row],[company_id]],Tabelle5[value_id],Tabelle18[[#This Row],[value_id]],Tabelle5[value_points],Tabelle18[[#This Row],[value_points_company]]),""))</f>
        <v/>
      </c>
      <c r="G576" t="str" cm="1">
        <f t="array" ref="G576">IF(Tabelle18[[#This Row],[doc_id_strongest]]="","",IFERROR(INDEX(Tabelle5[evidence_location],MATCH(1,(Tabelle5[company_id]=Tabelle18[[#This Row],[company_id]])*(Tabelle5[value_id]=Tabelle18[[#This Row],[value_id]])*(Tabelle5[doc_id]=Tabelle18[[#This Row],[doc_id_strongest]]),0)),""))</f>
        <v/>
      </c>
      <c r="H576" s="33" t="str" cm="1">
        <f t="array" ref="H576">IF(Tabelle18[[#This Row],[doc_id_strongest]]="","",IFERROR(INDEX(Tabelle5[evidence_quote],MATCH(1,(Tabelle5[company_id]=Tabelle18[[#This Row],[company_id]])*(Tabelle5[value_id]=Tabelle18[[#This Row],[value_id]])*(Tabelle5[doc_id]=Tabelle18[[#This Row],[doc_id_strongest]]),0)),""))</f>
        <v/>
      </c>
    </row>
    <row r="577" spans="1:8" ht="15.75" thickBot="1" x14ac:dyDescent="0.3">
      <c r="A577" s="37">
        <v>32</v>
      </c>
      <c r="B577" s="30" t="s">
        <v>174</v>
      </c>
      <c r="C577" s="49">
        <f>IF(Tabelle18[[#This Row],[binding_level_company]]&gt;=1,1,0)</f>
        <v>1</v>
      </c>
      <c r="D577" s="49">
        <f>IFERROR(_xlfn.MAXIFS(Tabelle5[binding_level],Tabelle5[company_id],Tabelle18[[#This Row],[company_id]],Tabelle5[value_id],Tabelle18[[#This Row],[value_id]],Tabelle5[value_present],1),0)</f>
        <v>3</v>
      </c>
      <c r="E577" s="49">
        <f>IFERROR(_xlfn.MAXIFS(Tabelle5[value_points],Tabelle5[company_id],Tabelle18[[#This Row],[company_id]],Tabelle5[value_id],Tabelle18[[#This Row],[value_id]]),0)</f>
        <v>3</v>
      </c>
      <c r="F577" s="30">
        <f>IF(Tabelle18[[#This Row],[value_points_company]]=0,"",IFERROR(_xlfn.MINIFS(Tabelle5[doc_id],Tabelle5[company_id],Tabelle18[[#This Row],[company_id]],Tabelle5[value_id],Tabelle18[[#This Row],[value_id]],Tabelle5[value_points],Tabelle18[[#This Row],[value_points_company]]),""))</f>
        <v>188</v>
      </c>
      <c r="G577" s="30" t="str" cm="1">
        <f t="array" ref="G577">IF(Tabelle18[[#This Row],[doc_id_strongest]]="","",IFERROR(INDEX(Tabelle5[evidence_location],MATCH(1,(Tabelle5[company_id]=Tabelle18[[#This Row],[company_id]])*(Tabelle5[value_id]=Tabelle18[[#This Row],[value_id]])*(Tabelle5[doc_id]=Tabelle18[[#This Row],[doc_id_strongest]]),0)),""))</f>
        <v>S. 3 „Introduction“; S. 7 „Principle 1“</v>
      </c>
      <c r="H577" s="34" t="str" cm="1">
        <f t="array" ref="H577">IF(Tabelle18[[#This Row],[doc_id_strongest]]="","",IFERROR(INDEX(Tabelle5[evidence_quote],MATCH(1,(Tabelle5[company_id]=Tabelle18[[#This Row],[company_id]])*(Tabelle5[value_id]=Tabelle18[[#This Row],[value_id]])*(Tabelle5[doc_id]=Tabelle18[[#This Row],[doc_id_strongest]]),0)),""))</f>
        <v>“uphold and support the Universal Declaration of Human Rights”; “Human rights and fundamental freedoms must be respected”; “prohibits continuation of the design and development”</v>
      </c>
    </row>
    <row r="578" spans="1:8" x14ac:dyDescent="0.25">
      <c r="A578" s="35">
        <v>33</v>
      </c>
      <c r="B578" s="22" t="s">
        <v>53</v>
      </c>
      <c r="C578" s="48">
        <f>IF(Tabelle18[[#This Row],[binding_level_company]]&gt;=1,1,0)</f>
        <v>0</v>
      </c>
      <c r="D578" s="48">
        <f>IFERROR(_xlfn.MAXIFS(Tabelle5[binding_level],Tabelle5[company_id],Tabelle18[[#This Row],[company_id]],Tabelle5[value_id],Tabelle18[[#This Row],[value_id]],Tabelle5[value_present],1),0)</f>
        <v>0</v>
      </c>
      <c r="E578" s="48">
        <f>IFERROR(_xlfn.MAXIFS(Tabelle5[value_points],Tabelle5[company_id],Tabelle18[[#This Row],[company_id]],Tabelle5[value_id],Tabelle18[[#This Row],[value_id]]),0)</f>
        <v>0</v>
      </c>
      <c r="F578" s="22" t="str">
        <f>IF(Tabelle18[[#This Row],[value_points_company]]=0,"",IFERROR(_xlfn.MINIFS(Tabelle5[doc_id],Tabelle5[company_id],Tabelle18[[#This Row],[company_id]],Tabelle5[value_id],Tabelle18[[#This Row],[value_id]],Tabelle5[value_points],Tabelle18[[#This Row],[value_points_company]]),""))</f>
        <v/>
      </c>
      <c r="G578" s="22" t="str" cm="1">
        <f t="array" ref="G578">IF(Tabelle18[[#This Row],[doc_id_strongest]]="","",IFERROR(INDEX(Tabelle5[evidence_location],MATCH(1,(Tabelle5[company_id]=Tabelle18[[#This Row],[company_id]])*(Tabelle5[value_id]=Tabelle18[[#This Row],[value_id]])*(Tabelle5[doc_id]=Tabelle18[[#This Row],[doc_id_strongest]]),0)),""))</f>
        <v/>
      </c>
      <c r="H578" s="32" t="str" cm="1">
        <f t="array" ref="H578">IF(Tabelle18[[#This Row],[doc_id_strongest]]="","",IFERROR(INDEX(Tabelle5[evidence_quote],MATCH(1,(Tabelle5[company_id]=Tabelle18[[#This Row],[company_id]])*(Tabelle5[value_id]=Tabelle18[[#This Row],[value_id]])*(Tabelle5[doc_id]=Tabelle18[[#This Row],[doc_id_strongest]]),0)),""))</f>
        <v/>
      </c>
    </row>
    <row r="579" spans="1:8" x14ac:dyDescent="0.25">
      <c r="A579" s="36">
        <v>33</v>
      </c>
      <c r="B579" t="s">
        <v>61</v>
      </c>
      <c r="C579" s="4">
        <f>IF(Tabelle18[[#This Row],[binding_level_company]]&gt;=1,1,0)</f>
        <v>0</v>
      </c>
      <c r="D579" s="4">
        <f>IFERROR(_xlfn.MAXIFS(Tabelle5[binding_level],Tabelle5[company_id],Tabelle18[[#This Row],[company_id]],Tabelle5[value_id],Tabelle18[[#This Row],[value_id]],Tabelle5[value_present],1),0)</f>
        <v>0</v>
      </c>
      <c r="E579" s="4">
        <f>IFERROR(_xlfn.MAXIFS(Tabelle5[value_points],Tabelle5[company_id],Tabelle18[[#This Row],[company_id]],Tabelle5[value_id],Tabelle18[[#This Row],[value_id]]),0)</f>
        <v>0</v>
      </c>
      <c r="F579" t="str">
        <f>IF(Tabelle18[[#This Row],[value_points_company]]=0,"",IFERROR(_xlfn.MINIFS(Tabelle5[doc_id],Tabelle5[company_id],Tabelle18[[#This Row],[company_id]],Tabelle5[value_id],Tabelle18[[#This Row],[value_id]],Tabelle5[value_points],Tabelle18[[#This Row],[value_points_company]]),""))</f>
        <v/>
      </c>
      <c r="G579" t="str" cm="1">
        <f t="array" ref="G579">IF(Tabelle18[[#This Row],[doc_id_strongest]]="","",IFERROR(INDEX(Tabelle5[evidence_location],MATCH(1,(Tabelle5[company_id]=Tabelle18[[#This Row],[company_id]])*(Tabelle5[value_id]=Tabelle18[[#This Row],[value_id]])*(Tabelle5[doc_id]=Tabelle18[[#This Row],[doc_id_strongest]]),0)),""))</f>
        <v/>
      </c>
      <c r="H579" s="33" t="str" cm="1">
        <f t="array" ref="H579">IF(Tabelle18[[#This Row],[doc_id_strongest]]="","",IFERROR(INDEX(Tabelle5[evidence_quote],MATCH(1,(Tabelle5[company_id]=Tabelle18[[#This Row],[company_id]])*(Tabelle5[value_id]=Tabelle18[[#This Row],[value_id]])*(Tabelle5[doc_id]=Tabelle18[[#This Row],[doc_id_strongest]]),0)),""))</f>
        <v/>
      </c>
    </row>
    <row r="580" spans="1:8" x14ac:dyDescent="0.25">
      <c r="A580" s="36">
        <v>33</v>
      </c>
      <c r="B580" t="s">
        <v>69</v>
      </c>
      <c r="C580" s="4">
        <f>IF(Tabelle18[[#This Row],[binding_level_company]]&gt;=1,1,0)</f>
        <v>0</v>
      </c>
      <c r="D580" s="4">
        <f>IFERROR(_xlfn.MAXIFS(Tabelle5[binding_level],Tabelle5[company_id],Tabelle18[[#This Row],[company_id]],Tabelle5[value_id],Tabelle18[[#This Row],[value_id]],Tabelle5[value_present],1),0)</f>
        <v>0</v>
      </c>
      <c r="E580" s="4">
        <f>IFERROR(_xlfn.MAXIFS(Tabelle5[value_points],Tabelle5[company_id],Tabelle18[[#This Row],[company_id]],Tabelle5[value_id],Tabelle18[[#This Row],[value_id]]),0)</f>
        <v>0</v>
      </c>
      <c r="F580" t="str">
        <f>IF(Tabelle18[[#This Row],[value_points_company]]=0,"",IFERROR(_xlfn.MINIFS(Tabelle5[doc_id],Tabelle5[company_id],Tabelle18[[#This Row],[company_id]],Tabelle5[value_id],Tabelle18[[#This Row],[value_id]],Tabelle5[value_points],Tabelle18[[#This Row],[value_points_company]]),""))</f>
        <v/>
      </c>
      <c r="G580" t="str" cm="1">
        <f t="array" ref="G580">IF(Tabelle18[[#This Row],[doc_id_strongest]]="","",IFERROR(INDEX(Tabelle5[evidence_location],MATCH(1,(Tabelle5[company_id]=Tabelle18[[#This Row],[company_id]])*(Tabelle5[value_id]=Tabelle18[[#This Row],[value_id]])*(Tabelle5[doc_id]=Tabelle18[[#This Row],[doc_id_strongest]]),0)),""))</f>
        <v/>
      </c>
      <c r="H580" s="33" t="str" cm="1">
        <f t="array" ref="H580">IF(Tabelle18[[#This Row],[doc_id_strongest]]="","",IFERROR(INDEX(Tabelle5[evidence_quote],MATCH(1,(Tabelle5[company_id]=Tabelle18[[#This Row],[company_id]])*(Tabelle5[value_id]=Tabelle18[[#This Row],[value_id]])*(Tabelle5[doc_id]=Tabelle18[[#This Row],[doc_id_strongest]]),0)),""))</f>
        <v/>
      </c>
    </row>
    <row r="581" spans="1:8" x14ac:dyDescent="0.25">
      <c r="A581" s="36">
        <v>33</v>
      </c>
      <c r="B581" t="s">
        <v>76</v>
      </c>
      <c r="C581" s="4">
        <f>IF(Tabelle18[[#This Row],[binding_level_company]]&gt;=1,1,0)</f>
        <v>0</v>
      </c>
      <c r="D581" s="4">
        <f>IFERROR(_xlfn.MAXIFS(Tabelle5[binding_level],Tabelle5[company_id],Tabelle18[[#This Row],[company_id]],Tabelle5[value_id],Tabelle18[[#This Row],[value_id]],Tabelle5[value_present],1),0)</f>
        <v>0</v>
      </c>
      <c r="E581" s="4">
        <f>IFERROR(_xlfn.MAXIFS(Tabelle5[value_points],Tabelle5[company_id],Tabelle18[[#This Row],[company_id]],Tabelle5[value_id],Tabelle18[[#This Row],[value_id]]),0)</f>
        <v>0</v>
      </c>
      <c r="F581" t="str">
        <f>IF(Tabelle18[[#This Row],[value_points_company]]=0,"",IFERROR(_xlfn.MINIFS(Tabelle5[doc_id],Tabelle5[company_id],Tabelle18[[#This Row],[company_id]],Tabelle5[value_id],Tabelle18[[#This Row],[value_id]],Tabelle5[value_points],Tabelle18[[#This Row],[value_points_company]]),""))</f>
        <v/>
      </c>
      <c r="G581" t="str" cm="1">
        <f t="array" ref="G581">IF(Tabelle18[[#This Row],[doc_id_strongest]]="","",IFERROR(INDEX(Tabelle5[evidence_location],MATCH(1,(Tabelle5[company_id]=Tabelle18[[#This Row],[company_id]])*(Tabelle5[value_id]=Tabelle18[[#This Row],[value_id]])*(Tabelle5[doc_id]=Tabelle18[[#This Row],[doc_id_strongest]]),0)),""))</f>
        <v/>
      </c>
      <c r="H581" s="33" t="str" cm="1">
        <f t="array" ref="H581">IF(Tabelle18[[#This Row],[doc_id_strongest]]="","",IFERROR(INDEX(Tabelle5[evidence_quote],MATCH(1,(Tabelle5[company_id]=Tabelle18[[#This Row],[company_id]])*(Tabelle5[value_id]=Tabelle18[[#This Row],[value_id]])*(Tabelle5[doc_id]=Tabelle18[[#This Row],[doc_id_strongest]]),0)),""))</f>
        <v/>
      </c>
    </row>
    <row r="582" spans="1:8" x14ac:dyDescent="0.25">
      <c r="A582" s="36">
        <v>33</v>
      </c>
      <c r="B582" t="s">
        <v>83</v>
      </c>
      <c r="C582" s="4">
        <f>IF(Tabelle18[[#This Row],[binding_level_company]]&gt;=1,1,0)</f>
        <v>0</v>
      </c>
      <c r="D582" s="4">
        <f>IFERROR(_xlfn.MAXIFS(Tabelle5[binding_level],Tabelle5[company_id],Tabelle18[[#This Row],[company_id]],Tabelle5[value_id],Tabelle18[[#This Row],[value_id]],Tabelle5[value_present],1),0)</f>
        <v>0</v>
      </c>
      <c r="E582" s="4">
        <f>IFERROR(_xlfn.MAXIFS(Tabelle5[value_points],Tabelle5[company_id],Tabelle18[[#This Row],[company_id]],Tabelle5[value_id],Tabelle18[[#This Row],[value_id]]),0)</f>
        <v>0</v>
      </c>
      <c r="F582" t="str">
        <f>IF(Tabelle18[[#This Row],[value_points_company]]=0,"",IFERROR(_xlfn.MINIFS(Tabelle5[doc_id],Tabelle5[company_id],Tabelle18[[#This Row],[company_id]],Tabelle5[value_id],Tabelle18[[#This Row],[value_id]],Tabelle5[value_points],Tabelle18[[#This Row],[value_points_company]]),""))</f>
        <v/>
      </c>
      <c r="G582" t="str" cm="1">
        <f t="array" ref="G582">IF(Tabelle18[[#This Row],[doc_id_strongest]]="","",IFERROR(INDEX(Tabelle5[evidence_location],MATCH(1,(Tabelle5[company_id]=Tabelle18[[#This Row],[company_id]])*(Tabelle5[value_id]=Tabelle18[[#This Row],[value_id]])*(Tabelle5[doc_id]=Tabelle18[[#This Row],[doc_id_strongest]]),0)),""))</f>
        <v/>
      </c>
      <c r="H582" s="33" t="str" cm="1">
        <f t="array" ref="H582">IF(Tabelle18[[#This Row],[doc_id_strongest]]="","",IFERROR(INDEX(Tabelle5[evidence_quote],MATCH(1,(Tabelle5[company_id]=Tabelle18[[#This Row],[company_id]])*(Tabelle5[value_id]=Tabelle18[[#This Row],[value_id]])*(Tabelle5[doc_id]=Tabelle18[[#This Row],[doc_id_strongest]]),0)),""))</f>
        <v/>
      </c>
    </row>
    <row r="583" spans="1:8" x14ac:dyDescent="0.25">
      <c r="A583" s="36">
        <v>33</v>
      </c>
      <c r="B583" t="s">
        <v>90</v>
      </c>
      <c r="C583" s="4">
        <f>IF(Tabelle18[[#This Row],[binding_level_company]]&gt;=1,1,0)</f>
        <v>0</v>
      </c>
      <c r="D583" s="4">
        <f>IFERROR(_xlfn.MAXIFS(Tabelle5[binding_level],Tabelle5[company_id],Tabelle18[[#This Row],[company_id]],Tabelle5[value_id],Tabelle18[[#This Row],[value_id]],Tabelle5[value_present],1),0)</f>
        <v>0</v>
      </c>
      <c r="E583" s="4">
        <f>IFERROR(_xlfn.MAXIFS(Tabelle5[value_points],Tabelle5[company_id],Tabelle18[[#This Row],[company_id]],Tabelle5[value_id],Tabelle18[[#This Row],[value_id]]),0)</f>
        <v>0</v>
      </c>
      <c r="F583" t="str">
        <f>IF(Tabelle18[[#This Row],[value_points_company]]=0,"",IFERROR(_xlfn.MINIFS(Tabelle5[doc_id],Tabelle5[company_id],Tabelle18[[#This Row],[company_id]],Tabelle5[value_id],Tabelle18[[#This Row],[value_id]],Tabelle5[value_points],Tabelle18[[#This Row],[value_points_company]]),""))</f>
        <v/>
      </c>
      <c r="G583" t="str" cm="1">
        <f t="array" ref="G583">IF(Tabelle18[[#This Row],[doc_id_strongest]]="","",IFERROR(INDEX(Tabelle5[evidence_location],MATCH(1,(Tabelle5[company_id]=Tabelle18[[#This Row],[company_id]])*(Tabelle5[value_id]=Tabelle18[[#This Row],[value_id]])*(Tabelle5[doc_id]=Tabelle18[[#This Row],[doc_id_strongest]]),0)),""))</f>
        <v/>
      </c>
      <c r="H583" s="33" t="str" cm="1">
        <f t="array" ref="H583">IF(Tabelle18[[#This Row],[doc_id_strongest]]="","",IFERROR(INDEX(Tabelle5[evidence_quote],MATCH(1,(Tabelle5[company_id]=Tabelle18[[#This Row],[company_id]])*(Tabelle5[value_id]=Tabelle18[[#This Row],[value_id]])*(Tabelle5[doc_id]=Tabelle18[[#This Row],[doc_id_strongest]]),0)),""))</f>
        <v/>
      </c>
    </row>
    <row r="584" spans="1:8" x14ac:dyDescent="0.25">
      <c r="A584" s="36">
        <v>33</v>
      </c>
      <c r="B584" t="s">
        <v>98</v>
      </c>
      <c r="C584" s="4">
        <f>IF(Tabelle18[[#This Row],[binding_level_company]]&gt;=1,1,0)</f>
        <v>0</v>
      </c>
      <c r="D584" s="4">
        <f>IFERROR(_xlfn.MAXIFS(Tabelle5[binding_level],Tabelle5[company_id],Tabelle18[[#This Row],[company_id]],Tabelle5[value_id],Tabelle18[[#This Row],[value_id]],Tabelle5[value_present],1),0)</f>
        <v>0</v>
      </c>
      <c r="E584" s="4">
        <f>IFERROR(_xlfn.MAXIFS(Tabelle5[value_points],Tabelle5[company_id],Tabelle18[[#This Row],[company_id]],Tabelle5[value_id],Tabelle18[[#This Row],[value_id]]),0)</f>
        <v>0</v>
      </c>
      <c r="F584" t="str">
        <f>IF(Tabelle18[[#This Row],[value_points_company]]=0,"",IFERROR(_xlfn.MINIFS(Tabelle5[doc_id],Tabelle5[company_id],Tabelle18[[#This Row],[company_id]],Tabelle5[value_id],Tabelle18[[#This Row],[value_id]],Tabelle5[value_points],Tabelle18[[#This Row],[value_points_company]]),""))</f>
        <v/>
      </c>
      <c r="G584" t="str" cm="1">
        <f t="array" ref="G584">IF(Tabelle18[[#This Row],[doc_id_strongest]]="","",IFERROR(INDEX(Tabelle5[evidence_location],MATCH(1,(Tabelle5[company_id]=Tabelle18[[#This Row],[company_id]])*(Tabelle5[value_id]=Tabelle18[[#This Row],[value_id]])*(Tabelle5[doc_id]=Tabelle18[[#This Row],[doc_id_strongest]]),0)),""))</f>
        <v/>
      </c>
      <c r="H584" s="33" t="str" cm="1">
        <f t="array" ref="H584">IF(Tabelle18[[#This Row],[doc_id_strongest]]="","",IFERROR(INDEX(Tabelle5[evidence_quote],MATCH(1,(Tabelle5[company_id]=Tabelle18[[#This Row],[company_id]])*(Tabelle5[value_id]=Tabelle18[[#This Row],[value_id]])*(Tabelle5[doc_id]=Tabelle18[[#This Row],[doc_id_strongest]]),0)),""))</f>
        <v/>
      </c>
    </row>
    <row r="585" spans="1:8" x14ac:dyDescent="0.25">
      <c r="A585" s="36">
        <v>33</v>
      </c>
      <c r="B585" t="s">
        <v>106</v>
      </c>
      <c r="C585" s="4">
        <f>IF(Tabelle18[[#This Row],[binding_level_company]]&gt;=1,1,0)</f>
        <v>0</v>
      </c>
      <c r="D585" s="4">
        <f>IFERROR(_xlfn.MAXIFS(Tabelle5[binding_level],Tabelle5[company_id],Tabelle18[[#This Row],[company_id]],Tabelle5[value_id],Tabelle18[[#This Row],[value_id]],Tabelle5[value_present],1),0)</f>
        <v>0</v>
      </c>
      <c r="E585" s="4">
        <f>IFERROR(_xlfn.MAXIFS(Tabelle5[value_points],Tabelle5[company_id],Tabelle18[[#This Row],[company_id]],Tabelle5[value_id],Tabelle18[[#This Row],[value_id]]),0)</f>
        <v>0</v>
      </c>
      <c r="F585" t="str">
        <f>IF(Tabelle18[[#This Row],[value_points_company]]=0,"",IFERROR(_xlfn.MINIFS(Tabelle5[doc_id],Tabelle5[company_id],Tabelle18[[#This Row],[company_id]],Tabelle5[value_id],Tabelle18[[#This Row],[value_id]],Tabelle5[value_points],Tabelle18[[#This Row],[value_points_company]]),""))</f>
        <v/>
      </c>
      <c r="G585" t="str" cm="1">
        <f t="array" ref="G585">IF(Tabelle18[[#This Row],[doc_id_strongest]]="","",IFERROR(INDEX(Tabelle5[evidence_location],MATCH(1,(Tabelle5[company_id]=Tabelle18[[#This Row],[company_id]])*(Tabelle5[value_id]=Tabelle18[[#This Row],[value_id]])*(Tabelle5[doc_id]=Tabelle18[[#This Row],[doc_id_strongest]]),0)),""))</f>
        <v/>
      </c>
      <c r="H585" s="33" t="str" cm="1">
        <f t="array" ref="H585">IF(Tabelle18[[#This Row],[doc_id_strongest]]="","",IFERROR(INDEX(Tabelle5[evidence_quote],MATCH(1,(Tabelle5[company_id]=Tabelle18[[#This Row],[company_id]])*(Tabelle5[value_id]=Tabelle18[[#This Row],[value_id]])*(Tabelle5[doc_id]=Tabelle18[[#This Row],[doc_id_strongest]]),0)),""))</f>
        <v/>
      </c>
    </row>
    <row r="586" spans="1:8" x14ac:dyDescent="0.25">
      <c r="A586" s="36">
        <v>33</v>
      </c>
      <c r="B586" t="s">
        <v>112</v>
      </c>
      <c r="C586" s="4">
        <f>IF(Tabelle18[[#This Row],[binding_level_company]]&gt;=1,1,0)</f>
        <v>0</v>
      </c>
      <c r="D586" s="4">
        <f>IFERROR(_xlfn.MAXIFS(Tabelle5[binding_level],Tabelle5[company_id],Tabelle18[[#This Row],[company_id]],Tabelle5[value_id],Tabelle18[[#This Row],[value_id]],Tabelle5[value_present],1),0)</f>
        <v>0</v>
      </c>
      <c r="E586" s="4">
        <f>IFERROR(_xlfn.MAXIFS(Tabelle5[value_points],Tabelle5[company_id],Tabelle18[[#This Row],[company_id]],Tabelle5[value_id],Tabelle18[[#This Row],[value_id]]),0)</f>
        <v>0</v>
      </c>
      <c r="F586" t="str">
        <f>IF(Tabelle18[[#This Row],[value_points_company]]=0,"",IFERROR(_xlfn.MINIFS(Tabelle5[doc_id],Tabelle5[company_id],Tabelle18[[#This Row],[company_id]],Tabelle5[value_id],Tabelle18[[#This Row],[value_id]],Tabelle5[value_points],Tabelle18[[#This Row],[value_points_company]]),""))</f>
        <v/>
      </c>
      <c r="G586" t="str" cm="1">
        <f t="array" ref="G586">IF(Tabelle18[[#This Row],[doc_id_strongest]]="","",IFERROR(INDEX(Tabelle5[evidence_location],MATCH(1,(Tabelle5[company_id]=Tabelle18[[#This Row],[company_id]])*(Tabelle5[value_id]=Tabelle18[[#This Row],[value_id]])*(Tabelle5[doc_id]=Tabelle18[[#This Row],[doc_id_strongest]]),0)),""))</f>
        <v/>
      </c>
      <c r="H586" s="33" t="str" cm="1">
        <f t="array" ref="H586">IF(Tabelle18[[#This Row],[doc_id_strongest]]="","",IFERROR(INDEX(Tabelle5[evidence_quote],MATCH(1,(Tabelle5[company_id]=Tabelle18[[#This Row],[company_id]])*(Tabelle5[value_id]=Tabelle18[[#This Row],[value_id]])*(Tabelle5[doc_id]=Tabelle18[[#This Row],[doc_id_strongest]]),0)),""))</f>
        <v/>
      </c>
    </row>
    <row r="587" spans="1:8" x14ac:dyDescent="0.25">
      <c r="A587" s="36">
        <v>33</v>
      </c>
      <c r="B587" t="s">
        <v>118</v>
      </c>
      <c r="C587" s="4">
        <f>IF(Tabelle18[[#This Row],[binding_level_company]]&gt;=1,1,0)</f>
        <v>0</v>
      </c>
      <c r="D587" s="4">
        <f>IFERROR(_xlfn.MAXIFS(Tabelle5[binding_level],Tabelle5[company_id],Tabelle18[[#This Row],[company_id]],Tabelle5[value_id],Tabelle18[[#This Row],[value_id]],Tabelle5[value_present],1),0)</f>
        <v>0</v>
      </c>
      <c r="E587" s="4">
        <f>IFERROR(_xlfn.MAXIFS(Tabelle5[value_points],Tabelle5[company_id],Tabelle18[[#This Row],[company_id]],Tabelle5[value_id],Tabelle18[[#This Row],[value_id]]),0)</f>
        <v>0</v>
      </c>
      <c r="F587" t="str">
        <f>IF(Tabelle18[[#This Row],[value_points_company]]=0,"",IFERROR(_xlfn.MINIFS(Tabelle5[doc_id],Tabelle5[company_id],Tabelle18[[#This Row],[company_id]],Tabelle5[value_id],Tabelle18[[#This Row],[value_id]],Tabelle5[value_points],Tabelle18[[#This Row],[value_points_company]]),""))</f>
        <v/>
      </c>
      <c r="G587" t="str" cm="1">
        <f t="array" ref="G587">IF(Tabelle18[[#This Row],[doc_id_strongest]]="","",IFERROR(INDEX(Tabelle5[evidence_location],MATCH(1,(Tabelle5[company_id]=Tabelle18[[#This Row],[company_id]])*(Tabelle5[value_id]=Tabelle18[[#This Row],[value_id]])*(Tabelle5[doc_id]=Tabelle18[[#This Row],[doc_id_strongest]]),0)),""))</f>
        <v/>
      </c>
      <c r="H587" s="33" t="str" cm="1">
        <f t="array" ref="H587">IF(Tabelle18[[#This Row],[doc_id_strongest]]="","",IFERROR(INDEX(Tabelle5[evidence_quote],MATCH(1,(Tabelle5[company_id]=Tabelle18[[#This Row],[company_id]])*(Tabelle5[value_id]=Tabelle18[[#This Row],[value_id]])*(Tabelle5[doc_id]=Tabelle18[[#This Row],[doc_id_strongest]]),0)),""))</f>
        <v/>
      </c>
    </row>
    <row r="588" spans="1:8" x14ac:dyDescent="0.25">
      <c r="A588" s="36">
        <v>33</v>
      </c>
      <c r="B588" t="s">
        <v>125</v>
      </c>
      <c r="C588" s="4">
        <f>IF(Tabelle18[[#This Row],[binding_level_company]]&gt;=1,1,0)</f>
        <v>0</v>
      </c>
      <c r="D588" s="4">
        <f>IFERROR(_xlfn.MAXIFS(Tabelle5[binding_level],Tabelle5[company_id],Tabelle18[[#This Row],[company_id]],Tabelle5[value_id],Tabelle18[[#This Row],[value_id]],Tabelle5[value_present],1),0)</f>
        <v>0</v>
      </c>
      <c r="E588" s="4">
        <f>IFERROR(_xlfn.MAXIFS(Tabelle5[value_points],Tabelle5[company_id],Tabelle18[[#This Row],[company_id]],Tabelle5[value_id],Tabelle18[[#This Row],[value_id]]),0)</f>
        <v>0</v>
      </c>
      <c r="F588" t="str">
        <f>IF(Tabelle18[[#This Row],[value_points_company]]=0,"",IFERROR(_xlfn.MINIFS(Tabelle5[doc_id],Tabelle5[company_id],Tabelle18[[#This Row],[company_id]],Tabelle5[value_id],Tabelle18[[#This Row],[value_id]],Tabelle5[value_points],Tabelle18[[#This Row],[value_points_company]]),""))</f>
        <v/>
      </c>
      <c r="G588" t="str" cm="1">
        <f t="array" ref="G588">IF(Tabelle18[[#This Row],[doc_id_strongest]]="","",IFERROR(INDEX(Tabelle5[evidence_location],MATCH(1,(Tabelle5[company_id]=Tabelle18[[#This Row],[company_id]])*(Tabelle5[value_id]=Tabelle18[[#This Row],[value_id]])*(Tabelle5[doc_id]=Tabelle18[[#This Row],[doc_id_strongest]]),0)),""))</f>
        <v/>
      </c>
      <c r="H588" s="33" t="str" cm="1">
        <f t="array" ref="H588">IF(Tabelle18[[#This Row],[doc_id_strongest]]="","",IFERROR(INDEX(Tabelle5[evidence_quote],MATCH(1,(Tabelle5[company_id]=Tabelle18[[#This Row],[company_id]])*(Tabelle5[value_id]=Tabelle18[[#This Row],[value_id]])*(Tabelle5[doc_id]=Tabelle18[[#This Row],[doc_id_strongest]]),0)),""))</f>
        <v/>
      </c>
    </row>
    <row r="589" spans="1:8" x14ac:dyDescent="0.25">
      <c r="A589" s="36">
        <v>33</v>
      </c>
      <c r="B589" t="s">
        <v>132</v>
      </c>
      <c r="C589" s="4">
        <f>IF(Tabelle18[[#This Row],[binding_level_company]]&gt;=1,1,0)</f>
        <v>0</v>
      </c>
      <c r="D589" s="4">
        <f>IFERROR(_xlfn.MAXIFS(Tabelle5[binding_level],Tabelle5[company_id],Tabelle18[[#This Row],[company_id]],Tabelle5[value_id],Tabelle18[[#This Row],[value_id]],Tabelle5[value_present],1),0)</f>
        <v>0</v>
      </c>
      <c r="E589" s="4">
        <f>IFERROR(_xlfn.MAXIFS(Tabelle5[value_points],Tabelle5[company_id],Tabelle18[[#This Row],[company_id]],Tabelle5[value_id],Tabelle18[[#This Row],[value_id]]),0)</f>
        <v>0</v>
      </c>
      <c r="F589" t="str">
        <f>IF(Tabelle18[[#This Row],[value_points_company]]=0,"",IFERROR(_xlfn.MINIFS(Tabelle5[doc_id],Tabelle5[company_id],Tabelle18[[#This Row],[company_id]],Tabelle5[value_id],Tabelle18[[#This Row],[value_id]],Tabelle5[value_points],Tabelle18[[#This Row],[value_points_company]]),""))</f>
        <v/>
      </c>
      <c r="G589" t="str" cm="1">
        <f t="array" ref="G589">IF(Tabelle18[[#This Row],[doc_id_strongest]]="","",IFERROR(INDEX(Tabelle5[evidence_location],MATCH(1,(Tabelle5[company_id]=Tabelle18[[#This Row],[company_id]])*(Tabelle5[value_id]=Tabelle18[[#This Row],[value_id]])*(Tabelle5[doc_id]=Tabelle18[[#This Row],[doc_id_strongest]]),0)),""))</f>
        <v/>
      </c>
      <c r="H589" s="33" t="str" cm="1">
        <f t="array" ref="H589">IF(Tabelle18[[#This Row],[doc_id_strongest]]="","",IFERROR(INDEX(Tabelle5[evidence_quote],MATCH(1,(Tabelle5[company_id]=Tabelle18[[#This Row],[company_id]])*(Tabelle5[value_id]=Tabelle18[[#This Row],[value_id]])*(Tabelle5[doc_id]=Tabelle18[[#This Row],[doc_id_strongest]]),0)),""))</f>
        <v/>
      </c>
    </row>
    <row r="590" spans="1:8" x14ac:dyDescent="0.25">
      <c r="A590" s="36">
        <v>33</v>
      </c>
      <c r="B590" t="s">
        <v>140</v>
      </c>
      <c r="C590" s="4">
        <f>IF(Tabelle18[[#This Row],[binding_level_company]]&gt;=1,1,0)</f>
        <v>0</v>
      </c>
      <c r="D590" s="4">
        <f>IFERROR(_xlfn.MAXIFS(Tabelle5[binding_level],Tabelle5[company_id],Tabelle18[[#This Row],[company_id]],Tabelle5[value_id],Tabelle18[[#This Row],[value_id]],Tabelle5[value_present],1),0)</f>
        <v>0</v>
      </c>
      <c r="E590" s="4">
        <f>IFERROR(_xlfn.MAXIFS(Tabelle5[value_points],Tabelle5[company_id],Tabelle18[[#This Row],[company_id]],Tabelle5[value_id],Tabelle18[[#This Row],[value_id]]),0)</f>
        <v>0</v>
      </c>
      <c r="F590" t="str">
        <f>IF(Tabelle18[[#This Row],[value_points_company]]=0,"",IFERROR(_xlfn.MINIFS(Tabelle5[doc_id],Tabelle5[company_id],Tabelle18[[#This Row],[company_id]],Tabelle5[value_id],Tabelle18[[#This Row],[value_id]],Tabelle5[value_points],Tabelle18[[#This Row],[value_points_company]]),""))</f>
        <v/>
      </c>
      <c r="G590" t="str" cm="1">
        <f t="array" ref="G590">IF(Tabelle18[[#This Row],[doc_id_strongest]]="","",IFERROR(INDEX(Tabelle5[evidence_location],MATCH(1,(Tabelle5[company_id]=Tabelle18[[#This Row],[company_id]])*(Tabelle5[value_id]=Tabelle18[[#This Row],[value_id]])*(Tabelle5[doc_id]=Tabelle18[[#This Row],[doc_id_strongest]]),0)),""))</f>
        <v/>
      </c>
      <c r="H590" s="33" t="str" cm="1">
        <f t="array" ref="H590">IF(Tabelle18[[#This Row],[doc_id_strongest]]="","",IFERROR(INDEX(Tabelle5[evidence_quote],MATCH(1,(Tabelle5[company_id]=Tabelle18[[#This Row],[company_id]])*(Tabelle5[value_id]=Tabelle18[[#This Row],[value_id]])*(Tabelle5[doc_id]=Tabelle18[[#This Row],[doc_id_strongest]]),0)),""))</f>
        <v/>
      </c>
    </row>
    <row r="591" spans="1:8" x14ac:dyDescent="0.25">
      <c r="A591" s="36">
        <v>33</v>
      </c>
      <c r="B591" t="s">
        <v>147</v>
      </c>
      <c r="C591" s="4">
        <f>IF(Tabelle18[[#This Row],[binding_level_company]]&gt;=1,1,0)</f>
        <v>0</v>
      </c>
      <c r="D591" s="4">
        <f>IFERROR(_xlfn.MAXIFS(Tabelle5[binding_level],Tabelle5[company_id],Tabelle18[[#This Row],[company_id]],Tabelle5[value_id],Tabelle18[[#This Row],[value_id]],Tabelle5[value_present],1),0)</f>
        <v>0</v>
      </c>
      <c r="E591" s="4">
        <f>IFERROR(_xlfn.MAXIFS(Tabelle5[value_points],Tabelle5[company_id],Tabelle18[[#This Row],[company_id]],Tabelle5[value_id],Tabelle18[[#This Row],[value_id]]),0)</f>
        <v>0</v>
      </c>
      <c r="F591" t="str">
        <f>IF(Tabelle18[[#This Row],[value_points_company]]=0,"",IFERROR(_xlfn.MINIFS(Tabelle5[doc_id],Tabelle5[company_id],Tabelle18[[#This Row],[company_id]],Tabelle5[value_id],Tabelle18[[#This Row],[value_id]],Tabelle5[value_points],Tabelle18[[#This Row],[value_points_company]]),""))</f>
        <v/>
      </c>
      <c r="G591" t="str" cm="1">
        <f t="array" ref="G591">IF(Tabelle18[[#This Row],[doc_id_strongest]]="","",IFERROR(INDEX(Tabelle5[evidence_location],MATCH(1,(Tabelle5[company_id]=Tabelle18[[#This Row],[company_id]])*(Tabelle5[value_id]=Tabelle18[[#This Row],[value_id]])*(Tabelle5[doc_id]=Tabelle18[[#This Row],[doc_id_strongest]]),0)),""))</f>
        <v/>
      </c>
      <c r="H591" s="33" t="str" cm="1">
        <f t="array" ref="H591">IF(Tabelle18[[#This Row],[doc_id_strongest]]="","",IFERROR(INDEX(Tabelle5[evidence_quote],MATCH(1,(Tabelle5[company_id]=Tabelle18[[#This Row],[company_id]])*(Tabelle5[value_id]=Tabelle18[[#This Row],[value_id]])*(Tabelle5[doc_id]=Tabelle18[[#This Row],[doc_id_strongest]]),0)),""))</f>
        <v/>
      </c>
    </row>
    <row r="592" spans="1:8" x14ac:dyDescent="0.25">
      <c r="A592" s="36">
        <v>33</v>
      </c>
      <c r="B592" t="s">
        <v>154</v>
      </c>
      <c r="C592" s="4">
        <f>IF(Tabelle18[[#This Row],[binding_level_company]]&gt;=1,1,0)</f>
        <v>0</v>
      </c>
      <c r="D592" s="4">
        <f>IFERROR(_xlfn.MAXIFS(Tabelle5[binding_level],Tabelle5[company_id],Tabelle18[[#This Row],[company_id]],Tabelle5[value_id],Tabelle18[[#This Row],[value_id]],Tabelle5[value_present],1),0)</f>
        <v>0</v>
      </c>
      <c r="E592" s="4">
        <f>IFERROR(_xlfn.MAXIFS(Tabelle5[value_points],Tabelle5[company_id],Tabelle18[[#This Row],[company_id]],Tabelle5[value_id],Tabelle18[[#This Row],[value_id]]),0)</f>
        <v>0</v>
      </c>
      <c r="F592" t="str">
        <f>IF(Tabelle18[[#This Row],[value_points_company]]=0,"",IFERROR(_xlfn.MINIFS(Tabelle5[doc_id],Tabelle5[company_id],Tabelle18[[#This Row],[company_id]],Tabelle5[value_id],Tabelle18[[#This Row],[value_id]],Tabelle5[value_points],Tabelle18[[#This Row],[value_points_company]]),""))</f>
        <v/>
      </c>
      <c r="G592" t="str" cm="1">
        <f t="array" ref="G592">IF(Tabelle18[[#This Row],[doc_id_strongest]]="","",IFERROR(INDEX(Tabelle5[evidence_location],MATCH(1,(Tabelle5[company_id]=Tabelle18[[#This Row],[company_id]])*(Tabelle5[value_id]=Tabelle18[[#This Row],[value_id]])*(Tabelle5[doc_id]=Tabelle18[[#This Row],[doc_id_strongest]]),0)),""))</f>
        <v/>
      </c>
      <c r="H592" s="33" t="str" cm="1">
        <f t="array" ref="H592">IF(Tabelle18[[#This Row],[doc_id_strongest]]="","",IFERROR(INDEX(Tabelle5[evidence_quote],MATCH(1,(Tabelle5[company_id]=Tabelle18[[#This Row],[company_id]])*(Tabelle5[value_id]=Tabelle18[[#This Row],[value_id]])*(Tabelle5[doc_id]=Tabelle18[[#This Row],[doc_id_strongest]]),0)),""))</f>
        <v/>
      </c>
    </row>
    <row r="593" spans="1:8" x14ac:dyDescent="0.25">
      <c r="A593" s="36">
        <v>33</v>
      </c>
      <c r="B593" t="s">
        <v>161</v>
      </c>
      <c r="C593" s="4">
        <f>IF(Tabelle18[[#This Row],[binding_level_company]]&gt;=1,1,0)</f>
        <v>0</v>
      </c>
      <c r="D593" s="4">
        <f>IFERROR(_xlfn.MAXIFS(Tabelle5[binding_level],Tabelle5[company_id],Tabelle18[[#This Row],[company_id]],Tabelle5[value_id],Tabelle18[[#This Row],[value_id]],Tabelle5[value_present],1),0)</f>
        <v>0</v>
      </c>
      <c r="E593" s="4">
        <f>IFERROR(_xlfn.MAXIFS(Tabelle5[value_points],Tabelle5[company_id],Tabelle18[[#This Row],[company_id]],Tabelle5[value_id],Tabelle18[[#This Row],[value_id]]),0)</f>
        <v>0</v>
      </c>
      <c r="F593" t="str">
        <f>IF(Tabelle18[[#This Row],[value_points_company]]=0,"",IFERROR(_xlfn.MINIFS(Tabelle5[doc_id],Tabelle5[company_id],Tabelle18[[#This Row],[company_id]],Tabelle5[value_id],Tabelle18[[#This Row],[value_id]],Tabelle5[value_points],Tabelle18[[#This Row],[value_points_company]]),""))</f>
        <v/>
      </c>
      <c r="G593" t="str" cm="1">
        <f t="array" ref="G593">IF(Tabelle18[[#This Row],[doc_id_strongest]]="","",IFERROR(INDEX(Tabelle5[evidence_location],MATCH(1,(Tabelle5[company_id]=Tabelle18[[#This Row],[company_id]])*(Tabelle5[value_id]=Tabelle18[[#This Row],[value_id]])*(Tabelle5[doc_id]=Tabelle18[[#This Row],[doc_id_strongest]]),0)),""))</f>
        <v/>
      </c>
      <c r="H593" s="33" t="str" cm="1">
        <f t="array" ref="H593">IF(Tabelle18[[#This Row],[doc_id_strongest]]="","",IFERROR(INDEX(Tabelle5[evidence_quote],MATCH(1,(Tabelle5[company_id]=Tabelle18[[#This Row],[company_id]])*(Tabelle5[value_id]=Tabelle18[[#This Row],[value_id]])*(Tabelle5[doc_id]=Tabelle18[[#This Row],[doc_id_strongest]]),0)),""))</f>
        <v/>
      </c>
    </row>
    <row r="594" spans="1:8" x14ac:dyDescent="0.25">
      <c r="A594" s="36">
        <v>33</v>
      </c>
      <c r="B594" t="s">
        <v>166</v>
      </c>
      <c r="C594" s="4">
        <f>IF(Tabelle18[[#This Row],[binding_level_company]]&gt;=1,1,0)</f>
        <v>0</v>
      </c>
      <c r="D594" s="4">
        <f>IFERROR(_xlfn.MAXIFS(Tabelle5[binding_level],Tabelle5[company_id],Tabelle18[[#This Row],[company_id]],Tabelle5[value_id],Tabelle18[[#This Row],[value_id]],Tabelle5[value_present],1),0)</f>
        <v>0</v>
      </c>
      <c r="E594" s="4">
        <f>IFERROR(_xlfn.MAXIFS(Tabelle5[value_points],Tabelle5[company_id],Tabelle18[[#This Row],[company_id]],Tabelle5[value_id],Tabelle18[[#This Row],[value_id]]),0)</f>
        <v>0</v>
      </c>
      <c r="F594" t="str">
        <f>IF(Tabelle18[[#This Row],[value_points_company]]=0,"",IFERROR(_xlfn.MINIFS(Tabelle5[doc_id],Tabelle5[company_id],Tabelle18[[#This Row],[company_id]],Tabelle5[value_id],Tabelle18[[#This Row],[value_id]],Tabelle5[value_points],Tabelle18[[#This Row],[value_points_company]]),""))</f>
        <v/>
      </c>
      <c r="G594" t="str" cm="1">
        <f t="array" ref="G594">IF(Tabelle18[[#This Row],[doc_id_strongest]]="","",IFERROR(INDEX(Tabelle5[evidence_location],MATCH(1,(Tabelle5[company_id]=Tabelle18[[#This Row],[company_id]])*(Tabelle5[value_id]=Tabelle18[[#This Row],[value_id]])*(Tabelle5[doc_id]=Tabelle18[[#This Row],[doc_id_strongest]]),0)),""))</f>
        <v/>
      </c>
      <c r="H594" s="33" t="str" cm="1">
        <f t="array" ref="H594">IF(Tabelle18[[#This Row],[doc_id_strongest]]="","",IFERROR(INDEX(Tabelle5[evidence_quote],MATCH(1,(Tabelle5[company_id]=Tabelle18[[#This Row],[company_id]])*(Tabelle5[value_id]=Tabelle18[[#This Row],[value_id]])*(Tabelle5[doc_id]=Tabelle18[[#This Row],[doc_id_strongest]]),0)),""))</f>
        <v/>
      </c>
    </row>
    <row r="595" spans="1:8" ht="15.75" thickBot="1" x14ac:dyDescent="0.3">
      <c r="A595" s="37">
        <v>33</v>
      </c>
      <c r="B595" s="30" t="s">
        <v>174</v>
      </c>
      <c r="C595" s="49">
        <f>IF(Tabelle18[[#This Row],[binding_level_company]]&gt;=1,1,0)</f>
        <v>0</v>
      </c>
      <c r="D595" s="49">
        <f>IFERROR(_xlfn.MAXIFS(Tabelle5[binding_level],Tabelle5[company_id],Tabelle18[[#This Row],[company_id]],Tabelle5[value_id],Tabelle18[[#This Row],[value_id]],Tabelle5[value_present],1),0)</f>
        <v>0</v>
      </c>
      <c r="E595" s="49">
        <f>IFERROR(_xlfn.MAXIFS(Tabelle5[value_points],Tabelle5[company_id],Tabelle18[[#This Row],[company_id]],Tabelle5[value_id],Tabelle18[[#This Row],[value_id]]),0)</f>
        <v>0</v>
      </c>
      <c r="F595" s="30" t="str">
        <f>IF(Tabelle18[[#This Row],[value_points_company]]=0,"",IFERROR(_xlfn.MINIFS(Tabelle5[doc_id],Tabelle5[company_id],Tabelle18[[#This Row],[company_id]],Tabelle5[value_id],Tabelle18[[#This Row],[value_id]],Tabelle5[value_points],Tabelle18[[#This Row],[value_points_company]]),""))</f>
        <v/>
      </c>
      <c r="G595" s="30" t="str" cm="1">
        <f t="array" ref="G595">IF(Tabelle18[[#This Row],[doc_id_strongest]]="","",IFERROR(INDEX(Tabelle5[evidence_location],MATCH(1,(Tabelle5[company_id]=Tabelle18[[#This Row],[company_id]])*(Tabelle5[value_id]=Tabelle18[[#This Row],[value_id]])*(Tabelle5[doc_id]=Tabelle18[[#This Row],[doc_id_strongest]]),0)),""))</f>
        <v/>
      </c>
      <c r="H595" s="34" t="str" cm="1">
        <f t="array" ref="H595">IF(Tabelle18[[#This Row],[doc_id_strongest]]="","",IFERROR(INDEX(Tabelle5[evidence_quote],MATCH(1,(Tabelle5[company_id]=Tabelle18[[#This Row],[company_id]])*(Tabelle5[value_id]=Tabelle18[[#This Row],[value_id]])*(Tabelle5[doc_id]=Tabelle18[[#This Row],[doc_id_strongest]]),0)),""))</f>
        <v/>
      </c>
    </row>
    <row r="596" spans="1:8" x14ac:dyDescent="0.25">
      <c r="A596" s="35">
        <v>34</v>
      </c>
      <c r="B596" s="22" t="s">
        <v>53</v>
      </c>
      <c r="C596" s="48">
        <f>IF(Tabelle18[[#This Row],[binding_level_company]]&gt;=1,1,0)</f>
        <v>1</v>
      </c>
      <c r="D596" s="48">
        <f>IFERROR(_xlfn.MAXIFS(Tabelle5[binding_level],Tabelle5[company_id],Tabelle18[[#This Row],[company_id]],Tabelle5[value_id],Tabelle18[[#This Row],[value_id]],Tabelle5[value_present],1),0)</f>
        <v>2</v>
      </c>
      <c r="E596" s="48">
        <f>IFERROR(_xlfn.MAXIFS(Tabelle5[value_points],Tabelle5[company_id],Tabelle18[[#This Row],[company_id]],Tabelle5[value_id],Tabelle18[[#This Row],[value_id]]),0)</f>
        <v>2</v>
      </c>
      <c r="F596" s="22">
        <f>IF(Tabelle18[[#This Row],[value_points_company]]=0,"",IFERROR(_xlfn.MINIFS(Tabelle5[doc_id],Tabelle5[company_id],Tabelle18[[#This Row],[company_id]],Tabelle5[value_id],Tabelle18[[#This Row],[value_id]],Tabelle5[value_points],Tabelle18[[#This Row],[value_points_company]]),""))</f>
        <v>201</v>
      </c>
      <c r="G596" s="22" t="str" cm="1">
        <f t="array" ref="G596">IF(Tabelle18[[#This Row],[doc_id_strongest]]="","",IFERROR(INDEX(Tabelle5[evidence_location],MATCH(1,(Tabelle5[company_id]=Tabelle18[[#This Row],[company_id]])*(Tabelle5[value_id]=Tabelle18[[#This Row],[value_id]])*(Tabelle5[doc_id]=Tabelle18[[#This Row],[doc_id_strongest]]),0)),""))</f>
        <v>S. 42; S. 43</v>
      </c>
      <c r="H596" s="32" t="str" cm="1">
        <f t="array" ref="H596">IF(Tabelle18[[#This Row],[doc_id_strongest]]="","",IFERROR(INDEX(Tabelle5[evidence_quote],MATCH(1,(Tabelle5[company_id]=Tabelle18[[#This Row],[company_id]])*(Tabelle5[value_id]=Tabelle18[[#This Row],[value_id]])*(Tabelle5[doc_id]=Tabelle18[[#This Row],[doc_id_strongest]]),0)),""))</f>
        <v>“enable effective human control and decision-making”; “integrate our Responsible AI Principles and controls into our product and solutions development, procurement, and risk management processes”</v>
      </c>
    </row>
    <row r="597" spans="1:8" x14ac:dyDescent="0.25">
      <c r="A597" s="36">
        <v>34</v>
      </c>
      <c r="B597" t="s">
        <v>61</v>
      </c>
      <c r="C597" s="4">
        <f>IF(Tabelle18[[#This Row],[binding_level_company]]&gt;=1,1,0)</f>
        <v>1</v>
      </c>
      <c r="D597" s="4">
        <f>IFERROR(_xlfn.MAXIFS(Tabelle5[binding_level],Tabelle5[company_id],Tabelle18[[#This Row],[company_id]],Tabelle5[value_id],Tabelle18[[#This Row],[value_id]],Tabelle5[value_present],1),0)</f>
        <v>2</v>
      </c>
      <c r="E597" s="4">
        <f>IFERROR(_xlfn.MAXIFS(Tabelle5[value_points],Tabelle5[company_id],Tabelle18[[#This Row],[company_id]],Tabelle5[value_id],Tabelle18[[#This Row],[value_id]]),0)</f>
        <v>2</v>
      </c>
      <c r="F597">
        <f>IF(Tabelle18[[#This Row],[value_points_company]]=0,"",IFERROR(_xlfn.MINIFS(Tabelle5[doc_id],Tabelle5[company_id],Tabelle18[[#This Row],[company_id]],Tabelle5[value_id],Tabelle18[[#This Row],[value_id]],Tabelle5[value_points],Tabelle18[[#This Row],[value_points_company]]),""))</f>
        <v>201</v>
      </c>
      <c r="G597" t="str" cm="1">
        <f t="array" ref="G597">IF(Tabelle18[[#This Row],[doc_id_strongest]]="","",IFERROR(INDEX(Tabelle5[evidence_location],MATCH(1,(Tabelle5[company_id]=Tabelle18[[#This Row],[company_id]])*(Tabelle5[value_id]=Tabelle18[[#This Row],[value_id]])*(Tabelle5[doc_id]=Tabelle18[[#This Row],[doc_id_strongest]]),0)),""))</f>
        <v>S. 42; S. 43</v>
      </c>
      <c r="H597" s="33" t="str" cm="1">
        <f t="array" ref="H597">IF(Tabelle18[[#This Row],[doc_id_strongest]]="","",IFERROR(INDEX(Tabelle5[evidence_quote],MATCH(1,(Tabelle5[company_id]=Tabelle18[[#This Row],[company_id]])*(Tabelle5[value_id]=Tabelle18[[#This Row],[value_id]])*(Tabelle5[doc_id]=Tabelle18[[#This Row],[doc_id_strongest]]),0)),""))</f>
        <v>“Make policies and processes clear and accessible”; “integrate our Responsible AI Principles and controls into our product and solutions development, procurement, and risk management processes”</v>
      </c>
    </row>
    <row r="598" spans="1:8" x14ac:dyDescent="0.25">
      <c r="A598" s="36">
        <v>34</v>
      </c>
      <c r="B598" t="s">
        <v>69</v>
      </c>
      <c r="C598" s="4">
        <f>IF(Tabelle18[[#This Row],[binding_level_company]]&gt;=1,1,0)</f>
        <v>1</v>
      </c>
      <c r="D598" s="4">
        <f>IFERROR(_xlfn.MAXIFS(Tabelle5[binding_level],Tabelle5[company_id],Tabelle18[[#This Row],[company_id]],Tabelle5[value_id],Tabelle18[[#This Row],[value_id]],Tabelle5[value_present],1),0)</f>
        <v>2</v>
      </c>
      <c r="E598" s="4">
        <f>IFERROR(_xlfn.MAXIFS(Tabelle5[value_points],Tabelle5[company_id],Tabelle18[[#This Row],[company_id]],Tabelle5[value_id],Tabelle18[[#This Row],[value_id]]),0)</f>
        <v>2</v>
      </c>
      <c r="F598">
        <f>IF(Tabelle18[[#This Row],[value_points_company]]=0,"",IFERROR(_xlfn.MINIFS(Tabelle5[doc_id],Tabelle5[company_id],Tabelle18[[#This Row],[company_id]],Tabelle5[value_id],Tabelle18[[#This Row],[value_id]],Tabelle5[value_points],Tabelle18[[#This Row],[value_points_company]]),""))</f>
        <v>201</v>
      </c>
      <c r="G598" t="str" cm="1">
        <f t="array" ref="G598">IF(Tabelle18[[#This Row],[doc_id_strongest]]="","",IFERROR(INDEX(Tabelle5[evidence_location],MATCH(1,(Tabelle5[company_id]=Tabelle18[[#This Row],[company_id]])*(Tabelle5[value_id]=Tabelle18[[#This Row],[value_id]])*(Tabelle5[doc_id]=Tabelle18[[#This Row],[doc_id_strongest]]),0)),""))</f>
        <v>S. 42; S. 43</v>
      </c>
      <c r="H598" s="33" t="str" cm="1">
        <f t="array" ref="H598">IF(Tabelle18[[#This Row],[doc_id_strongest]]="","",IFERROR(INDEX(Tabelle5[evidence_quote],MATCH(1,(Tabelle5[company_id]=Tabelle18[[#This Row],[company_id]])*(Tabelle5[value_id]=Tabelle18[[#This Row],[value_id]])*(Tabelle5[doc_id]=Tabelle18[[#This Row],[doc_id_strongest]]),0)),""))</f>
        <v>“Endorse transparency and explainable AI”; “integrate our Responsible AI Principles and controls into our product and solutions development, procurement, and risk management processes”</v>
      </c>
    </row>
    <row r="599" spans="1:8" x14ac:dyDescent="0.25">
      <c r="A599" s="36">
        <v>34</v>
      </c>
      <c r="B599" t="s">
        <v>76</v>
      </c>
      <c r="C599" s="4">
        <f>IF(Tabelle18[[#This Row],[binding_level_company]]&gt;=1,1,0)</f>
        <v>1</v>
      </c>
      <c r="D599" s="4">
        <f>IFERROR(_xlfn.MAXIFS(Tabelle5[binding_level],Tabelle5[company_id],Tabelle18[[#This Row],[company_id]],Tabelle5[value_id],Tabelle18[[#This Row],[value_id]],Tabelle5[value_present],1),0)</f>
        <v>1</v>
      </c>
      <c r="E599" s="4">
        <f>IFERROR(_xlfn.MAXIFS(Tabelle5[value_points],Tabelle5[company_id],Tabelle18[[#This Row],[company_id]],Tabelle5[value_id],Tabelle18[[#This Row],[value_id]]),0)</f>
        <v>1</v>
      </c>
      <c r="F599">
        <f>IF(Tabelle18[[#This Row],[value_points_company]]=0,"",IFERROR(_xlfn.MINIFS(Tabelle5[doc_id],Tabelle5[company_id],Tabelle18[[#This Row],[company_id]],Tabelle5[value_id],Tabelle18[[#This Row],[value_id]],Tabelle5[value_points],Tabelle18[[#This Row],[value_points_company]]),""))</f>
        <v>201</v>
      </c>
      <c r="G599" t="str" cm="1">
        <f t="array" ref="G599">IF(Tabelle18[[#This Row],[doc_id_strongest]]="","",IFERROR(INDEX(Tabelle5[evidence_location],MATCH(1,(Tabelle5[company_id]=Tabelle18[[#This Row],[company_id]])*(Tabelle5[value_id]=Tabelle18[[#This Row],[value_id]])*(Tabelle5[doc_id]=Tabelle18[[#This Row],[doc_id_strongest]]),0)),""))</f>
        <v>S. 42</v>
      </c>
      <c r="H599" s="33" t="str" cm="1">
        <f t="array" ref="H599">IF(Tabelle18[[#This Row],[doc_id_strongest]]="","",IFERROR(INDEX(Tabelle5[evidence_quote],MATCH(1,(Tabelle5[company_id]=Tabelle18[[#This Row],[company_id]])*(Tabelle5[value_id]=Tabelle18[[#This Row],[value_id]])*(Tabelle5[doc_id]=Tabelle18[[#This Row],[doc_id_strongest]]),0)),""))</f>
        <v>“explaining the rationale of AI solutions”</v>
      </c>
    </row>
    <row r="600" spans="1:8" x14ac:dyDescent="0.25">
      <c r="A600" s="36">
        <v>34</v>
      </c>
      <c r="B600" t="s">
        <v>83</v>
      </c>
      <c r="C600" s="4">
        <f>IF(Tabelle18[[#This Row],[binding_level_company]]&gt;=1,1,0)</f>
        <v>1</v>
      </c>
      <c r="D600" s="4">
        <f>IFERROR(_xlfn.MAXIFS(Tabelle5[binding_level],Tabelle5[company_id],Tabelle18[[#This Row],[company_id]],Tabelle5[value_id],Tabelle18[[#This Row],[value_id]],Tabelle5[value_present],1),0)</f>
        <v>1</v>
      </c>
      <c r="E600" s="4">
        <f>IFERROR(_xlfn.MAXIFS(Tabelle5[value_points],Tabelle5[company_id],Tabelle18[[#This Row],[company_id]],Tabelle5[value_id],Tabelle18[[#This Row],[value_id]]),0)</f>
        <v>1</v>
      </c>
      <c r="F600">
        <f>IF(Tabelle18[[#This Row],[value_points_company]]=0,"",IFERROR(_xlfn.MINIFS(Tabelle5[doc_id],Tabelle5[company_id],Tabelle18[[#This Row],[company_id]],Tabelle5[value_id],Tabelle18[[#This Row],[value_id]],Tabelle5[value_points],Tabelle18[[#This Row],[value_points_company]]),""))</f>
        <v>201</v>
      </c>
      <c r="G600" t="str" cm="1">
        <f t="array" ref="G600">IF(Tabelle18[[#This Row],[doc_id_strongest]]="","",IFERROR(INDEX(Tabelle5[evidence_location],MATCH(1,(Tabelle5[company_id]=Tabelle18[[#This Row],[company_id]])*(Tabelle5[value_id]=Tabelle18[[#This Row],[value_id]])*(Tabelle5[doc_id]=Tabelle18[[#This Row],[doc_id_strongest]]),0)),""))</f>
        <v>S. 42</v>
      </c>
      <c r="H600" s="33" t="str" cm="1">
        <f t="array" ref="H600">IF(Tabelle18[[#This Row],[doc_id_strongest]]="","",IFERROR(INDEX(Tabelle5[evidence_quote],MATCH(1,(Tabelle5[company_id]=Tabelle18[[#This Row],[company_id]])*(Tabelle5[value_id]=Tabelle18[[#This Row],[value_id]])*(Tabelle5[doc_id]=Tabelle18[[#This Row],[doc_id_strongest]]),0)),""))</f>
        <v>“Ensure diversity, fairness, and inclusion”</v>
      </c>
    </row>
    <row r="601" spans="1:8" x14ac:dyDescent="0.25">
      <c r="A601" s="36">
        <v>34</v>
      </c>
      <c r="B601" t="s">
        <v>90</v>
      </c>
      <c r="C601" s="4">
        <f>IF(Tabelle18[[#This Row],[binding_level_company]]&gt;=1,1,0)</f>
        <v>1</v>
      </c>
      <c r="D601" s="4">
        <f>IFERROR(_xlfn.MAXIFS(Tabelle5[binding_level],Tabelle5[company_id],Tabelle18[[#This Row],[company_id]],Tabelle5[value_id],Tabelle18[[#This Row],[value_id]],Tabelle5[value_present],1),0)</f>
        <v>3</v>
      </c>
      <c r="E601" s="4">
        <f>IFERROR(_xlfn.MAXIFS(Tabelle5[value_points],Tabelle5[company_id],Tabelle18[[#This Row],[company_id]],Tabelle5[value_id],Tabelle18[[#This Row],[value_id]]),0)</f>
        <v>3</v>
      </c>
      <c r="F601">
        <f>IF(Tabelle18[[#This Row],[value_points_company]]=0,"",IFERROR(_xlfn.MINIFS(Tabelle5[doc_id],Tabelle5[company_id],Tabelle18[[#This Row],[company_id]],Tabelle5[value_id],Tabelle18[[#This Row],[value_id]],Tabelle5[value_points],Tabelle18[[#This Row],[value_points_company]]),""))</f>
        <v>201</v>
      </c>
      <c r="G601" t="str" cm="1">
        <f t="array" ref="G601">IF(Tabelle18[[#This Row],[doc_id_strongest]]="","",IFERROR(INDEX(Tabelle5[evidence_location],MATCH(1,(Tabelle5[company_id]=Tabelle18[[#This Row],[company_id]])*(Tabelle5[value_id]=Tabelle18[[#This Row],[value_id]])*(Tabelle5[doc_id]=Tabelle18[[#This Row],[doc_id_strongest]]),0)),""))</f>
        <v>S. 42; S. 49</v>
      </c>
      <c r="H601" s="33" t="str" cm="1">
        <f t="array" ref="H601">IF(Tabelle18[[#This Row],[doc_id_strongest]]="","",IFERROR(INDEX(Tabelle5[evidence_quote],MATCH(1,(Tabelle5[company_id]=Tabelle18[[#This Row],[company_id]])*(Tabelle5[value_id]=Tabelle18[[#This Row],[value_id]])*(Tabelle5[doc_id]=Tabelle18[[#This Row],[doc_id_strongest]]),0)),""))</f>
        <v>“Promote comprehensive data governance and privacy”; “introduced an AI developer questionnaire”;“adding an AI questionnaire”</v>
      </c>
    </row>
    <row r="602" spans="1:8" x14ac:dyDescent="0.25">
      <c r="A602" s="36">
        <v>34</v>
      </c>
      <c r="B602" t="s">
        <v>98</v>
      </c>
      <c r="C602" s="4">
        <f>IF(Tabelle18[[#This Row],[binding_level_company]]&gt;=1,1,0)</f>
        <v>1</v>
      </c>
      <c r="D602" s="4">
        <f>IFERROR(_xlfn.MAXIFS(Tabelle5[binding_level],Tabelle5[company_id],Tabelle18[[#This Row],[company_id]],Tabelle5[value_id],Tabelle18[[#This Row],[value_id]],Tabelle5[value_present],1),0)</f>
        <v>2</v>
      </c>
      <c r="E602" s="4">
        <f>IFERROR(_xlfn.MAXIFS(Tabelle5[value_points],Tabelle5[company_id],Tabelle18[[#This Row],[company_id]],Tabelle5[value_id],Tabelle18[[#This Row],[value_id]]),0)</f>
        <v>2</v>
      </c>
      <c r="F602">
        <f>IF(Tabelle18[[#This Row],[value_points_company]]=0,"",IFERROR(_xlfn.MINIFS(Tabelle5[doc_id],Tabelle5[company_id],Tabelle18[[#This Row],[company_id]],Tabelle5[value_id],Tabelle18[[#This Row],[value_id]],Tabelle5[value_points],Tabelle18[[#This Row],[value_points_company]]),""))</f>
        <v>201</v>
      </c>
      <c r="G602" t="str" cm="1">
        <f t="array" ref="G602">IF(Tabelle18[[#This Row],[doc_id_strongest]]="","",IFERROR(INDEX(Tabelle5[evidence_location],MATCH(1,(Tabelle5[company_id]=Tabelle18[[#This Row],[company_id]])*(Tabelle5[value_id]=Tabelle18[[#This Row],[value_id]])*(Tabelle5[doc_id]=Tabelle18[[#This Row],[doc_id_strongest]]),0)),""))</f>
        <v>S. 42</v>
      </c>
      <c r="H602" s="33" t="str" cm="1">
        <f t="array" ref="H602">IF(Tabelle18[[#This Row],[doc_id_strongest]]="","",IFERROR(INDEX(Tabelle5[evidence_quote],MATCH(1,(Tabelle5[company_id]=Tabelle18[[#This Row],[company_id]])*(Tabelle5[value_id]=Tabelle18[[#This Row],[value_id]])*(Tabelle5[doc_id]=Tabelle18[[#This Row],[doc_id_strongest]]),0)),""))</f>
        <v>“standards for security and safety”; “central internal Generative AI platform solutions”</v>
      </c>
    </row>
    <row r="603" spans="1:8" x14ac:dyDescent="0.25">
      <c r="A603" s="36">
        <v>34</v>
      </c>
      <c r="B603" t="s">
        <v>106</v>
      </c>
      <c r="C603" s="4">
        <f>IF(Tabelle18[[#This Row],[binding_level_company]]&gt;=1,1,0)</f>
        <v>1</v>
      </c>
      <c r="D603" s="4">
        <f>IFERROR(_xlfn.MAXIFS(Tabelle5[binding_level],Tabelle5[company_id],Tabelle18[[#This Row],[company_id]],Tabelle5[value_id],Tabelle18[[#This Row],[value_id]],Tabelle5[value_present],1),0)</f>
        <v>1</v>
      </c>
      <c r="E603" s="4">
        <f>IFERROR(_xlfn.MAXIFS(Tabelle5[value_points],Tabelle5[company_id],Tabelle18[[#This Row],[company_id]],Tabelle5[value_id],Tabelle18[[#This Row],[value_id]]),0)</f>
        <v>1</v>
      </c>
      <c r="F603">
        <f>IF(Tabelle18[[#This Row],[value_points_company]]=0,"",IFERROR(_xlfn.MINIFS(Tabelle5[doc_id],Tabelle5[company_id],Tabelle18[[#This Row],[company_id]],Tabelle5[value_id],Tabelle18[[#This Row],[value_id]],Tabelle5[value_points],Tabelle18[[#This Row],[value_points_company]]),""))</f>
        <v>201</v>
      </c>
      <c r="G603" t="str" cm="1">
        <f t="array" ref="G603">IF(Tabelle18[[#This Row],[doc_id_strongest]]="","",IFERROR(INDEX(Tabelle5[evidence_location],MATCH(1,(Tabelle5[company_id]=Tabelle18[[#This Row],[company_id]])*(Tabelle5[value_id]=Tabelle18[[#This Row],[value_id]])*(Tabelle5[doc_id]=Tabelle18[[#This Row],[doc_id_strongest]]),0)),""))</f>
        <v>S. 41</v>
      </c>
      <c r="H603" s="33" t="str" cm="1">
        <f t="array" ref="H603">IF(Tabelle18[[#This Row],[doc_id_strongest]]="","",IFERROR(INDEX(Tabelle5[evidence_quote],MATCH(1,(Tabelle5[company_id]=Tabelle18[[#This Row],[company_id]])*(Tabelle5[value_id]=Tabelle18[[#This Row],[value_id]])*(Tabelle5[doc_id]=Tabelle18[[#This Row],[doc_id_strongest]]),0)),""))</f>
        <v>“address these risks at an early stage”</v>
      </c>
    </row>
    <row r="604" spans="1:8" x14ac:dyDescent="0.25">
      <c r="A604" s="36">
        <v>34</v>
      </c>
      <c r="B604" t="s">
        <v>112</v>
      </c>
      <c r="C604" s="4">
        <f>IF(Tabelle18[[#This Row],[binding_level_company]]&gt;=1,1,0)</f>
        <v>1</v>
      </c>
      <c r="D604" s="4">
        <f>IFERROR(_xlfn.MAXIFS(Tabelle5[binding_level],Tabelle5[company_id],Tabelle18[[#This Row],[company_id]],Tabelle5[value_id],Tabelle18[[#This Row],[value_id]],Tabelle5[value_present],1),0)</f>
        <v>2</v>
      </c>
      <c r="E604" s="4">
        <f>IFERROR(_xlfn.MAXIFS(Tabelle5[value_points],Tabelle5[company_id],Tabelle18[[#This Row],[company_id]],Tabelle5[value_id],Tabelle18[[#This Row],[value_id]]),0)</f>
        <v>2</v>
      </c>
      <c r="F604">
        <f>IF(Tabelle18[[#This Row],[value_points_company]]=0,"",IFERROR(_xlfn.MINIFS(Tabelle5[doc_id],Tabelle5[company_id],Tabelle18[[#This Row],[company_id]],Tabelle5[value_id],Tabelle18[[#This Row],[value_id]],Tabelle5[value_points],Tabelle18[[#This Row],[value_points_company]]),""))</f>
        <v>201</v>
      </c>
      <c r="G604" t="str" cm="1">
        <f t="array" ref="G604">IF(Tabelle18[[#This Row],[doc_id_strongest]]="","",IFERROR(INDEX(Tabelle5[evidence_location],MATCH(1,(Tabelle5[company_id]=Tabelle18[[#This Row],[company_id]])*(Tabelle5[value_id]=Tabelle18[[#This Row],[value_id]])*(Tabelle5[doc_id]=Tabelle18[[#This Row],[doc_id_strongest]]),0)),""))</f>
        <v>S. 42; S. 43</v>
      </c>
      <c r="H604" s="33" t="str" cm="1">
        <f t="array" ref="H604">IF(Tabelle18[[#This Row],[doc_id_strongest]]="","",IFERROR(INDEX(Tabelle5[evidence_quote],MATCH(1,(Tabelle5[company_id]=Tabelle18[[#This Row],[company_id]])*(Tabelle5[value_id]=Tabelle18[[#This Row],[value_id]])*(Tabelle5[doc_id]=Tabelle18[[#This Row],[doc_id_strongest]]),0)),""))</f>
        <v>“accuracy, reliability, and robustness”; “integrate our Responsible AI Principles and controls into our product and solutions development, procurement, and risk management processes”; “mandated and conducted an audit on Trustworthy AI”</v>
      </c>
    </row>
    <row r="605" spans="1:8" x14ac:dyDescent="0.25">
      <c r="A605" s="36">
        <v>34</v>
      </c>
      <c r="B605" t="s">
        <v>118</v>
      </c>
      <c r="C605" s="4">
        <f>IF(Tabelle18[[#This Row],[binding_level_company]]&gt;=1,1,0)</f>
        <v>0</v>
      </c>
      <c r="D605" s="4">
        <f>IFERROR(_xlfn.MAXIFS(Tabelle5[binding_level],Tabelle5[company_id],Tabelle18[[#This Row],[company_id]],Tabelle5[value_id],Tabelle18[[#This Row],[value_id]],Tabelle5[value_present],1),0)</f>
        <v>0</v>
      </c>
      <c r="E605" s="4">
        <f>IFERROR(_xlfn.MAXIFS(Tabelle5[value_points],Tabelle5[company_id],Tabelle18[[#This Row],[company_id]],Tabelle5[value_id],Tabelle18[[#This Row],[value_id]]),0)</f>
        <v>0</v>
      </c>
      <c r="F605" t="str">
        <f>IF(Tabelle18[[#This Row],[value_points_company]]=0,"",IFERROR(_xlfn.MINIFS(Tabelle5[doc_id],Tabelle5[company_id],Tabelle18[[#This Row],[company_id]],Tabelle5[value_id],Tabelle18[[#This Row],[value_id]],Tabelle5[value_points],Tabelle18[[#This Row],[value_points_company]]),""))</f>
        <v/>
      </c>
      <c r="G605" t="str" cm="1">
        <f t="array" ref="G605">IF(Tabelle18[[#This Row],[doc_id_strongest]]="","",IFERROR(INDEX(Tabelle5[evidence_location],MATCH(1,(Tabelle5[company_id]=Tabelle18[[#This Row],[company_id]])*(Tabelle5[value_id]=Tabelle18[[#This Row],[value_id]])*(Tabelle5[doc_id]=Tabelle18[[#This Row],[doc_id_strongest]]),0)),""))</f>
        <v/>
      </c>
      <c r="H605" s="33" t="str" cm="1">
        <f t="array" ref="H605">IF(Tabelle18[[#This Row],[doc_id_strongest]]="","",IFERROR(INDEX(Tabelle5[evidence_quote],MATCH(1,(Tabelle5[company_id]=Tabelle18[[#This Row],[company_id]])*(Tabelle5[value_id]=Tabelle18[[#This Row],[value_id]])*(Tabelle5[doc_id]=Tabelle18[[#This Row],[doc_id_strongest]]),0)),""))</f>
        <v/>
      </c>
    </row>
    <row r="606" spans="1:8" x14ac:dyDescent="0.25">
      <c r="A606" s="36">
        <v>34</v>
      </c>
      <c r="B606" t="s">
        <v>125</v>
      </c>
      <c r="C606" s="4">
        <f>IF(Tabelle18[[#This Row],[binding_level_company]]&gt;=1,1,0)</f>
        <v>1</v>
      </c>
      <c r="D606" s="4">
        <f>IFERROR(_xlfn.MAXIFS(Tabelle5[binding_level],Tabelle5[company_id],Tabelle18[[#This Row],[company_id]],Tabelle5[value_id],Tabelle18[[#This Row],[value_id]],Tabelle5[value_present],1),0)</f>
        <v>1</v>
      </c>
      <c r="E606" s="4">
        <f>IFERROR(_xlfn.MAXIFS(Tabelle5[value_points],Tabelle5[company_id],Tabelle18[[#This Row],[company_id]],Tabelle5[value_id],Tabelle18[[#This Row],[value_id]]),0)</f>
        <v>1</v>
      </c>
      <c r="F606">
        <f>IF(Tabelle18[[#This Row],[value_points_company]]=0,"",IFERROR(_xlfn.MINIFS(Tabelle5[doc_id],Tabelle5[company_id],Tabelle18[[#This Row],[company_id]],Tabelle5[value_id],Tabelle18[[#This Row],[value_id]],Tabelle5[value_points],Tabelle18[[#This Row],[value_points_company]]),""))</f>
        <v>201</v>
      </c>
      <c r="G606" t="str" cm="1">
        <f t="array" ref="G606">IF(Tabelle18[[#This Row],[doc_id_strongest]]="","",IFERROR(INDEX(Tabelle5[evidence_location],MATCH(1,(Tabelle5[company_id]=Tabelle18[[#This Row],[company_id]])*(Tabelle5[value_id]=Tabelle18[[#This Row],[value_id]])*(Tabelle5[doc_id]=Tabelle18[[#This Row],[doc_id_strongest]]),0)),""))</f>
        <v>S. 42</v>
      </c>
      <c r="H606" s="33" t="str" cm="1">
        <f t="array" ref="H606">IF(Tabelle18[[#This Row],[doc_id_strongest]]="","",IFERROR(INDEX(Tabelle5[evidence_quote],MATCH(1,(Tabelle5[company_id]=Tabelle18[[#This Row],[company_id]])*(Tabelle5[value_id]=Tabelle18[[#This Row],[value_id]])*(Tabelle5[doc_id]=Tabelle18[[#This Row],[doc_id_strongest]]),0)),""))</f>
        <v>“foster inclusiveness and shared benefit”</v>
      </c>
    </row>
    <row r="607" spans="1:8" x14ac:dyDescent="0.25">
      <c r="A607" s="36">
        <v>34</v>
      </c>
      <c r="B607" t="s">
        <v>132</v>
      </c>
      <c r="C607" s="4">
        <f>IF(Tabelle18[[#This Row],[binding_level_company]]&gt;=1,1,0)</f>
        <v>1</v>
      </c>
      <c r="D607" s="4">
        <f>IFERROR(_xlfn.MAXIFS(Tabelle5[binding_level],Tabelle5[company_id],Tabelle18[[#This Row],[company_id]],Tabelle5[value_id],Tabelle18[[#This Row],[value_id]],Tabelle5[value_present],1),0)</f>
        <v>1</v>
      </c>
      <c r="E607" s="4">
        <f>IFERROR(_xlfn.MAXIFS(Tabelle5[value_points],Tabelle5[company_id],Tabelle18[[#This Row],[company_id]],Tabelle5[value_id],Tabelle18[[#This Row],[value_id]]),0)</f>
        <v>1</v>
      </c>
      <c r="F607">
        <f>IF(Tabelle18[[#This Row],[value_points_company]]=0,"",IFERROR(_xlfn.MINIFS(Tabelle5[doc_id],Tabelle5[company_id],Tabelle18[[#This Row],[company_id]],Tabelle5[value_id],Tabelle18[[#This Row],[value_id]],Tabelle5[value_points],Tabelle18[[#This Row],[value_points_company]]),""))</f>
        <v>201</v>
      </c>
      <c r="G607" t="str" cm="1">
        <f t="array" ref="G607">IF(Tabelle18[[#This Row],[doc_id_strongest]]="","",IFERROR(INDEX(Tabelle5[evidence_location],MATCH(1,(Tabelle5[company_id]=Tabelle18[[#This Row],[company_id]])*(Tabelle5[value_id]=Tabelle18[[#This Row],[value_id]])*(Tabelle5[doc_id]=Tabelle18[[#This Row],[doc_id_strongest]]),0)),""))</f>
        <v>S. 42</v>
      </c>
      <c r="H607" s="33" t="str" cm="1">
        <f t="array" ref="H607">IF(Tabelle18[[#This Row],[doc_id_strongest]]="","",IFERROR(INDEX(Tabelle5[evidence_quote],MATCH(1,(Tabelle5[company_id]=Tabelle18[[#This Row],[company_id]])*(Tabelle5[value_id]=Tabelle18[[#This Row],[value_id]])*(Tabelle5[doc_id]=Tabelle18[[#This Row],[doc_id_strongest]]),0)),""))</f>
        <v>“positive economic, societal, and environmental impact”</v>
      </c>
    </row>
    <row r="608" spans="1:8" x14ac:dyDescent="0.25">
      <c r="A608" s="36">
        <v>34</v>
      </c>
      <c r="B608" t="s">
        <v>140</v>
      </c>
      <c r="C608" s="4">
        <f>IF(Tabelle18[[#This Row],[binding_level_company]]&gt;=1,1,0)</f>
        <v>1</v>
      </c>
      <c r="D608" s="4">
        <f>IFERROR(_xlfn.MAXIFS(Tabelle5[binding_level],Tabelle5[company_id],Tabelle18[[#This Row],[company_id]],Tabelle5[value_id],Tabelle18[[#This Row],[value_id]],Tabelle5[value_present],1),0)</f>
        <v>1</v>
      </c>
      <c r="E608" s="4">
        <f>IFERROR(_xlfn.MAXIFS(Tabelle5[value_points],Tabelle5[company_id],Tabelle18[[#This Row],[company_id]],Tabelle5[value_id],Tabelle18[[#This Row],[value_id]]),0)</f>
        <v>1</v>
      </c>
      <c r="F608">
        <f>IF(Tabelle18[[#This Row],[value_points_company]]=0,"",IFERROR(_xlfn.MINIFS(Tabelle5[doc_id],Tabelle5[company_id],Tabelle18[[#This Row],[company_id]],Tabelle5[value_id],Tabelle18[[#This Row],[value_id]],Tabelle5[value_points],Tabelle18[[#This Row],[value_points_company]]),""))</f>
        <v>201</v>
      </c>
      <c r="G608" t="str" cm="1">
        <f t="array" ref="G608">IF(Tabelle18[[#This Row],[doc_id_strongest]]="","",IFERROR(INDEX(Tabelle5[evidence_location],MATCH(1,(Tabelle5[company_id]=Tabelle18[[#This Row],[company_id]])*(Tabelle5[value_id]=Tabelle18[[#This Row],[value_id]])*(Tabelle5[doc_id]=Tabelle18[[#This Row],[doc_id_strongest]]),0)),""))</f>
        <v>S. 41–42</v>
      </c>
      <c r="H608" s="33" t="str" cm="1">
        <f t="array" ref="H608">IF(Tabelle18[[#This Row],[doc_id_strongest]]="","",IFERROR(INDEX(Tabelle5[evidence_quote],MATCH(1,(Tabelle5[company_id]=Tabelle18[[#This Row],[company_id]])*(Tabelle5[value_id]=Tabelle18[[#This Row],[value_id]])*(Tabelle5[doc_id]=Tabelle18[[#This Row],[doc_id_strongest]]),0)),""))</f>
        <v>“achieve positive sustainability impacts”; “positive economic, societal, and environmental impact”</v>
      </c>
    </row>
    <row r="609" spans="1:8" x14ac:dyDescent="0.25">
      <c r="A609" s="36">
        <v>34</v>
      </c>
      <c r="B609" t="s">
        <v>147</v>
      </c>
      <c r="C609" s="4">
        <f>IF(Tabelle18[[#This Row],[binding_level_company]]&gt;=1,1,0)</f>
        <v>1</v>
      </c>
      <c r="D609" s="4">
        <f>IFERROR(_xlfn.MAXIFS(Tabelle5[binding_level],Tabelle5[company_id],Tabelle18[[#This Row],[company_id]],Tabelle5[value_id],Tabelle18[[#This Row],[value_id]],Tabelle5[value_present],1),0)</f>
        <v>2</v>
      </c>
      <c r="E609" s="4">
        <f>IFERROR(_xlfn.MAXIFS(Tabelle5[value_points],Tabelle5[company_id],Tabelle18[[#This Row],[company_id]],Tabelle5[value_id],Tabelle18[[#This Row],[value_id]]),0)</f>
        <v>2</v>
      </c>
      <c r="F609">
        <f>IF(Tabelle18[[#This Row],[value_points_company]]=0,"",IFERROR(_xlfn.MINIFS(Tabelle5[doc_id],Tabelle5[company_id],Tabelle18[[#This Row],[company_id]],Tabelle5[value_id],Tabelle18[[#This Row],[value_id]],Tabelle5[value_points],Tabelle18[[#This Row],[value_points_company]]),""))</f>
        <v>201</v>
      </c>
      <c r="G609" t="str" cm="1">
        <f t="array" ref="G609">IF(Tabelle18[[#This Row],[doc_id_strongest]]="","",IFERROR(INDEX(Tabelle5[evidence_location],MATCH(1,(Tabelle5[company_id]=Tabelle18[[#This Row],[company_id]])*(Tabelle5[value_id]=Tabelle18[[#This Row],[value_id]])*(Tabelle5[doc_id]=Tabelle18[[#This Row],[doc_id_strongest]]),0)),""))</f>
        <v>S. 41; S. 43; S. 49</v>
      </c>
      <c r="H609" s="33" t="str" cm="1">
        <f t="array" ref="H609">IF(Tabelle18[[#This Row],[doc_id_strongest]]="","",IFERROR(INDEX(Tabelle5[evidence_quote],MATCH(1,(Tabelle5[company_id]=Tabelle18[[#This Row],[company_id]])*(Tabelle5[value_id]=Tabelle18[[#This Row],[value_id]])*(Tabelle5[doc_id]=Tabelle18[[#This Row],[doc_id_strongest]]),0)),""))</f>
        <v>“legal requirements, like the EU AI Act”; “integrate our Responsible AI Principles and controls into our product and solutions development, procurement, and risk management processes”; “mandatory milestone in the global Siemens Product Lifecycle Management (PLM) process”</v>
      </c>
    </row>
    <row r="610" spans="1:8" x14ac:dyDescent="0.25">
      <c r="A610" s="36">
        <v>34</v>
      </c>
      <c r="B610" t="s">
        <v>154</v>
      </c>
      <c r="C610" s="4">
        <f>IF(Tabelle18[[#This Row],[binding_level_company]]&gt;=1,1,0)</f>
        <v>1</v>
      </c>
      <c r="D610" s="4">
        <f>IFERROR(_xlfn.MAXIFS(Tabelle5[binding_level],Tabelle5[company_id],Tabelle18[[#This Row],[company_id]],Tabelle5[value_id],Tabelle18[[#This Row],[value_id]],Tabelle5[value_present],1),0)</f>
        <v>1</v>
      </c>
      <c r="E610" s="4">
        <f>IFERROR(_xlfn.MAXIFS(Tabelle5[value_points],Tabelle5[company_id],Tabelle18[[#This Row],[company_id]],Tabelle5[value_id],Tabelle18[[#This Row],[value_id]]),0)</f>
        <v>1</v>
      </c>
      <c r="F610">
        <f>IF(Tabelle18[[#This Row],[value_points_company]]=0,"",IFERROR(_xlfn.MINIFS(Tabelle5[doc_id],Tabelle5[company_id],Tabelle18[[#This Row],[company_id]],Tabelle5[value_id],Tabelle18[[#This Row],[value_id]],Tabelle5[value_points],Tabelle18[[#This Row],[value_points_company]]),""))</f>
        <v>201</v>
      </c>
      <c r="G610" t="str" cm="1">
        <f t="array" ref="G610">IF(Tabelle18[[#This Row],[doc_id_strongest]]="","",IFERROR(INDEX(Tabelle5[evidence_location],MATCH(1,(Tabelle5[company_id]=Tabelle18[[#This Row],[company_id]])*(Tabelle5[value_id]=Tabelle18[[#This Row],[value_id]])*(Tabelle5[doc_id]=Tabelle18[[#This Row],[doc_id_strongest]]),0)),""))</f>
        <v>S. 42</v>
      </c>
      <c r="H610" s="33" t="str" cm="1">
        <f t="array" ref="H610">IF(Tabelle18[[#This Row],[doc_id_strongest]]="","",IFERROR(INDEX(Tabelle5[evidence_quote],MATCH(1,(Tabelle5[company_id]=Tabelle18[[#This Row],[company_id]])*(Tabelle5[value_id]=Tabelle18[[#This Row],[value_id]])*(Tabelle5[doc_id]=Tabelle18[[#This Row],[doc_id_strongest]]),0)),""))</f>
        <v>“Promote the ethical use of AI technologies”</v>
      </c>
    </row>
    <row r="611" spans="1:8" x14ac:dyDescent="0.25">
      <c r="A611" s="36">
        <v>34</v>
      </c>
      <c r="B611" t="s">
        <v>161</v>
      </c>
      <c r="C611" s="4">
        <f>IF(Tabelle18[[#This Row],[binding_level_company]]&gt;=1,1,0)</f>
        <v>1</v>
      </c>
      <c r="D611" s="4">
        <f>IFERROR(_xlfn.MAXIFS(Tabelle5[binding_level],Tabelle5[company_id],Tabelle18[[#This Row],[company_id]],Tabelle5[value_id],Tabelle18[[#This Row],[value_id]],Tabelle5[value_present],1),0)</f>
        <v>1</v>
      </c>
      <c r="E611" s="4">
        <f>IFERROR(_xlfn.MAXIFS(Tabelle5[value_points],Tabelle5[company_id],Tabelle18[[#This Row],[company_id]],Tabelle5[value_id],Tabelle18[[#This Row],[value_id]]),0)</f>
        <v>1</v>
      </c>
      <c r="F611">
        <f>IF(Tabelle18[[#This Row],[value_points_company]]=0,"",IFERROR(_xlfn.MINIFS(Tabelle5[doc_id],Tabelle5[company_id],Tabelle18[[#This Row],[company_id]],Tabelle5[value_id],Tabelle18[[#This Row],[value_id]],Tabelle5[value_points],Tabelle18[[#This Row],[value_points_company]]),""))</f>
        <v>201</v>
      </c>
      <c r="G611" t="str" cm="1">
        <f t="array" ref="G611">IF(Tabelle18[[#This Row],[doc_id_strongest]]="","",IFERROR(INDEX(Tabelle5[evidence_location],MATCH(1,(Tabelle5[company_id]=Tabelle18[[#This Row],[company_id]])*(Tabelle5[value_id]=Tabelle18[[#This Row],[value_id]])*(Tabelle5[doc_id]=Tabelle18[[#This Row],[doc_id_strongest]]),0)),""))</f>
        <v>S. 42</v>
      </c>
      <c r="H611" s="33" t="str" cm="1">
        <f t="array" ref="H611">IF(Tabelle18[[#This Row],[doc_id_strongest]]="","",IFERROR(INDEX(Tabelle5[evidence_quote],MATCH(1,(Tabelle5[company_id]=Tabelle18[[#This Row],[company_id]])*(Tabelle5[value_id]=Tabelle18[[#This Row],[value_id]])*(Tabelle5[doc_id]=Tabelle18[[#This Row],[doc_id_strongest]]),0)),""))</f>
        <v>“(quality) control, and accountability of their data”</v>
      </c>
    </row>
    <row r="612" spans="1:8" x14ac:dyDescent="0.25">
      <c r="A612" s="36">
        <v>34</v>
      </c>
      <c r="B612" t="s">
        <v>166</v>
      </c>
      <c r="C612" s="4">
        <f>IF(Tabelle18[[#This Row],[binding_level_company]]&gt;=1,1,0)</f>
        <v>0</v>
      </c>
      <c r="D612" s="4">
        <f>IFERROR(_xlfn.MAXIFS(Tabelle5[binding_level],Tabelle5[company_id],Tabelle18[[#This Row],[company_id]],Tabelle5[value_id],Tabelle18[[#This Row],[value_id]],Tabelle5[value_present],1),0)</f>
        <v>0</v>
      </c>
      <c r="E612" s="4">
        <f>IFERROR(_xlfn.MAXIFS(Tabelle5[value_points],Tabelle5[company_id],Tabelle18[[#This Row],[company_id]],Tabelle5[value_id],Tabelle18[[#This Row],[value_id]]),0)</f>
        <v>0</v>
      </c>
      <c r="F612" t="str">
        <f>IF(Tabelle18[[#This Row],[value_points_company]]=0,"",IFERROR(_xlfn.MINIFS(Tabelle5[doc_id],Tabelle5[company_id],Tabelle18[[#This Row],[company_id]],Tabelle5[value_id],Tabelle18[[#This Row],[value_id]],Tabelle5[value_points],Tabelle18[[#This Row],[value_points_company]]),""))</f>
        <v/>
      </c>
      <c r="G612" t="str" cm="1">
        <f t="array" ref="G612">IF(Tabelle18[[#This Row],[doc_id_strongest]]="","",IFERROR(INDEX(Tabelle5[evidence_location],MATCH(1,(Tabelle5[company_id]=Tabelle18[[#This Row],[company_id]])*(Tabelle5[value_id]=Tabelle18[[#This Row],[value_id]])*(Tabelle5[doc_id]=Tabelle18[[#This Row],[doc_id_strongest]]),0)),""))</f>
        <v/>
      </c>
      <c r="H612" s="33" t="str" cm="1">
        <f t="array" ref="H612">IF(Tabelle18[[#This Row],[doc_id_strongest]]="","",IFERROR(INDEX(Tabelle5[evidence_quote],MATCH(1,(Tabelle5[company_id]=Tabelle18[[#This Row],[company_id]])*(Tabelle5[value_id]=Tabelle18[[#This Row],[value_id]])*(Tabelle5[doc_id]=Tabelle18[[#This Row],[doc_id_strongest]]),0)),""))</f>
        <v/>
      </c>
    </row>
    <row r="613" spans="1:8" ht="15.75" thickBot="1" x14ac:dyDescent="0.3">
      <c r="A613" s="37">
        <v>34</v>
      </c>
      <c r="B613" s="30" t="s">
        <v>174</v>
      </c>
      <c r="C613" s="49">
        <f>IF(Tabelle18[[#This Row],[binding_level_company]]&gt;=1,1,0)</f>
        <v>0</v>
      </c>
      <c r="D613" s="49">
        <f>IFERROR(_xlfn.MAXIFS(Tabelle5[binding_level],Tabelle5[company_id],Tabelle18[[#This Row],[company_id]],Tabelle5[value_id],Tabelle18[[#This Row],[value_id]],Tabelle5[value_present],1),0)</f>
        <v>0</v>
      </c>
      <c r="E613" s="49">
        <f>IFERROR(_xlfn.MAXIFS(Tabelle5[value_points],Tabelle5[company_id],Tabelle18[[#This Row],[company_id]],Tabelle5[value_id],Tabelle18[[#This Row],[value_id]]),0)</f>
        <v>0</v>
      </c>
      <c r="F613" s="30" t="str">
        <f>IF(Tabelle18[[#This Row],[value_points_company]]=0,"",IFERROR(_xlfn.MINIFS(Tabelle5[doc_id],Tabelle5[company_id],Tabelle18[[#This Row],[company_id]],Tabelle5[value_id],Tabelle18[[#This Row],[value_id]],Tabelle5[value_points],Tabelle18[[#This Row],[value_points_company]]),""))</f>
        <v/>
      </c>
      <c r="G613" s="30" t="str" cm="1">
        <f t="array" ref="G613">IF(Tabelle18[[#This Row],[doc_id_strongest]]="","",IFERROR(INDEX(Tabelle5[evidence_location],MATCH(1,(Tabelle5[company_id]=Tabelle18[[#This Row],[company_id]])*(Tabelle5[value_id]=Tabelle18[[#This Row],[value_id]])*(Tabelle5[doc_id]=Tabelle18[[#This Row],[doc_id_strongest]]),0)),""))</f>
        <v/>
      </c>
      <c r="H613" s="34" t="str" cm="1">
        <f t="array" ref="H613">IF(Tabelle18[[#This Row],[doc_id_strongest]]="","",IFERROR(INDEX(Tabelle5[evidence_quote],MATCH(1,(Tabelle5[company_id]=Tabelle18[[#This Row],[company_id]])*(Tabelle5[value_id]=Tabelle18[[#This Row],[value_id]])*(Tabelle5[doc_id]=Tabelle18[[#This Row],[doc_id_strongest]]),0)),""))</f>
        <v/>
      </c>
    </row>
    <row r="614" spans="1:8" x14ac:dyDescent="0.25">
      <c r="A614" s="35">
        <v>35</v>
      </c>
      <c r="B614" s="22" t="s">
        <v>53</v>
      </c>
      <c r="C614" s="48">
        <f>IF(Tabelle18[[#This Row],[binding_level_company]]&gt;=1,1,0)</f>
        <v>0</v>
      </c>
      <c r="D614" s="48">
        <f>IFERROR(_xlfn.MAXIFS(Tabelle5[binding_level],Tabelle5[company_id],Tabelle18[[#This Row],[company_id]],Tabelle5[value_id],Tabelle18[[#This Row],[value_id]],Tabelle5[value_present],1),0)</f>
        <v>0</v>
      </c>
      <c r="E614" s="48">
        <f>IFERROR(_xlfn.MAXIFS(Tabelle5[value_points],Tabelle5[company_id],Tabelle18[[#This Row],[company_id]],Tabelle5[value_id],Tabelle18[[#This Row],[value_id]]),0)</f>
        <v>0</v>
      </c>
      <c r="F614" s="22" t="str">
        <f>IF(Tabelle18[[#This Row],[value_points_company]]=0,"",IFERROR(_xlfn.MINIFS(Tabelle5[doc_id],Tabelle5[company_id],Tabelle18[[#This Row],[company_id]],Tabelle5[value_id],Tabelle18[[#This Row],[value_id]],Tabelle5[value_points],Tabelle18[[#This Row],[value_points_company]]),""))</f>
        <v/>
      </c>
      <c r="G614" s="22" t="str" cm="1">
        <f t="array" ref="G614">IF(Tabelle18[[#This Row],[doc_id_strongest]]="","",IFERROR(INDEX(Tabelle5[evidence_location],MATCH(1,(Tabelle5[company_id]=Tabelle18[[#This Row],[company_id]])*(Tabelle5[value_id]=Tabelle18[[#This Row],[value_id]])*(Tabelle5[doc_id]=Tabelle18[[#This Row],[doc_id_strongest]]),0)),""))</f>
        <v/>
      </c>
      <c r="H614" s="32" t="str" cm="1">
        <f t="array" ref="H614">IF(Tabelle18[[#This Row],[doc_id_strongest]]="","",IFERROR(INDEX(Tabelle5[evidence_quote],MATCH(1,(Tabelle5[company_id]=Tabelle18[[#This Row],[company_id]])*(Tabelle5[value_id]=Tabelle18[[#This Row],[value_id]])*(Tabelle5[doc_id]=Tabelle18[[#This Row],[doc_id_strongest]]),0)),""))</f>
        <v/>
      </c>
    </row>
    <row r="615" spans="1:8" x14ac:dyDescent="0.25">
      <c r="A615" s="36">
        <v>35</v>
      </c>
      <c r="B615" t="s">
        <v>61</v>
      </c>
      <c r="C615" s="4">
        <f>IF(Tabelle18[[#This Row],[binding_level_company]]&gt;=1,1,0)</f>
        <v>0</v>
      </c>
      <c r="D615" s="4">
        <f>IFERROR(_xlfn.MAXIFS(Tabelle5[binding_level],Tabelle5[company_id],Tabelle18[[#This Row],[company_id]],Tabelle5[value_id],Tabelle18[[#This Row],[value_id]],Tabelle5[value_present],1),0)</f>
        <v>0</v>
      </c>
      <c r="E615" s="4">
        <f>IFERROR(_xlfn.MAXIFS(Tabelle5[value_points],Tabelle5[company_id],Tabelle18[[#This Row],[company_id]],Tabelle5[value_id],Tabelle18[[#This Row],[value_id]]),0)</f>
        <v>0</v>
      </c>
      <c r="F615" t="str">
        <f>IF(Tabelle18[[#This Row],[value_points_company]]=0,"",IFERROR(_xlfn.MINIFS(Tabelle5[doc_id],Tabelle5[company_id],Tabelle18[[#This Row],[company_id]],Tabelle5[value_id],Tabelle18[[#This Row],[value_id]],Tabelle5[value_points],Tabelle18[[#This Row],[value_points_company]]),""))</f>
        <v/>
      </c>
      <c r="G615" t="str" cm="1">
        <f t="array" ref="G615">IF(Tabelle18[[#This Row],[doc_id_strongest]]="","",IFERROR(INDEX(Tabelle5[evidence_location],MATCH(1,(Tabelle5[company_id]=Tabelle18[[#This Row],[company_id]])*(Tabelle5[value_id]=Tabelle18[[#This Row],[value_id]])*(Tabelle5[doc_id]=Tabelle18[[#This Row],[doc_id_strongest]]),0)),""))</f>
        <v/>
      </c>
      <c r="H615" s="33" t="str" cm="1">
        <f t="array" ref="H615">IF(Tabelle18[[#This Row],[doc_id_strongest]]="","",IFERROR(INDEX(Tabelle5[evidence_quote],MATCH(1,(Tabelle5[company_id]=Tabelle18[[#This Row],[company_id]])*(Tabelle5[value_id]=Tabelle18[[#This Row],[value_id]])*(Tabelle5[doc_id]=Tabelle18[[#This Row],[doc_id_strongest]]),0)),""))</f>
        <v/>
      </c>
    </row>
    <row r="616" spans="1:8" x14ac:dyDescent="0.25">
      <c r="A616" s="36">
        <v>35</v>
      </c>
      <c r="B616" t="s">
        <v>69</v>
      </c>
      <c r="C616" s="4">
        <f>IF(Tabelle18[[#This Row],[binding_level_company]]&gt;=1,1,0)</f>
        <v>0</v>
      </c>
      <c r="D616" s="4">
        <f>IFERROR(_xlfn.MAXIFS(Tabelle5[binding_level],Tabelle5[company_id],Tabelle18[[#This Row],[company_id]],Tabelle5[value_id],Tabelle18[[#This Row],[value_id]],Tabelle5[value_present],1),0)</f>
        <v>0</v>
      </c>
      <c r="E616" s="4">
        <f>IFERROR(_xlfn.MAXIFS(Tabelle5[value_points],Tabelle5[company_id],Tabelle18[[#This Row],[company_id]],Tabelle5[value_id],Tabelle18[[#This Row],[value_id]]),0)</f>
        <v>0</v>
      </c>
      <c r="F616" t="str">
        <f>IF(Tabelle18[[#This Row],[value_points_company]]=0,"",IFERROR(_xlfn.MINIFS(Tabelle5[doc_id],Tabelle5[company_id],Tabelle18[[#This Row],[company_id]],Tabelle5[value_id],Tabelle18[[#This Row],[value_id]],Tabelle5[value_points],Tabelle18[[#This Row],[value_points_company]]),""))</f>
        <v/>
      </c>
      <c r="G616" t="str" cm="1">
        <f t="array" ref="G616">IF(Tabelle18[[#This Row],[doc_id_strongest]]="","",IFERROR(INDEX(Tabelle5[evidence_location],MATCH(1,(Tabelle5[company_id]=Tabelle18[[#This Row],[company_id]])*(Tabelle5[value_id]=Tabelle18[[#This Row],[value_id]])*(Tabelle5[doc_id]=Tabelle18[[#This Row],[doc_id_strongest]]),0)),""))</f>
        <v/>
      </c>
      <c r="H616" s="33" t="str" cm="1">
        <f t="array" ref="H616">IF(Tabelle18[[#This Row],[doc_id_strongest]]="","",IFERROR(INDEX(Tabelle5[evidence_quote],MATCH(1,(Tabelle5[company_id]=Tabelle18[[#This Row],[company_id]])*(Tabelle5[value_id]=Tabelle18[[#This Row],[value_id]])*(Tabelle5[doc_id]=Tabelle18[[#This Row],[doc_id_strongest]]),0)),""))</f>
        <v/>
      </c>
    </row>
    <row r="617" spans="1:8" x14ac:dyDescent="0.25">
      <c r="A617" s="36">
        <v>35</v>
      </c>
      <c r="B617" t="s">
        <v>76</v>
      </c>
      <c r="C617" s="4">
        <f>IF(Tabelle18[[#This Row],[binding_level_company]]&gt;=1,1,0)</f>
        <v>0</v>
      </c>
      <c r="D617" s="4">
        <f>IFERROR(_xlfn.MAXIFS(Tabelle5[binding_level],Tabelle5[company_id],Tabelle18[[#This Row],[company_id]],Tabelle5[value_id],Tabelle18[[#This Row],[value_id]],Tabelle5[value_present],1),0)</f>
        <v>0</v>
      </c>
      <c r="E617" s="4">
        <f>IFERROR(_xlfn.MAXIFS(Tabelle5[value_points],Tabelle5[company_id],Tabelle18[[#This Row],[company_id]],Tabelle5[value_id],Tabelle18[[#This Row],[value_id]]),0)</f>
        <v>0</v>
      </c>
      <c r="F617" t="str">
        <f>IF(Tabelle18[[#This Row],[value_points_company]]=0,"",IFERROR(_xlfn.MINIFS(Tabelle5[doc_id],Tabelle5[company_id],Tabelle18[[#This Row],[company_id]],Tabelle5[value_id],Tabelle18[[#This Row],[value_id]],Tabelle5[value_points],Tabelle18[[#This Row],[value_points_company]]),""))</f>
        <v/>
      </c>
      <c r="G617" t="str" cm="1">
        <f t="array" ref="G617">IF(Tabelle18[[#This Row],[doc_id_strongest]]="","",IFERROR(INDEX(Tabelle5[evidence_location],MATCH(1,(Tabelle5[company_id]=Tabelle18[[#This Row],[company_id]])*(Tabelle5[value_id]=Tabelle18[[#This Row],[value_id]])*(Tabelle5[doc_id]=Tabelle18[[#This Row],[doc_id_strongest]]),0)),""))</f>
        <v/>
      </c>
      <c r="H617" s="33" t="str" cm="1">
        <f t="array" ref="H617">IF(Tabelle18[[#This Row],[doc_id_strongest]]="","",IFERROR(INDEX(Tabelle5[evidence_quote],MATCH(1,(Tabelle5[company_id]=Tabelle18[[#This Row],[company_id]])*(Tabelle5[value_id]=Tabelle18[[#This Row],[value_id]])*(Tabelle5[doc_id]=Tabelle18[[#This Row],[doc_id_strongest]]),0)),""))</f>
        <v/>
      </c>
    </row>
    <row r="618" spans="1:8" x14ac:dyDescent="0.25">
      <c r="A618" s="36">
        <v>35</v>
      </c>
      <c r="B618" t="s">
        <v>83</v>
      </c>
      <c r="C618" s="4">
        <f>IF(Tabelle18[[#This Row],[binding_level_company]]&gt;=1,1,0)</f>
        <v>0</v>
      </c>
      <c r="D618" s="4">
        <f>IFERROR(_xlfn.MAXIFS(Tabelle5[binding_level],Tabelle5[company_id],Tabelle18[[#This Row],[company_id]],Tabelle5[value_id],Tabelle18[[#This Row],[value_id]],Tabelle5[value_present],1),0)</f>
        <v>0</v>
      </c>
      <c r="E618" s="4">
        <f>IFERROR(_xlfn.MAXIFS(Tabelle5[value_points],Tabelle5[company_id],Tabelle18[[#This Row],[company_id]],Tabelle5[value_id],Tabelle18[[#This Row],[value_id]]),0)</f>
        <v>0</v>
      </c>
      <c r="F618" t="str">
        <f>IF(Tabelle18[[#This Row],[value_points_company]]=0,"",IFERROR(_xlfn.MINIFS(Tabelle5[doc_id],Tabelle5[company_id],Tabelle18[[#This Row],[company_id]],Tabelle5[value_id],Tabelle18[[#This Row],[value_id]],Tabelle5[value_points],Tabelle18[[#This Row],[value_points_company]]),""))</f>
        <v/>
      </c>
      <c r="G618" t="str" cm="1">
        <f t="array" ref="G618">IF(Tabelle18[[#This Row],[doc_id_strongest]]="","",IFERROR(INDEX(Tabelle5[evidence_location],MATCH(1,(Tabelle5[company_id]=Tabelle18[[#This Row],[company_id]])*(Tabelle5[value_id]=Tabelle18[[#This Row],[value_id]])*(Tabelle5[doc_id]=Tabelle18[[#This Row],[doc_id_strongest]]),0)),""))</f>
        <v/>
      </c>
      <c r="H618" s="33" t="str" cm="1">
        <f t="array" ref="H618">IF(Tabelle18[[#This Row],[doc_id_strongest]]="","",IFERROR(INDEX(Tabelle5[evidence_quote],MATCH(1,(Tabelle5[company_id]=Tabelle18[[#This Row],[company_id]])*(Tabelle5[value_id]=Tabelle18[[#This Row],[value_id]])*(Tabelle5[doc_id]=Tabelle18[[#This Row],[doc_id_strongest]]),0)),""))</f>
        <v/>
      </c>
    </row>
    <row r="619" spans="1:8" x14ac:dyDescent="0.25">
      <c r="A619" s="36">
        <v>35</v>
      </c>
      <c r="B619" t="s">
        <v>90</v>
      </c>
      <c r="C619" s="4">
        <f>IF(Tabelle18[[#This Row],[binding_level_company]]&gt;=1,1,0)</f>
        <v>0</v>
      </c>
      <c r="D619" s="4">
        <f>IFERROR(_xlfn.MAXIFS(Tabelle5[binding_level],Tabelle5[company_id],Tabelle18[[#This Row],[company_id]],Tabelle5[value_id],Tabelle18[[#This Row],[value_id]],Tabelle5[value_present],1),0)</f>
        <v>0</v>
      </c>
      <c r="E619" s="4">
        <f>IFERROR(_xlfn.MAXIFS(Tabelle5[value_points],Tabelle5[company_id],Tabelle18[[#This Row],[company_id]],Tabelle5[value_id],Tabelle18[[#This Row],[value_id]]),0)</f>
        <v>0</v>
      </c>
      <c r="F619" t="str">
        <f>IF(Tabelle18[[#This Row],[value_points_company]]=0,"",IFERROR(_xlfn.MINIFS(Tabelle5[doc_id],Tabelle5[company_id],Tabelle18[[#This Row],[company_id]],Tabelle5[value_id],Tabelle18[[#This Row],[value_id]],Tabelle5[value_points],Tabelle18[[#This Row],[value_points_company]]),""))</f>
        <v/>
      </c>
      <c r="G619" t="str" cm="1">
        <f t="array" ref="G619">IF(Tabelle18[[#This Row],[doc_id_strongest]]="","",IFERROR(INDEX(Tabelle5[evidence_location],MATCH(1,(Tabelle5[company_id]=Tabelle18[[#This Row],[company_id]])*(Tabelle5[value_id]=Tabelle18[[#This Row],[value_id]])*(Tabelle5[doc_id]=Tabelle18[[#This Row],[doc_id_strongest]]),0)),""))</f>
        <v/>
      </c>
      <c r="H619" s="33" t="str" cm="1">
        <f t="array" ref="H619">IF(Tabelle18[[#This Row],[doc_id_strongest]]="","",IFERROR(INDEX(Tabelle5[evidence_quote],MATCH(1,(Tabelle5[company_id]=Tabelle18[[#This Row],[company_id]])*(Tabelle5[value_id]=Tabelle18[[#This Row],[value_id]])*(Tabelle5[doc_id]=Tabelle18[[#This Row],[doc_id_strongest]]),0)),""))</f>
        <v/>
      </c>
    </row>
    <row r="620" spans="1:8" x14ac:dyDescent="0.25">
      <c r="A620" s="36">
        <v>35</v>
      </c>
      <c r="B620" t="s">
        <v>98</v>
      </c>
      <c r="C620" s="4">
        <f>IF(Tabelle18[[#This Row],[binding_level_company]]&gt;=1,1,0)</f>
        <v>0</v>
      </c>
      <c r="D620" s="4">
        <f>IFERROR(_xlfn.MAXIFS(Tabelle5[binding_level],Tabelle5[company_id],Tabelle18[[#This Row],[company_id]],Tabelle5[value_id],Tabelle18[[#This Row],[value_id]],Tabelle5[value_present],1),0)</f>
        <v>0</v>
      </c>
      <c r="E620" s="4">
        <f>IFERROR(_xlfn.MAXIFS(Tabelle5[value_points],Tabelle5[company_id],Tabelle18[[#This Row],[company_id]],Tabelle5[value_id],Tabelle18[[#This Row],[value_id]]),0)</f>
        <v>0</v>
      </c>
      <c r="F620" t="str">
        <f>IF(Tabelle18[[#This Row],[value_points_company]]=0,"",IFERROR(_xlfn.MINIFS(Tabelle5[doc_id],Tabelle5[company_id],Tabelle18[[#This Row],[company_id]],Tabelle5[value_id],Tabelle18[[#This Row],[value_id]],Tabelle5[value_points],Tabelle18[[#This Row],[value_points_company]]),""))</f>
        <v/>
      </c>
      <c r="G620" t="str" cm="1">
        <f t="array" ref="G620">IF(Tabelle18[[#This Row],[doc_id_strongest]]="","",IFERROR(INDEX(Tabelle5[evidence_location],MATCH(1,(Tabelle5[company_id]=Tabelle18[[#This Row],[company_id]])*(Tabelle5[value_id]=Tabelle18[[#This Row],[value_id]])*(Tabelle5[doc_id]=Tabelle18[[#This Row],[doc_id_strongest]]),0)),""))</f>
        <v/>
      </c>
      <c r="H620" s="33" t="str" cm="1">
        <f t="array" ref="H620">IF(Tabelle18[[#This Row],[doc_id_strongest]]="","",IFERROR(INDEX(Tabelle5[evidence_quote],MATCH(1,(Tabelle5[company_id]=Tabelle18[[#This Row],[company_id]])*(Tabelle5[value_id]=Tabelle18[[#This Row],[value_id]])*(Tabelle5[doc_id]=Tabelle18[[#This Row],[doc_id_strongest]]),0)),""))</f>
        <v/>
      </c>
    </row>
    <row r="621" spans="1:8" x14ac:dyDescent="0.25">
      <c r="A621" s="36">
        <v>35</v>
      </c>
      <c r="B621" t="s">
        <v>106</v>
      </c>
      <c r="C621" s="4">
        <f>IF(Tabelle18[[#This Row],[binding_level_company]]&gt;=1,1,0)</f>
        <v>0</v>
      </c>
      <c r="D621" s="4">
        <f>IFERROR(_xlfn.MAXIFS(Tabelle5[binding_level],Tabelle5[company_id],Tabelle18[[#This Row],[company_id]],Tabelle5[value_id],Tabelle18[[#This Row],[value_id]],Tabelle5[value_present],1),0)</f>
        <v>0</v>
      </c>
      <c r="E621" s="4">
        <f>IFERROR(_xlfn.MAXIFS(Tabelle5[value_points],Tabelle5[company_id],Tabelle18[[#This Row],[company_id]],Tabelle5[value_id],Tabelle18[[#This Row],[value_id]]),0)</f>
        <v>0</v>
      </c>
      <c r="F621" t="str">
        <f>IF(Tabelle18[[#This Row],[value_points_company]]=0,"",IFERROR(_xlfn.MINIFS(Tabelle5[doc_id],Tabelle5[company_id],Tabelle18[[#This Row],[company_id]],Tabelle5[value_id],Tabelle18[[#This Row],[value_id]],Tabelle5[value_points],Tabelle18[[#This Row],[value_points_company]]),""))</f>
        <v/>
      </c>
      <c r="G621" t="str" cm="1">
        <f t="array" ref="G621">IF(Tabelle18[[#This Row],[doc_id_strongest]]="","",IFERROR(INDEX(Tabelle5[evidence_location],MATCH(1,(Tabelle5[company_id]=Tabelle18[[#This Row],[company_id]])*(Tabelle5[value_id]=Tabelle18[[#This Row],[value_id]])*(Tabelle5[doc_id]=Tabelle18[[#This Row],[doc_id_strongest]]),0)),""))</f>
        <v/>
      </c>
      <c r="H621" s="33" t="str" cm="1">
        <f t="array" ref="H621">IF(Tabelle18[[#This Row],[doc_id_strongest]]="","",IFERROR(INDEX(Tabelle5[evidence_quote],MATCH(1,(Tabelle5[company_id]=Tabelle18[[#This Row],[company_id]])*(Tabelle5[value_id]=Tabelle18[[#This Row],[value_id]])*(Tabelle5[doc_id]=Tabelle18[[#This Row],[doc_id_strongest]]),0)),""))</f>
        <v/>
      </c>
    </row>
    <row r="622" spans="1:8" x14ac:dyDescent="0.25">
      <c r="A622" s="36">
        <v>35</v>
      </c>
      <c r="B622" t="s">
        <v>112</v>
      </c>
      <c r="C622" s="4">
        <f>IF(Tabelle18[[#This Row],[binding_level_company]]&gt;=1,1,0)</f>
        <v>0</v>
      </c>
      <c r="D622" s="4">
        <f>IFERROR(_xlfn.MAXIFS(Tabelle5[binding_level],Tabelle5[company_id],Tabelle18[[#This Row],[company_id]],Tabelle5[value_id],Tabelle18[[#This Row],[value_id]],Tabelle5[value_present],1),0)</f>
        <v>0</v>
      </c>
      <c r="E622" s="4">
        <f>IFERROR(_xlfn.MAXIFS(Tabelle5[value_points],Tabelle5[company_id],Tabelle18[[#This Row],[company_id]],Tabelle5[value_id],Tabelle18[[#This Row],[value_id]]),0)</f>
        <v>0</v>
      </c>
      <c r="F622" t="str">
        <f>IF(Tabelle18[[#This Row],[value_points_company]]=0,"",IFERROR(_xlfn.MINIFS(Tabelle5[doc_id],Tabelle5[company_id],Tabelle18[[#This Row],[company_id]],Tabelle5[value_id],Tabelle18[[#This Row],[value_id]],Tabelle5[value_points],Tabelle18[[#This Row],[value_points_company]]),""))</f>
        <v/>
      </c>
      <c r="G622" t="str" cm="1">
        <f t="array" ref="G622">IF(Tabelle18[[#This Row],[doc_id_strongest]]="","",IFERROR(INDEX(Tabelle5[evidence_location],MATCH(1,(Tabelle5[company_id]=Tabelle18[[#This Row],[company_id]])*(Tabelle5[value_id]=Tabelle18[[#This Row],[value_id]])*(Tabelle5[doc_id]=Tabelle18[[#This Row],[doc_id_strongest]]),0)),""))</f>
        <v/>
      </c>
      <c r="H622" s="33" t="str" cm="1">
        <f t="array" ref="H622">IF(Tabelle18[[#This Row],[doc_id_strongest]]="","",IFERROR(INDEX(Tabelle5[evidence_quote],MATCH(1,(Tabelle5[company_id]=Tabelle18[[#This Row],[company_id]])*(Tabelle5[value_id]=Tabelle18[[#This Row],[value_id]])*(Tabelle5[doc_id]=Tabelle18[[#This Row],[doc_id_strongest]]),0)),""))</f>
        <v/>
      </c>
    </row>
    <row r="623" spans="1:8" x14ac:dyDescent="0.25">
      <c r="A623" s="36">
        <v>35</v>
      </c>
      <c r="B623" t="s">
        <v>118</v>
      </c>
      <c r="C623" s="4">
        <f>IF(Tabelle18[[#This Row],[binding_level_company]]&gt;=1,1,0)</f>
        <v>0</v>
      </c>
      <c r="D623" s="4">
        <f>IFERROR(_xlfn.MAXIFS(Tabelle5[binding_level],Tabelle5[company_id],Tabelle18[[#This Row],[company_id]],Tabelle5[value_id],Tabelle18[[#This Row],[value_id]],Tabelle5[value_present],1),0)</f>
        <v>0</v>
      </c>
      <c r="E623" s="4">
        <f>IFERROR(_xlfn.MAXIFS(Tabelle5[value_points],Tabelle5[company_id],Tabelle18[[#This Row],[company_id]],Tabelle5[value_id],Tabelle18[[#This Row],[value_id]]),0)</f>
        <v>0</v>
      </c>
      <c r="F623" t="str">
        <f>IF(Tabelle18[[#This Row],[value_points_company]]=0,"",IFERROR(_xlfn.MINIFS(Tabelle5[doc_id],Tabelle5[company_id],Tabelle18[[#This Row],[company_id]],Tabelle5[value_id],Tabelle18[[#This Row],[value_id]],Tabelle5[value_points],Tabelle18[[#This Row],[value_points_company]]),""))</f>
        <v/>
      </c>
      <c r="G623" t="str" cm="1">
        <f t="array" ref="G623">IF(Tabelle18[[#This Row],[doc_id_strongest]]="","",IFERROR(INDEX(Tabelle5[evidence_location],MATCH(1,(Tabelle5[company_id]=Tabelle18[[#This Row],[company_id]])*(Tabelle5[value_id]=Tabelle18[[#This Row],[value_id]])*(Tabelle5[doc_id]=Tabelle18[[#This Row],[doc_id_strongest]]),0)),""))</f>
        <v/>
      </c>
      <c r="H623" s="33" t="str" cm="1">
        <f t="array" ref="H623">IF(Tabelle18[[#This Row],[doc_id_strongest]]="","",IFERROR(INDEX(Tabelle5[evidence_quote],MATCH(1,(Tabelle5[company_id]=Tabelle18[[#This Row],[company_id]])*(Tabelle5[value_id]=Tabelle18[[#This Row],[value_id]])*(Tabelle5[doc_id]=Tabelle18[[#This Row],[doc_id_strongest]]),0)),""))</f>
        <v/>
      </c>
    </row>
    <row r="624" spans="1:8" x14ac:dyDescent="0.25">
      <c r="A624" s="36">
        <v>35</v>
      </c>
      <c r="B624" t="s">
        <v>125</v>
      </c>
      <c r="C624" s="4">
        <f>IF(Tabelle18[[#This Row],[binding_level_company]]&gt;=1,1,0)</f>
        <v>0</v>
      </c>
      <c r="D624" s="4">
        <f>IFERROR(_xlfn.MAXIFS(Tabelle5[binding_level],Tabelle5[company_id],Tabelle18[[#This Row],[company_id]],Tabelle5[value_id],Tabelle18[[#This Row],[value_id]],Tabelle5[value_present],1),0)</f>
        <v>0</v>
      </c>
      <c r="E624" s="4">
        <f>IFERROR(_xlfn.MAXIFS(Tabelle5[value_points],Tabelle5[company_id],Tabelle18[[#This Row],[company_id]],Tabelle5[value_id],Tabelle18[[#This Row],[value_id]]),0)</f>
        <v>0</v>
      </c>
      <c r="F624" t="str">
        <f>IF(Tabelle18[[#This Row],[value_points_company]]=0,"",IFERROR(_xlfn.MINIFS(Tabelle5[doc_id],Tabelle5[company_id],Tabelle18[[#This Row],[company_id]],Tabelle5[value_id],Tabelle18[[#This Row],[value_id]],Tabelle5[value_points],Tabelle18[[#This Row],[value_points_company]]),""))</f>
        <v/>
      </c>
      <c r="G624" t="str" cm="1">
        <f t="array" ref="G624">IF(Tabelle18[[#This Row],[doc_id_strongest]]="","",IFERROR(INDEX(Tabelle5[evidence_location],MATCH(1,(Tabelle5[company_id]=Tabelle18[[#This Row],[company_id]])*(Tabelle5[value_id]=Tabelle18[[#This Row],[value_id]])*(Tabelle5[doc_id]=Tabelle18[[#This Row],[doc_id_strongest]]),0)),""))</f>
        <v/>
      </c>
      <c r="H624" s="33" t="str" cm="1">
        <f t="array" ref="H624">IF(Tabelle18[[#This Row],[doc_id_strongest]]="","",IFERROR(INDEX(Tabelle5[evidence_quote],MATCH(1,(Tabelle5[company_id]=Tabelle18[[#This Row],[company_id]])*(Tabelle5[value_id]=Tabelle18[[#This Row],[value_id]])*(Tabelle5[doc_id]=Tabelle18[[#This Row],[doc_id_strongest]]),0)),""))</f>
        <v/>
      </c>
    </row>
    <row r="625" spans="1:8" x14ac:dyDescent="0.25">
      <c r="A625" s="36">
        <v>35</v>
      </c>
      <c r="B625" t="s">
        <v>132</v>
      </c>
      <c r="C625" s="4">
        <f>IF(Tabelle18[[#This Row],[binding_level_company]]&gt;=1,1,0)</f>
        <v>0</v>
      </c>
      <c r="D625" s="4">
        <f>IFERROR(_xlfn.MAXIFS(Tabelle5[binding_level],Tabelle5[company_id],Tabelle18[[#This Row],[company_id]],Tabelle5[value_id],Tabelle18[[#This Row],[value_id]],Tabelle5[value_present],1),0)</f>
        <v>0</v>
      </c>
      <c r="E625" s="4">
        <f>IFERROR(_xlfn.MAXIFS(Tabelle5[value_points],Tabelle5[company_id],Tabelle18[[#This Row],[company_id]],Tabelle5[value_id],Tabelle18[[#This Row],[value_id]]),0)</f>
        <v>0</v>
      </c>
      <c r="F625" t="str">
        <f>IF(Tabelle18[[#This Row],[value_points_company]]=0,"",IFERROR(_xlfn.MINIFS(Tabelle5[doc_id],Tabelle5[company_id],Tabelle18[[#This Row],[company_id]],Tabelle5[value_id],Tabelle18[[#This Row],[value_id]],Tabelle5[value_points],Tabelle18[[#This Row],[value_points_company]]),""))</f>
        <v/>
      </c>
      <c r="G625" t="str" cm="1">
        <f t="array" ref="G625">IF(Tabelle18[[#This Row],[doc_id_strongest]]="","",IFERROR(INDEX(Tabelle5[evidence_location],MATCH(1,(Tabelle5[company_id]=Tabelle18[[#This Row],[company_id]])*(Tabelle5[value_id]=Tabelle18[[#This Row],[value_id]])*(Tabelle5[doc_id]=Tabelle18[[#This Row],[doc_id_strongest]]),0)),""))</f>
        <v/>
      </c>
      <c r="H625" s="33" t="str" cm="1">
        <f t="array" ref="H625">IF(Tabelle18[[#This Row],[doc_id_strongest]]="","",IFERROR(INDEX(Tabelle5[evidence_quote],MATCH(1,(Tabelle5[company_id]=Tabelle18[[#This Row],[company_id]])*(Tabelle5[value_id]=Tabelle18[[#This Row],[value_id]])*(Tabelle5[doc_id]=Tabelle18[[#This Row],[doc_id_strongest]]),0)),""))</f>
        <v/>
      </c>
    </row>
    <row r="626" spans="1:8" x14ac:dyDescent="0.25">
      <c r="A626" s="36">
        <v>35</v>
      </c>
      <c r="B626" t="s">
        <v>140</v>
      </c>
      <c r="C626" s="4">
        <f>IF(Tabelle18[[#This Row],[binding_level_company]]&gt;=1,1,0)</f>
        <v>0</v>
      </c>
      <c r="D626" s="4">
        <f>IFERROR(_xlfn.MAXIFS(Tabelle5[binding_level],Tabelle5[company_id],Tabelle18[[#This Row],[company_id]],Tabelle5[value_id],Tabelle18[[#This Row],[value_id]],Tabelle5[value_present],1),0)</f>
        <v>0</v>
      </c>
      <c r="E626" s="4">
        <f>IFERROR(_xlfn.MAXIFS(Tabelle5[value_points],Tabelle5[company_id],Tabelle18[[#This Row],[company_id]],Tabelle5[value_id],Tabelle18[[#This Row],[value_id]]),0)</f>
        <v>0</v>
      </c>
      <c r="F626" t="str">
        <f>IF(Tabelle18[[#This Row],[value_points_company]]=0,"",IFERROR(_xlfn.MINIFS(Tabelle5[doc_id],Tabelle5[company_id],Tabelle18[[#This Row],[company_id]],Tabelle5[value_id],Tabelle18[[#This Row],[value_id]],Tabelle5[value_points],Tabelle18[[#This Row],[value_points_company]]),""))</f>
        <v/>
      </c>
      <c r="G626" t="str" cm="1">
        <f t="array" ref="G626">IF(Tabelle18[[#This Row],[doc_id_strongest]]="","",IFERROR(INDEX(Tabelle5[evidence_location],MATCH(1,(Tabelle5[company_id]=Tabelle18[[#This Row],[company_id]])*(Tabelle5[value_id]=Tabelle18[[#This Row],[value_id]])*(Tabelle5[doc_id]=Tabelle18[[#This Row],[doc_id_strongest]]),0)),""))</f>
        <v/>
      </c>
      <c r="H626" s="33" t="str" cm="1">
        <f t="array" ref="H626">IF(Tabelle18[[#This Row],[doc_id_strongest]]="","",IFERROR(INDEX(Tabelle5[evidence_quote],MATCH(1,(Tabelle5[company_id]=Tabelle18[[#This Row],[company_id]])*(Tabelle5[value_id]=Tabelle18[[#This Row],[value_id]])*(Tabelle5[doc_id]=Tabelle18[[#This Row],[doc_id_strongest]]),0)),""))</f>
        <v/>
      </c>
    </row>
    <row r="627" spans="1:8" x14ac:dyDescent="0.25">
      <c r="A627" s="36">
        <v>35</v>
      </c>
      <c r="B627" t="s">
        <v>147</v>
      </c>
      <c r="C627" s="4">
        <f>IF(Tabelle18[[#This Row],[binding_level_company]]&gt;=1,1,0)</f>
        <v>0</v>
      </c>
      <c r="D627" s="4">
        <f>IFERROR(_xlfn.MAXIFS(Tabelle5[binding_level],Tabelle5[company_id],Tabelle18[[#This Row],[company_id]],Tabelle5[value_id],Tabelle18[[#This Row],[value_id]],Tabelle5[value_present],1),0)</f>
        <v>0</v>
      </c>
      <c r="E627" s="4">
        <f>IFERROR(_xlfn.MAXIFS(Tabelle5[value_points],Tabelle5[company_id],Tabelle18[[#This Row],[company_id]],Tabelle5[value_id],Tabelle18[[#This Row],[value_id]]),0)</f>
        <v>0</v>
      </c>
      <c r="F627" t="str">
        <f>IF(Tabelle18[[#This Row],[value_points_company]]=0,"",IFERROR(_xlfn.MINIFS(Tabelle5[doc_id],Tabelle5[company_id],Tabelle18[[#This Row],[company_id]],Tabelle5[value_id],Tabelle18[[#This Row],[value_id]],Tabelle5[value_points],Tabelle18[[#This Row],[value_points_company]]),""))</f>
        <v/>
      </c>
      <c r="G627" t="str" cm="1">
        <f t="array" ref="G627">IF(Tabelle18[[#This Row],[doc_id_strongest]]="","",IFERROR(INDEX(Tabelle5[evidence_location],MATCH(1,(Tabelle5[company_id]=Tabelle18[[#This Row],[company_id]])*(Tabelle5[value_id]=Tabelle18[[#This Row],[value_id]])*(Tabelle5[doc_id]=Tabelle18[[#This Row],[doc_id_strongest]]),0)),""))</f>
        <v/>
      </c>
      <c r="H627" s="33" t="str" cm="1">
        <f t="array" ref="H627">IF(Tabelle18[[#This Row],[doc_id_strongest]]="","",IFERROR(INDEX(Tabelle5[evidence_quote],MATCH(1,(Tabelle5[company_id]=Tabelle18[[#This Row],[company_id]])*(Tabelle5[value_id]=Tabelle18[[#This Row],[value_id]])*(Tabelle5[doc_id]=Tabelle18[[#This Row],[doc_id_strongest]]),0)),""))</f>
        <v/>
      </c>
    </row>
    <row r="628" spans="1:8" x14ac:dyDescent="0.25">
      <c r="A628" s="36">
        <v>35</v>
      </c>
      <c r="B628" t="s">
        <v>154</v>
      </c>
      <c r="C628" s="4">
        <f>IF(Tabelle18[[#This Row],[binding_level_company]]&gt;=1,1,0)</f>
        <v>0</v>
      </c>
      <c r="D628" s="4">
        <f>IFERROR(_xlfn.MAXIFS(Tabelle5[binding_level],Tabelle5[company_id],Tabelle18[[#This Row],[company_id]],Tabelle5[value_id],Tabelle18[[#This Row],[value_id]],Tabelle5[value_present],1),0)</f>
        <v>0</v>
      </c>
      <c r="E628" s="4">
        <f>IFERROR(_xlfn.MAXIFS(Tabelle5[value_points],Tabelle5[company_id],Tabelle18[[#This Row],[company_id]],Tabelle5[value_id],Tabelle18[[#This Row],[value_id]]),0)</f>
        <v>0</v>
      </c>
      <c r="F628" t="str">
        <f>IF(Tabelle18[[#This Row],[value_points_company]]=0,"",IFERROR(_xlfn.MINIFS(Tabelle5[doc_id],Tabelle5[company_id],Tabelle18[[#This Row],[company_id]],Tabelle5[value_id],Tabelle18[[#This Row],[value_id]],Tabelle5[value_points],Tabelle18[[#This Row],[value_points_company]]),""))</f>
        <v/>
      </c>
      <c r="G628" t="str" cm="1">
        <f t="array" ref="G628">IF(Tabelle18[[#This Row],[doc_id_strongest]]="","",IFERROR(INDEX(Tabelle5[evidence_location],MATCH(1,(Tabelle5[company_id]=Tabelle18[[#This Row],[company_id]])*(Tabelle5[value_id]=Tabelle18[[#This Row],[value_id]])*(Tabelle5[doc_id]=Tabelle18[[#This Row],[doc_id_strongest]]),0)),""))</f>
        <v/>
      </c>
      <c r="H628" s="33" t="str" cm="1">
        <f t="array" ref="H628">IF(Tabelle18[[#This Row],[doc_id_strongest]]="","",IFERROR(INDEX(Tabelle5[evidence_quote],MATCH(1,(Tabelle5[company_id]=Tabelle18[[#This Row],[company_id]])*(Tabelle5[value_id]=Tabelle18[[#This Row],[value_id]])*(Tabelle5[doc_id]=Tabelle18[[#This Row],[doc_id_strongest]]),0)),""))</f>
        <v/>
      </c>
    </row>
    <row r="629" spans="1:8" x14ac:dyDescent="0.25">
      <c r="A629" s="36">
        <v>35</v>
      </c>
      <c r="B629" t="s">
        <v>161</v>
      </c>
      <c r="C629" s="4">
        <f>IF(Tabelle18[[#This Row],[binding_level_company]]&gt;=1,1,0)</f>
        <v>0</v>
      </c>
      <c r="D629" s="4">
        <f>IFERROR(_xlfn.MAXIFS(Tabelle5[binding_level],Tabelle5[company_id],Tabelle18[[#This Row],[company_id]],Tabelle5[value_id],Tabelle18[[#This Row],[value_id]],Tabelle5[value_present],1),0)</f>
        <v>0</v>
      </c>
      <c r="E629" s="4">
        <f>IFERROR(_xlfn.MAXIFS(Tabelle5[value_points],Tabelle5[company_id],Tabelle18[[#This Row],[company_id]],Tabelle5[value_id],Tabelle18[[#This Row],[value_id]]),0)</f>
        <v>0</v>
      </c>
      <c r="F629" t="str">
        <f>IF(Tabelle18[[#This Row],[value_points_company]]=0,"",IFERROR(_xlfn.MINIFS(Tabelle5[doc_id],Tabelle5[company_id],Tabelle18[[#This Row],[company_id]],Tabelle5[value_id],Tabelle18[[#This Row],[value_id]],Tabelle5[value_points],Tabelle18[[#This Row],[value_points_company]]),""))</f>
        <v/>
      </c>
      <c r="G629" t="str" cm="1">
        <f t="array" ref="G629">IF(Tabelle18[[#This Row],[doc_id_strongest]]="","",IFERROR(INDEX(Tabelle5[evidence_location],MATCH(1,(Tabelle5[company_id]=Tabelle18[[#This Row],[company_id]])*(Tabelle5[value_id]=Tabelle18[[#This Row],[value_id]])*(Tabelle5[doc_id]=Tabelle18[[#This Row],[doc_id_strongest]]),0)),""))</f>
        <v/>
      </c>
      <c r="H629" s="33" t="str" cm="1">
        <f t="array" ref="H629">IF(Tabelle18[[#This Row],[doc_id_strongest]]="","",IFERROR(INDEX(Tabelle5[evidence_quote],MATCH(1,(Tabelle5[company_id]=Tabelle18[[#This Row],[company_id]])*(Tabelle5[value_id]=Tabelle18[[#This Row],[value_id]])*(Tabelle5[doc_id]=Tabelle18[[#This Row],[doc_id_strongest]]),0)),""))</f>
        <v/>
      </c>
    </row>
    <row r="630" spans="1:8" x14ac:dyDescent="0.25">
      <c r="A630" s="36">
        <v>35</v>
      </c>
      <c r="B630" t="s">
        <v>166</v>
      </c>
      <c r="C630" s="4">
        <f>IF(Tabelle18[[#This Row],[binding_level_company]]&gt;=1,1,0)</f>
        <v>0</v>
      </c>
      <c r="D630" s="4">
        <f>IFERROR(_xlfn.MAXIFS(Tabelle5[binding_level],Tabelle5[company_id],Tabelle18[[#This Row],[company_id]],Tabelle5[value_id],Tabelle18[[#This Row],[value_id]],Tabelle5[value_present],1),0)</f>
        <v>0</v>
      </c>
      <c r="E630" s="4">
        <f>IFERROR(_xlfn.MAXIFS(Tabelle5[value_points],Tabelle5[company_id],Tabelle18[[#This Row],[company_id]],Tabelle5[value_id],Tabelle18[[#This Row],[value_id]]),0)</f>
        <v>0</v>
      </c>
      <c r="F630" t="str">
        <f>IF(Tabelle18[[#This Row],[value_points_company]]=0,"",IFERROR(_xlfn.MINIFS(Tabelle5[doc_id],Tabelle5[company_id],Tabelle18[[#This Row],[company_id]],Tabelle5[value_id],Tabelle18[[#This Row],[value_id]],Tabelle5[value_points],Tabelle18[[#This Row],[value_points_company]]),""))</f>
        <v/>
      </c>
      <c r="G630" t="str" cm="1">
        <f t="array" ref="G630">IF(Tabelle18[[#This Row],[doc_id_strongest]]="","",IFERROR(INDEX(Tabelle5[evidence_location],MATCH(1,(Tabelle5[company_id]=Tabelle18[[#This Row],[company_id]])*(Tabelle5[value_id]=Tabelle18[[#This Row],[value_id]])*(Tabelle5[doc_id]=Tabelle18[[#This Row],[doc_id_strongest]]),0)),""))</f>
        <v/>
      </c>
      <c r="H630" s="33" t="str" cm="1">
        <f t="array" ref="H630">IF(Tabelle18[[#This Row],[doc_id_strongest]]="","",IFERROR(INDEX(Tabelle5[evidence_quote],MATCH(1,(Tabelle5[company_id]=Tabelle18[[#This Row],[company_id]])*(Tabelle5[value_id]=Tabelle18[[#This Row],[value_id]])*(Tabelle5[doc_id]=Tabelle18[[#This Row],[doc_id_strongest]]),0)),""))</f>
        <v/>
      </c>
    </row>
    <row r="631" spans="1:8" ht="15.75" thickBot="1" x14ac:dyDescent="0.3">
      <c r="A631" s="37">
        <v>35</v>
      </c>
      <c r="B631" s="30" t="s">
        <v>174</v>
      </c>
      <c r="C631" s="49">
        <f>IF(Tabelle18[[#This Row],[binding_level_company]]&gt;=1,1,0)</f>
        <v>0</v>
      </c>
      <c r="D631" s="49">
        <f>IFERROR(_xlfn.MAXIFS(Tabelle5[binding_level],Tabelle5[company_id],Tabelle18[[#This Row],[company_id]],Tabelle5[value_id],Tabelle18[[#This Row],[value_id]],Tabelle5[value_present],1),0)</f>
        <v>0</v>
      </c>
      <c r="E631" s="49">
        <f>IFERROR(_xlfn.MAXIFS(Tabelle5[value_points],Tabelle5[company_id],Tabelle18[[#This Row],[company_id]],Tabelle5[value_id],Tabelle18[[#This Row],[value_id]]),0)</f>
        <v>0</v>
      </c>
      <c r="F631" s="30" t="str">
        <f>IF(Tabelle18[[#This Row],[value_points_company]]=0,"",IFERROR(_xlfn.MINIFS(Tabelle5[doc_id],Tabelle5[company_id],Tabelle18[[#This Row],[company_id]],Tabelle5[value_id],Tabelle18[[#This Row],[value_id]],Tabelle5[value_points],Tabelle18[[#This Row],[value_points_company]]),""))</f>
        <v/>
      </c>
      <c r="G631" s="30" t="str" cm="1">
        <f t="array" ref="G631">IF(Tabelle18[[#This Row],[doc_id_strongest]]="","",IFERROR(INDEX(Tabelle5[evidence_location],MATCH(1,(Tabelle5[company_id]=Tabelle18[[#This Row],[company_id]])*(Tabelle5[value_id]=Tabelle18[[#This Row],[value_id]])*(Tabelle5[doc_id]=Tabelle18[[#This Row],[doc_id_strongest]]),0)),""))</f>
        <v/>
      </c>
      <c r="H631" s="34" t="str" cm="1">
        <f t="array" ref="H631">IF(Tabelle18[[#This Row],[doc_id_strongest]]="","",IFERROR(INDEX(Tabelle5[evidence_quote],MATCH(1,(Tabelle5[company_id]=Tabelle18[[#This Row],[company_id]])*(Tabelle5[value_id]=Tabelle18[[#This Row],[value_id]])*(Tabelle5[doc_id]=Tabelle18[[#This Row],[doc_id_strongest]]),0)),""))</f>
        <v/>
      </c>
    </row>
    <row r="632" spans="1:8" x14ac:dyDescent="0.25">
      <c r="A632" s="35">
        <v>36</v>
      </c>
      <c r="B632" s="22" t="s">
        <v>53</v>
      </c>
      <c r="C632" s="48">
        <f>IF(Tabelle18[[#This Row],[binding_level_company]]&gt;=1,1,0)</f>
        <v>1</v>
      </c>
      <c r="D632" s="48">
        <f>IFERROR(_xlfn.MAXIFS(Tabelle5[binding_level],Tabelle5[company_id],Tabelle18[[#This Row],[company_id]],Tabelle5[value_id],Tabelle18[[#This Row],[value_id]],Tabelle5[value_present],1),0)</f>
        <v>1</v>
      </c>
      <c r="E632" s="48">
        <f>IFERROR(_xlfn.MAXIFS(Tabelle5[value_points],Tabelle5[company_id],Tabelle18[[#This Row],[company_id]],Tabelle5[value_id],Tabelle18[[#This Row],[value_id]]),0)</f>
        <v>1</v>
      </c>
      <c r="F632" s="22">
        <f>IF(Tabelle18[[#This Row],[value_points_company]]=0,"",IFERROR(_xlfn.MINIFS(Tabelle5[doc_id],Tabelle5[company_id],Tabelle18[[#This Row],[company_id]],Tabelle5[value_id],Tabelle18[[#This Row],[value_id]],Tabelle5[value_points],Tabelle18[[#This Row],[value_points_company]]),""))</f>
        <v>221</v>
      </c>
      <c r="G632" s="22" t="str" cm="1">
        <f t="array" ref="G632">IF(Tabelle18[[#This Row],[doc_id_strongest]]="","",IFERROR(INDEX(Tabelle5[evidence_location],MATCH(1,(Tabelle5[company_id]=Tabelle18[[#This Row],[company_id]])*(Tabelle5[value_id]=Tabelle18[[#This Row],[value_id]])*(Tabelle5[doc_id]=Tabelle18[[#This Row],[doc_id_strongest]]),0)),""))</f>
        <v>S. 8</v>
      </c>
      <c r="H632" s="32" t="str" cm="1">
        <f t="array" ref="H632">IF(Tabelle18[[#This Row],[doc_id_strongest]]="","",IFERROR(INDEX(Tabelle5[evidence_quote],MATCH(1,(Tabelle5[company_id]=Tabelle18[[#This Row],[company_id]])*(Tabelle5[value_id]=Tabelle18[[#This Row],[value_id]])*(Tabelle5[doc_id]=Tabelle18[[#This Row],[doc_id_strongest]]),0)),""))</f>
        <v>“healthcare professionals together with AI solutions are a strong team.”</v>
      </c>
    </row>
    <row r="633" spans="1:8" x14ac:dyDescent="0.25">
      <c r="A633" s="36">
        <v>36</v>
      </c>
      <c r="B633" t="s">
        <v>61</v>
      </c>
      <c r="C633" s="4">
        <f>IF(Tabelle18[[#This Row],[binding_level_company]]&gt;=1,1,0)</f>
        <v>1</v>
      </c>
      <c r="D633" s="4">
        <f>IFERROR(_xlfn.MAXIFS(Tabelle5[binding_level],Tabelle5[company_id],Tabelle18[[#This Row],[company_id]],Tabelle5[value_id],Tabelle18[[#This Row],[value_id]],Tabelle5[value_present],1),0)</f>
        <v>2</v>
      </c>
      <c r="E633" s="4">
        <f>IFERROR(_xlfn.MAXIFS(Tabelle5[value_points],Tabelle5[company_id],Tabelle18[[#This Row],[company_id]],Tabelle5[value_id],Tabelle18[[#This Row],[value_id]]),0)</f>
        <v>2</v>
      </c>
      <c r="F633">
        <f>IF(Tabelle18[[#This Row],[value_points_company]]=0,"",IFERROR(_xlfn.MINIFS(Tabelle5[doc_id],Tabelle5[company_id],Tabelle18[[#This Row],[company_id]],Tabelle5[value_id],Tabelle18[[#This Row],[value_id]],Tabelle5[value_points],Tabelle18[[#This Row],[value_points_company]]),""))</f>
        <v>221</v>
      </c>
      <c r="G633" t="str" cm="1">
        <f t="array" ref="G633">IF(Tabelle18[[#This Row],[doc_id_strongest]]="","",IFERROR(INDEX(Tabelle5[evidence_location],MATCH(1,(Tabelle5[company_id]=Tabelle18[[#This Row],[company_id]])*(Tabelle5[value_id]=Tabelle18[[#This Row],[value_id]])*(Tabelle5[doc_id]=Tabelle18[[#This Row],[doc_id_strongest]]),0)),""))</f>
        <v>S. 9</v>
      </c>
      <c r="H633" s="33" t="str" cm="1">
        <f t="array" ref="H633">IF(Tabelle18[[#This Row],[doc_id_strongest]]="","",IFERROR(INDEX(Tabelle5[evidence_quote],MATCH(1,(Tabelle5[company_id]=Tabelle18[[#This Row],[company_id]])*(Tabelle5[value_id]=Tabelle18[[#This Row],[value_id]])*(Tabelle5[doc_id]=Tabelle18[[#This Row],[doc_id_strongest]]),0)),""))</f>
        <v>“Our AI factory is run by a strict corporate policy”; “are mandatory for Siemens Healthineers worldwide”</v>
      </c>
    </row>
    <row r="634" spans="1:8" x14ac:dyDescent="0.25">
      <c r="A634" s="36">
        <v>36</v>
      </c>
      <c r="B634" t="s">
        <v>69</v>
      </c>
      <c r="C634" s="4">
        <f>IF(Tabelle18[[#This Row],[binding_level_company]]&gt;=1,1,0)</f>
        <v>1</v>
      </c>
      <c r="D634" s="4">
        <f>IFERROR(_xlfn.MAXIFS(Tabelle5[binding_level],Tabelle5[company_id],Tabelle18[[#This Row],[company_id]],Tabelle5[value_id],Tabelle18[[#This Row],[value_id]],Tabelle5[value_present],1),0)</f>
        <v>1</v>
      </c>
      <c r="E634" s="4">
        <f>IFERROR(_xlfn.MAXIFS(Tabelle5[value_points],Tabelle5[company_id],Tabelle18[[#This Row],[company_id]],Tabelle5[value_id],Tabelle18[[#This Row],[value_id]]),0)</f>
        <v>1</v>
      </c>
      <c r="F634">
        <f>IF(Tabelle18[[#This Row],[value_points_company]]=0,"",IFERROR(_xlfn.MINIFS(Tabelle5[doc_id],Tabelle5[company_id],Tabelle18[[#This Row],[company_id]],Tabelle5[value_id],Tabelle18[[#This Row],[value_id]],Tabelle5[value_points],Tabelle18[[#This Row],[value_points_company]]),""))</f>
        <v>221</v>
      </c>
      <c r="G634" t="str" cm="1">
        <f t="array" ref="G634">IF(Tabelle18[[#This Row],[doc_id_strongest]]="","",IFERROR(INDEX(Tabelle5[evidence_location],MATCH(1,(Tabelle5[company_id]=Tabelle18[[#This Row],[company_id]])*(Tabelle5[value_id]=Tabelle18[[#This Row],[value_id]])*(Tabelle5[doc_id]=Tabelle18[[#This Row],[doc_id_strongest]]),0)),""))</f>
        <v>S. 8</v>
      </c>
      <c r="H634" s="33" t="str" cm="1">
        <f t="array" ref="H634">IF(Tabelle18[[#This Row],[doc_id_strongest]]="","",IFERROR(INDEX(Tabelle5[evidence_quote],MATCH(1,(Tabelle5[company_id]=Tabelle18[[#This Row],[company_id]])*(Tabelle5[value_id]=Tabelle18[[#This Row],[value_id]])*(Tabelle5[doc_id]=Tabelle18[[#This Row],[doc_id_strongest]]),0)),""))</f>
        <v>“AI development needs to be transparent.”; “speak honestly about the capabilities of our AI solutions.”</v>
      </c>
    </row>
    <row r="635" spans="1:8" x14ac:dyDescent="0.25">
      <c r="A635" s="36">
        <v>36</v>
      </c>
      <c r="B635" t="s">
        <v>76</v>
      </c>
      <c r="C635" s="4">
        <f>IF(Tabelle18[[#This Row],[binding_level_company]]&gt;=1,1,0)</f>
        <v>0</v>
      </c>
      <c r="D635" s="4">
        <f>IFERROR(_xlfn.MAXIFS(Tabelle5[binding_level],Tabelle5[company_id],Tabelle18[[#This Row],[company_id]],Tabelle5[value_id],Tabelle18[[#This Row],[value_id]],Tabelle5[value_present],1),0)</f>
        <v>0</v>
      </c>
      <c r="E635" s="4">
        <f>IFERROR(_xlfn.MAXIFS(Tabelle5[value_points],Tabelle5[company_id],Tabelle18[[#This Row],[company_id]],Tabelle5[value_id],Tabelle18[[#This Row],[value_id]]),0)</f>
        <v>0</v>
      </c>
      <c r="F635" t="str">
        <f>IF(Tabelle18[[#This Row],[value_points_company]]=0,"",IFERROR(_xlfn.MINIFS(Tabelle5[doc_id],Tabelle5[company_id],Tabelle18[[#This Row],[company_id]],Tabelle5[value_id],Tabelle18[[#This Row],[value_id]],Tabelle5[value_points],Tabelle18[[#This Row],[value_points_company]]),""))</f>
        <v/>
      </c>
      <c r="G635" t="str" cm="1">
        <f t="array" ref="G635">IF(Tabelle18[[#This Row],[doc_id_strongest]]="","",IFERROR(INDEX(Tabelle5[evidence_location],MATCH(1,(Tabelle5[company_id]=Tabelle18[[#This Row],[company_id]])*(Tabelle5[value_id]=Tabelle18[[#This Row],[value_id]])*(Tabelle5[doc_id]=Tabelle18[[#This Row],[doc_id_strongest]]),0)),""))</f>
        <v/>
      </c>
      <c r="H635" s="33" t="str" cm="1">
        <f t="array" ref="H635">IF(Tabelle18[[#This Row],[doc_id_strongest]]="","",IFERROR(INDEX(Tabelle5[evidence_quote],MATCH(1,(Tabelle5[company_id]=Tabelle18[[#This Row],[company_id]])*(Tabelle5[value_id]=Tabelle18[[#This Row],[value_id]])*(Tabelle5[doc_id]=Tabelle18[[#This Row],[doc_id_strongest]]),0)),""))</f>
        <v/>
      </c>
    </row>
    <row r="636" spans="1:8" x14ac:dyDescent="0.25">
      <c r="A636" s="36">
        <v>36</v>
      </c>
      <c r="B636" t="s">
        <v>83</v>
      </c>
      <c r="C636" s="4">
        <f>IF(Tabelle18[[#This Row],[binding_level_company]]&gt;=1,1,0)</f>
        <v>0</v>
      </c>
      <c r="D636" s="4">
        <f>IFERROR(_xlfn.MAXIFS(Tabelle5[binding_level],Tabelle5[company_id],Tabelle18[[#This Row],[company_id]],Tabelle5[value_id],Tabelle18[[#This Row],[value_id]],Tabelle5[value_present],1),0)</f>
        <v>0</v>
      </c>
      <c r="E636" s="4">
        <f>IFERROR(_xlfn.MAXIFS(Tabelle5[value_points],Tabelle5[company_id],Tabelle18[[#This Row],[company_id]],Tabelle5[value_id],Tabelle18[[#This Row],[value_id]]),0)</f>
        <v>0</v>
      </c>
      <c r="F636" t="str">
        <f>IF(Tabelle18[[#This Row],[value_points_company]]=0,"",IFERROR(_xlfn.MINIFS(Tabelle5[doc_id],Tabelle5[company_id],Tabelle18[[#This Row],[company_id]],Tabelle5[value_id],Tabelle18[[#This Row],[value_id]],Tabelle5[value_points],Tabelle18[[#This Row],[value_points_company]]),""))</f>
        <v/>
      </c>
      <c r="G636" t="str" cm="1">
        <f t="array" ref="G636">IF(Tabelle18[[#This Row],[doc_id_strongest]]="","",IFERROR(INDEX(Tabelle5[evidence_location],MATCH(1,(Tabelle5[company_id]=Tabelle18[[#This Row],[company_id]])*(Tabelle5[value_id]=Tabelle18[[#This Row],[value_id]])*(Tabelle5[doc_id]=Tabelle18[[#This Row],[doc_id_strongest]]),0)),""))</f>
        <v/>
      </c>
      <c r="H636" s="33" t="str" cm="1">
        <f t="array" ref="H636">IF(Tabelle18[[#This Row],[doc_id_strongest]]="","",IFERROR(INDEX(Tabelle5[evidence_quote],MATCH(1,(Tabelle5[company_id]=Tabelle18[[#This Row],[company_id]])*(Tabelle5[value_id]=Tabelle18[[#This Row],[value_id]])*(Tabelle5[doc_id]=Tabelle18[[#This Row],[doc_id_strongest]]),0)),""))</f>
        <v/>
      </c>
    </row>
    <row r="637" spans="1:8" x14ac:dyDescent="0.25">
      <c r="A637" s="36">
        <v>36</v>
      </c>
      <c r="B637" t="s">
        <v>90</v>
      </c>
      <c r="C637" s="4">
        <f>IF(Tabelle18[[#This Row],[binding_level_company]]&gt;=1,1,0)</f>
        <v>1</v>
      </c>
      <c r="D637" s="4">
        <f>IFERROR(_xlfn.MAXIFS(Tabelle5[binding_level],Tabelle5[company_id],Tabelle18[[#This Row],[company_id]],Tabelle5[value_id],Tabelle18[[#This Row],[value_id]],Tabelle5[value_present],1),0)</f>
        <v>3</v>
      </c>
      <c r="E637" s="4">
        <f>IFERROR(_xlfn.MAXIFS(Tabelle5[value_points],Tabelle5[company_id],Tabelle18[[#This Row],[company_id]],Tabelle5[value_id],Tabelle18[[#This Row],[value_id]]),0)</f>
        <v>3</v>
      </c>
      <c r="F637">
        <f>IF(Tabelle18[[#This Row],[value_points_company]]=0,"",IFERROR(_xlfn.MINIFS(Tabelle5[doc_id],Tabelle5[company_id],Tabelle18[[#This Row],[company_id]],Tabelle5[value_id],Tabelle18[[#This Row],[value_id]],Tabelle5[value_points],Tabelle18[[#This Row],[value_points_company]]),""))</f>
        <v>221</v>
      </c>
      <c r="G637" t="str" cm="1">
        <f t="array" ref="G637">IF(Tabelle18[[#This Row],[doc_id_strongest]]="","",IFERROR(INDEX(Tabelle5[evidence_location],MATCH(1,(Tabelle5[company_id]=Tabelle18[[#This Row],[company_id]])*(Tabelle5[value_id]=Tabelle18[[#This Row],[value_id]])*(Tabelle5[doc_id]=Tabelle18[[#This Row],[doc_id_strongest]]),0)),""))</f>
        <v>S. 3; S. 9-10</v>
      </c>
      <c r="H637" s="33" t="str" cm="1">
        <f t="array" ref="H637">IF(Tabelle18[[#This Row],[doc_id_strongest]]="","",IFERROR(INDEX(Tabelle5[evidence_quote],MATCH(1,(Tabelle5[company_id]=Tabelle18[[#This Row],[company_id]])*(Tabelle5[value_id]=Tabelle18[[#This Row],[value_id]])*(Tabelle5[doc_id]=Tabelle18[[#This Row],[doc_id_strongest]]),0)),""))</f>
        <v>“rigorous anonymization process”; “are mandatory for Siemens Healthineers worldwide”; “right to grant or revoke consent”</v>
      </c>
    </row>
    <row r="638" spans="1:8" x14ac:dyDescent="0.25">
      <c r="A638" s="36">
        <v>36</v>
      </c>
      <c r="B638" t="s">
        <v>98</v>
      </c>
      <c r="C638" s="4">
        <f>IF(Tabelle18[[#This Row],[binding_level_company]]&gt;=1,1,0)</f>
        <v>1</v>
      </c>
      <c r="D638" s="4">
        <f>IFERROR(_xlfn.MAXIFS(Tabelle5[binding_level],Tabelle5[company_id],Tabelle18[[#This Row],[company_id]],Tabelle5[value_id],Tabelle18[[#This Row],[value_id]],Tabelle5[value_present],1),0)</f>
        <v>3</v>
      </c>
      <c r="E638" s="4">
        <f>IFERROR(_xlfn.MAXIFS(Tabelle5[value_points],Tabelle5[company_id],Tabelle18[[#This Row],[company_id]],Tabelle5[value_id],Tabelle18[[#This Row],[value_id]]),0)</f>
        <v>3</v>
      </c>
      <c r="F638">
        <f>IF(Tabelle18[[#This Row],[value_points_company]]=0,"",IFERROR(_xlfn.MINIFS(Tabelle5[doc_id],Tabelle5[company_id],Tabelle18[[#This Row],[company_id]],Tabelle5[value_id],Tabelle18[[#This Row],[value_id]],Tabelle5[value_points],Tabelle18[[#This Row],[value_points_company]]),""))</f>
        <v>221</v>
      </c>
      <c r="G638" t="str" cm="1">
        <f t="array" ref="G638">IF(Tabelle18[[#This Row],[doc_id_strongest]]="","",IFERROR(INDEX(Tabelle5[evidence_location],MATCH(1,(Tabelle5[company_id]=Tabelle18[[#This Row],[company_id]])*(Tabelle5[value_id]=Tabelle18[[#This Row],[value_id]])*(Tabelle5[doc_id]=Tabelle18[[#This Row],[doc_id_strongest]]),0)),""))</f>
        <v>S. 4; S. 9-10</v>
      </c>
      <c r="H638" s="33" t="str" cm="1">
        <f t="array" ref="H638">IF(Tabelle18[[#This Row],[doc_id_strongest]]="","",IFERROR(INDEX(Tabelle5[evidence_quote],MATCH(1,(Tabelle5[company_id]=Tabelle18[[#This Row],[company_id]])*(Tabelle5[value_id]=Tabelle18[[#This Row],[value_id]])*(Tabelle5[doc_id]=Tabelle18[[#This Row],[doc_id_strongest]]),0)),""))</f>
        <v>“rigorous, standardized procedure”; “ISO-certified cybersecurity management system”; “secure development lifecycle (SDL)”</v>
      </c>
    </row>
    <row r="639" spans="1:8" x14ac:dyDescent="0.25">
      <c r="A639" s="36">
        <v>36</v>
      </c>
      <c r="B639" t="s">
        <v>106</v>
      </c>
      <c r="C639" s="4">
        <f>IF(Tabelle18[[#This Row],[binding_level_company]]&gt;=1,1,0)</f>
        <v>1</v>
      </c>
      <c r="D639" s="4">
        <f>IFERROR(_xlfn.MAXIFS(Tabelle5[binding_level],Tabelle5[company_id],Tabelle18[[#This Row],[company_id]],Tabelle5[value_id],Tabelle18[[#This Row],[value_id]],Tabelle5[value_present],1),0)</f>
        <v>3</v>
      </c>
      <c r="E639" s="4">
        <f>IFERROR(_xlfn.MAXIFS(Tabelle5[value_points],Tabelle5[company_id],Tabelle18[[#This Row],[company_id]],Tabelle5[value_id],Tabelle18[[#This Row],[value_id]]),0)</f>
        <v>3</v>
      </c>
      <c r="F639">
        <f>IF(Tabelle18[[#This Row],[value_points_company]]=0,"",IFERROR(_xlfn.MINIFS(Tabelle5[doc_id],Tabelle5[company_id],Tabelle18[[#This Row],[company_id]],Tabelle5[value_id],Tabelle18[[#This Row],[value_id]],Tabelle5[value_points],Tabelle18[[#This Row],[value_points_company]]),""))</f>
        <v>221</v>
      </c>
      <c r="G639" t="str" cm="1">
        <f t="array" ref="G639">IF(Tabelle18[[#This Row],[doc_id_strongest]]="","",IFERROR(INDEX(Tabelle5[evidence_location],MATCH(1,(Tabelle5[company_id]=Tabelle18[[#This Row],[company_id]])*(Tabelle5[value_id]=Tabelle18[[#This Row],[value_id]])*(Tabelle5[doc_id]=Tabelle18[[#This Row],[doc_id_strongest]]),0)),""))</f>
        <v>S. 6</v>
      </c>
      <c r="H639" s="33" t="str" cm="1">
        <f t="array" ref="H639">IF(Tabelle18[[#This Row],[doc_id_strongest]]="","",IFERROR(INDEX(Tabelle5[evidence_quote],MATCH(1,(Tabelle5[company_id]=Tabelle18[[#This Row],[company_id]])*(Tabelle5[value_id]=Tabelle18[[#This Row],[value_id]])*(Tabelle5[doc_id]=Tabelle18[[#This Row],[doc_id_strongest]]),0)),""))</f>
        <v>“government-regulated testing and approval process”</v>
      </c>
    </row>
    <row r="640" spans="1:8" x14ac:dyDescent="0.25">
      <c r="A640" s="36">
        <v>36</v>
      </c>
      <c r="B640" t="s">
        <v>112</v>
      </c>
      <c r="C640" s="4">
        <f>IF(Tabelle18[[#This Row],[binding_level_company]]&gt;=1,1,0)</f>
        <v>1</v>
      </c>
      <c r="D640" s="4">
        <f>IFERROR(_xlfn.MAXIFS(Tabelle5[binding_level],Tabelle5[company_id],Tabelle18[[#This Row],[company_id]],Tabelle5[value_id],Tabelle18[[#This Row],[value_id]],Tabelle5[value_present],1),0)</f>
        <v>3</v>
      </c>
      <c r="E640" s="4">
        <f>IFERROR(_xlfn.MAXIFS(Tabelle5[value_points],Tabelle5[company_id],Tabelle18[[#This Row],[company_id]],Tabelle5[value_id],Tabelle18[[#This Row],[value_id]]),0)</f>
        <v>3</v>
      </c>
      <c r="F640">
        <f>IF(Tabelle18[[#This Row],[value_points_company]]=0,"",IFERROR(_xlfn.MINIFS(Tabelle5[doc_id],Tabelle5[company_id],Tabelle18[[#This Row],[company_id]],Tabelle5[value_id],Tabelle18[[#This Row],[value_id]],Tabelle5[value_points],Tabelle18[[#This Row],[value_points_company]]),""))</f>
        <v>221</v>
      </c>
      <c r="G640" t="str" cm="1">
        <f t="array" ref="G640">IF(Tabelle18[[#This Row],[doc_id_strongest]]="","",IFERROR(INDEX(Tabelle5[evidence_location],MATCH(1,(Tabelle5[company_id]=Tabelle18[[#This Row],[company_id]])*(Tabelle5[value_id]=Tabelle18[[#This Row],[value_id]])*(Tabelle5[doc_id]=Tabelle18[[#This Row],[doc_id_strongest]]),0)),""))</f>
        <v>S. 3; S. 6; S. 8</v>
      </c>
      <c r="H640" s="33" t="str" cm="1">
        <f t="array" ref="H640">IF(Tabelle18[[#This Row],[doc_id_strongest]]="","",IFERROR(INDEX(Tabelle5[evidence_quote],MATCH(1,(Tabelle5[company_id]=Tabelle18[[#This Row],[company_id]])*(Tabelle5[value_id]=Tabelle18[[#This Row],[value_id]])*(Tabelle5[doc_id]=Tabelle18[[#This Row],[doc_id_strongest]]),0)),""))</f>
        <v>“highest scientific standards.”; “thoroughly examine each data point”</v>
      </c>
    </row>
    <row r="641" spans="1:8" x14ac:dyDescent="0.25">
      <c r="A641" s="36">
        <v>36</v>
      </c>
      <c r="B641" t="s">
        <v>118</v>
      </c>
      <c r="C641" s="4">
        <f>IF(Tabelle18[[#This Row],[binding_level_company]]&gt;=1,1,0)</f>
        <v>0</v>
      </c>
      <c r="D641" s="4">
        <f>IFERROR(_xlfn.MAXIFS(Tabelle5[binding_level],Tabelle5[company_id],Tabelle18[[#This Row],[company_id]],Tabelle5[value_id],Tabelle18[[#This Row],[value_id]],Tabelle5[value_present],1),0)</f>
        <v>0</v>
      </c>
      <c r="E641" s="4">
        <f>IFERROR(_xlfn.MAXIFS(Tabelle5[value_points],Tabelle5[company_id],Tabelle18[[#This Row],[company_id]],Tabelle5[value_id],Tabelle18[[#This Row],[value_id]]),0)</f>
        <v>0</v>
      </c>
      <c r="F641" t="str">
        <f>IF(Tabelle18[[#This Row],[value_points_company]]=0,"",IFERROR(_xlfn.MINIFS(Tabelle5[doc_id],Tabelle5[company_id],Tabelle18[[#This Row],[company_id]],Tabelle5[value_id],Tabelle18[[#This Row],[value_id]],Tabelle5[value_points],Tabelle18[[#This Row],[value_points_company]]),""))</f>
        <v/>
      </c>
      <c r="G641" t="str" cm="1">
        <f t="array" ref="G641">IF(Tabelle18[[#This Row],[doc_id_strongest]]="","",IFERROR(INDEX(Tabelle5[evidence_location],MATCH(1,(Tabelle5[company_id]=Tabelle18[[#This Row],[company_id]])*(Tabelle5[value_id]=Tabelle18[[#This Row],[value_id]])*(Tabelle5[doc_id]=Tabelle18[[#This Row],[doc_id_strongest]]),0)),""))</f>
        <v/>
      </c>
      <c r="H641" s="33" t="str" cm="1">
        <f t="array" ref="H641">IF(Tabelle18[[#This Row],[doc_id_strongest]]="","",IFERROR(INDEX(Tabelle5[evidence_quote],MATCH(1,(Tabelle5[company_id]=Tabelle18[[#This Row],[company_id]])*(Tabelle5[value_id]=Tabelle18[[#This Row],[value_id]])*(Tabelle5[doc_id]=Tabelle18[[#This Row],[doc_id_strongest]]),0)),""))</f>
        <v/>
      </c>
    </row>
    <row r="642" spans="1:8" x14ac:dyDescent="0.25">
      <c r="A642" s="36">
        <v>36</v>
      </c>
      <c r="B642" t="s">
        <v>125</v>
      </c>
      <c r="C642" s="4">
        <f>IF(Tabelle18[[#This Row],[binding_level_company]]&gt;=1,1,0)</f>
        <v>1</v>
      </c>
      <c r="D642" s="4">
        <f>IFERROR(_xlfn.MAXIFS(Tabelle5[binding_level],Tabelle5[company_id],Tabelle18[[#This Row],[company_id]],Tabelle5[value_id],Tabelle18[[#This Row],[value_id]],Tabelle5[value_present],1),0)</f>
        <v>1</v>
      </c>
      <c r="E642" s="4">
        <f>IFERROR(_xlfn.MAXIFS(Tabelle5[value_points],Tabelle5[company_id],Tabelle18[[#This Row],[company_id]],Tabelle5[value_id],Tabelle18[[#This Row],[value_id]]),0)</f>
        <v>1</v>
      </c>
      <c r="F642">
        <f>IF(Tabelle18[[#This Row],[value_points_company]]=0,"",IFERROR(_xlfn.MINIFS(Tabelle5[doc_id],Tabelle5[company_id],Tabelle18[[#This Row],[company_id]],Tabelle5[value_id],Tabelle18[[#This Row],[value_id]],Tabelle5[value_points],Tabelle18[[#This Row],[value_points_company]]),""))</f>
        <v>221</v>
      </c>
      <c r="G642" t="str" cm="1">
        <f t="array" ref="G642">IF(Tabelle18[[#This Row],[doc_id_strongest]]="","",IFERROR(INDEX(Tabelle5[evidence_location],MATCH(1,(Tabelle5[company_id]=Tabelle18[[#This Row],[company_id]])*(Tabelle5[value_id]=Tabelle18[[#This Row],[value_id]])*(Tabelle5[doc_id]=Tabelle18[[#This Row],[doc_id_strongest]]),0)),""))</f>
        <v>S. 8</v>
      </c>
      <c r="H642" s="33" t="str" cm="1">
        <f t="array" ref="H642">IF(Tabelle18[[#This Row],[doc_id_strongest]]="","",IFERROR(INDEX(Tabelle5[evidence_quote],MATCH(1,(Tabelle5[company_id]=Tabelle18[[#This Row],[company_id]])*(Tabelle5[value_id]=Tabelle18[[#This Row],[value_id]])*(Tabelle5[doc_id]=Tabelle18[[#This Row],[doc_id_strongest]]),0)),""))</f>
        <v>“make AI solutions accessible to patients everywhere.”</v>
      </c>
    </row>
    <row r="643" spans="1:8" x14ac:dyDescent="0.25">
      <c r="A643" s="36">
        <v>36</v>
      </c>
      <c r="B643" t="s">
        <v>132</v>
      </c>
      <c r="C643" s="4">
        <f>IF(Tabelle18[[#This Row],[binding_level_company]]&gt;=1,1,0)</f>
        <v>0</v>
      </c>
      <c r="D643" s="4">
        <f>IFERROR(_xlfn.MAXIFS(Tabelle5[binding_level],Tabelle5[company_id],Tabelle18[[#This Row],[company_id]],Tabelle5[value_id],Tabelle18[[#This Row],[value_id]],Tabelle5[value_present],1),0)</f>
        <v>0</v>
      </c>
      <c r="E643" s="4">
        <f>IFERROR(_xlfn.MAXIFS(Tabelle5[value_points],Tabelle5[company_id],Tabelle18[[#This Row],[company_id]],Tabelle5[value_id],Tabelle18[[#This Row],[value_id]]),0)</f>
        <v>0</v>
      </c>
      <c r="F643" t="str">
        <f>IF(Tabelle18[[#This Row],[value_points_company]]=0,"",IFERROR(_xlfn.MINIFS(Tabelle5[doc_id],Tabelle5[company_id],Tabelle18[[#This Row],[company_id]],Tabelle5[value_id],Tabelle18[[#This Row],[value_id]],Tabelle5[value_points],Tabelle18[[#This Row],[value_points_company]]),""))</f>
        <v/>
      </c>
      <c r="G643" t="str" cm="1">
        <f t="array" ref="G643">IF(Tabelle18[[#This Row],[doc_id_strongest]]="","",IFERROR(INDEX(Tabelle5[evidence_location],MATCH(1,(Tabelle5[company_id]=Tabelle18[[#This Row],[company_id]])*(Tabelle5[value_id]=Tabelle18[[#This Row],[value_id]])*(Tabelle5[doc_id]=Tabelle18[[#This Row],[doc_id_strongest]]),0)),""))</f>
        <v/>
      </c>
      <c r="H643" s="33" t="str" cm="1">
        <f t="array" ref="H643">IF(Tabelle18[[#This Row],[doc_id_strongest]]="","",IFERROR(INDEX(Tabelle5[evidence_quote],MATCH(1,(Tabelle5[company_id]=Tabelle18[[#This Row],[company_id]])*(Tabelle5[value_id]=Tabelle18[[#This Row],[value_id]])*(Tabelle5[doc_id]=Tabelle18[[#This Row],[doc_id_strongest]]),0)),""))</f>
        <v/>
      </c>
    </row>
    <row r="644" spans="1:8" x14ac:dyDescent="0.25">
      <c r="A644" s="36">
        <v>36</v>
      </c>
      <c r="B644" t="s">
        <v>140</v>
      </c>
      <c r="C644" s="4">
        <f>IF(Tabelle18[[#This Row],[binding_level_company]]&gt;=1,1,0)</f>
        <v>1</v>
      </c>
      <c r="D644" s="4">
        <f>IFERROR(_xlfn.MAXIFS(Tabelle5[binding_level],Tabelle5[company_id],Tabelle18[[#This Row],[company_id]],Tabelle5[value_id],Tabelle18[[#This Row],[value_id]],Tabelle5[value_present],1),0)</f>
        <v>1</v>
      </c>
      <c r="E644" s="4">
        <f>IFERROR(_xlfn.MAXIFS(Tabelle5[value_points],Tabelle5[company_id],Tabelle18[[#This Row],[company_id]],Tabelle5[value_id],Tabelle18[[#This Row],[value_id]]),0)</f>
        <v>1</v>
      </c>
      <c r="F644">
        <f>IF(Tabelle18[[#This Row],[value_points_company]]=0,"",IFERROR(_xlfn.MINIFS(Tabelle5[doc_id],Tabelle5[company_id],Tabelle18[[#This Row],[company_id]],Tabelle5[value_id],Tabelle18[[#This Row],[value_id]],Tabelle5[value_points],Tabelle18[[#This Row],[value_points_company]]),""))</f>
        <v>221</v>
      </c>
      <c r="G644" t="str" cm="1">
        <f t="array" ref="G644">IF(Tabelle18[[#This Row],[doc_id_strongest]]="","",IFERROR(INDEX(Tabelle5[evidence_location],MATCH(1,(Tabelle5[company_id]=Tabelle18[[#This Row],[company_id]])*(Tabelle5[value_id]=Tabelle18[[#This Row],[value_id]])*(Tabelle5[doc_id]=Tabelle18[[#This Row],[doc_id_strongest]]),0)),""))</f>
        <v>S. 8; S. 10</v>
      </c>
      <c r="H644" s="33" t="str" cm="1">
        <f t="array" ref="H644">IF(Tabelle18[[#This Row],[doc_id_strongest]]="","",IFERROR(INDEX(Tabelle5[evidence_quote],MATCH(1,(Tabelle5[company_id]=Tabelle18[[#This Row],[company_id]])*(Tabelle5[value_id]=Tabelle18[[#This Row],[value_id]])*(Tabelle5[doc_id]=Tabelle18[[#This Row],[doc_id_strongest]]),0)),""))</f>
        <v>“support patients’ desires for more personalized medicine”; “serves the public interest and our public health.”</v>
      </c>
    </row>
    <row r="645" spans="1:8" x14ac:dyDescent="0.25">
      <c r="A645" s="36">
        <v>36</v>
      </c>
      <c r="B645" t="s">
        <v>147</v>
      </c>
      <c r="C645" s="4">
        <f>IF(Tabelle18[[#This Row],[binding_level_company]]&gt;=1,1,0)</f>
        <v>1</v>
      </c>
      <c r="D645" s="4">
        <f>IFERROR(_xlfn.MAXIFS(Tabelle5[binding_level],Tabelle5[company_id],Tabelle18[[#This Row],[company_id]],Tabelle5[value_id],Tabelle18[[#This Row],[value_id]],Tabelle5[value_present],1),0)</f>
        <v>3</v>
      </c>
      <c r="E645" s="4">
        <f>IFERROR(_xlfn.MAXIFS(Tabelle5[value_points],Tabelle5[company_id],Tabelle18[[#This Row],[company_id]],Tabelle5[value_id],Tabelle18[[#This Row],[value_id]]),0)</f>
        <v>3</v>
      </c>
      <c r="F645">
        <f>IF(Tabelle18[[#This Row],[value_points_company]]=0,"",IFERROR(_xlfn.MINIFS(Tabelle5[doc_id],Tabelle5[company_id],Tabelle18[[#This Row],[company_id]],Tabelle5[value_id],Tabelle18[[#This Row],[value_id]],Tabelle5[value_points],Tabelle18[[#This Row],[value_points_company]]),""))</f>
        <v>221</v>
      </c>
      <c r="G645" t="str" cm="1">
        <f t="array" ref="G645">IF(Tabelle18[[#This Row],[doc_id_strongest]]="","",IFERROR(INDEX(Tabelle5[evidence_location],MATCH(1,(Tabelle5[company_id]=Tabelle18[[#This Row],[company_id]])*(Tabelle5[value_id]=Tabelle18[[#This Row],[value_id]])*(Tabelle5[doc_id]=Tabelle18[[#This Row],[doc_id_strongest]]),0)),""))</f>
        <v>S. 6; S. 9</v>
      </c>
      <c r="H645" s="33" t="str" cm="1">
        <f t="array" ref="H645">IF(Tabelle18[[#This Row],[doc_id_strongest]]="","",IFERROR(INDEX(Tabelle5[evidence_quote],MATCH(1,(Tabelle5[company_id]=Tabelle18[[#This Row],[company_id]])*(Tabelle5[value_id]=Tabelle18[[#This Row],[value_id]])*(Tabelle5[doc_id]=Tabelle18[[#This Row],[doc_id_strongest]]),0)),""))</f>
        <v>“government-regulated testing and approval process”; “Our AI factory is run by a strict corporate policy”; “are mandatory for Siemens Healthineers worldwide”</v>
      </c>
    </row>
    <row r="646" spans="1:8" x14ac:dyDescent="0.25">
      <c r="A646" s="36">
        <v>36</v>
      </c>
      <c r="B646" t="s">
        <v>154</v>
      </c>
      <c r="C646" s="4">
        <f>IF(Tabelle18[[#This Row],[binding_level_company]]&gt;=1,1,0)</f>
        <v>1</v>
      </c>
      <c r="D646" s="4">
        <f>IFERROR(_xlfn.MAXIFS(Tabelle5[binding_level],Tabelle5[company_id],Tabelle18[[#This Row],[company_id]],Tabelle5[value_id],Tabelle18[[#This Row],[value_id]],Tabelle5[value_present],1),0)</f>
        <v>2</v>
      </c>
      <c r="E646" s="4">
        <f>IFERROR(_xlfn.MAXIFS(Tabelle5[value_points],Tabelle5[company_id],Tabelle18[[#This Row],[company_id]],Tabelle5[value_id],Tabelle18[[#This Row],[value_id]]),0)</f>
        <v>2</v>
      </c>
      <c r="F646">
        <f>IF(Tabelle18[[#This Row],[value_points_company]]=0,"",IFERROR(_xlfn.MINIFS(Tabelle5[doc_id],Tabelle5[company_id],Tabelle18[[#This Row],[company_id]],Tabelle5[value_id],Tabelle18[[#This Row],[value_id]],Tabelle5[value_points],Tabelle18[[#This Row],[value_points_company]]),""))</f>
        <v>221</v>
      </c>
      <c r="G646" t="str" cm="1">
        <f t="array" ref="G646">IF(Tabelle18[[#This Row],[doc_id_strongest]]="","",IFERROR(INDEX(Tabelle5[evidence_location],MATCH(1,(Tabelle5[company_id]=Tabelle18[[#This Row],[company_id]])*(Tabelle5[value_id]=Tabelle18[[#This Row],[value_id]])*(Tabelle5[doc_id]=Tabelle18[[#This Row],[doc_id_strongest]]),0)),""))</f>
        <v>S. 8-9</v>
      </c>
      <c r="H646" s="33" t="str" cm="1">
        <f t="array" ref="H646">IF(Tabelle18[[#This Row],[doc_id_strongest]]="","",IFERROR(INDEX(Tabelle5[evidence_quote],MATCH(1,(Tabelle5[company_id]=Tabelle18[[#This Row],[company_id]])*(Tabelle5[value_id]=Tabelle18[[#This Row],[value_id]])*(Tabelle5[doc_id]=Tabelle18[[#This Row],[doc_id_strongest]]),0)),""))</f>
        <v>“balanced with ethical expectations and human values.”; “We only use data in a purpose-bound manner”</v>
      </c>
    </row>
    <row r="647" spans="1:8" x14ac:dyDescent="0.25">
      <c r="A647" s="36">
        <v>36</v>
      </c>
      <c r="B647" t="s">
        <v>161</v>
      </c>
      <c r="C647" s="4">
        <f>IF(Tabelle18[[#This Row],[binding_level_company]]&gt;=1,1,0)</f>
        <v>1</v>
      </c>
      <c r="D647" s="4">
        <f>IFERROR(_xlfn.MAXIFS(Tabelle5[binding_level],Tabelle5[company_id],Tabelle18[[#This Row],[company_id]],Tabelle5[value_id],Tabelle18[[#This Row],[value_id]],Tabelle5[value_present],1),0)</f>
        <v>3</v>
      </c>
      <c r="E647" s="4">
        <f>IFERROR(_xlfn.MAXIFS(Tabelle5[value_points],Tabelle5[company_id],Tabelle18[[#This Row],[company_id]],Tabelle5[value_id],Tabelle18[[#This Row],[value_id]]),0)</f>
        <v>3</v>
      </c>
      <c r="F647">
        <f>IF(Tabelle18[[#This Row],[value_points_company]]=0,"",IFERROR(_xlfn.MINIFS(Tabelle5[doc_id],Tabelle5[company_id],Tabelle18[[#This Row],[company_id]],Tabelle5[value_id],Tabelle18[[#This Row],[value_id]],Tabelle5[value_points],Tabelle18[[#This Row],[value_points_company]]),""))</f>
        <v>221</v>
      </c>
      <c r="G647" t="str" cm="1">
        <f t="array" ref="G647">IF(Tabelle18[[#This Row],[doc_id_strongest]]="","",IFERROR(INDEX(Tabelle5[evidence_location],MATCH(1,(Tabelle5[company_id]=Tabelle18[[#This Row],[company_id]])*(Tabelle5[value_id]=Tabelle18[[#This Row],[value_id]])*(Tabelle5[doc_id]=Tabelle18[[#This Row],[doc_id_strongest]]),0)),""))</f>
        <v>S. 3-5</v>
      </c>
      <c r="H647" s="33" t="str" cm="1">
        <f t="array" ref="H647">IF(Tabelle18[[#This Row],[doc_id_strongest]]="","",IFERROR(INDEX(Tabelle5[evidence_quote],MATCH(1,(Tabelle5[company_id]=Tabelle18[[#This Row],[company_id]])*(Tabelle5[value_id]=Tabelle18[[#This Row],[value_id]])*(Tabelle5[doc_id]=Tabelle18[[#This Row],[doc_id_strongest]]),0)),""))</f>
        <v>“thoroughly examine each data point”; “rigorous, standardized procedure”; “Validate data”</v>
      </c>
    </row>
    <row r="648" spans="1:8" x14ac:dyDescent="0.25">
      <c r="A648" s="36">
        <v>36</v>
      </c>
      <c r="B648" t="s">
        <v>166</v>
      </c>
      <c r="C648" s="4">
        <f>IF(Tabelle18[[#This Row],[binding_level_company]]&gt;=1,1,0)</f>
        <v>0</v>
      </c>
      <c r="D648" s="4">
        <f>IFERROR(_xlfn.MAXIFS(Tabelle5[binding_level],Tabelle5[company_id],Tabelle18[[#This Row],[company_id]],Tabelle5[value_id],Tabelle18[[#This Row],[value_id]],Tabelle5[value_present],1),0)</f>
        <v>0</v>
      </c>
      <c r="E648" s="4">
        <f>IFERROR(_xlfn.MAXIFS(Tabelle5[value_points],Tabelle5[company_id],Tabelle18[[#This Row],[company_id]],Tabelle5[value_id],Tabelle18[[#This Row],[value_id]]),0)</f>
        <v>0</v>
      </c>
      <c r="F648" t="str">
        <f>IF(Tabelle18[[#This Row],[value_points_company]]=0,"",IFERROR(_xlfn.MINIFS(Tabelle5[doc_id],Tabelle5[company_id],Tabelle18[[#This Row],[company_id]],Tabelle5[value_id],Tabelle18[[#This Row],[value_id]],Tabelle5[value_points],Tabelle18[[#This Row],[value_points_company]]),""))</f>
        <v/>
      </c>
      <c r="G648" t="str" cm="1">
        <f t="array" ref="G648">IF(Tabelle18[[#This Row],[doc_id_strongest]]="","",IFERROR(INDEX(Tabelle5[evidence_location],MATCH(1,(Tabelle5[company_id]=Tabelle18[[#This Row],[company_id]])*(Tabelle5[value_id]=Tabelle18[[#This Row],[value_id]])*(Tabelle5[doc_id]=Tabelle18[[#This Row],[doc_id_strongest]]),0)),""))</f>
        <v/>
      </c>
      <c r="H648" s="33" t="str" cm="1">
        <f t="array" ref="H648">IF(Tabelle18[[#This Row],[doc_id_strongest]]="","",IFERROR(INDEX(Tabelle5[evidence_quote],MATCH(1,(Tabelle5[company_id]=Tabelle18[[#This Row],[company_id]])*(Tabelle5[value_id]=Tabelle18[[#This Row],[value_id]])*(Tabelle5[doc_id]=Tabelle18[[#This Row],[doc_id_strongest]]),0)),""))</f>
        <v/>
      </c>
    </row>
    <row r="649" spans="1:8" ht="15.75" thickBot="1" x14ac:dyDescent="0.3">
      <c r="A649" s="37">
        <v>36</v>
      </c>
      <c r="B649" s="30" t="s">
        <v>174</v>
      </c>
      <c r="C649" s="49">
        <f>IF(Tabelle18[[#This Row],[binding_level_company]]&gt;=1,1,0)</f>
        <v>0</v>
      </c>
      <c r="D649" s="49">
        <f>IFERROR(_xlfn.MAXIFS(Tabelle5[binding_level],Tabelle5[company_id],Tabelle18[[#This Row],[company_id]],Tabelle5[value_id],Tabelle18[[#This Row],[value_id]],Tabelle5[value_present],1),0)</f>
        <v>0</v>
      </c>
      <c r="E649" s="49">
        <f>IFERROR(_xlfn.MAXIFS(Tabelle5[value_points],Tabelle5[company_id],Tabelle18[[#This Row],[company_id]],Tabelle5[value_id],Tabelle18[[#This Row],[value_id]]),0)</f>
        <v>0</v>
      </c>
      <c r="F649" s="30" t="str">
        <f>IF(Tabelle18[[#This Row],[value_points_company]]=0,"",IFERROR(_xlfn.MINIFS(Tabelle5[doc_id],Tabelle5[company_id],Tabelle18[[#This Row],[company_id]],Tabelle5[value_id],Tabelle18[[#This Row],[value_id]],Tabelle5[value_points],Tabelle18[[#This Row],[value_points_company]]),""))</f>
        <v/>
      </c>
      <c r="G649" s="30" t="str" cm="1">
        <f t="array" ref="G649">IF(Tabelle18[[#This Row],[doc_id_strongest]]="","",IFERROR(INDEX(Tabelle5[evidence_location],MATCH(1,(Tabelle5[company_id]=Tabelle18[[#This Row],[company_id]])*(Tabelle5[value_id]=Tabelle18[[#This Row],[value_id]])*(Tabelle5[doc_id]=Tabelle18[[#This Row],[doc_id_strongest]]),0)),""))</f>
        <v/>
      </c>
      <c r="H649" s="34" t="str" cm="1">
        <f t="array" ref="H649">IF(Tabelle18[[#This Row],[doc_id_strongest]]="","",IFERROR(INDEX(Tabelle5[evidence_quote],MATCH(1,(Tabelle5[company_id]=Tabelle18[[#This Row],[company_id]])*(Tabelle5[value_id]=Tabelle18[[#This Row],[value_id]])*(Tabelle5[doc_id]=Tabelle18[[#This Row],[doc_id_strongest]]),0)),""))</f>
        <v/>
      </c>
    </row>
    <row r="650" spans="1:8" x14ac:dyDescent="0.25">
      <c r="A650" s="35">
        <v>37</v>
      </c>
      <c r="B650" s="22" t="s">
        <v>53</v>
      </c>
      <c r="C650" s="48">
        <f>IF(Tabelle18[[#This Row],[binding_level_company]]&gt;=1,1,0)</f>
        <v>0</v>
      </c>
      <c r="D650" s="48">
        <f>IFERROR(_xlfn.MAXIFS(Tabelle5[binding_level],Tabelle5[company_id],Tabelle18[[#This Row],[company_id]],Tabelle5[value_id],Tabelle18[[#This Row],[value_id]],Tabelle5[value_present],1),0)</f>
        <v>0</v>
      </c>
      <c r="E650" s="48">
        <f>IFERROR(_xlfn.MAXIFS(Tabelle5[value_points],Tabelle5[company_id],Tabelle18[[#This Row],[company_id]],Tabelle5[value_id],Tabelle18[[#This Row],[value_id]]),0)</f>
        <v>0</v>
      </c>
      <c r="F650" s="22" t="str">
        <f>IF(Tabelle18[[#This Row],[value_points_company]]=0,"",IFERROR(_xlfn.MINIFS(Tabelle5[doc_id],Tabelle5[company_id],Tabelle18[[#This Row],[company_id]],Tabelle5[value_id],Tabelle18[[#This Row],[value_id]],Tabelle5[value_points],Tabelle18[[#This Row],[value_points_company]]),""))</f>
        <v/>
      </c>
      <c r="G650" s="22" t="str" cm="1">
        <f t="array" ref="G650">IF(Tabelle18[[#This Row],[doc_id_strongest]]="","",IFERROR(INDEX(Tabelle5[evidence_location],MATCH(1,(Tabelle5[company_id]=Tabelle18[[#This Row],[company_id]])*(Tabelle5[value_id]=Tabelle18[[#This Row],[value_id]])*(Tabelle5[doc_id]=Tabelle18[[#This Row],[doc_id_strongest]]),0)),""))</f>
        <v/>
      </c>
      <c r="H650" s="32" t="str" cm="1">
        <f t="array" ref="H650">IF(Tabelle18[[#This Row],[doc_id_strongest]]="","",IFERROR(INDEX(Tabelle5[evidence_quote],MATCH(1,(Tabelle5[company_id]=Tabelle18[[#This Row],[company_id]])*(Tabelle5[value_id]=Tabelle18[[#This Row],[value_id]])*(Tabelle5[doc_id]=Tabelle18[[#This Row],[doc_id_strongest]]),0)),""))</f>
        <v/>
      </c>
    </row>
    <row r="651" spans="1:8" x14ac:dyDescent="0.25">
      <c r="A651" s="36">
        <v>37</v>
      </c>
      <c r="B651" t="s">
        <v>61</v>
      </c>
      <c r="C651" s="4">
        <f>IF(Tabelle18[[#This Row],[binding_level_company]]&gt;=1,1,0)</f>
        <v>0</v>
      </c>
      <c r="D651" s="4">
        <f>IFERROR(_xlfn.MAXIFS(Tabelle5[binding_level],Tabelle5[company_id],Tabelle18[[#This Row],[company_id]],Tabelle5[value_id],Tabelle18[[#This Row],[value_id]],Tabelle5[value_present],1),0)</f>
        <v>0</v>
      </c>
      <c r="E651" s="4">
        <f>IFERROR(_xlfn.MAXIFS(Tabelle5[value_points],Tabelle5[company_id],Tabelle18[[#This Row],[company_id]],Tabelle5[value_id],Tabelle18[[#This Row],[value_id]]),0)</f>
        <v>0</v>
      </c>
      <c r="F651" t="str">
        <f>IF(Tabelle18[[#This Row],[value_points_company]]=0,"",IFERROR(_xlfn.MINIFS(Tabelle5[doc_id],Tabelle5[company_id],Tabelle18[[#This Row],[company_id]],Tabelle5[value_id],Tabelle18[[#This Row],[value_id]],Tabelle5[value_points],Tabelle18[[#This Row],[value_points_company]]),""))</f>
        <v/>
      </c>
      <c r="G651" t="str" cm="1">
        <f t="array" ref="G651">IF(Tabelle18[[#This Row],[doc_id_strongest]]="","",IFERROR(INDEX(Tabelle5[evidence_location],MATCH(1,(Tabelle5[company_id]=Tabelle18[[#This Row],[company_id]])*(Tabelle5[value_id]=Tabelle18[[#This Row],[value_id]])*(Tabelle5[doc_id]=Tabelle18[[#This Row],[doc_id_strongest]]),0)),""))</f>
        <v/>
      </c>
      <c r="H651" s="33" t="str" cm="1">
        <f t="array" ref="H651">IF(Tabelle18[[#This Row],[doc_id_strongest]]="","",IFERROR(INDEX(Tabelle5[evidence_quote],MATCH(1,(Tabelle5[company_id]=Tabelle18[[#This Row],[company_id]])*(Tabelle5[value_id]=Tabelle18[[#This Row],[value_id]])*(Tabelle5[doc_id]=Tabelle18[[#This Row],[doc_id_strongest]]),0)),""))</f>
        <v/>
      </c>
    </row>
    <row r="652" spans="1:8" x14ac:dyDescent="0.25">
      <c r="A652" s="36">
        <v>37</v>
      </c>
      <c r="B652" t="s">
        <v>69</v>
      </c>
      <c r="C652" s="4">
        <f>IF(Tabelle18[[#This Row],[binding_level_company]]&gt;=1,1,0)</f>
        <v>0</v>
      </c>
      <c r="D652" s="4">
        <f>IFERROR(_xlfn.MAXIFS(Tabelle5[binding_level],Tabelle5[company_id],Tabelle18[[#This Row],[company_id]],Tabelle5[value_id],Tabelle18[[#This Row],[value_id]],Tabelle5[value_present],1),0)</f>
        <v>0</v>
      </c>
      <c r="E652" s="4">
        <f>IFERROR(_xlfn.MAXIFS(Tabelle5[value_points],Tabelle5[company_id],Tabelle18[[#This Row],[company_id]],Tabelle5[value_id],Tabelle18[[#This Row],[value_id]]),0)</f>
        <v>0</v>
      </c>
      <c r="F652" t="str">
        <f>IF(Tabelle18[[#This Row],[value_points_company]]=0,"",IFERROR(_xlfn.MINIFS(Tabelle5[doc_id],Tabelle5[company_id],Tabelle18[[#This Row],[company_id]],Tabelle5[value_id],Tabelle18[[#This Row],[value_id]],Tabelle5[value_points],Tabelle18[[#This Row],[value_points_company]]),""))</f>
        <v/>
      </c>
      <c r="G652" t="str" cm="1">
        <f t="array" ref="G652">IF(Tabelle18[[#This Row],[doc_id_strongest]]="","",IFERROR(INDEX(Tabelle5[evidence_location],MATCH(1,(Tabelle5[company_id]=Tabelle18[[#This Row],[company_id]])*(Tabelle5[value_id]=Tabelle18[[#This Row],[value_id]])*(Tabelle5[doc_id]=Tabelle18[[#This Row],[doc_id_strongest]]),0)),""))</f>
        <v/>
      </c>
      <c r="H652" s="33" t="str" cm="1">
        <f t="array" ref="H652">IF(Tabelle18[[#This Row],[doc_id_strongest]]="","",IFERROR(INDEX(Tabelle5[evidence_quote],MATCH(1,(Tabelle5[company_id]=Tabelle18[[#This Row],[company_id]])*(Tabelle5[value_id]=Tabelle18[[#This Row],[value_id]])*(Tabelle5[doc_id]=Tabelle18[[#This Row],[doc_id_strongest]]),0)),""))</f>
        <v/>
      </c>
    </row>
    <row r="653" spans="1:8" x14ac:dyDescent="0.25">
      <c r="A653" s="36">
        <v>37</v>
      </c>
      <c r="B653" t="s">
        <v>76</v>
      </c>
      <c r="C653" s="4">
        <f>IF(Tabelle18[[#This Row],[binding_level_company]]&gt;=1,1,0)</f>
        <v>0</v>
      </c>
      <c r="D653" s="4">
        <f>IFERROR(_xlfn.MAXIFS(Tabelle5[binding_level],Tabelle5[company_id],Tabelle18[[#This Row],[company_id]],Tabelle5[value_id],Tabelle18[[#This Row],[value_id]],Tabelle5[value_present],1),0)</f>
        <v>0</v>
      </c>
      <c r="E653" s="4">
        <f>IFERROR(_xlfn.MAXIFS(Tabelle5[value_points],Tabelle5[company_id],Tabelle18[[#This Row],[company_id]],Tabelle5[value_id],Tabelle18[[#This Row],[value_id]]),0)</f>
        <v>0</v>
      </c>
      <c r="F653" t="str">
        <f>IF(Tabelle18[[#This Row],[value_points_company]]=0,"",IFERROR(_xlfn.MINIFS(Tabelle5[doc_id],Tabelle5[company_id],Tabelle18[[#This Row],[company_id]],Tabelle5[value_id],Tabelle18[[#This Row],[value_id]],Tabelle5[value_points],Tabelle18[[#This Row],[value_points_company]]),""))</f>
        <v/>
      </c>
      <c r="G653" t="str" cm="1">
        <f t="array" ref="G653">IF(Tabelle18[[#This Row],[doc_id_strongest]]="","",IFERROR(INDEX(Tabelle5[evidence_location],MATCH(1,(Tabelle5[company_id]=Tabelle18[[#This Row],[company_id]])*(Tabelle5[value_id]=Tabelle18[[#This Row],[value_id]])*(Tabelle5[doc_id]=Tabelle18[[#This Row],[doc_id_strongest]]),0)),""))</f>
        <v/>
      </c>
      <c r="H653" s="33" t="str" cm="1">
        <f t="array" ref="H653">IF(Tabelle18[[#This Row],[doc_id_strongest]]="","",IFERROR(INDEX(Tabelle5[evidence_quote],MATCH(1,(Tabelle5[company_id]=Tabelle18[[#This Row],[company_id]])*(Tabelle5[value_id]=Tabelle18[[#This Row],[value_id]])*(Tabelle5[doc_id]=Tabelle18[[#This Row],[doc_id_strongest]]),0)),""))</f>
        <v/>
      </c>
    </row>
    <row r="654" spans="1:8" x14ac:dyDescent="0.25">
      <c r="A654" s="36">
        <v>37</v>
      </c>
      <c r="B654" t="s">
        <v>83</v>
      </c>
      <c r="C654" s="4">
        <f>IF(Tabelle18[[#This Row],[binding_level_company]]&gt;=1,1,0)</f>
        <v>0</v>
      </c>
      <c r="D654" s="4">
        <f>IFERROR(_xlfn.MAXIFS(Tabelle5[binding_level],Tabelle5[company_id],Tabelle18[[#This Row],[company_id]],Tabelle5[value_id],Tabelle18[[#This Row],[value_id]],Tabelle5[value_present],1),0)</f>
        <v>0</v>
      </c>
      <c r="E654" s="4">
        <f>IFERROR(_xlfn.MAXIFS(Tabelle5[value_points],Tabelle5[company_id],Tabelle18[[#This Row],[company_id]],Tabelle5[value_id],Tabelle18[[#This Row],[value_id]]),0)</f>
        <v>0</v>
      </c>
      <c r="F654" t="str">
        <f>IF(Tabelle18[[#This Row],[value_points_company]]=0,"",IFERROR(_xlfn.MINIFS(Tabelle5[doc_id],Tabelle5[company_id],Tabelle18[[#This Row],[company_id]],Tabelle5[value_id],Tabelle18[[#This Row],[value_id]],Tabelle5[value_points],Tabelle18[[#This Row],[value_points_company]]),""))</f>
        <v/>
      </c>
      <c r="G654" t="str" cm="1">
        <f t="array" ref="G654">IF(Tabelle18[[#This Row],[doc_id_strongest]]="","",IFERROR(INDEX(Tabelle5[evidence_location],MATCH(1,(Tabelle5[company_id]=Tabelle18[[#This Row],[company_id]])*(Tabelle5[value_id]=Tabelle18[[#This Row],[value_id]])*(Tabelle5[doc_id]=Tabelle18[[#This Row],[doc_id_strongest]]),0)),""))</f>
        <v/>
      </c>
      <c r="H654" s="33" t="str" cm="1">
        <f t="array" ref="H654">IF(Tabelle18[[#This Row],[doc_id_strongest]]="","",IFERROR(INDEX(Tabelle5[evidence_quote],MATCH(1,(Tabelle5[company_id]=Tabelle18[[#This Row],[company_id]])*(Tabelle5[value_id]=Tabelle18[[#This Row],[value_id]])*(Tabelle5[doc_id]=Tabelle18[[#This Row],[doc_id_strongest]]),0)),""))</f>
        <v/>
      </c>
    </row>
    <row r="655" spans="1:8" x14ac:dyDescent="0.25">
      <c r="A655" s="36">
        <v>37</v>
      </c>
      <c r="B655" t="s">
        <v>90</v>
      </c>
      <c r="C655" s="4">
        <f>IF(Tabelle18[[#This Row],[binding_level_company]]&gt;=1,1,0)</f>
        <v>0</v>
      </c>
      <c r="D655" s="4">
        <f>IFERROR(_xlfn.MAXIFS(Tabelle5[binding_level],Tabelle5[company_id],Tabelle18[[#This Row],[company_id]],Tabelle5[value_id],Tabelle18[[#This Row],[value_id]],Tabelle5[value_present],1),0)</f>
        <v>0</v>
      </c>
      <c r="E655" s="4">
        <f>IFERROR(_xlfn.MAXIFS(Tabelle5[value_points],Tabelle5[company_id],Tabelle18[[#This Row],[company_id]],Tabelle5[value_id],Tabelle18[[#This Row],[value_id]]),0)</f>
        <v>0</v>
      </c>
      <c r="F655" t="str">
        <f>IF(Tabelle18[[#This Row],[value_points_company]]=0,"",IFERROR(_xlfn.MINIFS(Tabelle5[doc_id],Tabelle5[company_id],Tabelle18[[#This Row],[company_id]],Tabelle5[value_id],Tabelle18[[#This Row],[value_id]],Tabelle5[value_points],Tabelle18[[#This Row],[value_points_company]]),""))</f>
        <v/>
      </c>
      <c r="G655" t="str" cm="1">
        <f t="array" ref="G655">IF(Tabelle18[[#This Row],[doc_id_strongest]]="","",IFERROR(INDEX(Tabelle5[evidence_location],MATCH(1,(Tabelle5[company_id]=Tabelle18[[#This Row],[company_id]])*(Tabelle5[value_id]=Tabelle18[[#This Row],[value_id]])*(Tabelle5[doc_id]=Tabelle18[[#This Row],[doc_id_strongest]]),0)),""))</f>
        <v/>
      </c>
      <c r="H655" s="33" t="str" cm="1">
        <f t="array" ref="H655">IF(Tabelle18[[#This Row],[doc_id_strongest]]="","",IFERROR(INDEX(Tabelle5[evidence_quote],MATCH(1,(Tabelle5[company_id]=Tabelle18[[#This Row],[company_id]])*(Tabelle5[value_id]=Tabelle18[[#This Row],[value_id]])*(Tabelle5[doc_id]=Tabelle18[[#This Row],[doc_id_strongest]]),0)),""))</f>
        <v/>
      </c>
    </row>
    <row r="656" spans="1:8" x14ac:dyDescent="0.25">
      <c r="A656" s="36">
        <v>37</v>
      </c>
      <c r="B656" t="s">
        <v>98</v>
      </c>
      <c r="C656" s="4">
        <f>IF(Tabelle18[[#This Row],[binding_level_company]]&gt;=1,1,0)</f>
        <v>0</v>
      </c>
      <c r="D656" s="4">
        <f>IFERROR(_xlfn.MAXIFS(Tabelle5[binding_level],Tabelle5[company_id],Tabelle18[[#This Row],[company_id]],Tabelle5[value_id],Tabelle18[[#This Row],[value_id]],Tabelle5[value_present],1),0)</f>
        <v>0</v>
      </c>
      <c r="E656" s="4">
        <f>IFERROR(_xlfn.MAXIFS(Tabelle5[value_points],Tabelle5[company_id],Tabelle18[[#This Row],[company_id]],Tabelle5[value_id],Tabelle18[[#This Row],[value_id]]),0)</f>
        <v>0</v>
      </c>
      <c r="F656" t="str">
        <f>IF(Tabelle18[[#This Row],[value_points_company]]=0,"",IFERROR(_xlfn.MINIFS(Tabelle5[doc_id],Tabelle5[company_id],Tabelle18[[#This Row],[company_id]],Tabelle5[value_id],Tabelle18[[#This Row],[value_id]],Tabelle5[value_points],Tabelle18[[#This Row],[value_points_company]]),""))</f>
        <v/>
      </c>
      <c r="G656" t="str" cm="1">
        <f t="array" ref="G656">IF(Tabelle18[[#This Row],[doc_id_strongest]]="","",IFERROR(INDEX(Tabelle5[evidence_location],MATCH(1,(Tabelle5[company_id]=Tabelle18[[#This Row],[company_id]])*(Tabelle5[value_id]=Tabelle18[[#This Row],[value_id]])*(Tabelle5[doc_id]=Tabelle18[[#This Row],[doc_id_strongest]]),0)),""))</f>
        <v/>
      </c>
      <c r="H656" s="33" t="str" cm="1">
        <f t="array" ref="H656">IF(Tabelle18[[#This Row],[doc_id_strongest]]="","",IFERROR(INDEX(Tabelle5[evidence_quote],MATCH(1,(Tabelle5[company_id]=Tabelle18[[#This Row],[company_id]])*(Tabelle5[value_id]=Tabelle18[[#This Row],[value_id]])*(Tabelle5[doc_id]=Tabelle18[[#This Row],[doc_id_strongest]]),0)),""))</f>
        <v/>
      </c>
    </row>
    <row r="657" spans="1:8" x14ac:dyDescent="0.25">
      <c r="A657" s="36">
        <v>37</v>
      </c>
      <c r="B657" t="s">
        <v>106</v>
      </c>
      <c r="C657" s="4">
        <f>IF(Tabelle18[[#This Row],[binding_level_company]]&gt;=1,1,0)</f>
        <v>0</v>
      </c>
      <c r="D657" s="4">
        <f>IFERROR(_xlfn.MAXIFS(Tabelle5[binding_level],Tabelle5[company_id],Tabelle18[[#This Row],[company_id]],Tabelle5[value_id],Tabelle18[[#This Row],[value_id]],Tabelle5[value_present],1),0)</f>
        <v>0</v>
      </c>
      <c r="E657" s="4">
        <f>IFERROR(_xlfn.MAXIFS(Tabelle5[value_points],Tabelle5[company_id],Tabelle18[[#This Row],[company_id]],Tabelle5[value_id],Tabelle18[[#This Row],[value_id]]),0)</f>
        <v>0</v>
      </c>
      <c r="F657" t="str">
        <f>IF(Tabelle18[[#This Row],[value_points_company]]=0,"",IFERROR(_xlfn.MINIFS(Tabelle5[doc_id],Tabelle5[company_id],Tabelle18[[#This Row],[company_id]],Tabelle5[value_id],Tabelle18[[#This Row],[value_id]],Tabelle5[value_points],Tabelle18[[#This Row],[value_points_company]]),""))</f>
        <v/>
      </c>
      <c r="G657" t="str" cm="1">
        <f t="array" ref="G657">IF(Tabelle18[[#This Row],[doc_id_strongest]]="","",IFERROR(INDEX(Tabelle5[evidence_location],MATCH(1,(Tabelle5[company_id]=Tabelle18[[#This Row],[company_id]])*(Tabelle5[value_id]=Tabelle18[[#This Row],[value_id]])*(Tabelle5[doc_id]=Tabelle18[[#This Row],[doc_id_strongest]]),0)),""))</f>
        <v/>
      </c>
      <c r="H657" s="33" t="str" cm="1">
        <f t="array" ref="H657">IF(Tabelle18[[#This Row],[doc_id_strongest]]="","",IFERROR(INDEX(Tabelle5[evidence_quote],MATCH(1,(Tabelle5[company_id]=Tabelle18[[#This Row],[company_id]])*(Tabelle5[value_id]=Tabelle18[[#This Row],[value_id]])*(Tabelle5[doc_id]=Tabelle18[[#This Row],[doc_id_strongest]]),0)),""))</f>
        <v/>
      </c>
    </row>
    <row r="658" spans="1:8" x14ac:dyDescent="0.25">
      <c r="A658" s="36">
        <v>37</v>
      </c>
      <c r="B658" t="s">
        <v>112</v>
      </c>
      <c r="C658" s="4">
        <f>IF(Tabelle18[[#This Row],[binding_level_company]]&gt;=1,1,0)</f>
        <v>0</v>
      </c>
      <c r="D658" s="4">
        <f>IFERROR(_xlfn.MAXIFS(Tabelle5[binding_level],Tabelle5[company_id],Tabelle18[[#This Row],[company_id]],Tabelle5[value_id],Tabelle18[[#This Row],[value_id]],Tabelle5[value_present],1),0)</f>
        <v>0</v>
      </c>
      <c r="E658" s="4">
        <f>IFERROR(_xlfn.MAXIFS(Tabelle5[value_points],Tabelle5[company_id],Tabelle18[[#This Row],[company_id]],Tabelle5[value_id],Tabelle18[[#This Row],[value_id]]),0)</f>
        <v>0</v>
      </c>
      <c r="F658" t="str">
        <f>IF(Tabelle18[[#This Row],[value_points_company]]=0,"",IFERROR(_xlfn.MINIFS(Tabelle5[doc_id],Tabelle5[company_id],Tabelle18[[#This Row],[company_id]],Tabelle5[value_id],Tabelle18[[#This Row],[value_id]],Tabelle5[value_points],Tabelle18[[#This Row],[value_points_company]]),""))</f>
        <v/>
      </c>
      <c r="G658" t="str" cm="1">
        <f t="array" ref="G658">IF(Tabelle18[[#This Row],[doc_id_strongest]]="","",IFERROR(INDEX(Tabelle5[evidence_location],MATCH(1,(Tabelle5[company_id]=Tabelle18[[#This Row],[company_id]])*(Tabelle5[value_id]=Tabelle18[[#This Row],[value_id]])*(Tabelle5[doc_id]=Tabelle18[[#This Row],[doc_id_strongest]]),0)),""))</f>
        <v/>
      </c>
      <c r="H658" s="33" t="str" cm="1">
        <f t="array" ref="H658">IF(Tabelle18[[#This Row],[doc_id_strongest]]="","",IFERROR(INDEX(Tabelle5[evidence_quote],MATCH(1,(Tabelle5[company_id]=Tabelle18[[#This Row],[company_id]])*(Tabelle5[value_id]=Tabelle18[[#This Row],[value_id]])*(Tabelle5[doc_id]=Tabelle18[[#This Row],[doc_id_strongest]]),0)),""))</f>
        <v/>
      </c>
    </row>
    <row r="659" spans="1:8" x14ac:dyDescent="0.25">
      <c r="A659" s="36">
        <v>37</v>
      </c>
      <c r="B659" t="s">
        <v>118</v>
      </c>
      <c r="C659" s="4">
        <f>IF(Tabelle18[[#This Row],[binding_level_company]]&gt;=1,1,0)</f>
        <v>0</v>
      </c>
      <c r="D659" s="4">
        <f>IFERROR(_xlfn.MAXIFS(Tabelle5[binding_level],Tabelle5[company_id],Tabelle18[[#This Row],[company_id]],Tabelle5[value_id],Tabelle18[[#This Row],[value_id]],Tabelle5[value_present],1),0)</f>
        <v>0</v>
      </c>
      <c r="E659" s="4">
        <f>IFERROR(_xlfn.MAXIFS(Tabelle5[value_points],Tabelle5[company_id],Tabelle18[[#This Row],[company_id]],Tabelle5[value_id],Tabelle18[[#This Row],[value_id]]),0)</f>
        <v>0</v>
      </c>
      <c r="F659" t="str">
        <f>IF(Tabelle18[[#This Row],[value_points_company]]=0,"",IFERROR(_xlfn.MINIFS(Tabelle5[doc_id],Tabelle5[company_id],Tabelle18[[#This Row],[company_id]],Tabelle5[value_id],Tabelle18[[#This Row],[value_id]],Tabelle5[value_points],Tabelle18[[#This Row],[value_points_company]]),""))</f>
        <v/>
      </c>
      <c r="G659" t="str" cm="1">
        <f t="array" ref="G659">IF(Tabelle18[[#This Row],[doc_id_strongest]]="","",IFERROR(INDEX(Tabelle5[evidence_location],MATCH(1,(Tabelle5[company_id]=Tabelle18[[#This Row],[company_id]])*(Tabelle5[value_id]=Tabelle18[[#This Row],[value_id]])*(Tabelle5[doc_id]=Tabelle18[[#This Row],[doc_id_strongest]]),0)),""))</f>
        <v/>
      </c>
      <c r="H659" s="33" t="str" cm="1">
        <f t="array" ref="H659">IF(Tabelle18[[#This Row],[doc_id_strongest]]="","",IFERROR(INDEX(Tabelle5[evidence_quote],MATCH(1,(Tabelle5[company_id]=Tabelle18[[#This Row],[company_id]])*(Tabelle5[value_id]=Tabelle18[[#This Row],[value_id]])*(Tabelle5[doc_id]=Tabelle18[[#This Row],[doc_id_strongest]]),0)),""))</f>
        <v/>
      </c>
    </row>
    <row r="660" spans="1:8" x14ac:dyDescent="0.25">
      <c r="A660" s="36">
        <v>37</v>
      </c>
      <c r="B660" t="s">
        <v>125</v>
      </c>
      <c r="C660" s="4">
        <f>IF(Tabelle18[[#This Row],[binding_level_company]]&gt;=1,1,0)</f>
        <v>0</v>
      </c>
      <c r="D660" s="4">
        <f>IFERROR(_xlfn.MAXIFS(Tabelle5[binding_level],Tabelle5[company_id],Tabelle18[[#This Row],[company_id]],Tabelle5[value_id],Tabelle18[[#This Row],[value_id]],Tabelle5[value_present],1),0)</f>
        <v>0</v>
      </c>
      <c r="E660" s="4">
        <f>IFERROR(_xlfn.MAXIFS(Tabelle5[value_points],Tabelle5[company_id],Tabelle18[[#This Row],[company_id]],Tabelle5[value_id],Tabelle18[[#This Row],[value_id]]),0)</f>
        <v>0</v>
      </c>
      <c r="F660" t="str">
        <f>IF(Tabelle18[[#This Row],[value_points_company]]=0,"",IFERROR(_xlfn.MINIFS(Tabelle5[doc_id],Tabelle5[company_id],Tabelle18[[#This Row],[company_id]],Tabelle5[value_id],Tabelle18[[#This Row],[value_id]],Tabelle5[value_points],Tabelle18[[#This Row],[value_points_company]]),""))</f>
        <v/>
      </c>
      <c r="G660" t="str" cm="1">
        <f t="array" ref="G660">IF(Tabelle18[[#This Row],[doc_id_strongest]]="","",IFERROR(INDEX(Tabelle5[evidence_location],MATCH(1,(Tabelle5[company_id]=Tabelle18[[#This Row],[company_id]])*(Tabelle5[value_id]=Tabelle18[[#This Row],[value_id]])*(Tabelle5[doc_id]=Tabelle18[[#This Row],[doc_id_strongest]]),0)),""))</f>
        <v/>
      </c>
      <c r="H660" s="33" t="str" cm="1">
        <f t="array" ref="H660">IF(Tabelle18[[#This Row],[doc_id_strongest]]="","",IFERROR(INDEX(Tabelle5[evidence_quote],MATCH(1,(Tabelle5[company_id]=Tabelle18[[#This Row],[company_id]])*(Tabelle5[value_id]=Tabelle18[[#This Row],[value_id]])*(Tabelle5[doc_id]=Tabelle18[[#This Row],[doc_id_strongest]]),0)),""))</f>
        <v/>
      </c>
    </row>
    <row r="661" spans="1:8" x14ac:dyDescent="0.25">
      <c r="A661" s="36">
        <v>37</v>
      </c>
      <c r="B661" t="s">
        <v>132</v>
      </c>
      <c r="C661" s="4">
        <f>IF(Tabelle18[[#This Row],[binding_level_company]]&gt;=1,1,0)</f>
        <v>0</v>
      </c>
      <c r="D661" s="4">
        <f>IFERROR(_xlfn.MAXIFS(Tabelle5[binding_level],Tabelle5[company_id],Tabelle18[[#This Row],[company_id]],Tabelle5[value_id],Tabelle18[[#This Row],[value_id]],Tabelle5[value_present],1),0)</f>
        <v>0</v>
      </c>
      <c r="E661" s="4">
        <f>IFERROR(_xlfn.MAXIFS(Tabelle5[value_points],Tabelle5[company_id],Tabelle18[[#This Row],[company_id]],Tabelle5[value_id],Tabelle18[[#This Row],[value_id]]),0)</f>
        <v>0</v>
      </c>
      <c r="F661" t="str">
        <f>IF(Tabelle18[[#This Row],[value_points_company]]=0,"",IFERROR(_xlfn.MINIFS(Tabelle5[doc_id],Tabelle5[company_id],Tabelle18[[#This Row],[company_id]],Tabelle5[value_id],Tabelle18[[#This Row],[value_id]],Tabelle5[value_points],Tabelle18[[#This Row],[value_points_company]]),""))</f>
        <v/>
      </c>
      <c r="G661" t="str" cm="1">
        <f t="array" ref="G661">IF(Tabelle18[[#This Row],[doc_id_strongest]]="","",IFERROR(INDEX(Tabelle5[evidence_location],MATCH(1,(Tabelle5[company_id]=Tabelle18[[#This Row],[company_id]])*(Tabelle5[value_id]=Tabelle18[[#This Row],[value_id]])*(Tabelle5[doc_id]=Tabelle18[[#This Row],[doc_id_strongest]]),0)),""))</f>
        <v/>
      </c>
      <c r="H661" s="33" t="str" cm="1">
        <f t="array" ref="H661">IF(Tabelle18[[#This Row],[doc_id_strongest]]="","",IFERROR(INDEX(Tabelle5[evidence_quote],MATCH(1,(Tabelle5[company_id]=Tabelle18[[#This Row],[company_id]])*(Tabelle5[value_id]=Tabelle18[[#This Row],[value_id]])*(Tabelle5[doc_id]=Tabelle18[[#This Row],[doc_id_strongest]]),0)),""))</f>
        <v/>
      </c>
    </row>
    <row r="662" spans="1:8" x14ac:dyDescent="0.25">
      <c r="A662" s="36">
        <v>37</v>
      </c>
      <c r="B662" t="s">
        <v>140</v>
      </c>
      <c r="C662" s="4">
        <f>IF(Tabelle18[[#This Row],[binding_level_company]]&gt;=1,1,0)</f>
        <v>0</v>
      </c>
      <c r="D662" s="4">
        <f>IFERROR(_xlfn.MAXIFS(Tabelle5[binding_level],Tabelle5[company_id],Tabelle18[[#This Row],[company_id]],Tabelle5[value_id],Tabelle18[[#This Row],[value_id]],Tabelle5[value_present],1),0)</f>
        <v>0</v>
      </c>
      <c r="E662" s="4">
        <f>IFERROR(_xlfn.MAXIFS(Tabelle5[value_points],Tabelle5[company_id],Tabelle18[[#This Row],[company_id]],Tabelle5[value_id],Tabelle18[[#This Row],[value_id]]),0)</f>
        <v>0</v>
      </c>
      <c r="F662" t="str">
        <f>IF(Tabelle18[[#This Row],[value_points_company]]=0,"",IFERROR(_xlfn.MINIFS(Tabelle5[doc_id],Tabelle5[company_id],Tabelle18[[#This Row],[company_id]],Tabelle5[value_id],Tabelle18[[#This Row],[value_id]],Tabelle5[value_points],Tabelle18[[#This Row],[value_points_company]]),""))</f>
        <v/>
      </c>
      <c r="G662" t="str" cm="1">
        <f t="array" ref="G662">IF(Tabelle18[[#This Row],[doc_id_strongest]]="","",IFERROR(INDEX(Tabelle5[evidence_location],MATCH(1,(Tabelle5[company_id]=Tabelle18[[#This Row],[company_id]])*(Tabelle5[value_id]=Tabelle18[[#This Row],[value_id]])*(Tabelle5[doc_id]=Tabelle18[[#This Row],[doc_id_strongest]]),0)),""))</f>
        <v/>
      </c>
      <c r="H662" s="33" t="str" cm="1">
        <f t="array" ref="H662">IF(Tabelle18[[#This Row],[doc_id_strongest]]="","",IFERROR(INDEX(Tabelle5[evidence_quote],MATCH(1,(Tabelle5[company_id]=Tabelle18[[#This Row],[company_id]])*(Tabelle5[value_id]=Tabelle18[[#This Row],[value_id]])*(Tabelle5[doc_id]=Tabelle18[[#This Row],[doc_id_strongest]]),0)),""))</f>
        <v/>
      </c>
    </row>
    <row r="663" spans="1:8" x14ac:dyDescent="0.25">
      <c r="A663" s="36">
        <v>37</v>
      </c>
      <c r="B663" t="s">
        <v>147</v>
      </c>
      <c r="C663" s="4">
        <f>IF(Tabelle18[[#This Row],[binding_level_company]]&gt;=1,1,0)</f>
        <v>0</v>
      </c>
      <c r="D663" s="4">
        <f>IFERROR(_xlfn.MAXIFS(Tabelle5[binding_level],Tabelle5[company_id],Tabelle18[[#This Row],[company_id]],Tabelle5[value_id],Tabelle18[[#This Row],[value_id]],Tabelle5[value_present],1),0)</f>
        <v>0</v>
      </c>
      <c r="E663" s="4">
        <f>IFERROR(_xlfn.MAXIFS(Tabelle5[value_points],Tabelle5[company_id],Tabelle18[[#This Row],[company_id]],Tabelle5[value_id],Tabelle18[[#This Row],[value_id]]),0)</f>
        <v>0</v>
      </c>
      <c r="F663" t="str">
        <f>IF(Tabelle18[[#This Row],[value_points_company]]=0,"",IFERROR(_xlfn.MINIFS(Tabelle5[doc_id],Tabelle5[company_id],Tabelle18[[#This Row],[company_id]],Tabelle5[value_id],Tabelle18[[#This Row],[value_id]],Tabelle5[value_points],Tabelle18[[#This Row],[value_points_company]]),""))</f>
        <v/>
      </c>
      <c r="G663" t="str" cm="1">
        <f t="array" ref="G663">IF(Tabelle18[[#This Row],[doc_id_strongest]]="","",IFERROR(INDEX(Tabelle5[evidence_location],MATCH(1,(Tabelle5[company_id]=Tabelle18[[#This Row],[company_id]])*(Tabelle5[value_id]=Tabelle18[[#This Row],[value_id]])*(Tabelle5[doc_id]=Tabelle18[[#This Row],[doc_id_strongest]]),0)),""))</f>
        <v/>
      </c>
      <c r="H663" s="33" t="str" cm="1">
        <f t="array" ref="H663">IF(Tabelle18[[#This Row],[doc_id_strongest]]="","",IFERROR(INDEX(Tabelle5[evidence_quote],MATCH(1,(Tabelle5[company_id]=Tabelle18[[#This Row],[company_id]])*(Tabelle5[value_id]=Tabelle18[[#This Row],[value_id]])*(Tabelle5[doc_id]=Tabelle18[[#This Row],[doc_id_strongest]]),0)),""))</f>
        <v/>
      </c>
    </row>
    <row r="664" spans="1:8" x14ac:dyDescent="0.25">
      <c r="A664" s="36">
        <v>37</v>
      </c>
      <c r="B664" t="s">
        <v>154</v>
      </c>
      <c r="C664" s="4">
        <f>IF(Tabelle18[[#This Row],[binding_level_company]]&gt;=1,1,0)</f>
        <v>0</v>
      </c>
      <c r="D664" s="4">
        <f>IFERROR(_xlfn.MAXIFS(Tabelle5[binding_level],Tabelle5[company_id],Tabelle18[[#This Row],[company_id]],Tabelle5[value_id],Tabelle18[[#This Row],[value_id]],Tabelle5[value_present],1),0)</f>
        <v>0</v>
      </c>
      <c r="E664" s="4">
        <f>IFERROR(_xlfn.MAXIFS(Tabelle5[value_points],Tabelle5[company_id],Tabelle18[[#This Row],[company_id]],Tabelle5[value_id],Tabelle18[[#This Row],[value_id]]),0)</f>
        <v>0</v>
      </c>
      <c r="F664" t="str">
        <f>IF(Tabelle18[[#This Row],[value_points_company]]=0,"",IFERROR(_xlfn.MINIFS(Tabelle5[doc_id],Tabelle5[company_id],Tabelle18[[#This Row],[company_id]],Tabelle5[value_id],Tabelle18[[#This Row],[value_id]],Tabelle5[value_points],Tabelle18[[#This Row],[value_points_company]]),""))</f>
        <v/>
      </c>
      <c r="G664" t="str" cm="1">
        <f t="array" ref="G664">IF(Tabelle18[[#This Row],[doc_id_strongest]]="","",IFERROR(INDEX(Tabelle5[evidence_location],MATCH(1,(Tabelle5[company_id]=Tabelle18[[#This Row],[company_id]])*(Tabelle5[value_id]=Tabelle18[[#This Row],[value_id]])*(Tabelle5[doc_id]=Tabelle18[[#This Row],[doc_id_strongest]]),0)),""))</f>
        <v/>
      </c>
      <c r="H664" s="33" t="str" cm="1">
        <f t="array" ref="H664">IF(Tabelle18[[#This Row],[doc_id_strongest]]="","",IFERROR(INDEX(Tabelle5[evidence_quote],MATCH(1,(Tabelle5[company_id]=Tabelle18[[#This Row],[company_id]])*(Tabelle5[value_id]=Tabelle18[[#This Row],[value_id]])*(Tabelle5[doc_id]=Tabelle18[[#This Row],[doc_id_strongest]]),0)),""))</f>
        <v/>
      </c>
    </row>
    <row r="665" spans="1:8" x14ac:dyDescent="0.25">
      <c r="A665" s="36">
        <v>37</v>
      </c>
      <c r="B665" t="s">
        <v>161</v>
      </c>
      <c r="C665" s="4">
        <f>IF(Tabelle18[[#This Row],[binding_level_company]]&gt;=1,1,0)</f>
        <v>0</v>
      </c>
      <c r="D665" s="4">
        <f>IFERROR(_xlfn.MAXIFS(Tabelle5[binding_level],Tabelle5[company_id],Tabelle18[[#This Row],[company_id]],Tabelle5[value_id],Tabelle18[[#This Row],[value_id]],Tabelle5[value_present],1),0)</f>
        <v>0</v>
      </c>
      <c r="E665" s="4">
        <f>IFERROR(_xlfn.MAXIFS(Tabelle5[value_points],Tabelle5[company_id],Tabelle18[[#This Row],[company_id]],Tabelle5[value_id],Tabelle18[[#This Row],[value_id]]),0)</f>
        <v>0</v>
      </c>
      <c r="F665" t="str">
        <f>IF(Tabelle18[[#This Row],[value_points_company]]=0,"",IFERROR(_xlfn.MINIFS(Tabelle5[doc_id],Tabelle5[company_id],Tabelle18[[#This Row],[company_id]],Tabelle5[value_id],Tabelle18[[#This Row],[value_id]],Tabelle5[value_points],Tabelle18[[#This Row],[value_points_company]]),""))</f>
        <v/>
      </c>
      <c r="G665" t="str" cm="1">
        <f t="array" ref="G665">IF(Tabelle18[[#This Row],[doc_id_strongest]]="","",IFERROR(INDEX(Tabelle5[evidence_location],MATCH(1,(Tabelle5[company_id]=Tabelle18[[#This Row],[company_id]])*(Tabelle5[value_id]=Tabelle18[[#This Row],[value_id]])*(Tabelle5[doc_id]=Tabelle18[[#This Row],[doc_id_strongest]]),0)),""))</f>
        <v/>
      </c>
      <c r="H665" s="33" t="str" cm="1">
        <f t="array" ref="H665">IF(Tabelle18[[#This Row],[doc_id_strongest]]="","",IFERROR(INDEX(Tabelle5[evidence_quote],MATCH(1,(Tabelle5[company_id]=Tabelle18[[#This Row],[company_id]])*(Tabelle5[value_id]=Tabelle18[[#This Row],[value_id]])*(Tabelle5[doc_id]=Tabelle18[[#This Row],[doc_id_strongest]]),0)),""))</f>
        <v/>
      </c>
    </row>
    <row r="666" spans="1:8" x14ac:dyDescent="0.25">
      <c r="A666" s="36">
        <v>37</v>
      </c>
      <c r="B666" t="s">
        <v>166</v>
      </c>
      <c r="C666" s="4">
        <f>IF(Tabelle18[[#This Row],[binding_level_company]]&gt;=1,1,0)</f>
        <v>0</v>
      </c>
      <c r="D666" s="4">
        <f>IFERROR(_xlfn.MAXIFS(Tabelle5[binding_level],Tabelle5[company_id],Tabelle18[[#This Row],[company_id]],Tabelle5[value_id],Tabelle18[[#This Row],[value_id]],Tabelle5[value_present],1),0)</f>
        <v>0</v>
      </c>
      <c r="E666" s="4">
        <f>IFERROR(_xlfn.MAXIFS(Tabelle5[value_points],Tabelle5[company_id],Tabelle18[[#This Row],[company_id]],Tabelle5[value_id],Tabelle18[[#This Row],[value_id]]),0)</f>
        <v>0</v>
      </c>
      <c r="F666" t="str">
        <f>IF(Tabelle18[[#This Row],[value_points_company]]=0,"",IFERROR(_xlfn.MINIFS(Tabelle5[doc_id],Tabelle5[company_id],Tabelle18[[#This Row],[company_id]],Tabelle5[value_id],Tabelle18[[#This Row],[value_id]],Tabelle5[value_points],Tabelle18[[#This Row],[value_points_company]]),""))</f>
        <v/>
      </c>
      <c r="G666" t="str" cm="1">
        <f t="array" ref="G666">IF(Tabelle18[[#This Row],[doc_id_strongest]]="","",IFERROR(INDEX(Tabelle5[evidence_location],MATCH(1,(Tabelle5[company_id]=Tabelle18[[#This Row],[company_id]])*(Tabelle5[value_id]=Tabelle18[[#This Row],[value_id]])*(Tabelle5[doc_id]=Tabelle18[[#This Row],[doc_id_strongest]]),0)),""))</f>
        <v/>
      </c>
      <c r="H666" s="33" t="str" cm="1">
        <f t="array" ref="H666">IF(Tabelle18[[#This Row],[doc_id_strongest]]="","",IFERROR(INDEX(Tabelle5[evidence_quote],MATCH(1,(Tabelle5[company_id]=Tabelle18[[#This Row],[company_id]])*(Tabelle5[value_id]=Tabelle18[[#This Row],[value_id]])*(Tabelle5[doc_id]=Tabelle18[[#This Row],[doc_id_strongest]]),0)),""))</f>
        <v/>
      </c>
    </row>
    <row r="667" spans="1:8" ht="15.75" thickBot="1" x14ac:dyDescent="0.3">
      <c r="A667" s="37">
        <v>37</v>
      </c>
      <c r="B667" s="30" t="s">
        <v>174</v>
      </c>
      <c r="C667" s="49">
        <f>IF(Tabelle18[[#This Row],[binding_level_company]]&gt;=1,1,0)</f>
        <v>0</v>
      </c>
      <c r="D667" s="49">
        <f>IFERROR(_xlfn.MAXIFS(Tabelle5[binding_level],Tabelle5[company_id],Tabelle18[[#This Row],[company_id]],Tabelle5[value_id],Tabelle18[[#This Row],[value_id]],Tabelle5[value_present],1),0)</f>
        <v>0</v>
      </c>
      <c r="E667" s="49">
        <f>IFERROR(_xlfn.MAXIFS(Tabelle5[value_points],Tabelle5[company_id],Tabelle18[[#This Row],[company_id]],Tabelle5[value_id],Tabelle18[[#This Row],[value_id]]),0)</f>
        <v>0</v>
      </c>
      <c r="F667" s="30" t="str">
        <f>IF(Tabelle18[[#This Row],[value_points_company]]=0,"",IFERROR(_xlfn.MINIFS(Tabelle5[doc_id],Tabelle5[company_id],Tabelle18[[#This Row],[company_id]],Tabelle5[value_id],Tabelle18[[#This Row],[value_id]],Tabelle5[value_points],Tabelle18[[#This Row],[value_points_company]]),""))</f>
        <v/>
      </c>
      <c r="G667" s="30" t="str" cm="1">
        <f t="array" ref="G667">IF(Tabelle18[[#This Row],[doc_id_strongest]]="","",IFERROR(INDEX(Tabelle5[evidence_location],MATCH(1,(Tabelle5[company_id]=Tabelle18[[#This Row],[company_id]])*(Tabelle5[value_id]=Tabelle18[[#This Row],[value_id]])*(Tabelle5[doc_id]=Tabelle18[[#This Row],[doc_id_strongest]]),0)),""))</f>
        <v/>
      </c>
      <c r="H667" s="34" t="str" cm="1">
        <f t="array" ref="H667">IF(Tabelle18[[#This Row],[doc_id_strongest]]="","",IFERROR(INDEX(Tabelle5[evidence_quote],MATCH(1,(Tabelle5[company_id]=Tabelle18[[#This Row],[company_id]])*(Tabelle5[value_id]=Tabelle18[[#This Row],[value_id]])*(Tabelle5[doc_id]=Tabelle18[[#This Row],[doc_id_strongest]]),0)),""))</f>
        <v/>
      </c>
    </row>
    <row r="668" spans="1:8" x14ac:dyDescent="0.25">
      <c r="A668" s="35">
        <v>38</v>
      </c>
      <c r="B668" s="22" t="s">
        <v>53</v>
      </c>
      <c r="C668" s="48">
        <f>IF(Tabelle18[[#This Row],[binding_level_company]]&gt;=1,1,0)</f>
        <v>1</v>
      </c>
      <c r="D668" s="48">
        <f>IFERROR(_xlfn.MAXIFS(Tabelle5[binding_level],Tabelle5[company_id],Tabelle18[[#This Row],[company_id]],Tabelle5[value_id],Tabelle18[[#This Row],[value_id]],Tabelle5[value_present],1),0)</f>
        <v>1</v>
      </c>
      <c r="E668" s="48">
        <f>IFERROR(_xlfn.MAXIFS(Tabelle5[value_points],Tabelle5[company_id],Tabelle18[[#This Row],[company_id]],Tabelle5[value_id],Tabelle18[[#This Row],[value_id]]),0)</f>
        <v>1</v>
      </c>
      <c r="F668" s="22">
        <f>IF(Tabelle18[[#This Row],[value_points_company]]=0,"",IFERROR(_xlfn.MINIFS(Tabelle5[doc_id],Tabelle5[company_id],Tabelle18[[#This Row],[company_id]],Tabelle5[value_id],Tabelle18[[#This Row],[value_id]],Tabelle5[value_points],Tabelle18[[#This Row],[value_points_company]]),""))</f>
        <v>227</v>
      </c>
      <c r="G668" s="22" t="str" cm="1">
        <f t="array" ref="G668">IF(Tabelle18[[#This Row],[doc_id_strongest]]="","",IFERROR(INDEX(Tabelle5[evidence_location],MATCH(1,(Tabelle5[company_id]=Tabelle18[[#This Row],[company_id]])*(Tabelle5[value_id]=Tabelle18[[#This Row],[value_id]])*(Tabelle5[doc_id]=Tabelle18[[#This Row],[doc_id_strongest]]),0)),""))</f>
        <v>S. 2.</v>
      </c>
      <c r="H668" s="32" t="str" cm="1">
        <f t="array" ref="H668">IF(Tabelle18[[#This Row],[doc_id_strongest]]="","",IFERROR(INDEX(Tabelle5[evidence_quote],MATCH(1,(Tabelle5[company_id]=Tabelle18[[#This Row],[company_id]])*(Tabelle5[value_id]=Tabelle18[[#This Row],[value_id]])*(Tabelle5[doc_id]=Tabelle18[[#This Row],[doc_id_strongest]]),0)),""))</f>
        <v>“We enable human oversight and accountability”</v>
      </c>
    </row>
    <row r="669" spans="1:8" x14ac:dyDescent="0.25">
      <c r="A669" s="36">
        <v>38</v>
      </c>
      <c r="B669" t="s">
        <v>61</v>
      </c>
      <c r="C669" s="4">
        <f>IF(Tabelle18[[#This Row],[binding_level_company]]&gt;=1,1,0)</f>
        <v>1</v>
      </c>
      <c r="D669" s="4">
        <f>IFERROR(_xlfn.MAXIFS(Tabelle5[binding_level],Tabelle5[company_id],Tabelle18[[#This Row],[company_id]],Tabelle5[value_id],Tabelle18[[#This Row],[value_id]],Tabelle5[value_present],1),0)</f>
        <v>1</v>
      </c>
      <c r="E669" s="4">
        <f>IFERROR(_xlfn.MAXIFS(Tabelle5[value_points],Tabelle5[company_id],Tabelle18[[#This Row],[company_id]],Tabelle5[value_id],Tabelle18[[#This Row],[value_id]]),0)</f>
        <v>1</v>
      </c>
      <c r="F669">
        <f>IF(Tabelle18[[#This Row],[value_points_company]]=0,"",IFERROR(_xlfn.MINIFS(Tabelle5[doc_id],Tabelle5[company_id],Tabelle18[[#This Row],[company_id]],Tabelle5[value_id],Tabelle18[[#This Row],[value_id]],Tabelle5[value_points],Tabelle18[[#This Row],[value_points_company]]),""))</f>
        <v>227</v>
      </c>
      <c r="G669" t="str" cm="1">
        <f t="array" ref="G669">IF(Tabelle18[[#This Row],[doc_id_strongest]]="","",IFERROR(INDEX(Tabelle5[evidence_location],MATCH(1,(Tabelle5[company_id]=Tabelle18[[#This Row],[company_id]])*(Tabelle5[value_id]=Tabelle18[[#This Row],[value_id]])*(Tabelle5[doc_id]=Tabelle18[[#This Row],[doc_id_strongest]]),0)),""))</f>
        <v>S. 2.</v>
      </c>
      <c r="H669" s="33" t="str" cm="1">
        <f t="array" ref="H669">IF(Tabelle18[[#This Row],[doc_id_strongest]]="","",IFERROR(INDEX(Tabelle5[evidence_quote],MATCH(1,(Tabelle5[company_id]=Tabelle18[[#This Row],[company_id]])*(Tabelle5[value_id]=Tabelle18[[#This Row],[value_id]])*(Tabelle5[doc_id]=Tabelle18[[#This Row],[doc_id_strongest]]),0)),""))</f>
        <v>“We enable human oversight and accountability”</v>
      </c>
    </row>
    <row r="670" spans="1:8" x14ac:dyDescent="0.25">
      <c r="A670" s="36">
        <v>38</v>
      </c>
      <c r="B670" t="s">
        <v>69</v>
      </c>
      <c r="C670" s="4">
        <f>IF(Tabelle18[[#This Row],[binding_level_company]]&gt;=1,1,0)</f>
        <v>1</v>
      </c>
      <c r="D670" s="4">
        <f>IFERROR(_xlfn.MAXIFS(Tabelle5[binding_level],Tabelle5[company_id],Tabelle18[[#This Row],[company_id]],Tabelle5[value_id],Tabelle18[[#This Row],[value_id]],Tabelle5[value_present],1),0)</f>
        <v>1</v>
      </c>
      <c r="E670" s="4">
        <f>IFERROR(_xlfn.MAXIFS(Tabelle5[value_points],Tabelle5[company_id],Tabelle18[[#This Row],[company_id]],Tabelle5[value_id],Tabelle18[[#This Row],[value_id]]),0)</f>
        <v>1</v>
      </c>
      <c r="F670">
        <f>IF(Tabelle18[[#This Row],[value_points_company]]=0,"",IFERROR(_xlfn.MINIFS(Tabelle5[doc_id],Tabelle5[company_id],Tabelle18[[#This Row],[company_id]],Tabelle5[value_id],Tabelle18[[#This Row],[value_id]],Tabelle5[value_points],Tabelle18[[#This Row],[value_points_company]]),""))</f>
        <v>227</v>
      </c>
      <c r="G670" t="str" cm="1">
        <f t="array" ref="G670">IF(Tabelle18[[#This Row],[doc_id_strongest]]="","",IFERROR(INDEX(Tabelle5[evidence_location],MATCH(1,(Tabelle5[company_id]=Tabelle18[[#This Row],[company_id]])*(Tabelle5[value_id]=Tabelle18[[#This Row],[value_id]])*(Tabelle5[doc_id]=Tabelle18[[#This Row],[doc_id_strongest]]),0)),""))</f>
        <v>S. 2.</v>
      </c>
      <c r="H670" s="33" t="str" cm="1">
        <f t="array" ref="H670">IF(Tabelle18[[#This Row],[doc_id_strongest]]="","",IFERROR(INDEX(Tabelle5[evidence_quote],MATCH(1,(Tabelle5[company_id]=Tabelle18[[#This Row],[company_id]])*(Tabelle5[value_id]=Tabelle18[[#This Row],[value_id]])*(Tabelle5[doc_id]=Tabelle18[[#This Row],[doc_id_strongest]]),0)),""))</f>
        <v>“make the usage and purpose of AI transparent”</v>
      </c>
    </row>
    <row r="671" spans="1:8" x14ac:dyDescent="0.25">
      <c r="A671" s="36">
        <v>38</v>
      </c>
      <c r="B671" t="s">
        <v>76</v>
      </c>
      <c r="C671" s="4">
        <f>IF(Tabelle18[[#This Row],[binding_level_company]]&gt;=1,1,0)</f>
        <v>0</v>
      </c>
      <c r="D671" s="4">
        <f>IFERROR(_xlfn.MAXIFS(Tabelle5[binding_level],Tabelle5[company_id],Tabelle18[[#This Row],[company_id]],Tabelle5[value_id],Tabelle18[[#This Row],[value_id]],Tabelle5[value_present],1),0)</f>
        <v>0</v>
      </c>
      <c r="E671" s="4">
        <f>IFERROR(_xlfn.MAXIFS(Tabelle5[value_points],Tabelle5[company_id],Tabelle18[[#This Row],[company_id]],Tabelle5[value_id],Tabelle18[[#This Row],[value_id]]),0)</f>
        <v>0</v>
      </c>
      <c r="F671" t="str">
        <f>IF(Tabelle18[[#This Row],[value_points_company]]=0,"",IFERROR(_xlfn.MINIFS(Tabelle5[doc_id],Tabelle5[company_id],Tabelle18[[#This Row],[company_id]],Tabelle5[value_id],Tabelle18[[#This Row],[value_id]],Tabelle5[value_points],Tabelle18[[#This Row],[value_points_company]]),""))</f>
        <v/>
      </c>
      <c r="G671" t="str" cm="1">
        <f t="array" ref="G671">IF(Tabelle18[[#This Row],[doc_id_strongest]]="","",IFERROR(INDEX(Tabelle5[evidence_location],MATCH(1,(Tabelle5[company_id]=Tabelle18[[#This Row],[company_id]])*(Tabelle5[value_id]=Tabelle18[[#This Row],[value_id]])*(Tabelle5[doc_id]=Tabelle18[[#This Row],[doc_id_strongest]]),0)),""))</f>
        <v/>
      </c>
      <c r="H671" s="33" t="str" cm="1">
        <f t="array" ref="H671">IF(Tabelle18[[#This Row],[doc_id_strongest]]="","",IFERROR(INDEX(Tabelle5[evidence_quote],MATCH(1,(Tabelle5[company_id]=Tabelle18[[#This Row],[company_id]])*(Tabelle5[value_id]=Tabelle18[[#This Row],[value_id]])*(Tabelle5[doc_id]=Tabelle18[[#This Row],[doc_id_strongest]]),0)),""))</f>
        <v/>
      </c>
    </row>
    <row r="672" spans="1:8" x14ac:dyDescent="0.25">
      <c r="A672" s="36">
        <v>38</v>
      </c>
      <c r="B672" t="s">
        <v>83</v>
      </c>
      <c r="C672" s="4">
        <f>IF(Tabelle18[[#This Row],[binding_level_company]]&gt;=1,1,0)</f>
        <v>1</v>
      </c>
      <c r="D672" s="4">
        <f>IFERROR(_xlfn.MAXIFS(Tabelle5[binding_level],Tabelle5[company_id],Tabelle18[[#This Row],[company_id]],Tabelle5[value_id],Tabelle18[[#This Row],[value_id]],Tabelle5[value_present],1),0)</f>
        <v>1</v>
      </c>
      <c r="E672" s="4">
        <f>IFERROR(_xlfn.MAXIFS(Tabelle5[value_points],Tabelle5[company_id],Tabelle18[[#This Row],[company_id]],Tabelle5[value_id],Tabelle18[[#This Row],[value_id]]),0)</f>
        <v>1</v>
      </c>
      <c r="F672">
        <f>IF(Tabelle18[[#This Row],[value_points_company]]=0,"",IFERROR(_xlfn.MINIFS(Tabelle5[doc_id],Tabelle5[company_id],Tabelle18[[#This Row],[company_id]],Tabelle5[value_id],Tabelle18[[#This Row],[value_id]],Tabelle5[value_points],Tabelle18[[#This Row],[value_points_company]]),""))</f>
        <v>227</v>
      </c>
      <c r="G672" t="str" cm="1">
        <f t="array" ref="G672">IF(Tabelle18[[#This Row],[doc_id_strongest]]="","",IFERROR(INDEX(Tabelle5[evidence_location],MATCH(1,(Tabelle5[company_id]=Tabelle18[[#This Row],[company_id]])*(Tabelle5[value_id]=Tabelle18[[#This Row],[value_id]])*(Tabelle5[doc_id]=Tabelle18[[#This Row],[doc_id_strongest]]),0)),""))</f>
        <v>S. 2.</v>
      </c>
      <c r="H672" s="33" t="str" cm="1">
        <f t="array" ref="H672">IF(Tabelle18[[#This Row],[doc_id_strongest]]="","",IFERROR(INDEX(Tabelle5[evidence_quote],MATCH(1,(Tabelle5[company_id]=Tabelle18[[#This Row],[company_id]])*(Tabelle5[value_id]=Tabelle18[[#This Row],[value_id]])*(Tabelle5[doc_id]=Tabelle18[[#This Row],[doc_id_strongest]]),0)),""))</f>
        <v>“Our AI systems are in line with our values in diversity and fairness”</v>
      </c>
    </row>
    <row r="673" spans="1:8" x14ac:dyDescent="0.25">
      <c r="A673" s="36">
        <v>38</v>
      </c>
      <c r="B673" t="s">
        <v>90</v>
      </c>
      <c r="C673" s="4">
        <f>IF(Tabelle18[[#This Row],[binding_level_company]]&gt;=1,1,0)</f>
        <v>1</v>
      </c>
      <c r="D673" s="4">
        <f>IFERROR(_xlfn.MAXIFS(Tabelle5[binding_level],Tabelle5[company_id],Tabelle18[[#This Row],[company_id]],Tabelle5[value_id],Tabelle18[[#This Row],[value_id]],Tabelle5[value_present],1),0)</f>
        <v>1</v>
      </c>
      <c r="E673" s="4">
        <f>IFERROR(_xlfn.MAXIFS(Tabelle5[value_points],Tabelle5[company_id],Tabelle18[[#This Row],[company_id]],Tabelle5[value_id],Tabelle18[[#This Row],[value_id]]),0)</f>
        <v>1</v>
      </c>
      <c r="F673">
        <f>IF(Tabelle18[[#This Row],[value_points_company]]=0,"",IFERROR(_xlfn.MINIFS(Tabelle5[doc_id],Tabelle5[company_id],Tabelle18[[#This Row],[company_id]],Tabelle5[value_id],Tabelle18[[#This Row],[value_id]],Tabelle5[value_points],Tabelle18[[#This Row],[value_points_company]]),""))</f>
        <v>227</v>
      </c>
      <c r="G673" t="str" cm="1">
        <f t="array" ref="G673">IF(Tabelle18[[#This Row],[doc_id_strongest]]="","",IFERROR(INDEX(Tabelle5[evidence_location],MATCH(1,(Tabelle5[company_id]=Tabelle18[[#This Row],[company_id]])*(Tabelle5[value_id]=Tabelle18[[#This Row],[value_id]])*(Tabelle5[doc_id]=Tabelle18[[#This Row],[doc_id_strongest]]),0)),""))</f>
        <v>S. 2.</v>
      </c>
      <c r="H673" s="33" t="str" cm="1">
        <f t="array" ref="H673">IF(Tabelle18[[#This Row],[doc_id_strongest]]="","",IFERROR(INDEX(Tabelle5[evidence_quote],MATCH(1,(Tabelle5[company_id]=Tabelle18[[#This Row],[company_id]])*(Tabelle5[value_id]=Tabelle18[[#This Row],[value_id]])*(Tabelle5[doc_id]=Tabelle18[[#This Row],[doc_id_strongest]]),0)),""))</f>
        <v>“We respect and enable the protection of data within AI systems”</v>
      </c>
    </row>
    <row r="674" spans="1:8" x14ac:dyDescent="0.25">
      <c r="A674" s="36">
        <v>38</v>
      </c>
      <c r="B674" t="s">
        <v>98</v>
      </c>
      <c r="C674" s="4">
        <f>IF(Tabelle18[[#This Row],[binding_level_company]]&gt;=1,1,0)</f>
        <v>0</v>
      </c>
      <c r="D674" s="4">
        <f>IFERROR(_xlfn.MAXIFS(Tabelle5[binding_level],Tabelle5[company_id],Tabelle18[[#This Row],[company_id]],Tabelle5[value_id],Tabelle18[[#This Row],[value_id]],Tabelle5[value_present],1),0)</f>
        <v>0</v>
      </c>
      <c r="E674" s="4">
        <f>IFERROR(_xlfn.MAXIFS(Tabelle5[value_points],Tabelle5[company_id],Tabelle18[[#This Row],[company_id]],Tabelle5[value_id],Tabelle18[[#This Row],[value_id]]),0)</f>
        <v>0</v>
      </c>
      <c r="F674" t="str">
        <f>IF(Tabelle18[[#This Row],[value_points_company]]=0,"",IFERROR(_xlfn.MINIFS(Tabelle5[doc_id],Tabelle5[company_id],Tabelle18[[#This Row],[company_id]],Tabelle5[value_id],Tabelle18[[#This Row],[value_id]],Tabelle5[value_points],Tabelle18[[#This Row],[value_points_company]]),""))</f>
        <v/>
      </c>
      <c r="G674" t="str" cm="1">
        <f t="array" ref="G674">IF(Tabelle18[[#This Row],[doc_id_strongest]]="","",IFERROR(INDEX(Tabelle5[evidence_location],MATCH(1,(Tabelle5[company_id]=Tabelle18[[#This Row],[company_id]])*(Tabelle5[value_id]=Tabelle18[[#This Row],[value_id]])*(Tabelle5[doc_id]=Tabelle18[[#This Row],[doc_id_strongest]]),0)),""))</f>
        <v/>
      </c>
      <c r="H674" s="33" t="str" cm="1">
        <f t="array" ref="H674">IF(Tabelle18[[#This Row],[doc_id_strongest]]="","",IFERROR(INDEX(Tabelle5[evidence_quote],MATCH(1,(Tabelle5[company_id]=Tabelle18[[#This Row],[company_id]])*(Tabelle5[value_id]=Tabelle18[[#This Row],[value_id]])*(Tabelle5[doc_id]=Tabelle18[[#This Row],[doc_id_strongest]]),0)),""))</f>
        <v/>
      </c>
    </row>
    <row r="675" spans="1:8" x14ac:dyDescent="0.25">
      <c r="A675" s="36">
        <v>38</v>
      </c>
      <c r="B675" t="s">
        <v>106</v>
      </c>
      <c r="C675" s="4">
        <f>IF(Tabelle18[[#This Row],[binding_level_company]]&gt;=1,1,0)</f>
        <v>1</v>
      </c>
      <c r="D675" s="4">
        <f>IFERROR(_xlfn.MAXIFS(Tabelle5[binding_level],Tabelle5[company_id],Tabelle18[[#This Row],[company_id]],Tabelle5[value_id],Tabelle18[[#This Row],[value_id]],Tabelle5[value_present],1),0)</f>
        <v>1</v>
      </c>
      <c r="E675" s="4">
        <f>IFERROR(_xlfn.MAXIFS(Tabelle5[value_points],Tabelle5[company_id],Tabelle18[[#This Row],[company_id]],Tabelle5[value_id],Tabelle18[[#This Row],[value_id]]),0)</f>
        <v>1</v>
      </c>
      <c r="F675">
        <f>IF(Tabelle18[[#This Row],[value_points_company]]=0,"",IFERROR(_xlfn.MINIFS(Tabelle5[doc_id],Tabelle5[company_id],Tabelle18[[#This Row],[company_id]],Tabelle5[value_id],Tabelle18[[#This Row],[value_id]],Tabelle5[value_points],Tabelle18[[#This Row],[value_points_company]]),""))</f>
        <v>227</v>
      </c>
      <c r="G675" t="str" cm="1">
        <f t="array" ref="G675">IF(Tabelle18[[#This Row],[doc_id_strongest]]="","",IFERROR(INDEX(Tabelle5[evidence_location],MATCH(1,(Tabelle5[company_id]=Tabelle18[[#This Row],[company_id]])*(Tabelle5[value_id]=Tabelle18[[#This Row],[value_id]])*(Tabelle5[doc_id]=Tabelle18[[#This Row],[doc_id_strongest]]),0)),""))</f>
        <v>S. 2.</v>
      </c>
      <c r="H675" s="33" t="str" cm="1">
        <f t="array" ref="H675">IF(Tabelle18[[#This Row],[doc_id_strongest]]="","",IFERROR(INDEX(Tabelle5[evidence_quote],MATCH(1,(Tabelle5[company_id]=Tabelle18[[#This Row],[company_id]])*(Tabelle5[value_id]=Tabelle18[[#This Row],[value_id]])*(Tabelle5[doc_id]=Tabelle18[[#This Row],[doc_id_strongest]]),0)),""))</f>
        <v>“ensure safety and technical robustness through clear and measurable criteria”</v>
      </c>
    </row>
    <row r="676" spans="1:8" x14ac:dyDescent="0.25">
      <c r="A676" s="36">
        <v>38</v>
      </c>
      <c r="B676" t="s">
        <v>112</v>
      </c>
      <c r="C676" s="4">
        <f>IF(Tabelle18[[#This Row],[binding_level_company]]&gt;=1,1,0)</f>
        <v>1</v>
      </c>
      <c r="D676" s="4">
        <f>IFERROR(_xlfn.MAXIFS(Tabelle5[binding_level],Tabelle5[company_id],Tabelle18[[#This Row],[company_id]],Tabelle5[value_id],Tabelle18[[#This Row],[value_id]],Tabelle5[value_present],1),0)</f>
        <v>1</v>
      </c>
      <c r="E676" s="4">
        <f>IFERROR(_xlfn.MAXIFS(Tabelle5[value_points],Tabelle5[company_id],Tabelle18[[#This Row],[company_id]],Tabelle5[value_id],Tabelle18[[#This Row],[value_id]]),0)</f>
        <v>1</v>
      </c>
      <c r="F676">
        <f>IF(Tabelle18[[#This Row],[value_points_company]]=0,"",IFERROR(_xlfn.MINIFS(Tabelle5[doc_id],Tabelle5[company_id],Tabelle18[[#This Row],[company_id]],Tabelle5[value_id],Tabelle18[[#This Row],[value_id]],Tabelle5[value_points],Tabelle18[[#This Row],[value_points_company]]),""))</f>
        <v>227</v>
      </c>
      <c r="G676" t="str" cm="1">
        <f t="array" ref="G676">IF(Tabelle18[[#This Row],[doc_id_strongest]]="","",IFERROR(INDEX(Tabelle5[evidence_location],MATCH(1,(Tabelle5[company_id]=Tabelle18[[#This Row],[company_id]])*(Tabelle5[value_id]=Tabelle18[[#This Row],[value_id]])*(Tabelle5[doc_id]=Tabelle18[[#This Row],[doc_id_strongest]]),0)),""))</f>
        <v>S. 2.</v>
      </c>
      <c r="H676" s="33" t="str" cm="1">
        <f t="array" ref="H676">IF(Tabelle18[[#This Row],[doc_id_strongest]]="","",IFERROR(INDEX(Tabelle5[evidence_quote],MATCH(1,(Tabelle5[company_id]=Tabelle18[[#This Row],[company_id]])*(Tabelle5[value_id]=Tabelle18[[#This Row],[value_id]])*(Tabelle5[doc_id]=Tabelle18[[#This Row],[doc_id_strongest]]),0)),""))</f>
        <v>“ensure safety and technical robustness through clear and measurable criteria”</v>
      </c>
    </row>
    <row r="677" spans="1:8" x14ac:dyDescent="0.25">
      <c r="A677" s="36">
        <v>38</v>
      </c>
      <c r="B677" t="s">
        <v>118</v>
      </c>
      <c r="C677" s="4">
        <f>IF(Tabelle18[[#This Row],[binding_level_company]]&gt;=1,1,0)</f>
        <v>0</v>
      </c>
      <c r="D677" s="4">
        <f>IFERROR(_xlfn.MAXIFS(Tabelle5[binding_level],Tabelle5[company_id],Tabelle18[[#This Row],[company_id]],Tabelle5[value_id],Tabelle18[[#This Row],[value_id]],Tabelle5[value_present],1),0)</f>
        <v>0</v>
      </c>
      <c r="E677" s="4">
        <f>IFERROR(_xlfn.MAXIFS(Tabelle5[value_points],Tabelle5[company_id],Tabelle18[[#This Row],[company_id]],Tabelle5[value_id],Tabelle18[[#This Row],[value_id]]),0)</f>
        <v>0</v>
      </c>
      <c r="F677" t="str">
        <f>IF(Tabelle18[[#This Row],[value_points_company]]=0,"",IFERROR(_xlfn.MINIFS(Tabelle5[doc_id],Tabelle5[company_id],Tabelle18[[#This Row],[company_id]],Tabelle5[value_id],Tabelle18[[#This Row],[value_id]],Tabelle5[value_points],Tabelle18[[#This Row],[value_points_company]]),""))</f>
        <v/>
      </c>
      <c r="G677" t="str" cm="1">
        <f t="array" ref="G677">IF(Tabelle18[[#This Row],[doc_id_strongest]]="","",IFERROR(INDEX(Tabelle5[evidence_location],MATCH(1,(Tabelle5[company_id]=Tabelle18[[#This Row],[company_id]])*(Tabelle5[value_id]=Tabelle18[[#This Row],[value_id]])*(Tabelle5[doc_id]=Tabelle18[[#This Row],[doc_id_strongest]]),0)),""))</f>
        <v/>
      </c>
      <c r="H677" s="33" t="str" cm="1">
        <f t="array" ref="H677">IF(Tabelle18[[#This Row],[doc_id_strongest]]="","",IFERROR(INDEX(Tabelle5[evidence_quote],MATCH(1,(Tabelle5[company_id]=Tabelle18[[#This Row],[company_id]])*(Tabelle5[value_id]=Tabelle18[[#This Row],[value_id]])*(Tabelle5[doc_id]=Tabelle18[[#This Row],[doc_id_strongest]]),0)),""))</f>
        <v/>
      </c>
    </row>
    <row r="678" spans="1:8" x14ac:dyDescent="0.25">
      <c r="A678" s="36">
        <v>38</v>
      </c>
      <c r="B678" t="s">
        <v>125</v>
      </c>
      <c r="C678" s="4">
        <f>IF(Tabelle18[[#This Row],[binding_level_company]]&gt;=1,1,0)</f>
        <v>0</v>
      </c>
      <c r="D678" s="4">
        <f>IFERROR(_xlfn.MAXIFS(Tabelle5[binding_level],Tabelle5[company_id],Tabelle18[[#This Row],[company_id]],Tabelle5[value_id],Tabelle18[[#This Row],[value_id]],Tabelle5[value_present],1),0)</f>
        <v>0</v>
      </c>
      <c r="E678" s="4">
        <f>IFERROR(_xlfn.MAXIFS(Tabelle5[value_points],Tabelle5[company_id],Tabelle18[[#This Row],[company_id]],Tabelle5[value_id],Tabelle18[[#This Row],[value_id]]),0)</f>
        <v>0</v>
      </c>
      <c r="F678" t="str">
        <f>IF(Tabelle18[[#This Row],[value_points_company]]=0,"",IFERROR(_xlfn.MINIFS(Tabelle5[doc_id],Tabelle5[company_id],Tabelle18[[#This Row],[company_id]],Tabelle5[value_id],Tabelle18[[#This Row],[value_id]],Tabelle5[value_points],Tabelle18[[#This Row],[value_points_company]]),""))</f>
        <v/>
      </c>
      <c r="G678" t="str" cm="1">
        <f t="array" ref="G678">IF(Tabelle18[[#This Row],[doc_id_strongest]]="","",IFERROR(INDEX(Tabelle5[evidence_location],MATCH(1,(Tabelle5[company_id]=Tabelle18[[#This Row],[company_id]])*(Tabelle5[value_id]=Tabelle18[[#This Row],[value_id]])*(Tabelle5[doc_id]=Tabelle18[[#This Row],[doc_id_strongest]]),0)),""))</f>
        <v/>
      </c>
      <c r="H678" s="33" t="str" cm="1">
        <f t="array" ref="H678">IF(Tabelle18[[#This Row],[doc_id_strongest]]="","",IFERROR(INDEX(Tabelle5[evidence_quote],MATCH(1,(Tabelle5[company_id]=Tabelle18[[#This Row],[company_id]])*(Tabelle5[value_id]=Tabelle18[[#This Row],[value_id]])*(Tabelle5[doc_id]=Tabelle18[[#This Row],[doc_id_strongest]]),0)),""))</f>
        <v/>
      </c>
    </row>
    <row r="679" spans="1:8" x14ac:dyDescent="0.25">
      <c r="A679" s="36">
        <v>38</v>
      </c>
      <c r="B679" t="s">
        <v>132</v>
      </c>
      <c r="C679" s="4">
        <f>IF(Tabelle18[[#This Row],[binding_level_company]]&gt;=1,1,0)</f>
        <v>1</v>
      </c>
      <c r="D679" s="4">
        <f>IFERROR(_xlfn.MAXIFS(Tabelle5[binding_level],Tabelle5[company_id],Tabelle18[[#This Row],[company_id]],Tabelle5[value_id],Tabelle18[[#This Row],[value_id]],Tabelle5[value_present],1),0)</f>
        <v>1</v>
      </c>
      <c r="E679" s="4">
        <f>IFERROR(_xlfn.MAXIFS(Tabelle5[value_points],Tabelle5[company_id],Tabelle18[[#This Row],[company_id]],Tabelle5[value_id],Tabelle18[[#This Row],[value_id]]),0)</f>
        <v>1</v>
      </c>
      <c r="F679">
        <f>IF(Tabelle18[[#This Row],[value_points_company]]=0,"",IFERROR(_xlfn.MINIFS(Tabelle5[doc_id],Tabelle5[company_id],Tabelle18[[#This Row],[company_id]],Tabelle5[value_id],Tabelle18[[#This Row],[value_id]],Tabelle5[value_points],Tabelle18[[#This Row],[value_points_company]]),""))</f>
        <v>227</v>
      </c>
      <c r="G679" t="str" cm="1">
        <f t="array" ref="G679">IF(Tabelle18[[#This Row],[doc_id_strongest]]="","",IFERROR(INDEX(Tabelle5[evidence_location],MATCH(1,(Tabelle5[company_id]=Tabelle18[[#This Row],[company_id]])*(Tabelle5[value_id]=Tabelle18[[#This Row],[value_id]])*(Tabelle5[doc_id]=Tabelle18[[#This Row],[doc_id_strongest]]),0)),""))</f>
        <v>S. 2.</v>
      </c>
      <c r="H679" s="33" t="str" cm="1">
        <f t="array" ref="H679">IF(Tabelle18[[#This Row],[doc_id_strongest]]="","",IFERROR(INDEX(Tabelle5[evidence_quote],MATCH(1,(Tabelle5[company_id]=Tabelle18[[#This Row],[company_id]])*(Tabelle5[value_id]=Tabelle18[[#This Row],[value_id]])*(Tabelle5[doc_id]=Tabelle18[[#This Row],[doc_id_strongest]]),0)),""))</f>
        <v>“Our AI systems are in line with our efforts for sustainability and the environment”</v>
      </c>
    </row>
    <row r="680" spans="1:8" x14ac:dyDescent="0.25">
      <c r="A680" s="36">
        <v>38</v>
      </c>
      <c r="B680" t="s">
        <v>140</v>
      </c>
      <c r="C680" s="4">
        <f>IF(Tabelle18[[#This Row],[binding_level_company]]&gt;=1,1,0)</f>
        <v>0</v>
      </c>
      <c r="D680" s="4">
        <f>IFERROR(_xlfn.MAXIFS(Tabelle5[binding_level],Tabelle5[company_id],Tabelle18[[#This Row],[company_id]],Tabelle5[value_id],Tabelle18[[#This Row],[value_id]],Tabelle5[value_present],1),0)</f>
        <v>0</v>
      </c>
      <c r="E680" s="4">
        <f>IFERROR(_xlfn.MAXIFS(Tabelle5[value_points],Tabelle5[company_id],Tabelle18[[#This Row],[company_id]],Tabelle5[value_id],Tabelle18[[#This Row],[value_id]]),0)</f>
        <v>0</v>
      </c>
      <c r="F680" t="str">
        <f>IF(Tabelle18[[#This Row],[value_points_company]]=0,"",IFERROR(_xlfn.MINIFS(Tabelle5[doc_id],Tabelle5[company_id],Tabelle18[[#This Row],[company_id]],Tabelle5[value_id],Tabelle18[[#This Row],[value_id]],Tabelle5[value_points],Tabelle18[[#This Row],[value_points_company]]),""))</f>
        <v/>
      </c>
      <c r="G680" t="str" cm="1">
        <f t="array" ref="G680">IF(Tabelle18[[#This Row],[doc_id_strongest]]="","",IFERROR(INDEX(Tabelle5[evidence_location],MATCH(1,(Tabelle5[company_id]=Tabelle18[[#This Row],[company_id]])*(Tabelle5[value_id]=Tabelle18[[#This Row],[value_id]])*(Tabelle5[doc_id]=Tabelle18[[#This Row],[doc_id_strongest]]),0)),""))</f>
        <v/>
      </c>
      <c r="H680" s="33" t="str" cm="1">
        <f t="array" ref="H680">IF(Tabelle18[[#This Row],[doc_id_strongest]]="","",IFERROR(INDEX(Tabelle5[evidence_quote],MATCH(1,(Tabelle5[company_id]=Tabelle18[[#This Row],[company_id]])*(Tabelle5[value_id]=Tabelle18[[#This Row],[value_id]])*(Tabelle5[doc_id]=Tabelle18[[#This Row],[doc_id_strongest]]),0)),""))</f>
        <v/>
      </c>
    </row>
    <row r="681" spans="1:8" x14ac:dyDescent="0.25">
      <c r="A681" s="36">
        <v>38</v>
      </c>
      <c r="B681" t="s">
        <v>147</v>
      </c>
      <c r="C681" s="4">
        <f>IF(Tabelle18[[#This Row],[binding_level_company]]&gt;=1,1,0)</f>
        <v>0</v>
      </c>
      <c r="D681" s="4">
        <f>IFERROR(_xlfn.MAXIFS(Tabelle5[binding_level],Tabelle5[company_id],Tabelle18[[#This Row],[company_id]],Tabelle5[value_id],Tabelle18[[#This Row],[value_id]],Tabelle5[value_present],1),0)</f>
        <v>0</v>
      </c>
      <c r="E681" s="4">
        <f>IFERROR(_xlfn.MAXIFS(Tabelle5[value_points],Tabelle5[company_id],Tabelle18[[#This Row],[company_id]],Tabelle5[value_id],Tabelle18[[#This Row],[value_id]]),0)</f>
        <v>0</v>
      </c>
      <c r="F681" t="str">
        <f>IF(Tabelle18[[#This Row],[value_points_company]]=0,"",IFERROR(_xlfn.MINIFS(Tabelle5[doc_id],Tabelle5[company_id],Tabelle18[[#This Row],[company_id]],Tabelle5[value_id],Tabelle18[[#This Row],[value_id]],Tabelle5[value_points],Tabelle18[[#This Row],[value_points_company]]),""))</f>
        <v/>
      </c>
      <c r="G681" t="str" cm="1">
        <f t="array" ref="G681">IF(Tabelle18[[#This Row],[doc_id_strongest]]="","",IFERROR(INDEX(Tabelle5[evidence_location],MATCH(1,(Tabelle5[company_id]=Tabelle18[[#This Row],[company_id]])*(Tabelle5[value_id]=Tabelle18[[#This Row],[value_id]])*(Tabelle5[doc_id]=Tabelle18[[#This Row],[doc_id_strongest]]),0)),""))</f>
        <v/>
      </c>
      <c r="H681" s="33" t="str" cm="1">
        <f t="array" ref="H681">IF(Tabelle18[[#This Row],[doc_id_strongest]]="","",IFERROR(INDEX(Tabelle5[evidence_quote],MATCH(1,(Tabelle5[company_id]=Tabelle18[[#This Row],[company_id]])*(Tabelle5[value_id]=Tabelle18[[#This Row],[value_id]])*(Tabelle5[doc_id]=Tabelle18[[#This Row],[doc_id_strongest]]),0)),""))</f>
        <v/>
      </c>
    </row>
    <row r="682" spans="1:8" x14ac:dyDescent="0.25">
      <c r="A682" s="36">
        <v>38</v>
      </c>
      <c r="B682" t="s">
        <v>154</v>
      </c>
      <c r="C682" s="4">
        <f>IF(Tabelle18[[#This Row],[binding_level_company]]&gt;=1,1,0)</f>
        <v>1</v>
      </c>
      <c r="D682" s="4">
        <f>IFERROR(_xlfn.MAXIFS(Tabelle5[binding_level],Tabelle5[company_id],Tabelle18[[#This Row],[company_id]],Tabelle5[value_id],Tabelle18[[#This Row],[value_id]],Tabelle5[value_present],1),0)</f>
        <v>1</v>
      </c>
      <c r="E682" s="4">
        <f>IFERROR(_xlfn.MAXIFS(Tabelle5[value_points],Tabelle5[company_id],Tabelle18[[#This Row],[company_id]],Tabelle5[value_id],Tabelle18[[#This Row],[value_id]]),0)</f>
        <v>1</v>
      </c>
      <c r="F682">
        <f>IF(Tabelle18[[#This Row],[value_points_company]]=0,"",IFERROR(_xlfn.MINIFS(Tabelle5[doc_id],Tabelle5[company_id],Tabelle18[[#This Row],[company_id]],Tabelle5[value_id],Tabelle18[[#This Row],[value_id]],Tabelle5[value_points],Tabelle18[[#This Row],[value_points_company]]),""))</f>
        <v>227</v>
      </c>
      <c r="G682" t="str" cm="1">
        <f t="array" ref="G682">IF(Tabelle18[[#This Row],[doc_id_strongest]]="","",IFERROR(INDEX(Tabelle5[evidence_location],MATCH(1,(Tabelle5[company_id]=Tabelle18[[#This Row],[company_id]])*(Tabelle5[value_id]=Tabelle18[[#This Row],[value_id]])*(Tabelle5[doc_id]=Tabelle18[[#This Row],[doc_id_strongest]]),0)),""))</f>
        <v>S. 2.</v>
      </c>
      <c r="H682" s="33" t="str" cm="1">
        <f t="array" ref="H682">IF(Tabelle18[[#This Row],[doc_id_strongest]]="","",IFERROR(INDEX(Tabelle5[evidence_quote],MATCH(1,(Tabelle5[company_id]=Tabelle18[[#This Row],[company_id]])*(Tabelle5[value_id]=Tabelle18[[#This Row],[value_id]])*(Tabelle5[doc_id]=Tabelle18[[#This Row],[doc_id_strongest]]),0)),""))</f>
        <v>“We respect human labor with careful and complementary introduction of AI systems”</v>
      </c>
    </row>
    <row r="683" spans="1:8" x14ac:dyDescent="0.25">
      <c r="A683" s="36">
        <v>38</v>
      </c>
      <c r="B683" t="s">
        <v>161</v>
      </c>
      <c r="C683" s="4">
        <f>IF(Tabelle18[[#This Row],[binding_level_company]]&gt;=1,1,0)</f>
        <v>0</v>
      </c>
      <c r="D683" s="4">
        <f>IFERROR(_xlfn.MAXIFS(Tabelle5[binding_level],Tabelle5[company_id],Tabelle18[[#This Row],[company_id]],Tabelle5[value_id],Tabelle18[[#This Row],[value_id]],Tabelle5[value_present],1),0)</f>
        <v>0</v>
      </c>
      <c r="E683" s="4">
        <f>IFERROR(_xlfn.MAXIFS(Tabelle5[value_points],Tabelle5[company_id],Tabelle18[[#This Row],[company_id]],Tabelle5[value_id],Tabelle18[[#This Row],[value_id]]),0)</f>
        <v>0</v>
      </c>
      <c r="F683" t="str">
        <f>IF(Tabelle18[[#This Row],[value_points_company]]=0,"",IFERROR(_xlfn.MINIFS(Tabelle5[doc_id],Tabelle5[company_id],Tabelle18[[#This Row],[company_id]],Tabelle5[value_id],Tabelle18[[#This Row],[value_id]],Tabelle5[value_points],Tabelle18[[#This Row],[value_points_company]]),""))</f>
        <v/>
      </c>
      <c r="G683" t="str" cm="1">
        <f t="array" ref="G683">IF(Tabelle18[[#This Row],[doc_id_strongest]]="","",IFERROR(INDEX(Tabelle5[evidence_location],MATCH(1,(Tabelle5[company_id]=Tabelle18[[#This Row],[company_id]])*(Tabelle5[value_id]=Tabelle18[[#This Row],[value_id]])*(Tabelle5[doc_id]=Tabelle18[[#This Row],[doc_id_strongest]]),0)),""))</f>
        <v/>
      </c>
      <c r="H683" s="33" t="str" cm="1">
        <f t="array" ref="H683">IF(Tabelle18[[#This Row],[doc_id_strongest]]="","",IFERROR(INDEX(Tabelle5[evidence_quote],MATCH(1,(Tabelle5[company_id]=Tabelle18[[#This Row],[company_id]])*(Tabelle5[value_id]=Tabelle18[[#This Row],[value_id]])*(Tabelle5[doc_id]=Tabelle18[[#This Row],[doc_id_strongest]]),0)),""))</f>
        <v/>
      </c>
    </row>
    <row r="684" spans="1:8" x14ac:dyDescent="0.25">
      <c r="A684" s="36">
        <v>38</v>
      </c>
      <c r="B684" t="s">
        <v>166</v>
      </c>
      <c r="C684" s="4">
        <f>IF(Tabelle18[[#This Row],[binding_level_company]]&gt;=1,1,0)</f>
        <v>0</v>
      </c>
      <c r="D684" s="4">
        <f>IFERROR(_xlfn.MAXIFS(Tabelle5[binding_level],Tabelle5[company_id],Tabelle18[[#This Row],[company_id]],Tabelle5[value_id],Tabelle18[[#This Row],[value_id]],Tabelle5[value_present],1),0)</f>
        <v>0</v>
      </c>
      <c r="E684" s="4">
        <f>IFERROR(_xlfn.MAXIFS(Tabelle5[value_points],Tabelle5[company_id],Tabelle18[[#This Row],[company_id]],Tabelle5[value_id],Tabelle18[[#This Row],[value_id]]),0)</f>
        <v>0</v>
      </c>
      <c r="F684" t="str">
        <f>IF(Tabelle18[[#This Row],[value_points_company]]=0,"",IFERROR(_xlfn.MINIFS(Tabelle5[doc_id],Tabelle5[company_id],Tabelle18[[#This Row],[company_id]],Tabelle5[value_id],Tabelle18[[#This Row],[value_id]],Tabelle5[value_points],Tabelle18[[#This Row],[value_points_company]]),""))</f>
        <v/>
      </c>
      <c r="G684" t="str" cm="1">
        <f t="array" ref="G684">IF(Tabelle18[[#This Row],[doc_id_strongest]]="","",IFERROR(INDEX(Tabelle5[evidence_location],MATCH(1,(Tabelle5[company_id]=Tabelle18[[#This Row],[company_id]])*(Tabelle5[value_id]=Tabelle18[[#This Row],[value_id]])*(Tabelle5[doc_id]=Tabelle18[[#This Row],[doc_id_strongest]]),0)),""))</f>
        <v/>
      </c>
      <c r="H684" s="33" t="str" cm="1">
        <f t="array" ref="H684">IF(Tabelle18[[#This Row],[doc_id_strongest]]="","",IFERROR(INDEX(Tabelle5[evidence_quote],MATCH(1,(Tabelle5[company_id]=Tabelle18[[#This Row],[company_id]])*(Tabelle5[value_id]=Tabelle18[[#This Row],[value_id]])*(Tabelle5[doc_id]=Tabelle18[[#This Row],[doc_id_strongest]]),0)),""))</f>
        <v/>
      </c>
    </row>
    <row r="685" spans="1:8" ht="15.75" thickBot="1" x14ac:dyDescent="0.3">
      <c r="A685" s="37">
        <v>38</v>
      </c>
      <c r="B685" s="30" t="s">
        <v>174</v>
      </c>
      <c r="C685" s="49">
        <f>IF(Tabelle18[[#This Row],[binding_level_company]]&gt;=1,1,0)</f>
        <v>1</v>
      </c>
      <c r="D685" s="49">
        <f>IFERROR(_xlfn.MAXIFS(Tabelle5[binding_level],Tabelle5[company_id],Tabelle18[[#This Row],[company_id]],Tabelle5[value_id],Tabelle18[[#This Row],[value_id]],Tabelle5[value_present],1),0)</f>
        <v>1</v>
      </c>
      <c r="E685" s="49">
        <f>IFERROR(_xlfn.MAXIFS(Tabelle5[value_points],Tabelle5[company_id],Tabelle18[[#This Row],[company_id]],Tabelle5[value_id],Tabelle18[[#This Row],[value_id]]),0)</f>
        <v>1</v>
      </c>
      <c r="F685" s="30">
        <f>IF(Tabelle18[[#This Row],[value_points_company]]=0,"",IFERROR(_xlfn.MINIFS(Tabelle5[doc_id],Tabelle5[company_id],Tabelle18[[#This Row],[company_id]],Tabelle5[value_id],Tabelle18[[#This Row],[value_id]],Tabelle5[value_points],Tabelle18[[#This Row],[value_points_company]]),""))</f>
        <v>227</v>
      </c>
      <c r="G685" s="30" t="str" cm="1">
        <f t="array" ref="G685">IF(Tabelle18[[#This Row],[doc_id_strongest]]="","",IFERROR(INDEX(Tabelle5[evidence_location],MATCH(1,(Tabelle5[company_id]=Tabelle18[[#This Row],[company_id]])*(Tabelle5[value_id]=Tabelle18[[#This Row],[value_id]])*(Tabelle5[doc_id]=Tabelle18[[#This Row],[doc_id_strongest]]),0)),""))</f>
        <v>S. 2.</v>
      </c>
      <c r="H685" s="34" t="str" cm="1">
        <f t="array" ref="H685">IF(Tabelle18[[#This Row],[doc_id_strongest]]="","",IFERROR(INDEX(Tabelle5[evidence_quote],MATCH(1,(Tabelle5[company_id]=Tabelle18[[#This Row],[company_id]])*(Tabelle5[value_id]=Tabelle18[[#This Row],[value_id]])*(Tabelle5[doc_id]=Tabelle18[[#This Row],[doc_id_strongest]]),0)),""))</f>
        <v>“Our commitments to society and human rights apply”</v>
      </c>
    </row>
    <row r="686" spans="1:8" x14ac:dyDescent="0.25">
      <c r="A686" s="35">
        <v>39</v>
      </c>
      <c r="B686" s="22" t="s">
        <v>53</v>
      </c>
      <c r="C686" s="48">
        <f>IF(Tabelle18[[#This Row],[binding_level_company]]&gt;=1,1,0)</f>
        <v>0</v>
      </c>
      <c r="D686" s="48">
        <f>IFERROR(_xlfn.MAXIFS(Tabelle5[binding_level],Tabelle5[company_id],Tabelle18[[#This Row],[company_id]],Tabelle5[value_id],Tabelle18[[#This Row],[value_id]],Tabelle5[value_present],1),0)</f>
        <v>0</v>
      </c>
      <c r="E686" s="48">
        <f>IFERROR(_xlfn.MAXIFS(Tabelle5[value_points],Tabelle5[company_id],Tabelle18[[#This Row],[company_id]],Tabelle5[value_id],Tabelle18[[#This Row],[value_id]]),0)</f>
        <v>0</v>
      </c>
      <c r="F686" s="22" t="str">
        <f>IF(Tabelle18[[#This Row],[value_points_company]]=0,"",IFERROR(_xlfn.MINIFS(Tabelle5[doc_id],Tabelle5[company_id],Tabelle18[[#This Row],[company_id]],Tabelle5[value_id],Tabelle18[[#This Row],[value_id]],Tabelle5[value_points],Tabelle18[[#This Row],[value_points_company]]),""))</f>
        <v/>
      </c>
      <c r="G686" s="22" t="str" cm="1">
        <f t="array" ref="G686">IF(Tabelle18[[#This Row],[doc_id_strongest]]="","",IFERROR(INDEX(Tabelle5[evidence_location],MATCH(1,(Tabelle5[company_id]=Tabelle18[[#This Row],[company_id]])*(Tabelle5[value_id]=Tabelle18[[#This Row],[value_id]])*(Tabelle5[doc_id]=Tabelle18[[#This Row],[doc_id_strongest]]),0)),""))</f>
        <v/>
      </c>
      <c r="H686" s="32" t="str" cm="1">
        <f t="array" ref="H686">IF(Tabelle18[[#This Row],[doc_id_strongest]]="","",IFERROR(INDEX(Tabelle5[evidence_quote],MATCH(1,(Tabelle5[company_id]=Tabelle18[[#This Row],[company_id]])*(Tabelle5[value_id]=Tabelle18[[#This Row],[value_id]])*(Tabelle5[doc_id]=Tabelle18[[#This Row],[doc_id_strongest]]),0)),""))</f>
        <v/>
      </c>
    </row>
    <row r="687" spans="1:8" x14ac:dyDescent="0.25">
      <c r="A687" s="36">
        <v>39</v>
      </c>
      <c r="B687" t="s">
        <v>61</v>
      </c>
      <c r="C687" s="4">
        <f>IF(Tabelle18[[#This Row],[binding_level_company]]&gt;=1,1,0)</f>
        <v>0</v>
      </c>
      <c r="D687" s="4">
        <f>IFERROR(_xlfn.MAXIFS(Tabelle5[binding_level],Tabelle5[company_id],Tabelle18[[#This Row],[company_id]],Tabelle5[value_id],Tabelle18[[#This Row],[value_id]],Tabelle5[value_present],1),0)</f>
        <v>0</v>
      </c>
      <c r="E687" s="4">
        <f>IFERROR(_xlfn.MAXIFS(Tabelle5[value_points],Tabelle5[company_id],Tabelle18[[#This Row],[company_id]],Tabelle5[value_id],Tabelle18[[#This Row],[value_id]]),0)</f>
        <v>0</v>
      </c>
      <c r="F687" t="str">
        <f>IF(Tabelle18[[#This Row],[value_points_company]]=0,"",IFERROR(_xlfn.MINIFS(Tabelle5[doc_id],Tabelle5[company_id],Tabelle18[[#This Row],[company_id]],Tabelle5[value_id],Tabelle18[[#This Row],[value_id]],Tabelle5[value_points],Tabelle18[[#This Row],[value_points_company]]),""))</f>
        <v/>
      </c>
      <c r="G687" t="str" cm="1">
        <f t="array" ref="G687">IF(Tabelle18[[#This Row],[doc_id_strongest]]="","",IFERROR(INDEX(Tabelle5[evidence_location],MATCH(1,(Tabelle5[company_id]=Tabelle18[[#This Row],[company_id]])*(Tabelle5[value_id]=Tabelle18[[#This Row],[value_id]])*(Tabelle5[doc_id]=Tabelle18[[#This Row],[doc_id_strongest]]),0)),""))</f>
        <v/>
      </c>
      <c r="H687" s="33" t="str" cm="1">
        <f t="array" ref="H687">IF(Tabelle18[[#This Row],[doc_id_strongest]]="","",IFERROR(INDEX(Tabelle5[evidence_quote],MATCH(1,(Tabelle5[company_id]=Tabelle18[[#This Row],[company_id]])*(Tabelle5[value_id]=Tabelle18[[#This Row],[value_id]])*(Tabelle5[doc_id]=Tabelle18[[#This Row],[doc_id_strongest]]),0)),""))</f>
        <v/>
      </c>
    </row>
    <row r="688" spans="1:8" x14ac:dyDescent="0.25">
      <c r="A688" s="36">
        <v>39</v>
      </c>
      <c r="B688" t="s">
        <v>69</v>
      </c>
      <c r="C688" s="4">
        <f>IF(Tabelle18[[#This Row],[binding_level_company]]&gt;=1,1,0)</f>
        <v>0</v>
      </c>
      <c r="D688" s="4">
        <f>IFERROR(_xlfn.MAXIFS(Tabelle5[binding_level],Tabelle5[company_id],Tabelle18[[#This Row],[company_id]],Tabelle5[value_id],Tabelle18[[#This Row],[value_id]],Tabelle5[value_present],1),0)</f>
        <v>0</v>
      </c>
      <c r="E688" s="4">
        <f>IFERROR(_xlfn.MAXIFS(Tabelle5[value_points],Tabelle5[company_id],Tabelle18[[#This Row],[company_id]],Tabelle5[value_id],Tabelle18[[#This Row],[value_id]]),0)</f>
        <v>0</v>
      </c>
      <c r="F688" t="str">
        <f>IF(Tabelle18[[#This Row],[value_points_company]]=0,"",IFERROR(_xlfn.MINIFS(Tabelle5[doc_id],Tabelle5[company_id],Tabelle18[[#This Row],[company_id]],Tabelle5[value_id],Tabelle18[[#This Row],[value_id]],Tabelle5[value_points],Tabelle18[[#This Row],[value_points_company]]),""))</f>
        <v/>
      </c>
      <c r="G688" t="str" cm="1">
        <f t="array" ref="G688">IF(Tabelle18[[#This Row],[doc_id_strongest]]="","",IFERROR(INDEX(Tabelle5[evidence_location],MATCH(1,(Tabelle5[company_id]=Tabelle18[[#This Row],[company_id]])*(Tabelle5[value_id]=Tabelle18[[#This Row],[value_id]])*(Tabelle5[doc_id]=Tabelle18[[#This Row],[doc_id_strongest]]),0)),""))</f>
        <v/>
      </c>
      <c r="H688" s="33" t="str" cm="1">
        <f t="array" ref="H688">IF(Tabelle18[[#This Row],[doc_id_strongest]]="","",IFERROR(INDEX(Tabelle5[evidence_quote],MATCH(1,(Tabelle5[company_id]=Tabelle18[[#This Row],[company_id]])*(Tabelle5[value_id]=Tabelle18[[#This Row],[value_id]])*(Tabelle5[doc_id]=Tabelle18[[#This Row],[doc_id_strongest]]),0)),""))</f>
        <v/>
      </c>
    </row>
    <row r="689" spans="1:8" x14ac:dyDescent="0.25">
      <c r="A689" s="36">
        <v>39</v>
      </c>
      <c r="B689" t="s">
        <v>76</v>
      </c>
      <c r="C689" s="4">
        <f>IF(Tabelle18[[#This Row],[binding_level_company]]&gt;=1,1,0)</f>
        <v>0</v>
      </c>
      <c r="D689" s="4">
        <f>IFERROR(_xlfn.MAXIFS(Tabelle5[binding_level],Tabelle5[company_id],Tabelle18[[#This Row],[company_id]],Tabelle5[value_id],Tabelle18[[#This Row],[value_id]],Tabelle5[value_present],1),0)</f>
        <v>0</v>
      </c>
      <c r="E689" s="4">
        <f>IFERROR(_xlfn.MAXIFS(Tabelle5[value_points],Tabelle5[company_id],Tabelle18[[#This Row],[company_id]],Tabelle5[value_id],Tabelle18[[#This Row],[value_id]]),0)</f>
        <v>0</v>
      </c>
      <c r="F689" t="str">
        <f>IF(Tabelle18[[#This Row],[value_points_company]]=0,"",IFERROR(_xlfn.MINIFS(Tabelle5[doc_id],Tabelle5[company_id],Tabelle18[[#This Row],[company_id]],Tabelle5[value_id],Tabelle18[[#This Row],[value_id]],Tabelle5[value_points],Tabelle18[[#This Row],[value_points_company]]),""))</f>
        <v/>
      </c>
      <c r="G689" t="str" cm="1">
        <f t="array" ref="G689">IF(Tabelle18[[#This Row],[doc_id_strongest]]="","",IFERROR(INDEX(Tabelle5[evidence_location],MATCH(1,(Tabelle5[company_id]=Tabelle18[[#This Row],[company_id]])*(Tabelle5[value_id]=Tabelle18[[#This Row],[value_id]])*(Tabelle5[doc_id]=Tabelle18[[#This Row],[doc_id_strongest]]),0)),""))</f>
        <v/>
      </c>
      <c r="H689" s="33" t="str" cm="1">
        <f t="array" ref="H689">IF(Tabelle18[[#This Row],[doc_id_strongest]]="","",IFERROR(INDEX(Tabelle5[evidence_quote],MATCH(1,(Tabelle5[company_id]=Tabelle18[[#This Row],[company_id]])*(Tabelle5[value_id]=Tabelle18[[#This Row],[value_id]])*(Tabelle5[doc_id]=Tabelle18[[#This Row],[doc_id_strongest]]),0)),""))</f>
        <v/>
      </c>
    </row>
    <row r="690" spans="1:8" x14ac:dyDescent="0.25">
      <c r="A690" s="36">
        <v>39</v>
      </c>
      <c r="B690" t="s">
        <v>83</v>
      </c>
      <c r="C690" s="4">
        <f>IF(Tabelle18[[#This Row],[binding_level_company]]&gt;=1,1,0)</f>
        <v>0</v>
      </c>
      <c r="D690" s="4">
        <f>IFERROR(_xlfn.MAXIFS(Tabelle5[binding_level],Tabelle5[company_id],Tabelle18[[#This Row],[company_id]],Tabelle5[value_id],Tabelle18[[#This Row],[value_id]],Tabelle5[value_present],1),0)</f>
        <v>0</v>
      </c>
      <c r="E690" s="4">
        <f>IFERROR(_xlfn.MAXIFS(Tabelle5[value_points],Tabelle5[company_id],Tabelle18[[#This Row],[company_id]],Tabelle5[value_id],Tabelle18[[#This Row],[value_id]]),0)</f>
        <v>0</v>
      </c>
      <c r="F690" t="str">
        <f>IF(Tabelle18[[#This Row],[value_points_company]]=0,"",IFERROR(_xlfn.MINIFS(Tabelle5[doc_id],Tabelle5[company_id],Tabelle18[[#This Row],[company_id]],Tabelle5[value_id],Tabelle18[[#This Row],[value_id]],Tabelle5[value_points],Tabelle18[[#This Row],[value_points_company]]),""))</f>
        <v/>
      </c>
      <c r="G690" t="str" cm="1">
        <f t="array" ref="G690">IF(Tabelle18[[#This Row],[doc_id_strongest]]="","",IFERROR(INDEX(Tabelle5[evidence_location],MATCH(1,(Tabelle5[company_id]=Tabelle18[[#This Row],[company_id]])*(Tabelle5[value_id]=Tabelle18[[#This Row],[value_id]])*(Tabelle5[doc_id]=Tabelle18[[#This Row],[doc_id_strongest]]),0)),""))</f>
        <v/>
      </c>
      <c r="H690" s="33" t="str" cm="1">
        <f t="array" ref="H690">IF(Tabelle18[[#This Row],[doc_id_strongest]]="","",IFERROR(INDEX(Tabelle5[evidence_quote],MATCH(1,(Tabelle5[company_id]=Tabelle18[[#This Row],[company_id]])*(Tabelle5[value_id]=Tabelle18[[#This Row],[value_id]])*(Tabelle5[doc_id]=Tabelle18[[#This Row],[doc_id_strongest]]),0)),""))</f>
        <v/>
      </c>
    </row>
    <row r="691" spans="1:8" x14ac:dyDescent="0.25">
      <c r="A691" s="36">
        <v>39</v>
      </c>
      <c r="B691" t="s">
        <v>90</v>
      </c>
      <c r="C691" s="4">
        <f>IF(Tabelle18[[#This Row],[binding_level_company]]&gt;=1,1,0)</f>
        <v>0</v>
      </c>
      <c r="D691" s="4">
        <f>IFERROR(_xlfn.MAXIFS(Tabelle5[binding_level],Tabelle5[company_id],Tabelle18[[#This Row],[company_id]],Tabelle5[value_id],Tabelle18[[#This Row],[value_id]],Tabelle5[value_present],1),0)</f>
        <v>0</v>
      </c>
      <c r="E691" s="4">
        <f>IFERROR(_xlfn.MAXIFS(Tabelle5[value_points],Tabelle5[company_id],Tabelle18[[#This Row],[company_id]],Tabelle5[value_id],Tabelle18[[#This Row],[value_id]]),0)</f>
        <v>0</v>
      </c>
      <c r="F691" t="str">
        <f>IF(Tabelle18[[#This Row],[value_points_company]]=0,"",IFERROR(_xlfn.MINIFS(Tabelle5[doc_id],Tabelle5[company_id],Tabelle18[[#This Row],[company_id]],Tabelle5[value_id],Tabelle18[[#This Row],[value_id]],Tabelle5[value_points],Tabelle18[[#This Row],[value_points_company]]),""))</f>
        <v/>
      </c>
      <c r="G691" t="str" cm="1">
        <f t="array" ref="G691">IF(Tabelle18[[#This Row],[doc_id_strongest]]="","",IFERROR(INDEX(Tabelle5[evidence_location],MATCH(1,(Tabelle5[company_id]=Tabelle18[[#This Row],[company_id]])*(Tabelle5[value_id]=Tabelle18[[#This Row],[value_id]])*(Tabelle5[doc_id]=Tabelle18[[#This Row],[doc_id_strongest]]),0)),""))</f>
        <v/>
      </c>
      <c r="H691" s="33" t="str" cm="1">
        <f t="array" ref="H691">IF(Tabelle18[[#This Row],[doc_id_strongest]]="","",IFERROR(INDEX(Tabelle5[evidence_quote],MATCH(1,(Tabelle5[company_id]=Tabelle18[[#This Row],[company_id]])*(Tabelle5[value_id]=Tabelle18[[#This Row],[value_id]])*(Tabelle5[doc_id]=Tabelle18[[#This Row],[doc_id_strongest]]),0)),""))</f>
        <v/>
      </c>
    </row>
    <row r="692" spans="1:8" x14ac:dyDescent="0.25">
      <c r="A692" s="36">
        <v>39</v>
      </c>
      <c r="B692" t="s">
        <v>98</v>
      </c>
      <c r="C692" s="4">
        <f>IF(Tabelle18[[#This Row],[binding_level_company]]&gt;=1,1,0)</f>
        <v>0</v>
      </c>
      <c r="D692" s="4">
        <f>IFERROR(_xlfn.MAXIFS(Tabelle5[binding_level],Tabelle5[company_id],Tabelle18[[#This Row],[company_id]],Tabelle5[value_id],Tabelle18[[#This Row],[value_id]],Tabelle5[value_present],1),0)</f>
        <v>0</v>
      </c>
      <c r="E692" s="4">
        <f>IFERROR(_xlfn.MAXIFS(Tabelle5[value_points],Tabelle5[company_id],Tabelle18[[#This Row],[company_id]],Tabelle5[value_id],Tabelle18[[#This Row],[value_id]]),0)</f>
        <v>0</v>
      </c>
      <c r="F692" t="str">
        <f>IF(Tabelle18[[#This Row],[value_points_company]]=0,"",IFERROR(_xlfn.MINIFS(Tabelle5[doc_id],Tabelle5[company_id],Tabelle18[[#This Row],[company_id]],Tabelle5[value_id],Tabelle18[[#This Row],[value_id]],Tabelle5[value_points],Tabelle18[[#This Row],[value_points_company]]),""))</f>
        <v/>
      </c>
      <c r="G692" t="str" cm="1">
        <f t="array" ref="G692">IF(Tabelle18[[#This Row],[doc_id_strongest]]="","",IFERROR(INDEX(Tabelle5[evidence_location],MATCH(1,(Tabelle5[company_id]=Tabelle18[[#This Row],[company_id]])*(Tabelle5[value_id]=Tabelle18[[#This Row],[value_id]])*(Tabelle5[doc_id]=Tabelle18[[#This Row],[doc_id_strongest]]),0)),""))</f>
        <v/>
      </c>
      <c r="H692" s="33" t="str" cm="1">
        <f t="array" ref="H692">IF(Tabelle18[[#This Row],[doc_id_strongest]]="","",IFERROR(INDEX(Tabelle5[evidence_quote],MATCH(1,(Tabelle5[company_id]=Tabelle18[[#This Row],[company_id]])*(Tabelle5[value_id]=Tabelle18[[#This Row],[value_id]])*(Tabelle5[doc_id]=Tabelle18[[#This Row],[doc_id_strongest]]),0)),""))</f>
        <v/>
      </c>
    </row>
    <row r="693" spans="1:8" x14ac:dyDescent="0.25">
      <c r="A693" s="36">
        <v>39</v>
      </c>
      <c r="B693" t="s">
        <v>106</v>
      </c>
      <c r="C693" s="4">
        <f>IF(Tabelle18[[#This Row],[binding_level_company]]&gt;=1,1,0)</f>
        <v>0</v>
      </c>
      <c r="D693" s="4">
        <f>IFERROR(_xlfn.MAXIFS(Tabelle5[binding_level],Tabelle5[company_id],Tabelle18[[#This Row],[company_id]],Tabelle5[value_id],Tabelle18[[#This Row],[value_id]],Tabelle5[value_present],1),0)</f>
        <v>0</v>
      </c>
      <c r="E693" s="4">
        <f>IFERROR(_xlfn.MAXIFS(Tabelle5[value_points],Tabelle5[company_id],Tabelle18[[#This Row],[company_id]],Tabelle5[value_id],Tabelle18[[#This Row],[value_id]]),0)</f>
        <v>0</v>
      </c>
      <c r="F693" t="str">
        <f>IF(Tabelle18[[#This Row],[value_points_company]]=0,"",IFERROR(_xlfn.MINIFS(Tabelle5[doc_id],Tabelle5[company_id],Tabelle18[[#This Row],[company_id]],Tabelle5[value_id],Tabelle18[[#This Row],[value_id]],Tabelle5[value_points],Tabelle18[[#This Row],[value_points_company]]),""))</f>
        <v/>
      </c>
      <c r="G693" t="str" cm="1">
        <f t="array" ref="G693">IF(Tabelle18[[#This Row],[doc_id_strongest]]="","",IFERROR(INDEX(Tabelle5[evidence_location],MATCH(1,(Tabelle5[company_id]=Tabelle18[[#This Row],[company_id]])*(Tabelle5[value_id]=Tabelle18[[#This Row],[value_id]])*(Tabelle5[doc_id]=Tabelle18[[#This Row],[doc_id_strongest]]),0)),""))</f>
        <v/>
      </c>
      <c r="H693" s="33" t="str" cm="1">
        <f t="array" ref="H693">IF(Tabelle18[[#This Row],[doc_id_strongest]]="","",IFERROR(INDEX(Tabelle5[evidence_quote],MATCH(1,(Tabelle5[company_id]=Tabelle18[[#This Row],[company_id]])*(Tabelle5[value_id]=Tabelle18[[#This Row],[value_id]])*(Tabelle5[doc_id]=Tabelle18[[#This Row],[doc_id_strongest]]),0)),""))</f>
        <v/>
      </c>
    </row>
    <row r="694" spans="1:8" x14ac:dyDescent="0.25">
      <c r="A694" s="36">
        <v>39</v>
      </c>
      <c r="B694" t="s">
        <v>112</v>
      </c>
      <c r="C694" s="4">
        <f>IF(Tabelle18[[#This Row],[binding_level_company]]&gt;=1,1,0)</f>
        <v>0</v>
      </c>
      <c r="D694" s="4">
        <f>IFERROR(_xlfn.MAXIFS(Tabelle5[binding_level],Tabelle5[company_id],Tabelle18[[#This Row],[company_id]],Tabelle5[value_id],Tabelle18[[#This Row],[value_id]],Tabelle5[value_present],1),0)</f>
        <v>0</v>
      </c>
      <c r="E694" s="4">
        <f>IFERROR(_xlfn.MAXIFS(Tabelle5[value_points],Tabelle5[company_id],Tabelle18[[#This Row],[company_id]],Tabelle5[value_id],Tabelle18[[#This Row],[value_id]]),0)</f>
        <v>0</v>
      </c>
      <c r="F694" t="str">
        <f>IF(Tabelle18[[#This Row],[value_points_company]]=0,"",IFERROR(_xlfn.MINIFS(Tabelle5[doc_id],Tabelle5[company_id],Tabelle18[[#This Row],[company_id]],Tabelle5[value_id],Tabelle18[[#This Row],[value_id]],Tabelle5[value_points],Tabelle18[[#This Row],[value_points_company]]),""))</f>
        <v/>
      </c>
      <c r="G694" t="str" cm="1">
        <f t="array" ref="G694">IF(Tabelle18[[#This Row],[doc_id_strongest]]="","",IFERROR(INDEX(Tabelle5[evidence_location],MATCH(1,(Tabelle5[company_id]=Tabelle18[[#This Row],[company_id]])*(Tabelle5[value_id]=Tabelle18[[#This Row],[value_id]])*(Tabelle5[doc_id]=Tabelle18[[#This Row],[doc_id_strongest]]),0)),""))</f>
        <v/>
      </c>
      <c r="H694" s="33" t="str" cm="1">
        <f t="array" ref="H694">IF(Tabelle18[[#This Row],[doc_id_strongest]]="","",IFERROR(INDEX(Tabelle5[evidence_quote],MATCH(1,(Tabelle5[company_id]=Tabelle18[[#This Row],[company_id]])*(Tabelle5[value_id]=Tabelle18[[#This Row],[value_id]])*(Tabelle5[doc_id]=Tabelle18[[#This Row],[doc_id_strongest]]),0)),""))</f>
        <v/>
      </c>
    </row>
    <row r="695" spans="1:8" x14ac:dyDescent="0.25">
      <c r="A695" s="36">
        <v>39</v>
      </c>
      <c r="B695" t="s">
        <v>118</v>
      </c>
      <c r="C695" s="4">
        <f>IF(Tabelle18[[#This Row],[binding_level_company]]&gt;=1,1,0)</f>
        <v>0</v>
      </c>
      <c r="D695" s="4">
        <f>IFERROR(_xlfn.MAXIFS(Tabelle5[binding_level],Tabelle5[company_id],Tabelle18[[#This Row],[company_id]],Tabelle5[value_id],Tabelle18[[#This Row],[value_id]],Tabelle5[value_present],1),0)</f>
        <v>0</v>
      </c>
      <c r="E695" s="4">
        <f>IFERROR(_xlfn.MAXIFS(Tabelle5[value_points],Tabelle5[company_id],Tabelle18[[#This Row],[company_id]],Tabelle5[value_id],Tabelle18[[#This Row],[value_id]]),0)</f>
        <v>0</v>
      </c>
      <c r="F695" t="str">
        <f>IF(Tabelle18[[#This Row],[value_points_company]]=0,"",IFERROR(_xlfn.MINIFS(Tabelle5[doc_id],Tabelle5[company_id],Tabelle18[[#This Row],[company_id]],Tabelle5[value_id],Tabelle18[[#This Row],[value_id]],Tabelle5[value_points],Tabelle18[[#This Row],[value_points_company]]),""))</f>
        <v/>
      </c>
      <c r="G695" t="str" cm="1">
        <f t="array" ref="G695">IF(Tabelle18[[#This Row],[doc_id_strongest]]="","",IFERROR(INDEX(Tabelle5[evidence_location],MATCH(1,(Tabelle5[company_id]=Tabelle18[[#This Row],[company_id]])*(Tabelle5[value_id]=Tabelle18[[#This Row],[value_id]])*(Tabelle5[doc_id]=Tabelle18[[#This Row],[doc_id_strongest]]),0)),""))</f>
        <v/>
      </c>
      <c r="H695" s="33" t="str" cm="1">
        <f t="array" ref="H695">IF(Tabelle18[[#This Row],[doc_id_strongest]]="","",IFERROR(INDEX(Tabelle5[evidence_quote],MATCH(1,(Tabelle5[company_id]=Tabelle18[[#This Row],[company_id]])*(Tabelle5[value_id]=Tabelle18[[#This Row],[value_id]])*(Tabelle5[doc_id]=Tabelle18[[#This Row],[doc_id_strongest]]),0)),""))</f>
        <v/>
      </c>
    </row>
    <row r="696" spans="1:8" x14ac:dyDescent="0.25">
      <c r="A696" s="36">
        <v>39</v>
      </c>
      <c r="B696" t="s">
        <v>125</v>
      </c>
      <c r="C696" s="4">
        <f>IF(Tabelle18[[#This Row],[binding_level_company]]&gt;=1,1,0)</f>
        <v>0</v>
      </c>
      <c r="D696" s="4">
        <f>IFERROR(_xlfn.MAXIFS(Tabelle5[binding_level],Tabelle5[company_id],Tabelle18[[#This Row],[company_id]],Tabelle5[value_id],Tabelle18[[#This Row],[value_id]],Tabelle5[value_present],1),0)</f>
        <v>0</v>
      </c>
      <c r="E696" s="4">
        <f>IFERROR(_xlfn.MAXIFS(Tabelle5[value_points],Tabelle5[company_id],Tabelle18[[#This Row],[company_id]],Tabelle5[value_id],Tabelle18[[#This Row],[value_id]]),0)</f>
        <v>0</v>
      </c>
      <c r="F696" t="str">
        <f>IF(Tabelle18[[#This Row],[value_points_company]]=0,"",IFERROR(_xlfn.MINIFS(Tabelle5[doc_id],Tabelle5[company_id],Tabelle18[[#This Row],[company_id]],Tabelle5[value_id],Tabelle18[[#This Row],[value_id]],Tabelle5[value_points],Tabelle18[[#This Row],[value_points_company]]),""))</f>
        <v/>
      </c>
      <c r="G696" t="str" cm="1">
        <f t="array" ref="G696">IF(Tabelle18[[#This Row],[doc_id_strongest]]="","",IFERROR(INDEX(Tabelle5[evidence_location],MATCH(1,(Tabelle5[company_id]=Tabelle18[[#This Row],[company_id]])*(Tabelle5[value_id]=Tabelle18[[#This Row],[value_id]])*(Tabelle5[doc_id]=Tabelle18[[#This Row],[doc_id_strongest]]),0)),""))</f>
        <v/>
      </c>
      <c r="H696" s="33" t="str" cm="1">
        <f t="array" ref="H696">IF(Tabelle18[[#This Row],[doc_id_strongest]]="","",IFERROR(INDEX(Tabelle5[evidence_quote],MATCH(1,(Tabelle5[company_id]=Tabelle18[[#This Row],[company_id]])*(Tabelle5[value_id]=Tabelle18[[#This Row],[value_id]])*(Tabelle5[doc_id]=Tabelle18[[#This Row],[doc_id_strongest]]),0)),""))</f>
        <v/>
      </c>
    </row>
    <row r="697" spans="1:8" x14ac:dyDescent="0.25">
      <c r="A697" s="36">
        <v>39</v>
      </c>
      <c r="B697" t="s">
        <v>132</v>
      </c>
      <c r="C697" s="4">
        <f>IF(Tabelle18[[#This Row],[binding_level_company]]&gt;=1,1,0)</f>
        <v>0</v>
      </c>
      <c r="D697" s="4">
        <f>IFERROR(_xlfn.MAXIFS(Tabelle5[binding_level],Tabelle5[company_id],Tabelle18[[#This Row],[company_id]],Tabelle5[value_id],Tabelle18[[#This Row],[value_id]],Tabelle5[value_present],1),0)</f>
        <v>0</v>
      </c>
      <c r="E697" s="4">
        <f>IFERROR(_xlfn.MAXIFS(Tabelle5[value_points],Tabelle5[company_id],Tabelle18[[#This Row],[company_id]],Tabelle5[value_id],Tabelle18[[#This Row],[value_id]]),0)</f>
        <v>0</v>
      </c>
      <c r="F697" t="str">
        <f>IF(Tabelle18[[#This Row],[value_points_company]]=0,"",IFERROR(_xlfn.MINIFS(Tabelle5[doc_id],Tabelle5[company_id],Tabelle18[[#This Row],[company_id]],Tabelle5[value_id],Tabelle18[[#This Row],[value_id]],Tabelle5[value_points],Tabelle18[[#This Row],[value_points_company]]),""))</f>
        <v/>
      </c>
      <c r="G697" t="str" cm="1">
        <f t="array" ref="G697">IF(Tabelle18[[#This Row],[doc_id_strongest]]="","",IFERROR(INDEX(Tabelle5[evidence_location],MATCH(1,(Tabelle5[company_id]=Tabelle18[[#This Row],[company_id]])*(Tabelle5[value_id]=Tabelle18[[#This Row],[value_id]])*(Tabelle5[doc_id]=Tabelle18[[#This Row],[doc_id_strongest]]),0)),""))</f>
        <v/>
      </c>
      <c r="H697" s="33" t="str" cm="1">
        <f t="array" ref="H697">IF(Tabelle18[[#This Row],[doc_id_strongest]]="","",IFERROR(INDEX(Tabelle5[evidence_quote],MATCH(1,(Tabelle5[company_id]=Tabelle18[[#This Row],[company_id]])*(Tabelle5[value_id]=Tabelle18[[#This Row],[value_id]])*(Tabelle5[doc_id]=Tabelle18[[#This Row],[doc_id_strongest]]),0)),""))</f>
        <v/>
      </c>
    </row>
    <row r="698" spans="1:8" x14ac:dyDescent="0.25">
      <c r="A698" s="36">
        <v>39</v>
      </c>
      <c r="B698" t="s">
        <v>140</v>
      </c>
      <c r="C698" s="4">
        <f>IF(Tabelle18[[#This Row],[binding_level_company]]&gt;=1,1,0)</f>
        <v>0</v>
      </c>
      <c r="D698" s="4">
        <f>IFERROR(_xlfn.MAXIFS(Tabelle5[binding_level],Tabelle5[company_id],Tabelle18[[#This Row],[company_id]],Tabelle5[value_id],Tabelle18[[#This Row],[value_id]],Tabelle5[value_present],1),0)</f>
        <v>0</v>
      </c>
      <c r="E698" s="4">
        <f>IFERROR(_xlfn.MAXIFS(Tabelle5[value_points],Tabelle5[company_id],Tabelle18[[#This Row],[company_id]],Tabelle5[value_id],Tabelle18[[#This Row],[value_id]]),0)</f>
        <v>0</v>
      </c>
      <c r="F698" t="str">
        <f>IF(Tabelle18[[#This Row],[value_points_company]]=0,"",IFERROR(_xlfn.MINIFS(Tabelle5[doc_id],Tabelle5[company_id],Tabelle18[[#This Row],[company_id]],Tabelle5[value_id],Tabelle18[[#This Row],[value_id]],Tabelle5[value_points],Tabelle18[[#This Row],[value_points_company]]),""))</f>
        <v/>
      </c>
      <c r="G698" t="str" cm="1">
        <f t="array" ref="G698">IF(Tabelle18[[#This Row],[doc_id_strongest]]="","",IFERROR(INDEX(Tabelle5[evidence_location],MATCH(1,(Tabelle5[company_id]=Tabelle18[[#This Row],[company_id]])*(Tabelle5[value_id]=Tabelle18[[#This Row],[value_id]])*(Tabelle5[doc_id]=Tabelle18[[#This Row],[doc_id_strongest]]),0)),""))</f>
        <v/>
      </c>
      <c r="H698" s="33" t="str" cm="1">
        <f t="array" ref="H698">IF(Tabelle18[[#This Row],[doc_id_strongest]]="","",IFERROR(INDEX(Tabelle5[evidence_quote],MATCH(1,(Tabelle5[company_id]=Tabelle18[[#This Row],[company_id]])*(Tabelle5[value_id]=Tabelle18[[#This Row],[value_id]])*(Tabelle5[doc_id]=Tabelle18[[#This Row],[doc_id_strongest]]),0)),""))</f>
        <v/>
      </c>
    </row>
    <row r="699" spans="1:8" x14ac:dyDescent="0.25">
      <c r="A699" s="36">
        <v>39</v>
      </c>
      <c r="B699" t="s">
        <v>147</v>
      </c>
      <c r="C699" s="4">
        <f>IF(Tabelle18[[#This Row],[binding_level_company]]&gt;=1,1,0)</f>
        <v>0</v>
      </c>
      <c r="D699" s="4">
        <f>IFERROR(_xlfn.MAXIFS(Tabelle5[binding_level],Tabelle5[company_id],Tabelle18[[#This Row],[company_id]],Tabelle5[value_id],Tabelle18[[#This Row],[value_id]],Tabelle5[value_present],1),0)</f>
        <v>0</v>
      </c>
      <c r="E699" s="4">
        <f>IFERROR(_xlfn.MAXIFS(Tabelle5[value_points],Tabelle5[company_id],Tabelle18[[#This Row],[company_id]],Tabelle5[value_id],Tabelle18[[#This Row],[value_id]]),0)</f>
        <v>0</v>
      </c>
      <c r="F699" t="str">
        <f>IF(Tabelle18[[#This Row],[value_points_company]]=0,"",IFERROR(_xlfn.MINIFS(Tabelle5[doc_id],Tabelle5[company_id],Tabelle18[[#This Row],[company_id]],Tabelle5[value_id],Tabelle18[[#This Row],[value_id]],Tabelle5[value_points],Tabelle18[[#This Row],[value_points_company]]),""))</f>
        <v/>
      </c>
      <c r="G699" t="str" cm="1">
        <f t="array" ref="G699">IF(Tabelle18[[#This Row],[doc_id_strongest]]="","",IFERROR(INDEX(Tabelle5[evidence_location],MATCH(1,(Tabelle5[company_id]=Tabelle18[[#This Row],[company_id]])*(Tabelle5[value_id]=Tabelle18[[#This Row],[value_id]])*(Tabelle5[doc_id]=Tabelle18[[#This Row],[doc_id_strongest]]),0)),""))</f>
        <v/>
      </c>
      <c r="H699" s="33" t="str" cm="1">
        <f t="array" ref="H699">IF(Tabelle18[[#This Row],[doc_id_strongest]]="","",IFERROR(INDEX(Tabelle5[evidence_quote],MATCH(1,(Tabelle5[company_id]=Tabelle18[[#This Row],[company_id]])*(Tabelle5[value_id]=Tabelle18[[#This Row],[value_id]])*(Tabelle5[doc_id]=Tabelle18[[#This Row],[doc_id_strongest]]),0)),""))</f>
        <v/>
      </c>
    </row>
    <row r="700" spans="1:8" x14ac:dyDescent="0.25">
      <c r="A700" s="36">
        <v>39</v>
      </c>
      <c r="B700" t="s">
        <v>154</v>
      </c>
      <c r="C700" s="4">
        <f>IF(Tabelle18[[#This Row],[binding_level_company]]&gt;=1,1,0)</f>
        <v>0</v>
      </c>
      <c r="D700" s="4">
        <f>IFERROR(_xlfn.MAXIFS(Tabelle5[binding_level],Tabelle5[company_id],Tabelle18[[#This Row],[company_id]],Tabelle5[value_id],Tabelle18[[#This Row],[value_id]],Tabelle5[value_present],1),0)</f>
        <v>0</v>
      </c>
      <c r="E700" s="4">
        <f>IFERROR(_xlfn.MAXIFS(Tabelle5[value_points],Tabelle5[company_id],Tabelle18[[#This Row],[company_id]],Tabelle5[value_id],Tabelle18[[#This Row],[value_id]]),0)</f>
        <v>0</v>
      </c>
      <c r="F700" t="str">
        <f>IF(Tabelle18[[#This Row],[value_points_company]]=0,"",IFERROR(_xlfn.MINIFS(Tabelle5[doc_id],Tabelle5[company_id],Tabelle18[[#This Row],[company_id]],Tabelle5[value_id],Tabelle18[[#This Row],[value_id]],Tabelle5[value_points],Tabelle18[[#This Row],[value_points_company]]),""))</f>
        <v/>
      </c>
      <c r="G700" t="str" cm="1">
        <f t="array" ref="G700">IF(Tabelle18[[#This Row],[doc_id_strongest]]="","",IFERROR(INDEX(Tabelle5[evidence_location],MATCH(1,(Tabelle5[company_id]=Tabelle18[[#This Row],[company_id]])*(Tabelle5[value_id]=Tabelle18[[#This Row],[value_id]])*(Tabelle5[doc_id]=Tabelle18[[#This Row],[doc_id_strongest]]),0)),""))</f>
        <v/>
      </c>
      <c r="H700" s="33" t="str" cm="1">
        <f t="array" ref="H700">IF(Tabelle18[[#This Row],[doc_id_strongest]]="","",IFERROR(INDEX(Tabelle5[evidence_quote],MATCH(1,(Tabelle5[company_id]=Tabelle18[[#This Row],[company_id]])*(Tabelle5[value_id]=Tabelle18[[#This Row],[value_id]])*(Tabelle5[doc_id]=Tabelle18[[#This Row],[doc_id_strongest]]),0)),""))</f>
        <v/>
      </c>
    </row>
    <row r="701" spans="1:8" x14ac:dyDescent="0.25">
      <c r="A701" s="36">
        <v>39</v>
      </c>
      <c r="B701" t="s">
        <v>161</v>
      </c>
      <c r="C701" s="4">
        <f>IF(Tabelle18[[#This Row],[binding_level_company]]&gt;=1,1,0)</f>
        <v>0</v>
      </c>
      <c r="D701" s="4">
        <f>IFERROR(_xlfn.MAXIFS(Tabelle5[binding_level],Tabelle5[company_id],Tabelle18[[#This Row],[company_id]],Tabelle5[value_id],Tabelle18[[#This Row],[value_id]],Tabelle5[value_present],1),0)</f>
        <v>0</v>
      </c>
      <c r="E701" s="4">
        <f>IFERROR(_xlfn.MAXIFS(Tabelle5[value_points],Tabelle5[company_id],Tabelle18[[#This Row],[company_id]],Tabelle5[value_id],Tabelle18[[#This Row],[value_id]]),0)</f>
        <v>0</v>
      </c>
      <c r="F701" t="str">
        <f>IF(Tabelle18[[#This Row],[value_points_company]]=0,"",IFERROR(_xlfn.MINIFS(Tabelle5[doc_id],Tabelle5[company_id],Tabelle18[[#This Row],[company_id]],Tabelle5[value_id],Tabelle18[[#This Row],[value_id]],Tabelle5[value_points],Tabelle18[[#This Row],[value_points_company]]),""))</f>
        <v/>
      </c>
      <c r="G701" t="str" cm="1">
        <f t="array" ref="G701">IF(Tabelle18[[#This Row],[doc_id_strongest]]="","",IFERROR(INDEX(Tabelle5[evidence_location],MATCH(1,(Tabelle5[company_id]=Tabelle18[[#This Row],[company_id]])*(Tabelle5[value_id]=Tabelle18[[#This Row],[value_id]])*(Tabelle5[doc_id]=Tabelle18[[#This Row],[doc_id_strongest]]),0)),""))</f>
        <v/>
      </c>
      <c r="H701" s="33" t="str" cm="1">
        <f t="array" ref="H701">IF(Tabelle18[[#This Row],[doc_id_strongest]]="","",IFERROR(INDEX(Tabelle5[evidence_quote],MATCH(1,(Tabelle5[company_id]=Tabelle18[[#This Row],[company_id]])*(Tabelle5[value_id]=Tabelle18[[#This Row],[value_id]])*(Tabelle5[doc_id]=Tabelle18[[#This Row],[doc_id_strongest]]),0)),""))</f>
        <v/>
      </c>
    </row>
    <row r="702" spans="1:8" x14ac:dyDescent="0.25">
      <c r="A702" s="36">
        <v>39</v>
      </c>
      <c r="B702" t="s">
        <v>166</v>
      </c>
      <c r="C702" s="4">
        <f>IF(Tabelle18[[#This Row],[binding_level_company]]&gt;=1,1,0)</f>
        <v>0</v>
      </c>
      <c r="D702" s="4">
        <f>IFERROR(_xlfn.MAXIFS(Tabelle5[binding_level],Tabelle5[company_id],Tabelle18[[#This Row],[company_id]],Tabelle5[value_id],Tabelle18[[#This Row],[value_id]],Tabelle5[value_present],1),0)</f>
        <v>0</v>
      </c>
      <c r="E702" s="4">
        <f>IFERROR(_xlfn.MAXIFS(Tabelle5[value_points],Tabelle5[company_id],Tabelle18[[#This Row],[company_id]],Tabelle5[value_id],Tabelle18[[#This Row],[value_id]]),0)</f>
        <v>0</v>
      </c>
      <c r="F702" t="str">
        <f>IF(Tabelle18[[#This Row],[value_points_company]]=0,"",IFERROR(_xlfn.MINIFS(Tabelle5[doc_id],Tabelle5[company_id],Tabelle18[[#This Row],[company_id]],Tabelle5[value_id],Tabelle18[[#This Row],[value_id]],Tabelle5[value_points],Tabelle18[[#This Row],[value_points_company]]),""))</f>
        <v/>
      </c>
      <c r="G702" t="str" cm="1">
        <f t="array" ref="G702">IF(Tabelle18[[#This Row],[doc_id_strongest]]="","",IFERROR(INDEX(Tabelle5[evidence_location],MATCH(1,(Tabelle5[company_id]=Tabelle18[[#This Row],[company_id]])*(Tabelle5[value_id]=Tabelle18[[#This Row],[value_id]])*(Tabelle5[doc_id]=Tabelle18[[#This Row],[doc_id_strongest]]),0)),""))</f>
        <v/>
      </c>
      <c r="H702" s="33" t="str" cm="1">
        <f t="array" ref="H702">IF(Tabelle18[[#This Row],[doc_id_strongest]]="","",IFERROR(INDEX(Tabelle5[evidence_quote],MATCH(1,(Tabelle5[company_id]=Tabelle18[[#This Row],[company_id]])*(Tabelle5[value_id]=Tabelle18[[#This Row],[value_id]])*(Tabelle5[doc_id]=Tabelle18[[#This Row],[doc_id_strongest]]),0)),""))</f>
        <v/>
      </c>
    </row>
    <row r="703" spans="1:8" ht="15.75" thickBot="1" x14ac:dyDescent="0.3">
      <c r="A703" s="37">
        <v>39</v>
      </c>
      <c r="B703" s="30" t="s">
        <v>174</v>
      </c>
      <c r="C703" s="49">
        <f>IF(Tabelle18[[#This Row],[binding_level_company]]&gt;=1,1,0)</f>
        <v>0</v>
      </c>
      <c r="D703" s="49">
        <f>IFERROR(_xlfn.MAXIFS(Tabelle5[binding_level],Tabelle5[company_id],Tabelle18[[#This Row],[company_id]],Tabelle5[value_id],Tabelle18[[#This Row],[value_id]],Tabelle5[value_present],1),0)</f>
        <v>0</v>
      </c>
      <c r="E703" s="49">
        <f>IFERROR(_xlfn.MAXIFS(Tabelle5[value_points],Tabelle5[company_id],Tabelle18[[#This Row],[company_id]],Tabelle5[value_id],Tabelle18[[#This Row],[value_id]]),0)</f>
        <v>0</v>
      </c>
      <c r="F703" s="30" t="str">
        <f>IF(Tabelle18[[#This Row],[value_points_company]]=0,"",IFERROR(_xlfn.MINIFS(Tabelle5[doc_id],Tabelle5[company_id],Tabelle18[[#This Row],[company_id]],Tabelle5[value_id],Tabelle18[[#This Row],[value_id]],Tabelle5[value_points],Tabelle18[[#This Row],[value_points_company]]),""))</f>
        <v/>
      </c>
      <c r="G703" s="30" t="str" cm="1">
        <f t="array" ref="G703">IF(Tabelle18[[#This Row],[doc_id_strongest]]="","",IFERROR(INDEX(Tabelle5[evidence_location],MATCH(1,(Tabelle5[company_id]=Tabelle18[[#This Row],[company_id]])*(Tabelle5[value_id]=Tabelle18[[#This Row],[value_id]])*(Tabelle5[doc_id]=Tabelle18[[#This Row],[doc_id_strongest]]),0)),""))</f>
        <v/>
      </c>
      <c r="H703" s="34" t="str" cm="1">
        <f t="array" ref="H703">IF(Tabelle18[[#This Row],[doc_id_strongest]]="","",IFERROR(INDEX(Tabelle5[evidence_quote],MATCH(1,(Tabelle5[company_id]=Tabelle18[[#This Row],[company_id]])*(Tabelle5[value_id]=Tabelle18[[#This Row],[value_id]])*(Tabelle5[doc_id]=Tabelle18[[#This Row],[doc_id_strongest]]),0)),""))</f>
        <v/>
      </c>
    </row>
    <row r="704" spans="1:8" x14ac:dyDescent="0.25">
      <c r="A704" s="35">
        <v>40</v>
      </c>
      <c r="B704" s="22" t="s">
        <v>53</v>
      </c>
      <c r="C704" s="48">
        <f>IF(Tabelle18[[#This Row],[binding_level_company]]&gt;=1,1,0)</f>
        <v>1</v>
      </c>
      <c r="D704" s="48">
        <f>IFERROR(_xlfn.MAXIFS(Tabelle5[binding_level],Tabelle5[company_id],Tabelle18[[#This Row],[company_id]],Tabelle5[value_id],Tabelle18[[#This Row],[value_id]],Tabelle5[value_present],1),0)</f>
        <v>3</v>
      </c>
      <c r="E704" s="48">
        <f>IFERROR(_xlfn.MAXIFS(Tabelle5[value_points],Tabelle5[company_id],Tabelle18[[#This Row],[company_id]],Tabelle5[value_id],Tabelle18[[#This Row],[value_id]]),0)</f>
        <v>3</v>
      </c>
      <c r="F704" s="22">
        <f>IF(Tabelle18[[#This Row],[value_points_company]]=0,"",IFERROR(_xlfn.MINIFS(Tabelle5[doc_id],Tabelle5[company_id],Tabelle18[[#This Row],[company_id]],Tabelle5[value_id],Tabelle18[[#This Row],[value_id]],Tabelle5[value_points],Tabelle18[[#This Row],[value_points_company]]),""))</f>
        <v>239</v>
      </c>
      <c r="G704" s="22" t="str" cm="1">
        <f t="array" ref="G704">IF(Tabelle18[[#This Row],[doc_id_strongest]]="","",IFERROR(INDEX(Tabelle5[evidence_location],MATCH(1,(Tabelle5[company_id]=Tabelle18[[#This Row],[company_id]])*(Tabelle5[value_id]=Tabelle18[[#This Row],[value_id]])*(Tabelle5[doc_id]=Tabelle18[[#This Row],[doc_id_strongest]]),0)),""))</f>
        <v>S. 13</v>
      </c>
      <c r="H704" s="32" t="str" cm="1">
        <f t="array" ref="H704">IF(Tabelle18[[#This Row],[doc_id_strongest]]="","",IFERROR(INDEX(Tabelle5[evidence_quote],MATCH(1,(Tabelle5[company_id]=Tabelle18[[#This Row],[company_id]])*(Tabelle5[value_id]=Tabelle18[[#This Row],[value_id]])*(Tabelle5[doc_id]=Tabelle18[[#This Row],[doc_id_strongest]]),0)),""))</f>
        <v>“kontinuierliches Monitoring und frühzeitiges Eingreifen”</v>
      </c>
    </row>
    <row r="705" spans="1:8" x14ac:dyDescent="0.25">
      <c r="A705" s="36">
        <v>40</v>
      </c>
      <c r="B705" t="s">
        <v>61</v>
      </c>
      <c r="C705" s="4">
        <f>IF(Tabelle18[[#This Row],[binding_level_company]]&gt;=1,1,0)</f>
        <v>1</v>
      </c>
      <c r="D705" s="4">
        <f>IFERROR(_xlfn.MAXIFS(Tabelle5[binding_level],Tabelle5[company_id],Tabelle18[[#This Row],[company_id]],Tabelle5[value_id],Tabelle18[[#This Row],[value_id]],Tabelle5[value_present],1),0)</f>
        <v>3</v>
      </c>
      <c r="E705" s="4">
        <f>IFERROR(_xlfn.MAXIFS(Tabelle5[value_points],Tabelle5[company_id],Tabelle18[[#This Row],[company_id]],Tabelle5[value_id],Tabelle18[[#This Row],[value_id]]),0)</f>
        <v>3</v>
      </c>
      <c r="F705">
        <f>IF(Tabelle18[[#This Row],[value_points_company]]=0,"",IFERROR(_xlfn.MINIFS(Tabelle5[doc_id],Tabelle5[company_id],Tabelle18[[#This Row],[company_id]],Tabelle5[value_id],Tabelle18[[#This Row],[value_id]],Tabelle5[value_points],Tabelle18[[#This Row],[value_points_company]]),""))</f>
        <v>239</v>
      </c>
      <c r="G705" t="str" cm="1">
        <f t="array" ref="G705">IF(Tabelle18[[#This Row],[doc_id_strongest]]="","",IFERROR(INDEX(Tabelle5[evidence_location],MATCH(1,(Tabelle5[company_id]=Tabelle18[[#This Row],[company_id]])*(Tabelle5[value_id]=Tabelle18[[#This Row],[value_id]])*(Tabelle5[doc_id]=Tabelle18[[#This Row],[doc_id_strongest]]),0)),""))</f>
        <v>S. 11; S. 14</v>
      </c>
      <c r="H705" s="33" t="str" cm="1">
        <f t="array" ref="H705">IF(Tabelle18[[#This Row],[doc_id_strongest]]="","",IFERROR(INDEX(Tabelle5[evidence_quote],MATCH(1,(Tabelle5[company_id]=Tabelle18[[#This Row],[company_id]])*(Tabelle5[value_id]=Tabelle18[[#This Row],[value_id]])*(Tabelle5[doc_id]=Tabelle18[[#This Row],[doc_id_strongest]]),0)),""))</f>
        <v>“Informationen und Verantwortliche für unsere Machine-Learning-Modelle”; “zentrale Team ‘Algorithmic Privacy &amp; Fairness’”</v>
      </c>
    </row>
    <row r="706" spans="1:8" x14ac:dyDescent="0.25">
      <c r="A706" s="36">
        <v>40</v>
      </c>
      <c r="B706" t="s">
        <v>69</v>
      </c>
      <c r="C706" s="4">
        <f>IF(Tabelle18[[#This Row],[binding_level_company]]&gt;=1,1,0)</f>
        <v>1</v>
      </c>
      <c r="D706" s="4">
        <f>IFERROR(_xlfn.MAXIFS(Tabelle5[binding_level],Tabelle5[company_id],Tabelle18[[#This Row],[company_id]],Tabelle5[value_id],Tabelle18[[#This Row],[value_id]],Tabelle5[value_present],1),0)</f>
        <v>3</v>
      </c>
      <c r="E706" s="4">
        <f>IFERROR(_xlfn.MAXIFS(Tabelle5[value_points],Tabelle5[company_id],Tabelle18[[#This Row],[company_id]],Tabelle5[value_id],Tabelle18[[#This Row],[value_id]]),0)</f>
        <v>3</v>
      </c>
      <c r="F706">
        <f>IF(Tabelle18[[#This Row],[value_points_company]]=0,"",IFERROR(_xlfn.MINIFS(Tabelle5[doc_id],Tabelle5[company_id],Tabelle18[[#This Row],[company_id]],Tabelle5[value_id],Tabelle18[[#This Row],[value_id]],Tabelle5[value_points],Tabelle18[[#This Row],[value_points_company]]),""))</f>
        <v>239</v>
      </c>
      <c r="G706" t="str" cm="1">
        <f t="array" ref="G706">IF(Tabelle18[[#This Row],[doc_id_strongest]]="","",IFERROR(INDEX(Tabelle5[evidence_location],MATCH(1,(Tabelle5[company_id]=Tabelle18[[#This Row],[company_id]])*(Tabelle5[value_id]=Tabelle18[[#This Row],[value_id]])*(Tabelle5[doc_id]=Tabelle18[[#This Row],[doc_id_strongest]]),0)),""))</f>
        <v>S. 11; S. 21</v>
      </c>
      <c r="H706" s="33" t="str" cm="1">
        <f t="array" ref="H706">IF(Tabelle18[[#This Row],[doc_id_strongest]]="","",IFERROR(INDEX(Tabelle5[evidence_quote],MATCH(1,(Tabelle5[company_id]=Tabelle18[[#This Row],[company_id]])*(Tabelle5[value_id]=Tabelle18[[#This Row],[value_id]])*(Tabelle5[doc_id]=Tabelle18[[#This Row],[doc_id_strongest]]),0)),""))</f>
        <v>“mögliche Bias, dokumentieren die Ergebnisse intern transparent”; “Informationen und Verantwortliche für unsere Machine-Learning-Modelle”; “erklären innerhalb des Kaufprozesses, welche Daten wir verwendet haben”</v>
      </c>
    </row>
    <row r="707" spans="1:8" x14ac:dyDescent="0.25">
      <c r="A707" s="36">
        <v>40</v>
      </c>
      <c r="B707" t="s">
        <v>76</v>
      </c>
      <c r="C707" s="4">
        <f>IF(Tabelle18[[#This Row],[binding_level_company]]&gt;=1,1,0)</f>
        <v>1</v>
      </c>
      <c r="D707" s="4">
        <f>IFERROR(_xlfn.MAXIFS(Tabelle5[binding_level],Tabelle5[company_id],Tabelle18[[#This Row],[company_id]],Tabelle5[value_id],Tabelle18[[#This Row],[value_id]],Tabelle5[value_present],1),0)</f>
        <v>3</v>
      </c>
      <c r="E707" s="4">
        <f>IFERROR(_xlfn.MAXIFS(Tabelle5[value_points],Tabelle5[company_id],Tabelle18[[#This Row],[company_id]],Tabelle5[value_id],Tabelle18[[#This Row],[value_id]]),0)</f>
        <v>3</v>
      </c>
      <c r="F707">
        <f>IF(Tabelle18[[#This Row],[value_points_company]]=0,"",IFERROR(_xlfn.MINIFS(Tabelle5[doc_id],Tabelle5[company_id],Tabelle18[[#This Row],[company_id]],Tabelle5[value_id],Tabelle18[[#This Row],[value_id]],Tabelle5[value_points],Tabelle18[[#This Row],[value_points_company]]),""))</f>
        <v>239</v>
      </c>
      <c r="G707" t="str" cm="1">
        <f t="array" ref="G707">IF(Tabelle18[[#This Row],[doc_id_strongest]]="","",IFERROR(INDEX(Tabelle5[evidence_location],MATCH(1,(Tabelle5[company_id]=Tabelle18[[#This Row],[company_id]])*(Tabelle5[value_id]=Tabelle18[[#This Row],[value_id]])*(Tabelle5[doc_id]=Tabelle18[[#This Row],[doc_id_strongest]]),0)),""))</f>
        <v>S. 21; S. 56</v>
      </c>
      <c r="H707" s="33" t="str" cm="1">
        <f t="array" ref="H707">IF(Tabelle18[[#This Row],[doc_id_strongest]]="","",IFERROR(INDEX(Tabelle5[evidence_quote],MATCH(1,(Tabelle5[company_id]=Tabelle18[[#This Row],[company_id]])*(Tabelle5[value_id]=Tabelle18[[#This Row],[value_id]])*(Tabelle5[doc_id]=Tabelle18[[#This Row],[doc_id_strongest]]),0)),""))</f>
        <v>“erklären innerhalb des Kaufprozesses, welche Daten wir verwendet haben”; “Weiterbildung ‘Verantwortungsvolle KI’”</v>
      </c>
    </row>
    <row r="708" spans="1:8" x14ac:dyDescent="0.25">
      <c r="A708" s="36">
        <v>40</v>
      </c>
      <c r="B708" t="s">
        <v>83</v>
      </c>
      <c r="C708" s="4">
        <f>IF(Tabelle18[[#This Row],[binding_level_company]]&gt;=1,1,0)</f>
        <v>1</v>
      </c>
      <c r="D708" s="4">
        <f>IFERROR(_xlfn.MAXIFS(Tabelle5[binding_level],Tabelle5[company_id],Tabelle18[[#This Row],[company_id]],Tabelle5[value_id],Tabelle18[[#This Row],[value_id]],Tabelle5[value_present],1),0)</f>
        <v>3</v>
      </c>
      <c r="E708" s="4">
        <f>IFERROR(_xlfn.MAXIFS(Tabelle5[value_points],Tabelle5[company_id],Tabelle18[[#This Row],[company_id]],Tabelle5[value_id],Tabelle18[[#This Row],[value_id]]),0)</f>
        <v>3</v>
      </c>
      <c r="F708">
        <f>IF(Tabelle18[[#This Row],[value_points_company]]=0,"",IFERROR(_xlfn.MINIFS(Tabelle5[doc_id],Tabelle5[company_id],Tabelle18[[#This Row],[company_id]],Tabelle5[value_id],Tabelle18[[#This Row],[value_id]],Tabelle5[value_points],Tabelle18[[#This Row],[value_points_company]]),""))</f>
        <v>239</v>
      </c>
      <c r="G708" t="str" cm="1">
        <f t="array" ref="G708">IF(Tabelle18[[#This Row],[doc_id_strongest]]="","",IFERROR(INDEX(Tabelle5[evidence_location],MATCH(1,(Tabelle5[company_id]=Tabelle18[[#This Row],[company_id]])*(Tabelle5[value_id]=Tabelle18[[#This Row],[value_id]])*(Tabelle5[doc_id]=Tabelle18[[#This Row],[doc_id_strongest]]),0)),""))</f>
        <v>S. 10–14; S. 31; S. 43</v>
      </c>
      <c r="H708" s="33" t="str" cm="1">
        <f t="array" ref="H708">IF(Tabelle18[[#This Row],[doc_id_strongest]]="","",IFERROR(INDEX(Tabelle5[evidence_quote],MATCH(1,(Tabelle5[company_id]=Tabelle18[[#This Row],[company_id]])*(Tabelle5[value_id]=Tabelle18[[#This Row],[value_id]])*(Tabelle5[doc_id]=Tabelle18[[#This Row],[doc_id_strongest]]),0)),""))</f>
        <v>“jährlich eine Befragung zum Bewusstsein für die ethischen Risiken des maschinellen Lernens”; “mögliche Bias, dokumentieren die Ergebnisse intern transparent”; “potenzieller Schäden und der Sensibilität von Daten priorisieren”; “identifiziert, misst und korrigiert”</v>
      </c>
    </row>
    <row r="709" spans="1:8" x14ac:dyDescent="0.25">
      <c r="A709" s="36">
        <v>40</v>
      </c>
      <c r="B709" t="s">
        <v>90</v>
      </c>
      <c r="C709" s="4">
        <f>IF(Tabelle18[[#This Row],[binding_level_company]]&gt;=1,1,0)</f>
        <v>1</v>
      </c>
      <c r="D709" s="4">
        <f>IFERROR(_xlfn.MAXIFS(Tabelle5[binding_level],Tabelle5[company_id],Tabelle18[[#This Row],[company_id]],Tabelle5[value_id],Tabelle18[[#This Row],[value_id]],Tabelle5[value_present],1),0)</f>
        <v>3</v>
      </c>
      <c r="E709" s="4">
        <f>IFERROR(_xlfn.MAXIFS(Tabelle5[value_points],Tabelle5[company_id],Tabelle18[[#This Row],[company_id]],Tabelle5[value_id],Tabelle18[[#This Row],[value_id]]),0)</f>
        <v>3</v>
      </c>
      <c r="F709">
        <f>IF(Tabelle18[[#This Row],[value_points_company]]=0,"",IFERROR(_xlfn.MINIFS(Tabelle5[doc_id],Tabelle5[company_id],Tabelle18[[#This Row],[company_id]],Tabelle5[value_id],Tabelle18[[#This Row],[value_id]],Tabelle5[value_points],Tabelle18[[#This Row],[value_points_company]]),""))</f>
        <v>239</v>
      </c>
      <c r="G709" t="str" cm="1">
        <f t="array" ref="G709">IF(Tabelle18[[#This Row],[doc_id_strongest]]="","",IFERROR(INDEX(Tabelle5[evidence_location],MATCH(1,(Tabelle5[company_id]=Tabelle18[[#This Row],[company_id]])*(Tabelle5[value_id]=Tabelle18[[#This Row],[value_id]])*(Tabelle5[doc_id]=Tabelle18[[#This Row],[doc_id_strongest]]),0)),""))</f>
        <v>S. 17; S. 31; S. 43</v>
      </c>
      <c r="H709" s="33" t="str" cm="1">
        <f t="array" ref="H709">IF(Tabelle18[[#This Row],[doc_id_strongest]]="","",IFERROR(INDEX(Tabelle5[evidence_quote],MATCH(1,(Tabelle5[company_id]=Tabelle18[[#This Row],[company_id]])*(Tabelle5[value_id]=Tabelle18[[#This Row],[value_id]])*(Tabelle5[doc_id]=Tabelle18[[#This Row],[doc_id_strongest]]),0)),""))</f>
        <v>“Pipeline zur Bewertung von Fairness und Datenschutz”; “Datenschutz-Schwachstellen von Machine-Learning-Modellen zu testen”; “kontinuierliche Überwachung ... Datenschutz-Schwachstellen und Fairness-Metriken”</v>
      </c>
    </row>
    <row r="710" spans="1:8" x14ac:dyDescent="0.25">
      <c r="A710" s="36">
        <v>40</v>
      </c>
      <c r="B710" t="s">
        <v>98</v>
      </c>
      <c r="C710" s="4">
        <f>IF(Tabelle18[[#This Row],[binding_level_company]]&gt;=1,1,0)</f>
        <v>0</v>
      </c>
      <c r="D710" s="4">
        <f>IFERROR(_xlfn.MAXIFS(Tabelle5[binding_level],Tabelle5[company_id],Tabelle18[[#This Row],[company_id]],Tabelle5[value_id],Tabelle18[[#This Row],[value_id]],Tabelle5[value_present],1),0)</f>
        <v>0</v>
      </c>
      <c r="E710" s="4">
        <f>IFERROR(_xlfn.MAXIFS(Tabelle5[value_points],Tabelle5[company_id],Tabelle18[[#This Row],[company_id]],Tabelle5[value_id],Tabelle18[[#This Row],[value_id]]),0)</f>
        <v>0</v>
      </c>
      <c r="F710" t="str">
        <f>IF(Tabelle18[[#This Row],[value_points_company]]=0,"",IFERROR(_xlfn.MINIFS(Tabelle5[doc_id],Tabelle5[company_id],Tabelle18[[#This Row],[company_id]],Tabelle5[value_id],Tabelle18[[#This Row],[value_id]],Tabelle5[value_points],Tabelle18[[#This Row],[value_points_company]]),""))</f>
        <v/>
      </c>
      <c r="G710" t="str" cm="1">
        <f t="array" ref="G710">IF(Tabelle18[[#This Row],[doc_id_strongest]]="","",IFERROR(INDEX(Tabelle5[evidence_location],MATCH(1,(Tabelle5[company_id]=Tabelle18[[#This Row],[company_id]])*(Tabelle5[value_id]=Tabelle18[[#This Row],[value_id]])*(Tabelle5[doc_id]=Tabelle18[[#This Row],[doc_id_strongest]]),0)),""))</f>
        <v/>
      </c>
      <c r="H710" s="33" t="str" cm="1">
        <f t="array" ref="H710">IF(Tabelle18[[#This Row],[doc_id_strongest]]="","",IFERROR(INDEX(Tabelle5[evidence_quote],MATCH(1,(Tabelle5[company_id]=Tabelle18[[#This Row],[company_id]])*(Tabelle5[value_id]=Tabelle18[[#This Row],[value_id]])*(Tabelle5[doc_id]=Tabelle18[[#This Row],[doc_id_strongest]]),0)),""))</f>
        <v/>
      </c>
    </row>
    <row r="711" spans="1:8" x14ac:dyDescent="0.25">
      <c r="A711" s="36">
        <v>40</v>
      </c>
      <c r="B711" t="s">
        <v>106</v>
      </c>
      <c r="C711" s="4">
        <f>IF(Tabelle18[[#This Row],[binding_level_company]]&gt;=1,1,0)</f>
        <v>1</v>
      </c>
      <c r="D711" s="4">
        <f>IFERROR(_xlfn.MAXIFS(Tabelle5[binding_level],Tabelle5[company_id],Tabelle18[[#This Row],[company_id]],Tabelle5[value_id],Tabelle18[[#This Row],[value_id]],Tabelle5[value_present],1),0)</f>
        <v>3</v>
      </c>
      <c r="E711" s="4">
        <f>IFERROR(_xlfn.MAXIFS(Tabelle5[value_points],Tabelle5[company_id],Tabelle18[[#This Row],[company_id]],Tabelle5[value_id],Tabelle18[[#This Row],[value_id]]),0)</f>
        <v>3</v>
      </c>
      <c r="F711">
        <f>IF(Tabelle18[[#This Row],[value_points_company]]=0,"",IFERROR(_xlfn.MINIFS(Tabelle5[doc_id],Tabelle5[company_id],Tabelle18[[#This Row],[company_id]],Tabelle5[value_id],Tabelle18[[#This Row],[value_id]],Tabelle5[value_points],Tabelle18[[#This Row],[value_points_company]]),""))</f>
        <v>239</v>
      </c>
      <c r="G711" t="str" cm="1">
        <f t="array" ref="G711">IF(Tabelle18[[#This Row],[doc_id_strongest]]="","",IFERROR(INDEX(Tabelle5[evidence_location],MATCH(1,(Tabelle5[company_id]=Tabelle18[[#This Row],[company_id]])*(Tabelle5[value_id]=Tabelle18[[#This Row],[value_id]])*(Tabelle5[doc_id]=Tabelle18[[#This Row],[doc_id_strongest]]),0)),""))</f>
        <v>S. 12; S. 40; S. 43</v>
      </c>
      <c r="H711" s="33" t="str" cm="1">
        <f t="array" ref="H711">IF(Tabelle18[[#This Row],[doc_id_strongest]]="","",IFERROR(INDEX(Tabelle5[evidence_quote],MATCH(1,(Tabelle5[company_id]=Tabelle18[[#This Row],[company_id]])*(Tabelle5[value_id]=Tabelle18[[#This Row],[value_id]])*(Tabelle5[doc_id]=Tabelle18[[#This Row],[doc_id_strongest]]),0)),""))</f>
        <v>“potenzieller Schäden und der Sensibilität von Daten priorisieren”; “Schadensquellen und Quellen von Verzerrungen”; “Schadensquellen und Quellen von Verzerrungen”</v>
      </c>
    </row>
    <row r="712" spans="1:8" x14ac:dyDescent="0.25">
      <c r="A712" s="36">
        <v>40</v>
      </c>
      <c r="B712" t="s">
        <v>112</v>
      </c>
      <c r="C712" s="4">
        <f>IF(Tabelle18[[#This Row],[binding_level_company]]&gt;=1,1,0)</f>
        <v>1</v>
      </c>
      <c r="D712" s="4">
        <f>IFERROR(_xlfn.MAXIFS(Tabelle5[binding_level],Tabelle5[company_id],Tabelle18[[#This Row],[company_id]],Tabelle5[value_id],Tabelle18[[#This Row],[value_id]],Tabelle5[value_present],1),0)</f>
        <v>3</v>
      </c>
      <c r="E712" s="4">
        <f>IFERROR(_xlfn.MAXIFS(Tabelle5[value_points],Tabelle5[company_id],Tabelle18[[#This Row],[company_id]],Tabelle5[value_id],Tabelle18[[#This Row],[value_id]]),0)</f>
        <v>3</v>
      </c>
      <c r="F712">
        <f>IF(Tabelle18[[#This Row],[value_points_company]]=0,"",IFERROR(_xlfn.MINIFS(Tabelle5[doc_id],Tabelle5[company_id],Tabelle18[[#This Row],[company_id]],Tabelle5[value_id],Tabelle18[[#This Row],[value_id]],Tabelle5[value_points],Tabelle18[[#This Row],[value_points_company]]),""))</f>
        <v>239</v>
      </c>
      <c r="G712" t="str" cm="1">
        <f t="array" ref="G712">IF(Tabelle18[[#This Row],[doc_id_strongest]]="","",IFERROR(INDEX(Tabelle5[evidence_location],MATCH(1,(Tabelle5[company_id]=Tabelle18[[#This Row],[company_id]])*(Tabelle5[value_id]=Tabelle18[[#This Row],[value_id]])*(Tabelle5[doc_id]=Tabelle18[[#This Row],[doc_id_strongest]]),0)),""))</f>
        <v>S. 13; S. 31; S. 39</v>
      </c>
      <c r="H712" s="33" t="str" cm="1">
        <f t="array" ref="H712">IF(Tabelle18[[#This Row],[doc_id_strongest]]="","",IFERROR(INDEX(Tabelle5[evidence_quote],MATCH(1,(Tabelle5[company_id]=Tabelle18[[#This Row],[company_id]])*(Tabelle5[value_id]=Tabelle18[[#This Row],[value_id]])*(Tabelle5[doc_id]=Tabelle18[[#This Row],[doc_id_strongest]]),0)),""))</f>
        <v>“kontinuierliches Monitoring und frühzeitiges Eingreifen”; “kontinuierliche Überwachung ... Datenschutz-Schwachstellen und Fairness-Metriken”; “interne und externe Auditoren, die regelmäßig”</v>
      </c>
    </row>
    <row r="713" spans="1:8" x14ac:dyDescent="0.25">
      <c r="A713" s="36">
        <v>40</v>
      </c>
      <c r="B713" t="s">
        <v>118</v>
      </c>
      <c r="C713" s="4">
        <f>IF(Tabelle18[[#This Row],[binding_level_company]]&gt;=1,1,0)</f>
        <v>0</v>
      </c>
      <c r="D713" s="4">
        <f>IFERROR(_xlfn.MAXIFS(Tabelle5[binding_level],Tabelle5[company_id],Tabelle18[[#This Row],[company_id]],Tabelle5[value_id],Tabelle18[[#This Row],[value_id]],Tabelle5[value_present],1),0)</f>
        <v>0</v>
      </c>
      <c r="E713" s="4">
        <f>IFERROR(_xlfn.MAXIFS(Tabelle5[value_points],Tabelle5[company_id],Tabelle18[[#This Row],[company_id]],Tabelle5[value_id],Tabelle18[[#This Row],[value_id]]),0)</f>
        <v>0</v>
      </c>
      <c r="F713" t="str">
        <f>IF(Tabelle18[[#This Row],[value_points_company]]=0,"",IFERROR(_xlfn.MINIFS(Tabelle5[doc_id],Tabelle5[company_id],Tabelle18[[#This Row],[company_id]],Tabelle5[value_id],Tabelle18[[#This Row],[value_id]],Tabelle5[value_points],Tabelle18[[#This Row],[value_points_company]]),""))</f>
        <v/>
      </c>
      <c r="G713" t="str" cm="1">
        <f t="array" ref="G713">IF(Tabelle18[[#This Row],[doc_id_strongest]]="","",IFERROR(INDEX(Tabelle5[evidence_location],MATCH(1,(Tabelle5[company_id]=Tabelle18[[#This Row],[company_id]])*(Tabelle5[value_id]=Tabelle18[[#This Row],[value_id]])*(Tabelle5[doc_id]=Tabelle18[[#This Row],[doc_id_strongest]]),0)),""))</f>
        <v/>
      </c>
      <c r="H713" s="33" t="str" cm="1">
        <f t="array" ref="H713">IF(Tabelle18[[#This Row],[doc_id_strongest]]="","",IFERROR(INDEX(Tabelle5[evidence_quote],MATCH(1,(Tabelle5[company_id]=Tabelle18[[#This Row],[company_id]])*(Tabelle5[value_id]=Tabelle18[[#This Row],[value_id]])*(Tabelle5[doc_id]=Tabelle18[[#This Row],[doc_id_strongest]]),0)),""))</f>
        <v/>
      </c>
    </row>
    <row r="714" spans="1:8" x14ac:dyDescent="0.25">
      <c r="A714" s="36">
        <v>40</v>
      </c>
      <c r="B714" t="s">
        <v>125</v>
      </c>
      <c r="C714" s="4">
        <f>IF(Tabelle18[[#This Row],[binding_level_company]]&gt;=1,1,0)</f>
        <v>0</v>
      </c>
      <c r="D714" s="4">
        <f>IFERROR(_xlfn.MAXIFS(Tabelle5[binding_level],Tabelle5[company_id],Tabelle18[[#This Row],[company_id]],Tabelle5[value_id],Tabelle18[[#This Row],[value_id]],Tabelle5[value_present],1),0)</f>
        <v>0</v>
      </c>
      <c r="E714" s="4">
        <f>IFERROR(_xlfn.MAXIFS(Tabelle5[value_points],Tabelle5[company_id],Tabelle18[[#This Row],[company_id]],Tabelle5[value_id],Tabelle18[[#This Row],[value_id]]),0)</f>
        <v>0</v>
      </c>
      <c r="F714" t="str">
        <f>IF(Tabelle18[[#This Row],[value_points_company]]=0,"",IFERROR(_xlfn.MINIFS(Tabelle5[doc_id],Tabelle5[company_id],Tabelle18[[#This Row],[company_id]],Tabelle5[value_id],Tabelle18[[#This Row],[value_id]],Tabelle5[value_points],Tabelle18[[#This Row],[value_points_company]]),""))</f>
        <v/>
      </c>
      <c r="G714" t="str" cm="1">
        <f t="array" ref="G714">IF(Tabelle18[[#This Row],[doc_id_strongest]]="","",IFERROR(INDEX(Tabelle5[evidence_location],MATCH(1,(Tabelle5[company_id]=Tabelle18[[#This Row],[company_id]])*(Tabelle5[value_id]=Tabelle18[[#This Row],[value_id]])*(Tabelle5[doc_id]=Tabelle18[[#This Row],[doc_id_strongest]]),0)),""))</f>
        <v/>
      </c>
      <c r="H714" s="33" t="str" cm="1">
        <f t="array" ref="H714">IF(Tabelle18[[#This Row],[doc_id_strongest]]="","",IFERROR(INDEX(Tabelle5[evidence_quote],MATCH(1,(Tabelle5[company_id]=Tabelle18[[#This Row],[company_id]])*(Tabelle5[value_id]=Tabelle18[[#This Row],[value_id]])*(Tabelle5[doc_id]=Tabelle18[[#This Row],[doc_id_strongest]]),0)),""))</f>
        <v/>
      </c>
    </row>
    <row r="715" spans="1:8" x14ac:dyDescent="0.25">
      <c r="A715" s="36">
        <v>40</v>
      </c>
      <c r="B715" t="s">
        <v>132</v>
      </c>
      <c r="C715" s="4">
        <f>IF(Tabelle18[[#This Row],[binding_level_company]]&gt;=1,1,0)</f>
        <v>0</v>
      </c>
      <c r="D715" s="4">
        <f>IFERROR(_xlfn.MAXIFS(Tabelle5[binding_level],Tabelle5[company_id],Tabelle18[[#This Row],[company_id]],Tabelle5[value_id],Tabelle18[[#This Row],[value_id]],Tabelle5[value_present],1),0)</f>
        <v>0</v>
      </c>
      <c r="E715" s="4">
        <f>IFERROR(_xlfn.MAXIFS(Tabelle5[value_points],Tabelle5[company_id],Tabelle18[[#This Row],[company_id]],Tabelle5[value_id],Tabelle18[[#This Row],[value_id]]),0)</f>
        <v>0</v>
      </c>
      <c r="F715" t="str">
        <f>IF(Tabelle18[[#This Row],[value_points_company]]=0,"",IFERROR(_xlfn.MINIFS(Tabelle5[doc_id],Tabelle5[company_id],Tabelle18[[#This Row],[company_id]],Tabelle5[value_id],Tabelle18[[#This Row],[value_id]],Tabelle5[value_points],Tabelle18[[#This Row],[value_points_company]]),""))</f>
        <v/>
      </c>
      <c r="G715" t="str" cm="1">
        <f t="array" ref="G715">IF(Tabelle18[[#This Row],[doc_id_strongest]]="","",IFERROR(INDEX(Tabelle5[evidence_location],MATCH(1,(Tabelle5[company_id]=Tabelle18[[#This Row],[company_id]])*(Tabelle5[value_id]=Tabelle18[[#This Row],[value_id]])*(Tabelle5[doc_id]=Tabelle18[[#This Row],[doc_id_strongest]]),0)),""))</f>
        <v/>
      </c>
      <c r="H715" s="33" t="str" cm="1">
        <f t="array" ref="H715">IF(Tabelle18[[#This Row],[doc_id_strongest]]="","",IFERROR(INDEX(Tabelle5[evidence_quote],MATCH(1,(Tabelle5[company_id]=Tabelle18[[#This Row],[company_id]])*(Tabelle5[value_id]=Tabelle18[[#This Row],[value_id]])*(Tabelle5[doc_id]=Tabelle18[[#This Row],[doc_id_strongest]]),0)),""))</f>
        <v/>
      </c>
    </row>
    <row r="716" spans="1:8" x14ac:dyDescent="0.25">
      <c r="A716" s="36">
        <v>40</v>
      </c>
      <c r="B716" t="s">
        <v>140</v>
      </c>
      <c r="C716" s="4">
        <f>IF(Tabelle18[[#This Row],[binding_level_company]]&gt;=1,1,0)</f>
        <v>0</v>
      </c>
      <c r="D716" s="4">
        <f>IFERROR(_xlfn.MAXIFS(Tabelle5[binding_level],Tabelle5[company_id],Tabelle18[[#This Row],[company_id]],Tabelle5[value_id],Tabelle18[[#This Row],[value_id]],Tabelle5[value_present],1),0)</f>
        <v>0</v>
      </c>
      <c r="E716" s="4">
        <f>IFERROR(_xlfn.MAXIFS(Tabelle5[value_points],Tabelle5[company_id],Tabelle18[[#This Row],[company_id]],Tabelle5[value_id],Tabelle18[[#This Row],[value_id]]),0)</f>
        <v>0</v>
      </c>
      <c r="F716" t="str">
        <f>IF(Tabelle18[[#This Row],[value_points_company]]=0,"",IFERROR(_xlfn.MINIFS(Tabelle5[doc_id],Tabelle5[company_id],Tabelle18[[#This Row],[company_id]],Tabelle5[value_id],Tabelle18[[#This Row],[value_id]],Tabelle5[value_points],Tabelle18[[#This Row],[value_points_company]]),""))</f>
        <v/>
      </c>
      <c r="G716" t="str" cm="1">
        <f t="array" ref="G716">IF(Tabelle18[[#This Row],[doc_id_strongest]]="","",IFERROR(INDEX(Tabelle5[evidence_location],MATCH(1,(Tabelle5[company_id]=Tabelle18[[#This Row],[company_id]])*(Tabelle5[value_id]=Tabelle18[[#This Row],[value_id]])*(Tabelle5[doc_id]=Tabelle18[[#This Row],[doc_id_strongest]]),0)),""))</f>
        <v/>
      </c>
      <c r="H716" s="33" t="str" cm="1">
        <f t="array" ref="H716">IF(Tabelle18[[#This Row],[doc_id_strongest]]="","",IFERROR(INDEX(Tabelle5[evidence_quote],MATCH(1,(Tabelle5[company_id]=Tabelle18[[#This Row],[company_id]])*(Tabelle5[value_id]=Tabelle18[[#This Row],[value_id]])*(Tabelle5[doc_id]=Tabelle18[[#This Row],[doc_id_strongest]]),0)),""))</f>
        <v/>
      </c>
    </row>
    <row r="717" spans="1:8" x14ac:dyDescent="0.25">
      <c r="A717" s="36">
        <v>40</v>
      </c>
      <c r="B717" t="s">
        <v>147</v>
      </c>
      <c r="C717" s="4">
        <f>IF(Tabelle18[[#This Row],[binding_level_company]]&gt;=1,1,0)</f>
        <v>1</v>
      </c>
      <c r="D717" s="4">
        <f>IFERROR(_xlfn.MAXIFS(Tabelle5[binding_level],Tabelle5[company_id],Tabelle18[[#This Row],[company_id]],Tabelle5[value_id],Tabelle18[[#This Row],[value_id]],Tabelle5[value_present],1),0)</f>
        <v>3</v>
      </c>
      <c r="E717" s="4">
        <f>IFERROR(_xlfn.MAXIFS(Tabelle5[value_points],Tabelle5[company_id],Tabelle18[[#This Row],[company_id]],Tabelle5[value_id],Tabelle18[[#This Row],[value_id]]),0)</f>
        <v>3</v>
      </c>
      <c r="F717">
        <f>IF(Tabelle18[[#This Row],[value_points_company]]=0,"",IFERROR(_xlfn.MINIFS(Tabelle5[doc_id],Tabelle5[company_id],Tabelle18[[#This Row],[company_id]],Tabelle5[value_id],Tabelle18[[#This Row],[value_id]],Tabelle5[value_points],Tabelle18[[#This Row],[value_points_company]]),""))</f>
        <v>239</v>
      </c>
      <c r="G717" t="str" cm="1">
        <f t="array" ref="G717">IF(Tabelle18[[#This Row],[doc_id_strongest]]="","",IFERROR(INDEX(Tabelle5[evidence_location],MATCH(1,(Tabelle5[company_id]=Tabelle18[[#This Row],[company_id]])*(Tabelle5[value_id]=Tabelle18[[#This Row],[value_id]])*(Tabelle5[doc_id]=Tabelle18[[#This Row],[doc_id_strongest]]),0)),""))</f>
        <v>S. 15; S. 23; S. 43; S. 44</v>
      </c>
      <c r="H717" s="33" t="str" cm="1">
        <f t="array" ref="H717">IF(Tabelle18[[#This Row],[doc_id_strongest]]="","",IFERROR(INDEX(Tabelle5[evidence_quote],MATCH(1,(Tabelle5[company_id]=Tabelle18[[#This Row],[company_id]])*(Tabelle5[value_id]=Tabelle18[[#This Row],[value_id]])*(Tabelle5[doc_id]=Tabelle18[[#This Row],[doc_id_strongest]]),0)),""))</f>
        <v>“Rechtssicherheit im Kontext der EU-Verordnung über Künstliche Intelligenz”; “abstrakte rechtliche Bestimmungen zum Datenschutz”; “zusätzliche AI-Governance-Maßnahmen”</v>
      </c>
    </row>
    <row r="718" spans="1:8" x14ac:dyDescent="0.25">
      <c r="A718" s="36">
        <v>40</v>
      </c>
      <c r="B718" t="s">
        <v>154</v>
      </c>
      <c r="C718" s="4">
        <f>IF(Tabelle18[[#This Row],[binding_level_company]]&gt;=1,1,0)</f>
        <v>1</v>
      </c>
      <c r="D718" s="4">
        <f>IFERROR(_xlfn.MAXIFS(Tabelle5[binding_level],Tabelle5[company_id],Tabelle18[[#This Row],[company_id]],Tabelle5[value_id],Tabelle18[[#This Row],[value_id]],Tabelle5[value_present],1),0)</f>
        <v>2</v>
      </c>
      <c r="E718" s="4">
        <f>IFERROR(_xlfn.MAXIFS(Tabelle5[value_points],Tabelle5[company_id],Tabelle18[[#This Row],[company_id]],Tabelle5[value_id],Tabelle18[[#This Row],[value_id]]),0)</f>
        <v>2</v>
      </c>
      <c r="F718">
        <f>IF(Tabelle18[[#This Row],[value_points_company]]=0,"",IFERROR(_xlfn.MINIFS(Tabelle5[doc_id],Tabelle5[company_id],Tabelle18[[#This Row],[company_id]],Tabelle5[value_id],Tabelle18[[#This Row],[value_id]],Tabelle5[value_points],Tabelle18[[#This Row],[value_points_company]]),""))</f>
        <v>239</v>
      </c>
      <c r="G718" t="str" cm="1">
        <f t="array" ref="G718">IF(Tabelle18[[#This Row],[doc_id_strongest]]="","",IFERROR(INDEX(Tabelle5[evidence_location],MATCH(1,(Tabelle5[company_id]=Tabelle18[[#This Row],[company_id]])*(Tabelle5[value_id]=Tabelle18[[#This Row],[value_id]])*(Tabelle5[doc_id]=Tabelle18[[#This Row],[doc_id_strongest]]),0)),""))</f>
        <v>S. 43; S. 44; S. 56</v>
      </c>
      <c r="H718" s="33" t="str" cm="1">
        <f t="array" ref="H718">IF(Tabelle18[[#This Row],[doc_id_strongest]]="","",IFERROR(INDEX(Tabelle5[evidence_quote],MATCH(1,(Tabelle5[company_id]=Tabelle18[[#This Row],[company_id]])*(Tabelle5[value_id]=Tabelle18[[#This Row],[value_id]])*(Tabelle5[doc_id]=Tabelle18[[#This Row],[doc_id_strongest]]),0)),""))</f>
        <v>“zusätzliche AI-Governance-Maßnahmen”; “wie Fairness und Voreingenommenheit (Bias)”; “DIN-Normung für verantwortungsvolle ML-Entwicklung”</v>
      </c>
    </row>
    <row r="719" spans="1:8" x14ac:dyDescent="0.25">
      <c r="A719" s="36">
        <v>40</v>
      </c>
      <c r="B719" t="s">
        <v>161</v>
      </c>
      <c r="C719" s="4">
        <f>IF(Tabelle18[[#This Row],[binding_level_company]]&gt;=1,1,0)</f>
        <v>1</v>
      </c>
      <c r="D719" s="4">
        <f>IFERROR(_xlfn.MAXIFS(Tabelle5[binding_level],Tabelle5[company_id],Tabelle18[[#This Row],[company_id]],Tabelle5[value_id],Tabelle18[[#This Row],[value_id]],Tabelle5[value_present],1),0)</f>
        <v>3</v>
      </c>
      <c r="E719" s="4">
        <f>IFERROR(_xlfn.MAXIFS(Tabelle5[value_points],Tabelle5[company_id],Tabelle18[[#This Row],[company_id]],Tabelle5[value_id],Tabelle18[[#This Row],[value_id]]),0)</f>
        <v>3</v>
      </c>
      <c r="F719">
        <f>IF(Tabelle18[[#This Row],[value_points_company]]=0,"",IFERROR(_xlfn.MINIFS(Tabelle5[doc_id],Tabelle5[company_id],Tabelle18[[#This Row],[company_id]],Tabelle5[value_id],Tabelle18[[#This Row],[value_id]],Tabelle5[value_points],Tabelle18[[#This Row],[value_points_company]]),""))</f>
        <v>239</v>
      </c>
      <c r="G719" t="str" cm="1">
        <f t="array" ref="G719">IF(Tabelle18[[#This Row],[doc_id_strongest]]="","",IFERROR(INDEX(Tabelle5[evidence_location],MATCH(1,(Tabelle5[company_id]=Tabelle18[[#This Row],[company_id]])*(Tabelle5[value_id]=Tabelle18[[#This Row],[value_id]])*(Tabelle5[doc_id]=Tabelle18[[#This Row],[doc_id_strongest]]),0)),""))</f>
        <v>S. 11; S. 17; S. 31</v>
      </c>
      <c r="H719" s="33" t="str" cm="1">
        <f t="array" ref="H719">IF(Tabelle18[[#This Row],[doc_id_strongest]]="","",IFERROR(INDEX(Tabelle5[evidence_quote],MATCH(1,(Tabelle5[company_id]=Tabelle18[[#This Row],[company_id]])*(Tabelle5[value_id]=Tabelle18[[#This Row],[value_id]])*(Tabelle5[doc_id]=Tabelle18[[#This Row],[doc_id_strongest]]),0)),""))</f>
        <v>“Dokumentationsmethoden für Datensätze”; “Pipeline zur Bewertung von Fairness und Datenschutz”; “kontinuierliche Überwachung ... Datenschutz-Schwachstellen und Fairness-Metriken”</v>
      </c>
    </row>
    <row r="720" spans="1:8" x14ac:dyDescent="0.25">
      <c r="A720" s="36">
        <v>40</v>
      </c>
      <c r="B720" t="s">
        <v>166</v>
      </c>
      <c r="C720" s="4">
        <f>IF(Tabelle18[[#This Row],[binding_level_company]]&gt;=1,1,0)</f>
        <v>0</v>
      </c>
      <c r="D720" s="4">
        <f>IFERROR(_xlfn.MAXIFS(Tabelle5[binding_level],Tabelle5[company_id],Tabelle18[[#This Row],[company_id]],Tabelle5[value_id],Tabelle18[[#This Row],[value_id]],Tabelle5[value_present],1),0)</f>
        <v>0</v>
      </c>
      <c r="E720" s="4">
        <f>IFERROR(_xlfn.MAXIFS(Tabelle5[value_points],Tabelle5[company_id],Tabelle18[[#This Row],[company_id]],Tabelle5[value_id],Tabelle18[[#This Row],[value_id]]),0)</f>
        <v>0</v>
      </c>
      <c r="F720" t="str">
        <f>IF(Tabelle18[[#This Row],[value_points_company]]=0,"",IFERROR(_xlfn.MINIFS(Tabelle5[doc_id],Tabelle5[company_id],Tabelle18[[#This Row],[company_id]],Tabelle5[value_id],Tabelle18[[#This Row],[value_id]],Tabelle5[value_points],Tabelle18[[#This Row],[value_points_company]]),""))</f>
        <v/>
      </c>
      <c r="G720" t="str" cm="1">
        <f t="array" ref="G720">IF(Tabelle18[[#This Row],[doc_id_strongest]]="","",IFERROR(INDEX(Tabelle5[evidence_location],MATCH(1,(Tabelle5[company_id]=Tabelle18[[#This Row],[company_id]])*(Tabelle5[value_id]=Tabelle18[[#This Row],[value_id]])*(Tabelle5[doc_id]=Tabelle18[[#This Row],[doc_id_strongest]]),0)),""))</f>
        <v/>
      </c>
      <c r="H720" s="33" t="str" cm="1">
        <f t="array" ref="H720">IF(Tabelle18[[#This Row],[doc_id_strongest]]="","",IFERROR(INDEX(Tabelle5[evidence_quote],MATCH(1,(Tabelle5[company_id]=Tabelle18[[#This Row],[company_id]])*(Tabelle5[value_id]=Tabelle18[[#This Row],[value_id]])*(Tabelle5[doc_id]=Tabelle18[[#This Row],[doc_id_strongest]]),0)),""))</f>
        <v/>
      </c>
    </row>
    <row r="721" spans="1:8" ht="15.75" thickBot="1" x14ac:dyDescent="0.3">
      <c r="A721" s="37">
        <v>40</v>
      </c>
      <c r="B721" s="30" t="s">
        <v>174</v>
      </c>
      <c r="C721" s="49">
        <f>IF(Tabelle18[[#This Row],[binding_level_company]]&gt;=1,1,0)</f>
        <v>0</v>
      </c>
      <c r="D721" s="49">
        <f>IFERROR(_xlfn.MAXIFS(Tabelle5[binding_level],Tabelle5[company_id],Tabelle18[[#This Row],[company_id]],Tabelle5[value_id],Tabelle18[[#This Row],[value_id]],Tabelle5[value_present],1),0)</f>
        <v>0</v>
      </c>
      <c r="E721" s="49">
        <f>IFERROR(_xlfn.MAXIFS(Tabelle5[value_points],Tabelle5[company_id],Tabelle18[[#This Row],[company_id]],Tabelle5[value_id],Tabelle18[[#This Row],[value_id]]),0)</f>
        <v>0</v>
      </c>
      <c r="F721" s="30" t="str">
        <f>IF(Tabelle18[[#This Row],[value_points_company]]=0,"",IFERROR(_xlfn.MINIFS(Tabelle5[doc_id],Tabelle5[company_id],Tabelle18[[#This Row],[company_id]],Tabelle5[value_id],Tabelle18[[#This Row],[value_id]],Tabelle5[value_points],Tabelle18[[#This Row],[value_points_company]]),""))</f>
        <v/>
      </c>
      <c r="G721" s="30" t="str" cm="1">
        <f t="array" ref="G721">IF(Tabelle18[[#This Row],[doc_id_strongest]]="","",IFERROR(INDEX(Tabelle5[evidence_location],MATCH(1,(Tabelle5[company_id]=Tabelle18[[#This Row],[company_id]])*(Tabelle5[value_id]=Tabelle18[[#This Row],[value_id]])*(Tabelle5[doc_id]=Tabelle18[[#This Row],[doc_id_strongest]]),0)),""))</f>
        <v/>
      </c>
      <c r="H721" s="34" t="str" cm="1">
        <f t="array" ref="H721">IF(Tabelle18[[#This Row],[doc_id_strongest]]="","",IFERROR(INDEX(Tabelle5[evidence_quote],MATCH(1,(Tabelle5[company_id]=Tabelle18[[#This Row],[company_id]])*(Tabelle5[value_id]=Tabelle18[[#This Row],[value_id]])*(Tabelle5[doc_id]=Tabelle18[[#This Row],[doc_id_strongest]]),0)),""))</f>
        <v/>
      </c>
    </row>
  </sheetData>
  <phoneticPr fontId="1"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D432C-A6A2-414E-984B-A1197E0F3D16}">
  <sheetPr>
    <tabColor theme="4"/>
  </sheetPr>
  <dimension ref="A1:F281"/>
  <sheetViews>
    <sheetView topLeftCell="A273" workbookViewId="0">
      <selection sqref="A1:F281"/>
    </sheetView>
  </sheetViews>
  <sheetFormatPr baseColWidth="10" defaultRowHeight="15" x14ac:dyDescent="0.25"/>
  <cols>
    <col min="1" max="1" width="6.140625" customWidth="1"/>
    <col min="2" max="2" width="9.7109375" customWidth="1"/>
    <col min="3" max="3" width="4.28515625" customWidth="1"/>
    <col min="4" max="4" width="7" customWidth="1"/>
    <col min="5" max="5" width="76.5703125" customWidth="1"/>
    <col min="6" max="6" width="89.42578125" bestFit="1" customWidth="1"/>
  </cols>
  <sheetData>
    <row r="1" spans="1:6" ht="15.75" thickBot="1" x14ac:dyDescent="0.3">
      <c r="A1" t="s">
        <v>0</v>
      </c>
      <c r="B1" t="s">
        <v>37</v>
      </c>
      <c r="C1" t="s">
        <v>45</v>
      </c>
      <c r="D1" t="s">
        <v>46</v>
      </c>
      <c r="E1" t="s">
        <v>32</v>
      </c>
      <c r="F1" t="s">
        <v>33</v>
      </c>
    </row>
    <row r="2" spans="1:6" x14ac:dyDescent="0.25">
      <c r="A2" s="18">
        <v>1</v>
      </c>
      <c r="B2" s="19" t="s">
        <v>186</v>
      </c>
      <c r="C2" s="19" t="str">
        <f>IF(Tabelle728[[#This Row],[score_0_3]]=0,"",IFERROR(_xlfn.MINIFS(Tabelle7[doc_id],Tabelle7[company_id],Tabelle728[[#This Row],[company_id]],Tabelle7[gov_id],Tabelle728[[#This Row],[gov_crit_id]],Tabelle7[score_0_3],Tabelle728[[#This Row],[score_0_3]]),""))</f>
        <v/>
      </c>
      <c r="D2" s="20">
        <f>IFERROR(_xlfn.MAXIFS(Tabelle7[score_0_3],Tabelle7[company_id],Tabelle728[[#This Row],[company_id]],Tabelle7[gov_id],Tabelle728[[#This Row],[gov_crit_id]]),0)</f>
        <v>0</v>
      </c>
      <c r="E2" s="22" t="str" cm="1">
        <f t="array" ref="E2">IF(Tabelle728[[#This Row],[doc_id_primary_evidence]]="","",IFERROR(INDEX(Tabelle7[evidence_quote],MATCH(1,(Tabelle7[company_id]=Tabelle728[[#This Row],[company_id]])*(Tabelle7[gov_id]=Tabelle728[[#This Row],[gov_crit_id]])*(Tabelle7[doc_id]=Tabelle728[[#This Row],[doc_id_primary_evidence]]),0)),""))</f>
        <v/>
      </c>
      <c r="F2" s="50" t="str" cm="1">
        <f t="array" ref="F2">IF(Tabelle728[[#This Row],[doc_id_primary_evidence]]="","",IFERROR(INDEX(Tabelle7[evidence_location],MATCH(1,(Tabelle7[company_id]=Tabelle728[[#This Row],[company_id]])*(Tabelle7[gov_id]=Tabelle728[[#This Row],[gov_crit_id]])*(Tabelle7[doc_id]=Tabelle728[[#This Row],[doc_id_primary_evidence]]),0)),""))</f>
        <v/>
      </c>
    </row>
    <row r="3" spans="1:6" x14ac:dyDescent="0.25">
      <c r="A3" s="24">
        <v>1</v>
      </c>
      <c r="B3" s="2" t="s">
        <v>192</v>
      </c>
      <c r="C3" s="2" t="str">
        <f>IF(Tabelle728[[#This Row],[score_0_3]]=0,"",IFERROR(_xlfn.MINIFS(Tabelle7[doc_id],Tabelle7[company_id],Tabelle728[[#This Row],[company_id]],Tabelle7[gov_id],Tabelle728[[#This Row],[gov_crit_id]],Tabelle7[score_0_3],Tabelle728[[#This Row],[score_0_3]]),""))</f>
        <v/>
      </c>
      <c r="D3" s="3">
        <f>IFERROR(_xlfn.MAXIFS(Tabelle7[score_0_3],Tabelle7[company_id],Tabelle728[[#This Row],[company_id]],Tabelle7[gov_id],Tabelle728[[#This Row],[gov_crit_id]]),0)</f>
        <v>0</v>
      </c>
      <c r="E3" t="str" cm="1">
        <f t="array" ref="E3">IF(Tabelle728[[#This Row],[doc_id_primary_evidence]]="","",IFERROR(INDEX(Tabelle7[evidence_quote],MATCH(1,(Tabelle7[company_id]=Tabelle728[[#This Row],[company_id]])*(Tabelle7[gov_id]=Tabelle728[[#This Row],[gov_crit_id]])*(Tabelle7[doc_id]=Tabelle728[[#This Row],[doc_id_primary_evidence]]),0)),""))</f>
        <v/>
      </c>
      <c r="F3" s="51" t="str" cm="1">
        <f t="array" ref="F3">IF(Tabelle728[[#This Row],[doc_id_primary_evidence]]="","",IFERROR(INDEX(Tabelle7[evidence_location],MATCH(1,(Tabelle7[company_id]=Tabelle728[[#This Row],[company_id]])*(Tabelle7[gov_id]=Tabelle728[[#This Row],[gov_crit_id]])*(Tabelle7[doc_id]=Tabelle728[[#This Row],[doc_id_primary_evidence]]),0)),""))</f>
        <v/>
      </c>
    </row>
    <row r="4" spans="1:6" x14ac:dyDescent="0.25">
      <c r="A4" s="24">
        <v>1</v>
      </c>
      <c r="B4" s="2" t="s">
        <v>198</v>
      </c>
      <c r="C4" s="2" t="str">
        <f>IF(Tabelle728[[#This Row],[score_0_3]]=0,"",IFERROR(_xlfn.MINIFS(Tabelle7[doc_id],Tabelle7[company_id],Tabelle728[[#This Row],[company_id]],Tabelle7[gov_id],Tabelle728[[#This Row],[gov_crit_id]],Tabelle7[score_0_3],Tabelle728[[#This Row],[score_0_3]]),""))</f>
        <v/>
      </c>
      <c r="D4" s="3">
        <f>IFERROR(_xlfn.MAXIFS(Tabelle7[score_0_3],Tabelle7[company_id],Tabelle728[[#This Row],[company_id]],Tabelle7[gov_id],Tabelle728[[#This Row],[gov_crit_id]]),0)</f>
        <v>0</v>
      </c>
      <c r="E4" t="str" cm="1">
        <f t="array" ref="E4">IF(Tabelle728[[#This Row],[doc_id_primary_evidence]]="","",IFERROR(INDEX(Tabelle7[evidence_quote],MATCH(1,(Tabelle7[company_id]=Tabelle728[[#This Row],[company_id]])*(Tabelle7[gov_id]=Tabelle728[[#This Row],[gov_crit_id]])*(Tabelle7[doc_id]=Tabelle728[[#This Row],[doc_id_primary_evidence]]),0)),""))</f>
        <v/>
      </c>
      <c r="F4" s="51" t="str" cm="1">
        <f t="array" ref="F4">IF(Tabelle728[[#This Row],[doc_id_primary_evidence]]="","",IFERROR(INDEX(Tabelle7[evidence_location],MATCH(1,(Tabelle7[company_id]=Tabelle728[[#This Row],[company_id]])*(Tabelle7[gov_id]=Tabelle728[[#This Row],[gov_crit_id]])*(Tabelle7[doc_id]=Tabelle728[[#This Row],[doc_id_primary_evidence]]),0)),""))</f>
        <v/>
      </c>
    </row>
    <row r="5" spans="1:6" x14ac:dyDescent="0.25">
      <c r="A5" s="24">
        <v>1</v>
      </c>
      <c r="B5" s="2" t="s">
        <v>204</v>
      </c>
      <c r="C5" s="2" t="str">
        <f>IF(Tabelle728[[#This Row],[score_0_3]]=0,"",IFERROR(_xlfn.MINIFS(Tabelle7[doc_id],Tabelle7[company_id],Tabelle728[[#This Row],[company_id]],Tabelle7[gov_id],Tabelle728[[#This Row],[gov_crit_id]],Tabelle7[score_0_3],Tabelle728[[#This Row],[score_0_3]]),""))</f>
        <v/>
      </c>
      <c r="D5" s="3">
        <f>IFERROR(_xlfn.MAXIFS(Tabelle7[score_0_3],Tabelle7[company_id],Tabelle728[[#This Row],[company_id]],Tabelle7[gov_id],Tabelle728[[#This Row],[gov_crit_id]]),0)</f>
        <v>0</v>
      </c>
      <c r="E5" t="str" cm="1">
        <f t="array" ref="E5">IF(Tabelle728[[#This Row],[doc_id_primary_evidence]]="","",IFERROR(INDEX(Tabelle7[evidence_quote],MATCH(1,(Tabelle7[company_id]=Tabelle728[[#This Row],[company_id]])*(Tabelle7[gov_id]=Tabelle728[[#This Row],[gov_crit_id]])*(Tabelle7[doc_id]=Tabelle728[[#This Row],[doc_id_primary_evidence]]),0)),""))</f>
        <v/>
      </c>
      <c r="F5" s="51" t="str" cm="1">
        <f t="array" ref="F5">IF(Tabelle728[[#This Row],[doc_id_primary_evidence]]="","",IFERROR(INDEX(Tabelle7[evidence_location],MATCH(1,(Tabelle7[company_id]=Tabelle728[[#This Row],[company_id]])*(Tabelle7[gov_id]=Tabelle728[[#This Row],[gov_crit_id]])*(Tabelle7[doc_id]=Tabelle728[[#This Row],[doc_id_primary_evidence]]),0)),""))</f>
        <v/>
      </c>
    </row>
    <row r="6" spans="1:6" x14ac:dyDescent="0.25">
      <c r="A6" s="24">
        <v>1</v>
      </c>
      <c r="B6" s="2" t="s">
        <v>210</v>
      </c>
      <c r="C6" s="2" t="str">
        <f>IF(Tabelle728[[#This Row],[score_0_3]]=0,"",IFERROR(_xlfn.MINIFS(Tabelle7[doc_id],Tabelle7[company_id],Tabelle728[[#This Row],[company_id]],Tabelle7[gov_id],Tabelle728[[#This Row],[gov_crit_id]],Tabelle7[score_0_3],Tabelle728[[#This Row],[score_0_3]]),""))</f>
        <v/>
      </c>
      <c r="D6" s="3">
        <f>IFERROR(_xlfn.MAXIFS(Tabelle7[score_0_3],Tabelle7[company_id],Tabelle728[[#This Row],[company_id]],Tabelle7[gov_id],Tabelle728[[#This Row],[gov_crit_id]]),0)</f>
        <v>0</v>
      </c>
      <c r="E6" t="str" cm="1">
        <f t="array" ref="E6">IF(Tabelle728[[#This Row],[doc_id_primary_evidence]]="","",IFERROR(INDEX(Tabelle7[evidence_quote],MATCH(1,(Tabelle7[company_id]=Tabelle728[[#This Row],[company_id]])*(Tabelle7[gov_id]=Tabelle728[[#This Row],[gov_crit_id]])*(Tabelle7[doc_id]=Tabelle728[[#This Row],[doc_id_primary_evidence]]),0)),""))</f>
        <v/>
      </c>
      <c r="F6" s="51" t="str" cm="1">
        <f t="array" ref="F6">IF(Tabelle728[[#This Row],[doc_id_primary_evidence]]="","",IFERROR(INDEX(Tabelle7[evidence_location],MATCH(1,(Tabelle7[company_id]=Tabelle728[[#This Row],[company_id]])*(Tabelle7[gov_id]=Tabelle728[[#This Row],[gov_crit_id]])*(Tabelle7[doc_id]=Tabelle728[[#This Row],[doc_id_primary_evidence]]),0)),""))</f>
        <v/>
      </c>
    </row>
    <row r="7" spans="1:6" x14ac:dyDescent="0.25">
      <c r="A7" s="24">
        <v>1</v>
      </c>
      <c r="B7" s="2" t="s">
        <v>215</v>
      </c>
      <c r="C7" s="2" t="str">
        <f>IF(Tabelle728[[#This Row],[score_0_3]]=0,"",IFERROR(_xlfn.MINIFS(Tabelle7[doc_id],Tabelle7[company_id],Tabelle728[[#This Row],[company_id]],Tabelle7[gov_id],Tabelle728[[#This Row],[gov_crit_id]],Tabelle7[score_0_3],Tabelle728[[#This Row],[score_0_3]]),""))</f>
        <v/>
      </c>
      <c r="D7" s="3">
        <f>IFERROR(_xlfn.MAXIFS(Tabelle7[score_0_3],Tabelle7[company_id],Tabelle728[[#This Row],[company_id]],Tabelle7[gov_id],Tabelle728[[#This Row],[gov_crit_id]]),0)</f>
        <v>0</v>
      </c>
      <c r="E7" t="str" cm="1">
        <f t="array" ref="E7">IF(Tabelle728[[#This Row],[doc_id_primary_evidence]]="","",IFERROR(INDEX(Tabelle7[evidence_quote],MATCH(1,(Tabelle7[company_id]=Tabelle728[[#This Row],[company_id]])*(Tabelle7[gov_id]=Tabelle728[[#This Row],[gov_crit_id]])*(Tabelle7[doc_id]=Tabelle728[[#This Row],[doc_id_primary_evidence]]),0)),""))</f>
        <v/>
      </c>
      <c r="F7" s="51" t="str" cm="1">
        <f t="array" ref="F7">IF(Tabelle728[[#This Row],[doc_id_primary_evidence]]="","",IFERROR(INDEX(Tabelle7[evidence_location],MATCH(1,(Tabelle7[company_id]=Tabelle728[[#This Row],[company_id]])*(Tabelle7[gov_id]=Tabelle728[[#This Row],[gov_crit_id]])*(Tabelle7[doc_id]=Tabelle728[[#This Row],[doc_id_primary_evidence]]),0)),""))</f>
        <v/>
      </c>
    </row>
    <row r="8" spans="1:6" ht="15.75" thickBot="1" x14ac:dyDescent="0.3">
      <c r="A8" s="26">
        <v>1</v>
      </c>
      <c r="B8" s="27" t="s">
        <v>221</v>
      </c>
      <c r="C8" s="27" t="str">
        <f>IF(Tabelle728[[#This Row],[score_0_3]]=0,"",IFERROR(_xlfn.MINIFS(Tabelle7[doc_id],Tabelle7[company_id],Tabelle728[[#This Row],[company_id]],Tabelle7[gov_id],Tabelle728[[#This Row],[gov_crit_id]],Tabelle7[score_0_3],Tabelle728[[#This Row],[score_0_3]]),""))</f>
        <v/>
      </c>
      <c r="D8" s="28">
        <f>IFERROR(_xlfn.MAXIFS(Tabelle7[score_0_3],Tabelle7[company_id],Tabelle728[[#This Row],[company_id]],Tabelle7[gov_id],Tabelle728[[#This Row],[gov_crit_id]]),0)</f>
        <v>0</v>
      </c>
      <c r="E8" s="30" t="str" cm="1">
        <f t="array" ref="E8">IF(Tabelle728[[#This Row],[doc_id_primary_evidence]]="","",IFERROR(INDEX(Tabelle7[evidence_quote],MATCH(1,(Tabelle7[company_id]=Tabelle728[[#This Row],[company_id]])*(Tabelle7[gov_id]=Tabelle728[[#This Row],[gov_crit_id]])*(Tabelle7[doc_id]=Tabelle728[[#This Row],[doc_id_primary_evidence]]),0)),""))</f>
        <v/>
      </c>
      <c r="F8" s="52" t="str" cm="1">
        <f t="array" ref="F8">IF(Tabelle728[[#This Row],[doc_id_primary_evidence]]="","",IFERROR(INDEX(Tabelle7[evidence_location],MATCH(1,(Tabelle7[company_id]=Tabelle728[[#This Row],[company_id]])*(Tabelle7[gov_id]=Tabelle728[[#This Row],[gov_crit_id]])*(Tabelle7[doc_id]=Tabelle728[[#This Row],[doc_id_primary_evidence]]),0)),""))</f>
        <v/>
      </c>
    </row>
    <row r="9" spans="1:6" x14ac:dyDescent="0.25">
      <c r="A9" s="18">
        <v>2</v>
      </c>
      <c r="B9" s="19" t="s">
        <v>186</v>
      </c>
      <c r="C9" s="19" t="str">
        <f>IF(Tabelle728[[#This Row],[score_0_3]]=0,"",IFERROR(_xlfn.MINIFS(Tabelle7[doc_id],Tabelle7[company_id],Tabelle728[[#This Row],[company_id]],Tabelle7[gov_id],Tabelle728[[#This Row],[gov_crit_id]],Tabelle7[score_0_3],Tabelle728[[#This Row],[score_0_3]]),""))</f>
        <v/>
      </c>
      <c r="D9" s="20">
        <f>IFERROR(_xlfn.MAXIFS(Tabelle7[score_0_3],Tabelle7[company_id],Tabelle728[[#This Row],[company_id]],Tabelle7[gov_id],Tabelle728[[#This Row],[gov_crit_id]]),0)</f>
        <v>0</v>
      </c>
      <c r="E9" s="22" t="str" cm="1">
        <f t="array" ref="E9">IF(Tabelle728[[#This Row],[doc_id_primary_evidence]]="","",IFERROR(INDEX(Tabelle7[evidence_quote],MATCH(1,(Tabelle7[company_id]=Tabelle728[[#This Row],[company_id]])*(Tabelle7[gov_id]=Tabelle728[[#This Row],[gov_crit_id]])*(Tabelle7[doc_id]=Tabelle728[[#This Row],[doc_id_primary_evidence]]),0)),""))</f>
        <v/>
      </c>
      <c r="F9" s="50" t="str" cm="1">
        <f t="array" ref="F9">IF(Tabelle728[[#This Row],[doc_id_primary_evidence]]="","",IFERROR(INDEX(Tabelle7[evidence_location],MATCH(1,(Tabelle7[company_id]=Tabelle728[[#This Row],[company_id]])*(Tabelle7[gov_id]=Tabelle728[[#This Row],[gov_crit_id]])*(Tabelle7[doc_id]=Tabelle728[[#This Row],[doc_id_primary_evidence]]),0)),""))</f>
        <v/>
      </c>
    </row>
    <row r="10" spans="1:6" x14ac:dyDescent="0.25">
      <c r="A10" s="24">
        <v>2</v>
      </c>
      <c r="B10" s="2" t="s">
        <v>192</v>
      </c>
      <c r="C10" s="2">
        <f>IF(Tabelle728[[#This Row],[score_0_3]]=0,"",IFERROR(_xlfn.MINIFS(Tabelle7[doc_id],Tabelle7[company_id],Tabelle728[[#This Row],[company_id]],Tabelle7[gov_id],Tabelle728[[#This Row],[gov_crit_id]],Tabelle7[score_0_3],Tabelle728[[#This Row],[score_0_3]]),""))</f>
        <v>9</v>
      </c>
      <c r="D10" s="3">
        <f>IFERROR(_xlfn.MAXIFS(Tabelle7[score_0_3],Tabelle7[company_id],Tabelle728[[#This Row],[company_id]],Tabelle7[gov_id],Tabelle728[[#This Row],[gov_crit_id]]),0)</f>
        <v>2</v>
      </c>
      <c r="E10" t="str" cm="1">
        <f t="array" ref="E10">IF(Tabelle728[[#This Row],[doc_id_primary_evidence]]="","",IFERROR(INDEX(Tabelle7[evidence_quote],MATCH(1,(Tabelle7[company_id]=Tabelle728[[#This Row],[company_id]])*(Tabelle7[gov_id]=Tabelle728[[#This Row],[gov_crit_id]])*(Tabelle7[doc_id]=Tabelle728[[#This Row],[doc_id_primary_evidence]]),0)),""))</f>
        <v>“Regularly review artificial intelligence systems”</v>
      </c>
      <c r="F10" s="51" t="str" cm="1">
        <f t="array" ref="F10">IF(Tabelle728[[#This Row],[doc_id_primary_evidence]]="","",IFERROR(INDEX(Tabelle7[evidence_location],MATCH(1,(Tabelle7[company_id]=Tabelle728[[#This Row],[company_id]])*(Tabelle7[gov_id]=Tabelle728[[#This Row],[gov_crit_id]])*(Tabelle7[doc_id]=Tabelle728[[#This Row],[doc_id_primary_evidence]]),0)),""))</f>
        <v>S. 31, Digital Ethics</v>
      </c>
    </row>
    <row r="11" spans="1:6" x14ac:dyDescent="0.25">
      <c r="A11" s="24">
        <v>2</v>
      </c>
      <c r="B11" s="2" t="s">
        <v>198</v>
      </c>
      <c r="C11" s="2">
        <f>IF(Tabelle728[[#This Row],[score_0_3]]=0,"",IFERROR(_xlfn.MINIFS(Tabelle7[doc_id],Tabelle7[company_id],Tabelle728[[#This Row],[company_id]],Tabelle7[gov_id],Tabelle728[[#This Row],[gov_crit_id]],Tabelle7[score_0_3],Tabelle728[[#This Row],[score_0_3]]),""))</f>
        <v>9</v>
      </c>
      <c r="D11" s="3">
        <f>IFERROR(_xlfn.MAXIFS(Tabelle7[score_0_3],Tabelle7[company_id],Tabelle728[[#This Row],[company_id]],Tabelle7[gov_id],Tabelle728[[#This Row],[gov_crit_id]]),0)</f>
        <v>2</v>
      </c>
      <c r="E11" t="str" cm="1">
        <f t="array" ref="E11">IF(Tabelle728[[#This Row],[doc_id_primary_evidence]]="","",IFERROR(INDEX(Tabelle7[evidence_quote],MATCH(1,(Tabelle7[company_id]=Tabelle728[[#This Row],[company_id]])*(Tabelle7[gov_id]=Tabelle728[[#This Row],[gov_crit_id]])*(Tabelle7[doc_id]=Tabelle728[[#This Row],[doc_id_primary_evidence]]),0)),""))</f>
        <v>“Regularly review artificial intelligence systems to ensure fairness and prevent biases.”</v>
      </c>
      <c r="F11" s="51" t="str" cm="1">
        <f t="array" ref="F11">IF(Tabelle728[[#This Row],[doc_id_primary_evidence]]="","",IFERROR(INDEX(Tabelle7[evidence_location],MATCH(1,(Tabelle7[company_id]=Tabelle728[[#This Row],[company_id]])*(Tabelle7[gov_id]=Tabelle728[[#This Row],[gov_crit_id]])*(Tabelle7[doc_id]=Tabelle728[[#This Row],[doc_id_primary_evidence]]),0)),""))</f>
        <v>S. 31, Digital Ethics</v>
      </c>
    </row>
    <row r="12" spans="1:6" x14ac:dyDescent="0.25">
      <c r="A12" s="24">
        <v>2</v>
      </c>
      <c r="B12" s="2" t="s">
        <v>204</v>
      </c>
      <c r="C12" s="2" t="str">
        <f>IF(Tabelle728[[#This Row],[score_0_3]]=0,"",IFERROR(_xlfn.MINIFS(Tabelle7[doc_id],Tabelle7[company_id],Tabelle728[[#This Row],[company_id]],Tabelle7[gov_id],Tabelle728[[#This Row],[gov_crit_id]],Tabelle7[score_0_3],Tabelle728[[#This Row],[score_0_3]]),""))</f>
        <v/>
      </c>
      <c r="D12" s="3">
        <f>IFERROR(_xlfn.MAXIFS(Tabelle7[score_0_3],Tabelle7[company_id],Tabelle728[[#This Row],[company_id]],Tabelle7[gov_id],Tabelle728[[#This Row],[gov_crit_id]]),0)</f>
        <v>0</v>
      </c>
      <c r="E12" t="str" cm="1">
        <f t="array" ref="E12">IF(Tabelle728[[#This Row],[doc_id_primary_evidence]]="","",IFERROR(INDEX(Tabelle7[evidence_quote],MATCH(1,(Tabelle7[company_id]=Tabelle728[[#This Row],[company_id]])*(Tabelle7[gov_id]=Tabelle728[[#This Row],[gov_crit_id]])*(Tabelle7[doc_id]=Tabelle728[[#This Row],[doc_id_primary_evidence]]),0)),""))</f>
        <v/>
      </c>
      <c r="F12" s="51" t="str" cm="1">
        <f t="array" ref="F12">IF(Tabelle728[[#This Row],[doc_id_primary_evidence]]="","",IFERROR(INDEX(Tabelle7[evidence_location],MATCH(1,(Tabelle7[company_id]=Tabelle728[[#This Row],[company_id]])*(Tabelle7[gov_id]=Tabelle728[[#This Row],[gov_crit_id]])*(Tabelle7[doc_id]=Tabelle728[[#This Row],[doc_id_primary_evidence]]),0)),""))</f>
        <v/>
      </c>
    </row>
    <row r="13" spans="1:6" x14ac:dyDescent="0.25">
      <c r="A13" s="24">
        <v>2</v>
      </c>
      <c r="B13" s="2" t="s">
        <v>210</v>
      </c>
      <c r="C13" s="2" t="str">
        <f>IF(Tabelle728[[#This Row],[score_0_3]]=0,"",IFERROR(_xlfn.MINIFS(Tabelle7[doc_id],Tabelle7[company_id],Tabelle728[[#This Row],[company_id]],Tabelle7[gov_id],Tabelle728[[#This Row],[gov_crit_id]],Tabelle7[score_0_3],Tabelle728[[#This Row],[score_0_3]]),""))</f>
        <v/>
      </c>
      <c r="D13" s="3">
        <f>IFERROR(_xlfn.MAXIFS(Tabelle7[score_0_3],Tabelle7[company_id],Tabelle728[[#This Row],[company_id]],Tabelle7[gov_id],Tabelle728[[#This Row],[gov_crit_id]]),0)</f>
        <v>0</v>
      </c>
      <c r="E13" t="str" cm="1">
        <f t="array" ref="E13">IF(Tabelle728[[#This Row],[doc_id_primary_evidence]]="","",IFERROR(INDEX(Tabelle7[evidence_quote],MATCH(1,(Tabelle7[company_id]=Tabelle728[[#This Row],[company_id]])*(Tabelle7[gov_id]=Tabelle728[[#This Row],[gov_crit_id]])*(Tabelle7[doc_id]=Tabelle728[[#This Row],[doc_id_primary_evidence]]),0)),""))</f>
        <v/>
      </c>
      <c r="F13" s="51" t="str" cm="1">
        <f t="array" ref="F13">IF(Tabelle728[[#This Row],[doc_id_primary_evidence]]="","",IFERROR(INDEX(Tabelle7[evidence_location],MATCH(1,(Tabelle7[company_id]=Tabelle728[[#This Row],[company_id]])*(Tabelle7[gov_id]=Tabelle728[[#This Row],[gov_crit_id]])*(Tabelle7[doc_id]=Tabelle728[[#This Row],[doc_id_primary_evidence]]),0)),""))</f>
        <v/>
      </c>
    </row>
    <row r="14" spans="1:6" x14ac:dyDescent="0.25">
      <c r="A14" s="24">
        <v>2</v>
      </c>
      <c r="B14" s="2" t="s">
        <v>215</v>
      </c>
      <c r="C14" s="2" t="str">
        <f>IF(Tabelle728[[#This Row],[score_0_3]]=0,"",IFERROR(_xlfn.MINIFS(Tabelle7[doc_id],Tabelle7[company_id],Tabelle728[[#This Row],[company_id]],Tabelle7[gov_id],Tabelle728[[#This Row],[gov_crit_id]],Tabelle7[score_0_3],Tabelle728[[#This Row],[score_0_3]]),""))</f>
        <v/>
      </c>
      <c r="D14" s="3">
        <f>IFERROR(_xlfn.MAXIFS(Tabelle7[score_0_3],Tabelle7[company_id],Tabelle728[[#This Row],[company_id]],Tabelle7[gov_id],Tabelle728[[#This Row],[gov_crit_id]]),0)</f>
        <v>0</v>
      </c>
      <c r="E14" t="str" cm="1">
        <f t="array" ref="E14">IF(Tabelle728[[#This Row],[doc_id_primary_evidence]]="","",IFERROR(INDEX(Tabelle7[evidence_quote],MATCH(1,(Tabelle7[company_id]=Tabelle728[[#This Row],[company_id]])*(Tabelle7[gov_id]=Tabelle728[[#This Row],[gov_crit_id]])*(Tabelle7[doc_id]=Tabelle728[[#This Row],[doc_id_primary_evidence]]),0)),""))</f>
        <v/>
      </c>
      <c r="F14" s="51" t="str" cm="1">
        <f t="array" ref="F14">IF(Tabelle728[[#This Row],[doc_id_primary_evidence]]="","",IFERROR(INDEX(Tabelle7[evidence_location],MATCH(1,(Tabelle7[company_id]=Tabelle728[[#This Row],[company_id]])*(Tabelle7[gov_id]=Tabelle728[[#This Row],[gov_crit_id]])*(Tabelle7[doc_id]=Tabelle728[[#This Row],[doc_id_primary_evidence]]),0)),""))</f>
        <v/>
      </c>
    </row>
    <row r="15" spans="1:6" ht="15.75" thickBot="1" x14ac:dyDescent="0.3">
      <c r="A15" s="26">
        <v>2</v>
      </c>
      <c r="B15" s="27" t="s">
        <v>221</v>
      </c>
      <c r="C15" s="27" t="str">
        <f>IF(Tabelle728[[#This Row],[score_0_3]]=0,"",IFERROR(_xlfn.MINIFS(Tabelle7[doc_id],Tabelle7[company_id],Tabelle728[[#This Row],[company_id]],Tabelle7[gov_id],Tabelle728[[#This Row],[gov_crit_id]],Tabelle7[score_0_3],Tabelle728[[#This Row],[score_0_3]]),""))</f>
        <v/>
      </c>
      <c r="D15" s="28">
        <f>IFERROR(_xlfn.MAXIFS(Tabelle7[score_0_3],Tabelle7[company_id],Tabelle728[[#This Row],[company_id]],Tabelle7[gov_id],Tabelle728[[#This Row],[gov_crit_id]]),0)</f>
        <v>0</v>
      </c>
      <c r="E15" s="30" t="str" cm="1">
        <f t="array" ref="E15">IF(Tabelle728[[#This Row],[doc_id_primary_evidence]]="","",IFERROR(INDEX(Tabelle7[evidence_quote],MATCH(1,(Tabelle7[company_id]=Tabelle728[[#This Row],[company_id]])*(Tabelle7[gov_id]=Tabelle728[[#This Row],[gov_crit_id]])*(Tabelle7[doc_id]=Tabelle728[[#This Row],[doc_id_primary_evidence]]),0)),""))</f>
        <v/>
      </c>
      <c r="F15" s="52" t="str" cm="1">
        <f t="array" ref="F15">IF(Tabelle728[[#This Row],[doc_id_primary_evidence]]="","",IFERROR(INDEX(Tabelle7[evidence_location],MATCH(1,(Tabelle7[company_id]=Tabelle728[[#This Row],[company_id]])*(Tabelle7[gov_id]=Tabelle728[[#This Row],[gov_crit_id]])*(Tabelle7[doc_id]=Tabelle728[[#This Row],[doc_id_primary_evidence]]),0)),""))</f>
        <v/>
      </c>
    </row>
    <row r="16" spans="1:6" x14ac:dyDescent="0.25">
      <c r="A16" s="18">
        <v>3</v>
      </c>
      <c r="B16" s="19" t="s">
        <v>186</v>
      </c>
      <c r="C16" s="19">
        <f>IF(Tabelle728[[#This Row],[score_0_3]]=0,"",IFERROR(_xlfn.MINIFS(Tabelle7[doc_id],Tabelle7[company_id],Tabelle728[[#This Row],[company_id]],Tabelle7[gov_id],Tabelle728[[#This Row],[gov_crit_id]],Tabelle7[score_0_3],Tabelle728[[#This Row],[score_0_3]]),""))</f>
        <v>16</v>
      </c>
      <c r="D16" s="20">
        <f>IFERROR(_xlfn.MAXIFS(Tabelle7[score_0_3],Tabelle7[company_id],Tabelle728[[#This Row],[company_id]],Tabelle7[gov_id],Tabelle728[[#This Row],[gov_crit_id]]),0)</f>
        <v>2</v>
      </c>
      <c r="E16" s="22" t="str" cm="1">
        <f t="array" ref="E16">IF(Tabelle728[[#This Row],[doc_id_primary_evidence]]="","",IFERROR(INDEX(Tabelle7[evidence_quote],MATCH(1,(Tabelle7[company_id]=Tabelle728[[#This Row],[company_id]])*(Tabelle7[gov_id]=Tabelle728[[#This Row],[gov_crit_id]])*(Tabelle7[doc_id]=Tabelle728[[#This Row],[doc_id_primary_evidence]]),0)),""))</f>
        <v>“established a Group Data and AI Trust Advisory Board (DAITAB)"; “establishes the new role of an AI Trust Officer”</v>
      </c>
      <c r="F16" s="50" t="str" cm="1">
        <f t="array" ref="F16">IF(Tabelle728[[#This Row],[doc_id_primary_evidence]]="","",IFERROR(INDEX(Tabelle7[evidence_location],MATCH(1,(Tabelle7[company_id]=Tabelle728[[#This Row],[company_id]])*(Tabelle7[gov_id]=Tabelle728[[#This Row],[gov_crit_id]])*(Tabelle7[doc_id]=Tabelle728[[#This Row],[doc_id_primary_evidence]]),0)),""))</f>
        <v>S. 5–6, DAITAB / Responsible AI Corporate Rules</v>
      </c>
    </row>
    <row r="17" spans="1:6" x14ac:dyDescent="0.25">
      <c r="A17" s="24">
        <v>3</v>
      </c>
      <c r="B17" s="2" t="s">
        <v>192</v>
      </c>
      <c r="C17" s="2">
        <f>IF(Tabelle728[[#This Row],[score_0_3]]=0,"",IFERROR(_xlfn.MINIFS(Tabelle7[doc_id],Tabelle7[company_id],Tabelle728[[#This Row],[company_id]],Tabelle7[gov_id],Tabelle728[[#This Row],[gov_crit_id]],Tabelle7[score_0_3],Tabelle728[[#This Row],[score_0_3]]),""))</f>
        <v>16</v>
      </c>
      <c r="D17" s="3">
        <f>IFERROR(_xlfn.MAXIFS(Tabelle7[score_0_3],Tabelle7[company_id],Tabelle728[[#This Row],[company_id]],Tabelle7[gov_id],Tabelle728[[#This Row],[gov_crit_id]]),0)</f>
        <v>2</v>
      </c>
      <c r="E17" t="str" cm="1">
        <f t="array" ref="E17">IF(Tabelle728[[#This Row],[doc_id_primary_evidence]]="","",IFERROR(INDEX(Tabelle7[evidence_quote],MATCH(1,(Tabelle7[company_id]=Tabelle728[[#This Row],[company_id]])*(Tabelle7[gov_id]=Tabelle728[[#This Row],[gov_crit_id]])*(Tabelle7[doc_id]=Tabelle728[[#This Row],[doc_id_primary_evidence]]),0)),""))</f>
        <v>"we consult relevant stakeholders – whether from the business, data science, IT”; “collectively establish the core principles and framework”; “extending privacy risk assessments to cover all RAI principles”</v>
      </c>
      <c r="F17" s="51" t="str" cm="1">
        <f t="array" ref="F17">IF(Tabelle728[[#This Row],[doc_id_primary_evidence]]="","",IFERROR(INDEX(Tabelle7[evidence_location],MATCH(1,(Tabelle7[company_id]=Tabelle728[[#This Row],[company_id]])*(Tabelle7[gov_id]=Tabelle728[[#This Row],[gov_crit_id]])*(Tabelle7[doc_id]=Tabelle728[[#This Row],[doc_id_primary_evidence]]),0)),""))</f>
        <v>S. 2; S. 6, RAI approach / Responsible AI Corporate Rules</v>
      </c>
    </row>
    <row r="18" spans="1:6" x14ac:dyDescent="0.25">
      <c r="A18" s="24">
        <v>3</v>
      </c>
      <c r="B18" s="2" t="s">
        <v>198</v>
      </c>
      <c r="C18" s="2">
        <f>IF(Tabelle728[[#This Row],[score_0_3]]=0,"",IFERROR(_xlfn.MINIFS(Tabelle7[doc_id],Tabelle7[company_id],Tabelle728[[#This Row],[company_id]],Tabelle7[gov_id],Tabelle728[[#This Row],[gov_crit_id]],Tabelle7[score_0_3],Tabelle728[[#This Row],[score_0_3]]),""))</f>
        <v>16</v>
      </c>
      <c r="D18" s="3">
        <f>IFERROR(_xlfn.MAXIFS(Tabelle7[score_0_3],Tabelle7[company_id],Tabelle728[[#This Row],[company_id]],Tabelle7[gov_id],Tabelle728[[#This Row],[gov_crit_id]]),0)</f>
        <v>2</v>
      </c>
      <c r="E18" t="str" cm="1">
        <f t="array" ref="E18">IF(Tabelle728[[#This Row],[doc_id_primary_evidence]]="","",IFERROR(INDEX(Tabelle7[evidence_quote],MATCH(1,(Tabelle7[company_id]=Tabelle728[[#This Row],[company_id]])*(Tabelle7[gov_id]=Tabelle728[[#This Row],[gov_crit_id]])*(Tabelle7[doc_id]=Tabelle728[[#This Row],[doc_id_primary_evidence]]),0)),""))</f>
        <v>“perform a dedicated privacy risk assessment”; “extending privacy risk assessments to cover all RAI principles”; “monitor AI risks, conduct RAI-assessments with the CDO”</v>
      </c>
      <c r="F18" s="51" t="str" cm="1">
        <f t="array" ref="F18">IF(Tabelle728[[#This Row],[doc_id_primary_evidence]]="","",IFERROR(INDEX(Tabelle7[evidence_location],MATCH(1,(Tabelle7[company_id]=Tabelle728[[#This Row],[company_id]])*(Tabelle7[gov_id]=Tabelle728[[#This Row],[gov_crit_id]])*(Tabelle7[doc_id]=Tabelle728[[#This Row],[doc_id_primary_evidence]]),0)),""))</f>
        <v>S. 4; S. 6, Data Privacy / Responsible AI Corporate Rules</v>
      </c>
    </row>
    <row r="19" spans="1:6" x14ac:dyDescent="0.25">
      <c r="A19" s="24">
        <v>3</v>
      </c>
      <c r="B19" s="2" t="s">
        <v>204</v>
      </c>
      <c r="C19" s="2" t="str">
        <f>IF(Tabelle728[[#This Row],[score_0_3]]=0,"",IFERROR(_xlfn.MINIFS(Tabelle7[doc_id],Tabelle7[company_id],Tabelle728[[#This Row],[company_id]],Tabelle7[gov_id],Tabelle728[[#This Row],[gov_crit_id]],Tabelle7[score_0_3],Tabelle728[[#This Row],[score_0_3]]),""))</f>
        <v/>
      </c>
      <c r="D19" s="3">
        <f>IFERROR(_xlfn.MAXIFS(Tabelle7[score_0_3],Tabelle7[company_id],Tabelle728[[#This Row],[company_id]],Tabelle7[gov_id],Tabelle728[[#This Row],[gov_crit_id]]),0)</f>
        <v>0</v>
      </c>
      <c r="E19" t="str" cm="1">
        <f t="array" ref="E19">IF(Tabelle728[[#This Row],[doc_id_primary_evidence]]="","",IFERROR(INDEX(Tabelle7[evidence_quote],MATCH(1,(Tabelle7[company_id]=Tabelle728[[#This Row],[company_id]])*(Tabelle7[gov_id]=Tabelle728[[#This Row],[gov_crit_id]])*(Tabelle7[doc_id]=Tabelle728[[#This Row],[doc_id_primary_evidence]]),0)),""))</f>
        <v/>
      </c>
      <c r="F19" s="51" t="str" cm="1">
        <f t="array" ref="F19">IF(Tabelle728[[#This Row],[doc_id_primary_evidence]]="","",IFERROR(INDEX(Tabelle7[evidence_location],MATCH(1,(Tabelle7[company_id]=Tabelle728[[#This Row],[company_id]])*(Tabelle7[gov_id]=Tabelle728[[#This Row],[gov_crit_id]])*(Tabelle7[doc_id]=Tabelle728[[#This Row],[doc_id_primary_evidence]]),0)),""))</f>
        <v/>
      </c>
    </row>
    <row r="20" spans="1:6" x14ac:dyDescent="0.25">
      <c r="A20" s="24">
        <v>3</v>
      </c>
      <c r="B20" s="2" t="s">
        <v>210</v>
      </c>
      <c r="C20" s="2">
        <f>IF(Tabelle728[[#This Row],[score_0_3]]=0,"",IFERROR(_xlfn.MINIFS(Tabelle7[doc_id],Tabelle7[company_id],Tabelle728[[#This Row],[company_id]],Tabelle7[gov_id],Tabelle728[[#This Row],[gov_crit_id]],Tabelle7[score_0_3],Tabelle728[[#This Row],[score_0_3]]),""))</f>
        <v>16</v>
      </c>
      <c r="D20" s="3">
        <f>IFERROR(_xlfn.MAXIFS(Tabelle7[score_0_3],Tabelle7[company_id],Tabelle728[[#This Row],[company_id]],Tabelle7[gov_id],Tabelle728[[#This Row],[gov_crit_id]]),0)</f>
        <v>2</v>
      </c>
      <c r="E20" t="str" cm="1">
        <f t="array" ref="E20">IF(Tabelle728[[#This Row],[doc_id_primary_evidence]]="","",IFERROR(INDEX(Tabelle7[evidence_quote],MATCH(1,(Tabelle7[company_id]=Tabelle728[[#This Row],[company_id]])*(Tabelle7[gov_id]=Tabelle728[[#This Row],[gov_crit_id]])*(Tabelle7[doc_id]=Tabelle728[[#This Row],[doc_id_primary_evidence]]),0)),""))</f>
        <v>“strategically upskilling our workforce”; “providing operational guidance, technical support, AI literacy”</v>
      </c>
      <c r="F20" s="51" t="str" cm="1">
        <f t="array" ref="F20">IF(Tabelle728[[#This Row],[doc_id_primary_evidence]]="","",IFERROR(INDEX(Tabelle7[evidence_location],MATCH(1,(Tabelle7[company_id]=Tabelle728[[#This Row],[company_id]])*(Tabelle7[gov_id]=Tabelle728[[#This Row],[gov_crit_id]])*(Tabelle7[doc_id]=Tabelle728[[#This Row],[doc_id_primary_evidence]]),0)),""))</f>
        <v>S. 2; S. 6, RAI approach / Responsible AI Corporate Rules</v>
      </c>
    </row>
    <row r="21" spans="1:6" x14ac:dyDescent="0.25">
      <c r="A21" s="24">
        <v>3</v>
      </c>
      <c r="B21" s="2" t="s">
        <v>215</v>
      </c>
      <c r="C21" s="2">
        <f>IF(Tabelle728[[#This Row],[score_0_3]]=0,"",IFERROR(_xlfn.MINIFS(Tabelle7[doc_id],Tabelle7[company_id],Tabelle728[[#This Row],[company_id]],Tabelle7[gov_id],Tabelle728[[#This Row],[gov_crit_id]],Tabelle7[score_0_3],Tabelle728[[#This Row],[score_0_3]]),""))</f>
        <v>16</v>
      </c>
      <c r="D21" s="3">
        <f>IFERROR(_xlfn.MAXIFS(Tabelle7[score_0_3],Tabelle7[company_id],Tabelle728[[#This Row],[company_id]],Tabelle7[gov_id],Tabelle728[[#This Row],[gov_crit_id]]),0)</f>
        <v>2</v>
      </c>
      <c r="E21" t="str" cm="1">
        <f t="array" ref="E21">IF(Tabelle728[[#This Row],[doc_id_primary_evidence]]="","",IFERROR(INDEX(Tabelle7[evidence_quote],MATCH(1,(Tabelle7[company_id]=Tabelle728[[#This Row],[company_id]])*(Tabelle7[gov_id]=Tabelle728[[#This Row],[gov_crit_id]])*(Tabelle7[doc_id]=Tabelle728[[#This Row],[doc_id_primary_evidence]]),0)),""))</f>
        <v>“supports Business Owners in incident management”; “escalate unresolved risk disagreements to the DAITAB”</v>
      </c>
      <c r="F21" s="51" t="str" cm="1">
        <f t="array" ref="F21">IF(Tabelle728[[#This Row],[doc_id_primary_evidence]]="","",IFERROR(INDEX(Tabelle7[evidence_location],MATCH(1,(Tabelle7[company_id]=Tabelle728[[#This Row],[company_id]])*(Tabelle7[gov_id]=Tabelle728[[#This Row],[gov_crit_id]])*(Tabelle7[doc_id]=Tabelle728[[#This Row],[doc_id_primary_evidence]]),0)),""))</f>
        <v>S. 6, Responsible AI Corporate Rules</v>
      </c>
    </row>
    <row r="22" spans="1:6" ht="15.75" thickBot="1" x14ac:dyDescent="0.3">
      <c r="A22" s="26">
        <v>3</v>
      </c>
      <c r="B22" s="27" t="s">
        <v>221</v>
      </c>
      <c r="C22" s="27">
        <f>IF(Tabelle728[[#This Row],[score_0_3]]=0,"",IFERROR(_xlfn.MINIFS(Tabelle7[doc_id],Tabelle7[company_id],Tabelle728[[#This Row],[company_id]],Tabelle7[gov_id],Tabelle728[[#This Row],[gov_crit_id]],Tabelle7[score_0_3],Tabelle728[[#This Row],[score_0_3]]),""))</f>
        <v>21</v>
      </c>
      <c r="D22" s="28">
        <f>IFERROR(_xlfn.MAXIFS(Tabelle7[score_0_3],Tabelle7[company_id],Tabelle728[[#This Row],[company_id]],Tabelle7[gov_id],Tabelle728[[#This Row],[gov_crit_id]]),0)</f>
        <v>1</v>
      </c>
      <c r="E22" s="30" t="str" cm="1">
        <f t="array" ref="E22">IF(Tabelle728[[#This Row],[doc_id_primary_evidence]]="","",IFERROR(INDEX(Tabelle7[evidence_quote],MATCH(1,(Tabelle7[company_id]=Tabelle728[[#This Row],[company_id]])*(Tabelle7[gov_id]=Tabelle728[[#This Row],[gov_crit_id]])*(Tabelle7[doc_id]=Tabelle728[[#This Row],[doc_id_primary_evidence]]),0)),""))</f>
        <v>“Disclosures on impact of AI”; “reported internally and externally”</v>
      </c>
      <c r="F22" s="52" t="str" cm="1">
        <f t="array" ref="F22">IF(Tabelle728[[#This Row],[doc_id_primary_evidence]]="","",IFERROR(INDEX(Tabelle7[evidence_location],MATCH(1,(Tabelle7[company_id]=Tabelle728[[#This Row],[company_id]])*(Tabelle7[gov_id]=Tabelle728[[#This Row],[gov_crit_id]])*(Tabelle7[doc_id]=Tabelle728[[#This Row],[doc_id_primary_evidence]]),0)),""))</f>
        <v>S. 4, Engagement / Exhibit 3</v>
      </c>
    </row>
    <row r="23" spans="1:6" x14ac:dyDescent="0.25">
      <c r="A23" s="18">
        <v>4</v>
      </c>
      <c r="B23" s="19" t="s">
        <v>186</v>
      </c>
      <c r="C23" s="19">
        <f>IF(Tabelle728[[#This Row],[score_0_3]]=0,"",IFERROR(_xlfn.MINIFS(Tabelle7[doc_id],Tabelle7[company_id],Tabelle728[[#This Row],[company_id]],Tabelle7[gov_id],Tabelle728[[#This Row],[gov_crit_id]],Tabelle7[score_0_3],Tabelle728[[#This Row],[score_0_3]]),""))</f>
        <v>22</v>
      </c>
      <c r="D23" s="20">
        <f>IFERROR(_xlfn.MAXIFS(Tabelle7[score_0_3],Tabelle7[company_id],Tabelle728[[#This Row],[company_id]],Tabelle7[gov_id],Tabelle728[[#This Row],[gov_crit_id]]),0)</f>
        <v>1</v>
      </c>
      <c r="E23" s="22" t="str" cm="1">
        <f t="array" ref="E23">IF(Tabelle728[[#This Row],[doc_id_primary_evidence]]="","",IFERROR(INDEX(Tabelle7[evidence_quote],MATCH(1,(Tabelle7[company_id]=Tabelle728[[#This Row],[company_id]])*(Tabelle7[gov_id]=Tabelle728[[#This Row],[gov_crit_id]])*(Tabelle7[doc_id]=Tabelle728[[#This Row],[doc_id_primary_evidence]]),0)),""))</f>
        <v>“please contact our Data &amp; AI office”</v>
      </c>
      <c r="F23" s="50" t="str" cm="1">
        <f t="array" ref="F23">IF(Tabelle728[[#This Row],[doc_id_primary_evidence]]="","",IFERROR(INDEX(Tabelle7[evidence_location],MATCH(1,(Tabelle7[company_id]=Tabelle728[[#This Row],[company_id]])*(Tabelle7[gov_id]=Tabelle728[[#This Row],[gov_crit_id]])*(Tabelle7[doc_id]=Tabelle728[[#This Row],[doc_id_primary_evidence]]),0)),""))</f>
        <v>S. 3, For any questions or inquiries</v>
      </c>
    </row>
    <row r="24" spans="1:6" x14ac:dyDescent="0.25">
      <c r="A24" s="24">
        <v>4</v>
      </c>
      <c r="B24" s="2" t="s">
        <v>192</v>
      </c>
      <c r="C24" s="2">
        <f>IF(Tabelle728[[#This Row],[score_0_3]]=0,"",IFERROR(_xlfn.MINIFS(Tabelle7[doc_id],Tabelle7[company_id],Tabelle728[[#This Row],[company_id]],Tabelle7[gov_id],Tabelle728[[#This Row],[gov_crit_id]],Tabelle7[score_0_3],Tabelle728[[#This Row],[score_0_3]]),""))</f>
        <v>22</v>
      </c>
      <c r="D24" s="3">
        <f>IFERROR(_xlfn.MAXIFS(Tabelle7[score_0_3],Tabelle7[company_id],Tabelle728[[#This Row],[company_id]],Tabelle7[gov_id],Tabelle728[[#This Row],[gov_crit_id]]),0)</f>
        <v>2</v>
      </c>
      <c r="E24" t="str" cm="1">
        <f t="array" ref="E24">IF(Tabelle728[[#This Row],[doc_id_primary_evidence]]="","",IFERROR(INDEX(Tabelle7[evidence_quote],MATCH(1,(Tabelle7[company_id]=Tabelle728[[#This Row],[company_id]])*(Tabelle7[gov_id]=Tabelle728[[#This Row],[gov_crit_id]])*(Tabelle7[doc_id]=Tabelle728[[#This Row],[doc_id_primary_evidence]]),0)),""))</f>
        <v>“maintains a central inventory and conducts necessary assessments”; “ensure compliance and proactively manage risks”</v>
      </c>
      <c r="F24" s="51" t="str" cm="1">
        <f t="array" ref="F24">IF(Tabelle728[[#This Row],[doc_id_primary_evidence]]="","",IFERROR(INDEX(Tabelle7[evidence_location],MATCH(1,(Tabelle7[company_id]=Tabelle728[[#This Row],[company_id]])*(Tabelle7[gov_id]=Tabelle728[[#This Row],[gov_crit_id]])*(Tabelle7[doc_id]=Tabelle728[[#This Row],[doc_id_primary_evidence]]),0)),""))</f>
        <v>S. 1, BASF’s Commitment to Responsible AI</v>
      </c>
    </row>
    <row r="25" spans="1:6" x14ac:dyDescent="0.25">
      <c r="A25" s="24">
        <v>4</v>
      </c>
      <c r="B25" s="2" t="s">
        <v>198</v>
      </c>
      <c r="C25" s="2">
        <f>IF(Tabelle728[[#This Row],[score_0_3]]=0,"",IFERROR(_xlfn.MINIFS(Tabelle7[doc_id],Tabelle7[company_id],Tabelle728[[#This Row],[company_id]],Tabelle7[gov_id],Tabelle728[[#This Row],[gov_crit_id]],Tabelle7[score_0_3],Tabelle728[[#This Row],[score_0_3]]),""))</f>
        <v>22</v>
      </c>
      <c r="D25" s="3">
        <f>IFERROR(_xlfn.MAXIFS(Tabelle7[score_0_3],Tabelle7[company_id],Tabelle728[[#This Row],[company_id]],Tabelle7[gov_id],Tabelle728[[#This Row],[gov_crit_id]]),0)</f>
        <v>2</v>
      </c>
      <c r="E25" t="str" cm="1">
        <f t="array" ref="E25">IF(Tabelle728[[#This Row],[doc_id_primary_evidence]]="","",IFERROR(INDEX(Tabelle7[evidence_quote],MATCH(1,(Tabelle7[company_id]=Tabelle728[[#This Row],[company_id]])*(Tabelle7[gov_id]=Tabelle728[[#This Row],[gov_crit_id]])*(Tabelle7[doc_id]=Tabelle728[[#This Row],[doc_id_primary_evidence]]),0)),""))</f>
        <v>“maintains a central inventory and conducts necessary assessments”</v>
      </c>
      <c r="F25" s="51" t="str" cm="1">
        <f t="array" ref="F25">IF(Tabelle728[[#This Row],[doc_id_primary_evidence]]="","",IFERROR(INDEX(Tabelle7[evidence_location],MATCH(1,(Tabelle7[company_id]=Tabelle728[[#This Row],[company_id]])*(Tabelle7[gov_id]=Tabelle728[[#This Row],[gov_crit_id]])*(Tabelle7[doc_id]=Tabelle728[[#This Row],[doc_id_primary_evidence]]),0)),""))</f>
        <v>S. 1, BASF’s Commitment to Responsible AI</v>
      </c>
    </row>
    <row r="26" spans="1:6" x14ac:dyDescent="0.25">
      <c r="A26" s="24">
        <v>4</v>
      </c>
      <c r="B26" s="2" t="s">
        <v>204</v>
      </c>
      <c r="C26" s="2" t="str">
        <f>IF(Tabelle728[[#This Row],[score_0_3]]=0,"",IFERROR(_xlfn.MINIFS(Tabelle7[doc_id],Tabelle7[company_id],Tabelle728[[#This Row],[company_id]],Tabelle7[gov_id],Tabelle728[[#This Row],[gov_crit_id]],Tabelle7[score_0_3],Tabelle728[[#This Row],[score_0_3]]),""))</f>
        <v/>
      </c>
      <c r="D26" s="3">
        <f>IFERROR(_xlfn.MAXIFS(Tabelle7[score_0_3],Tabelle7[company_id],Tabelle728[[#This Row],[company_id]],Tabelle7[gov_id],Tabelle728[[#This Row],[gov_crit_id]]),0)</f>
        <v>0</v>
      </c>
      <c r="E26" t="str" cm="1">
        <f t="array" ref="E26">IF(Tabelle728[[#This Row],[doc_id_primary_evidence]]="","",IFERROR(INDEX(Tabelle7[evidence_quote],MATCH(1,(Tabelle7[company_id]=Tabelle728[[#This Row],[company_id]])*(Tabelle7[gov_id]=Tabelle728[[#This Row],[gov_crit_id]])*(Tabelle7[doc_id]=Tabelle728[[#This Row],[doc_id_primary_evidence]]),0)),""))</f>
        <v/>
      </c>
      <c r="F26" s="51" t="str" cm="1">
        <f t="array" ref="F26">IF(Tabelle728[[#This Row],[doc_id_primary_evidence]]="","",IFERROR(INDEX(Tabelle7[evidence_location],MATCH(1,(Tabelle7[company_id]=Tabelle728[[#This Row],[company_id]])*(Tabelle7[gov_id]=Tabelle728[[#This Row],[gov_crit_id]])*(Tabelle7[doc_id]=Tabelle728[[#This Row],[doc_id_primary_evidence]]),0)),""))</f>
        <v/>
      </c>
    </row>
    <row r="27" spans="1:6" x14ac:dyDescent="0.25">
      <c r="A27" s="24">
        <v>4</v>
      </c>
      <c r="B27" s="2" t="s">
        <v>210</v>
      </c>
      <c r="C27" s="2">
        <f>IF(Tabelle728[[#This Row],[score_0_3]]=0,"",IFERROR(_xlfn.MINIFS(Tabelle7[doc_id],Tabelle7[company_id],Tabelle728[[#This Row],[company_id]],Tabelle7[gov_id],Tabelle728[[#This Row],[gov_crit_id]],Tabelle7[score_0_3],Tabelle728[[#This Row],[score_0_3]]),""))</f>
        <v>23</v>
      </c>
      <c r="D27" s="3">
        <f>IFERROR(_xlfn.MAXIFS(Tabelle7[score_0_3],Tabelle7[company_id],Tabelle728[[#This Row],[company_id]],Tabelle7[gov_id],Tabelle728[[#This Row],[gov_crit_id]]),0)</f>
        <v>1</v>
      </c>
      <c r="E27" t="str" cm="1">
        <f t="array" ref="E27">IF(Tabelle728[[#This Row],[doc_id_primary_evidence]]="","",IFERROR(INDEX(Tabelle7[evidence_quote],MATCH(1,(Tabelle7[company_id]=Tabelle728[[#This Row],[company_id]])*(Tabelle7[gov_id]=Tabelle728[[#This Row],[gov_crit_id]])*(Tabelle7[doc_id]=Tabelle728[[#This Row],[doc_id_primary_evidence]]),0)),""))</f>
        <v>“build strong digital capabilities throughout the company”</v>
      </c>
      <c r="F27" s="51" t="str" cm="1">
        <f t="array" ref="F27">IF(Tabelle728[[#This Row],[doc_id_primary_evidence]]="","",IFERROR(INDEX(Tabelle7[evidence_location],MATCH(1,(Tabelle7[company_id]=Tabelle728[[#This Row],[company_id]])*(Tabelle7[gov_id]=Tabelle728[[#This Row],[gov_crit_id]])*(Tabelle7[doc_id]=Tabelle728[[#This Row],[doc_id_primary_evidence]]),0)),""))</f>
        <v>S. 49, Digital responsibility</v>
      </c>
    </row>
    <row r="28" spans="1:6" x14ac:dyDescent="0.25">
      <c r="A28" s="24">
        <v>4</v>
      </c>
      <c r="B28" s="2" t="s">
        <v>215</v>
      </c>
      <c r="C28" s="2" t="str">
        <f>IF(Tabelle728[[#This Row],[score_0_3]]=0,"",IFERROR(_xlfn.MINIFS(Tabelle7[doc_id],Tabelle7[company_id],Tabelle728[[#This Row],[company_id]],Tabelle7[gov_id],Tabelle728[[#This Row],[gov_crit_id]],Tabelle7[score_0_3],Tabelle728[[#This Row],[score_0_3]]),""))</f>
        <v/>
      </c>
      <c r="D28" s="3">
        <f>IFERROR(_xlfn.MAXIFS(Tabelle7[score_0_3],Tabelle7[company_id],Tabelle728[[#This Row],[company_id]],Tabelle7[gov_id],Tabelle728[[#This Row],[gov_crit_id]]),0)</f>
        <v>0</v>
      </c>
      <c r="E28" t="str" cm="1">
        <f t="array" ref="E28">IF(Tabelle728[[#This Row],[doc_id_primary_evidence]]="","",IFERROR(INDEX(Tabelle7[evidence_quote],MATCH(1,(Tabelle7[company_id]=Tabelle728[[#This Row],[company_id]])*(Tabelle7[gov_id]=Tabelle728[[#This Row],[gov_crit_id]])*(Tabelle7[doc_id]=Tabelle728[[#This Row],[doc_id_primary_evidence]]),0)),""))</f>
        <v/>
      </c>
      <c r="F28" s="51" t="str" cm="1">
        <f t="array" ref="F28">IF(Tabelle728[[#This Row],[doc_id_primary_evidence]]="","",IFERROR(INDEX(Tabelle7[evidence_location],MATCH(1,(Tabelle7[company_id]=Tabelle728[[#This Row],[company_id]])*(Tabelle7[gov_id]=Tabelle728[[#This Row],[gov_crit_id]])*(Tabelle7[doc_id]=Tabelle728[[#This Row],[doc_id_primary_evidence]]),0)),""))</f>
        <v/>
      </c>
    </row>
    <row r="29" spans="1:6" ht="15.75" thickBot="1" x14ac:dyDescent="0.3">
      <c r="A29" s="26">
        <v>4</v>
      </c>
      <c r="B29" s="27" t="s">
        <v>221</v>
      </c>
      <c r="C29" s="27" t="str">
        <f>IF(Tabelle728[[#This Row],[score_0_3]]=0,"",IFERROR(_xlfn.MINIFS(Tabelle7[doc_id],Tabelle7[company_id],Tabelle728[[#This Row],[company_id]],Tabelle7[gov_id],Tabelle728[[#This Row],[gov_crit_id]],Tabelle7[score_0_3],Tabelle728[[#This Row],[score_0_3]]),""))</f>
        <v/>
      </c>
      <c r="D29" s="28">
        <f>IFERROR(_xlfn.MAXIFS(Tabelle7[score_0_3],Tabelle7[company_id],Tabelle728[[#This Row],[company_id]],Tabelle7[gov_id],Tabelle728[[#This Row],[gov_crit_id]]),0)</f>
        <v>0</v>
      </c>
      <c r="E29" s="30" t="str" cm="1">
        <f t="array" ref="E29">IF(Tabelle728[[#This Row],[doc_id_primary_evidence]]="","",IFERROR(INDEX(Tabelle7[evidence_quote],MATCH(1,(Tabelle7[company_id]=Tabelle728[[#This Row],[company_id]])*(Tabelle7[gov_id]=Tabelle728[[#This Row],[gov_crit_id]])*(Tabelle7[doc_id]=Tabelle728[[#This Row],[doc_id_primary_evidence]]),0)),""))</f>
        <v/>
      </c>
      <c r="F29" s="52" t="str" cm="1">
        <f t="array" ref="F29">IF(Tabelle728[[#This Row],[doc_id_primary_evidence]]="","",IFERROR(INDEX(Tabelle7[evidence_location],MATCH(1,(Tabelle7[company_id]=Tabelle728[[#This Row],[company_id]])*(Tabelle7[gov_id]=Tabelle728[[#This Row],[gov_crit_id]])*(Tabelle7[doc_id]=Tabelle728[[#This Row],[doc_id_primary_evidence]]),0)),""))</f>
        <v/>
      </c>
    </row>
    <row r="30" spans="1:6" x14ac:dyDescent="0.25">
      <c r="A30" s="18">
        <v>5</v>
      </c>
      <c r="B30" s="19" t="s">
        <v>186</v>
      </c>
      <c r="C30" s="19">
        <f>IF(Tabelle728[[#This Row],[score_0_3]]=0,"",IFERROR(_xlfn.MINIFS(Tabelle7[doc_id],Tabelle7[company_id],Tabelle728[[#This Row],[company_id]],Tabelle7[gov_id],Tabelle728[[#This Row],[gov_crit_id]],Tabelle7[score_0_3],Tabelle728[[#This Row],[score_0_3]]),""))</f>
        <v>28</v>
      </c>
      <c r="D30" s="20">
        <f>IFERROR(_xlfn.MAXIFS(Tabelle7[score_0_3],Tabelle7[company_id],Tabelle728[[#This Row],[company_id]],Tabelle7[gov_id],Tabelle728[[#This Row],[gov_crit_id]]),0)</f>
        <v>2</v>
      </c>
      <c r="E30" s="22" t="str" cm="1">
        <f t="array" ref="E30">IF(Tabelle728[[#This Row],[doc_id_primary_evidence]]="","",IFERROR(INDEX(Tabelle7[evidence_quote],MATCH(1,(Tabelle7[company_id]=Tabelle728[[#This Row],[company_id]])*(Tabelle7[gov_id]=Tabelle728[[#This Row],[gov_crit_id]])*(Tabelle7[doc_id]=Tabelle728[[#This Row],[doc_id_primary_evidence]]),0)),""))</f>
        <v>“The GenAI Catalyst Team will review and update Bayer’s Generative Artificial Intelligence Guidance and Rules”; “after mandatory consultation with Quality Assurance”; “contact the data privacy organization via go/LPC-platform.”</v>
      </c>
      <c r="F30" s="50" t="str" cm="1">
        <f t="array" ref="F30">IF(Tabelle728[[#This Row],[doc_id_primary_evidence]]="","",IFERROR(INDEX(Tabelle7[evidence_location],MATCH(1,(Tabelle7[company_id]=Tabelle728[[#This Row],[company_id]])*(Tabelle7[gov_id]=Tabelle728[[#This Row],[gov_crit_id]])*(Tabelle7[doc_id]=Tabelle728[[#This Row],[doc_id_primary_evidence]]),0)),""))</f>
        <v>S. 1–2; S. 1 Regel 2; S. 2 unten rechts</v>
      </c>
    </row>
    <row r="31" spans="1:6" x14ac:dyDescent="0.25">
      <c r="A31" s="24">
        <v>5</v>
      </c>
      <c r="B31" s="2" t="s">
        <v>192</v>
      </c>
      <c r="C31" s="2">
        <f>IF(Tabelle728[[#This Row],[score_0_3]]=0,"",IFERROR(_xlfn.MINIFS(Tabelle7[doc_id],Tabelle7[company_id],Tabelle728[[#This Row],[company_id]],Tabelle7[gov_id],Tabelle728[[#This Row],[gov_crit_id]],Tabelle7[score_0_3],Tabelle728[[#This Row],[score_0_3]]),""))</f>
        <v>28</v>
      </c>
      <c r="D31" s="3">
        <f>IFERROR(_xlfn.MAXIFS(Tabelle7[score_0_3],Tabelle7[company_id],Tabelle728[[#This Row],[company_id]],Tabelle7[gov_id],Tabelle728[[#This Row],[gov_crit_id]]),0)</f>
        <v>2</v>
      </c>
      <c r="E31" t="str" cm="1">
        <f t="array" ref="E31">IF(Tabelle728[[#This Row],[doc_id_primary_evidence]]="","",IFERROR(INDEX(Tabelle7[evidence_quote],MATCH(1,(Tabelle7[company_id]=Tabelle728[[#This Row],[company_id]])*(Tabelle7[gov_id]=Tabelle728[[#This Row],[gov_crit_id]])*(Tabelle7[doc_id]=Tabelle728[[#This Row],[doc_id_primary_evidence]]),0)),""))</f>
        <v>“Examples where prior data privacy assessment is required”; “Obtain a prior data privacy assessment when using AI for HR-related purposes”; “after mandatory consultation with Quality Assurance”</v>
      </c>
      <c r="F31" s="51" t="str" cm="1">
        <f t="array" ref="F31">IF(Tabelle728[[#This Row],[doc_id_primary_evidence]]="","",IFERROR(INDEX(Tabelle7[evidence_location],MATCH(1,(Tabelle7[company_id]=Tabelle728[[#This Row],[company_id]])*(Tabelle7[gov_id]=Tabelle728[[#This Row],[gov_crit_id]])*(Tabelle7[doc_id]=Tabelle728[[#This Row],[doc_id_primary_evidence]]),0)),""))</f>
        <v>S. 1 Regel 2; S. 2 Data Privacy Rules/Examples</v>
      </c>
    </row>
    <row r="32" spans="1:6" x14ac:dyDescent="0.25">
      <c r="A32" s="24">
        <v>5</v>
      </c>
      <c r="B32" s="2" t="s">
        <v>198</v>
      </c>
      <c r="C32" s="2">
        <f>IF(Tabelle728[[#This Row],[score_0_3]]=0,"",IFERROR(_xlfn.MINIFS(Tabelle7[doc_id],Tabelle7[company_id],Tabelle728[[#This Row],[company_id]],Tabelle7[gov_id],Tabelle728[[#This Row],[gov_crit_id]],Tabelle7[score_0_3],Tabelle728[[#This Row],[score_0_3]]),""))</f>
        <v>27</v>
      </c>
      <c r="D32" s="3">
        <f>IFERROR(_xlfn.MAXIFS(Tabelle7[score_0_3],Tabelle7[company_id],Tabelle728[[#This Row],[company_id]],Tabelle7[gov_id],Tabelle728[[#This Row],[gov_crit_id]]),0)</f>
        <v>2</v>
      </c>
      <c r="E32" t="str" cm="1">
        <f t="array" ref="E32">IF(Tabelle728[[#This Row],[doc_id_primary_evidence]]="","",IFERROR(INDEX(Tabelle7[evidence_quote],MATCH(1,(Tabelle7[company_id]=Tabelle728[[#This Row],[company_id]])*(Tabelle7[gov_id]=Tabelle728[[#This Row],[gov_crit_id]])*(Tabelle7[doc_id]=Tabelle728[[#This Row],[doc_id_primary_evidence]]),0)),""))</f>
        <v>“We verify the data sets used for AI training are representative”; “do not use poor, incomplete or non-verified data”</v>
      </c>
      <c r="F32" s="51" t="str" cm="1">
        <f t="array" ref="F32">IF(Tabelle728[[#This Row],[doc_id_primary_evidence]]="","",IFERROR(INDEX(Tabelle7[evidence_location],MATCH(1,(Tabelle7[company_id]=Tabelle728[[#This Row],[company_id]])*(Tabelle7[gov_id]=Tabelle728[[#This Row],[gov_crit_id]])*(Tabelle7[doc_id]=Tabelle728[[#This Row],[doc_id_primary_evidence]]),0)),""))</f>
        <v>S. 8</v>
      </c>
    </row>
    <row r="33" spans="1:6" x14ac:dyDescent="0.25">
      <c r="A33" s="24">
        <v>5</v>
      </c>
      <c r="B33" s="2" t="s">
        <v>204</v>
      </c>
      <c r="C33" s="2">
        <f>IF(Tabelle728[[#This Row],[score_0_3]]=0,"",IFERROR(_xlfn.MINIFS(Tabelle7[doc_id],Tabelle7[company_id],Tabelle728[[#This Row],[company_id]],Tabelle7[gov_id],Tabelle728[[#This Row],[gov_crit_id]],Tabelle7[score_0_3],Tabelle728[[#This Row],[score_0_3]]),""))</f>
        <v>27</v>
      </c>
      <c r="D33" s="3">
        <f>IFERROR(_xlfn.MAXIFS(Tabelle7[score_0_3],Tabelle7[company_id],Tabelle728[[#This Row],[company_id]],Tabelle7[gov_id],Tabelle728[[#This Row],[gov_crit_id]]),0)</f>
        <v>1</v>
      </c>
      <c r="E33" t="str" cm="1">
        <f t="array" ref="E33">IF(Tabelle728[[#This Row],[doc_id_primary_evidence]]="","",IFERROR(INDEX(Tabelle7[evidence_quote],MATCH(1,(Tabelle7[company_id]=Tabelle728[[#This Row],[company_id]])*(Tabelle7[gov_id]=Tabelle728[[#This Row],[gov_crit_id]])*(Tabelle7[doc_id]=Tabelle728[[#This Row],[doc_id_primary_evidence]]),0)),""))</f>
        <v>“support proper internal oversight, inspections, and maintenance of AI solutions.”</v>
      </c>
      <c r="F33" s="51" t="str" cm="1">
        <f t="array" ref="F33">IF(Tabelle728[[#This Row],[doc_id_primary_evidence]]="","",IFERROR(INDEX(Tabelle7[evidence_location],MATCH(1,(Tabelle7[company_id]=Tabelle728[[#This Row],[company_id]])*(Tabelle7[gov_id]=Tabelle728[[#This Row],[gov_crit_id]])*(Tabelle7[doc_id]=Tabelle728[[#This Row],[doc_id_primary_evidence]]),0)),""))</f>
        <v>S. 8</v>
      </c>
    </row>
    <row r="34" spans="1:6" x14ac:dyDescent="0.25">
      <c r="A34" s="24">
        <v>5</v>
      </c>
      <c r="B34" s="2" t="s">
        <v>210</v>
      </c>
      <c r="C34" s="2">
        <f>IF(Tabelle728[[#This Row],[score_0_3]]=0,"",IFERROR(_xlfn.MINIFS(Tabelle7[doc_id],Tabelle7[company_id],Tabelle728[[#This Row],[company_id]],Tabelle7[gov_id],Tabelle728[[#This Row],[gov_crit_id]],Tabelle7[score_0_3],Tabelle728[[#This Row],[score_0_3]]),""))</f>
        <v>28</v>
      </c>
      <c r="D34" s="3">
        <f>IFERROR(_xlfn.MAXIFS(Tabelle7[score_0_3],Tabelle7[company_id],Tabelle728[[#This Row],[company_id]],Tabelle7[gov_id],Tabelle728[[#This Row],[gov_crit_id]]),0)</f>
        <v>1</v>
      </c>
      <c r="E34" t="str" cm="1">
        <f t="array" ref="E34">IF(Tabelle728[[#This Row],[doc_id_primary_evidence]]="","",IFERROR(INDEX(Tabelle7[evidence_quote],MATCH(1,(Tabelle7[company_id]=Tabelle728[[#This Row],[company_id]])*(Tabelle7[gov_id]=Tabelle728[[#This Row],[gov_crit_id]])*(Tabelle7[doc_id]=Tabelle728[[#This Row],[doc_id_primary_evidence]]),0)),""))</f>
        <v>“continuous-learning and upskilling resources available in IT Academy”</v>
      </c>
      <c r="F34" s="51" t="str" cm="1">
        <f t="array" ref="F34">IF(Tabelle728[[#This Row],[doc_id_primary_evidence]]="","",IFERROR(INDEX(Tabelle7[evidence_location],MATCH(1,(Tabelle7[company_id]=Tabelle728[[#This Row],[company_id]])*(Tabelle7[gov_id]=Tabelle728[[#This Row],[gov_crit_id]])*(Tabelle7[doc_id]=Tabelle728[[#This Row],[doc_id_primary_evidence]]),0)),""))</f>
        <v>S. 1, AI-powered technology/IT Academy</v>
      </c>
    </row>
    <row r="35" spans="1:6" x14ac:dyDescent="0.25">
      <c r="A35" s="24">
        <v>5</v>
      </c>
      <c r="B35" s="2" t="s">
        <v>215</v>
      </c>
      <c r="C35" s="2">
        <f>IF(Tabelle728[[#This Row],[score_0_3]]=0,"",IFERROR(_xlfn.MINIFS(Tabelle7[doc_id],Tabelle7[company_id],Tabelle728[[#This Row],[company_id]],Tabelle7[gov_id],Tabelle728[[#This Row],[gov_crit_id]],Tabelle7[score_0_3],Tabelle728[[#This Row],[score_0_3]]),""))</f>
        <v>28</v>
      </c>
      <c r="D35" s="3">
        <f>IFERROR(_xlfn.MAXIFS(Tabelle7[score_0_3],Tabelle7[company_id],Tabelle728[[#This Row],[company_id]],Tabelle7[gov_id],Tabelle728[[#This Row],[gov_crit_id]]),0)</f>
        <v>1</v>
      </c>
      <c r="E35" t="str" cm="1">
        <f t="array" ref="E35">IF(Tabelle728[[#This Row],[doc_id_primary_evidence]]="","",IFERROR(INDEX(Tabelle7[evidence_quote],MATCH(1,(Tabelle7[company_id]=Tabelle728[[#This Row],[company_id]])*(Tabelle7[gov_id]=Tabelle728[[#This Row],[gov_crit_id]])*(Tabelle7[doc_id]=Tabelle728[[#This Row],[doc_id_primary_evidence]]),0)),""))</f>
        <v>“ask your question via generativeai@bayer.com”; “reach out to the data privacy via go/LPC-platform.”; “contact the data privacy organization via go/LPC-platform.”</v>
      </c>
      <c r="F35" s="51" t="str" cm="1">
        <f t="array" ref="F35">IF(Tabelle728[[#This Row],[doc_id_primary_evidence]]="","",IFERROR(INDEX(Tabelle7[evidence_location],MATCH(1,(Tabelle7[company_id]=Tabelle728[[#This Row],[company_id]])*(Tabelle7[gov_id]=Tabelle728[[#This Row],[gov_crit_id]])*(Tabelle7[doc_id]=Tabelle728[[#This Row],[doc_id_primary_evidence]]),0)),""))</f>
        <v>S. 1 Approved tools/Regel 1; S. 2 unten rechts</v>
      </c>
    </row>
    <row r="36" spans="1:6" ht="15.75" thickBot="1" x14ac:dyDescent="0.3">
      <c r="A36" s="26">
        <v>5</v>
      </c>
      <c r="B36" s="27" t="s">
        <v>221</v>
      </c>
      <c r="C36" s="27" t="str">
        <f>IF(Tabelle728[[#This Row],[score_0_3]]=0,"",IFERROR(_xlfn.MINIFS(Tabelle7[doc_id],Tabelle7[company_id],Tabelle728[[#This Row],[company_id]],Tabelle7[gov_id],Tabelle728[[#This Row],[gov_crit_id]],Tabelle7[score_0_3],Tabelle728[[#This Row],[score_0_3]]),""))</f>
        <v/>
      </c>
      <c r="D36" s="28">
        <f>IFERROR(_xlfn.MAXIFS(Tabelle7[score_0_3],Tabelle7[company_id],Tabelle728[[#This Row],[company_id]],Tabelle7[gov_id],Tabelle728[[#This Row],[gov_crit_id]]),0)</f>
        <v>0</v>
      </c>
      <c r="E36" s="30" t="str" cm="1">
        <f t="array" ref="E36">IF(Tabelle728[[#This Row],[doc_id_primary_evidence]]="","",IFERROR(INDEX(Tabelle7[evidence_quote],MATCH(1,(Tabelle7[company_id]=Tabelle728[[#This Row],[company_id]])*(Tabelle7[gov_id]=Tabelle728[[#This Row],[gov_crit_id]])*(Tabelle7[doc_id]=Tabelle728[[#This Row],[doc_id_primary_evidence]]),0)),""))</f>
        <v/>
      </c>
      <c r="F36" s="52" t="str" cm="1">
        <f t="array" ref="F36">IF(Tabelle728[[#This Row],[doc_id_primary_evidence]]="","",IFERROR(INDEX(Tabelle7[evidence_location],MATCH(1,(Tabelle7[company_id]=Tabelle728[[#This Row],[company_id]])*(Tabelle7[gov_id]=Tabelle728[[#This Row],[gov_crit_id]])*(Tabelle7[doc_id]=Tabelle728[[#This Row],[doc_id_primary_evidence]]),0)),""))</f>
        <v/>
      </c>
    </row>
    <row r="37" spans="1:6" x14ac:dyDescent="0.25">
      <c r="A37" s="18">
        <v>6</v>
      </c>
      <c r="B37" s="19" t="s">
        <v>186</v>
      </c>
      <c r="C37" s="19">
        <f>IF(Tabelle728[[#This Row],[score_0_3]]=0,"",IFERROR(_xlfn.MINIFS(Tabelle7[doc_id],Tabelle7[company_id],Tabelle728[[#This Row],[company_id]],Tabelle7[gov_id],Tabelle728[[#This Row],[gov_crit_id]],Tabelle7[score_0_3],Tabelle728[[#This Row],[score_0_3]]),""))</f>
        <v>34</v>
      </c>
      <c r="D37" s="20">
        <f>IFERROR(_xlfn.MAXIFS(Tabelle7[score_0_3],Tabelle7[company_id],Tabelle728[[#This Row],[company_id]],Tabelle7[gov_id],Tabelle728[[#This Row],[gov_crit_id]]),0)</f>
        <v>2</v>
      </c>
      <c r="E37" s="22" t="str" cm="1">
        <f t="array" ref="E37">IF(Tabelle728[[#This Row],[doc_id_primary_evidence]]="","",IFERROR(INDEX(Tabelle7[evidence_quote],MATCH(1,(Tabelle7[company_id]=Tabelle728[[#This Row],[company_id]])*(Tabelle7[gov_id]=Tabelle728[[#This Row],[gov_crit_id]])*(Tabelle7[doc_id]=Tabelle728[[#This Row],[doc_id_primary_evidence]]),0)),""))</f>
        <v>“discussed the CSR Directive, data strategy and data protection, and artificial intelligence.”; “It monitors the company’s digital strategy”</v>
      </c>
      <c r="F37" s="50" t="str" cm="1">
        <f t="array" ref="F37">IF(Tabelle728[[#This Row],[doc_id_primary_evidence]]="","",IFERROR(INDEX(Tabelle7[evidence_location],MATCH(1,(Tabelle7[company_id]=Tabelle728[[#This Row],[company_id]])*(Tabelle7[gov_id]=Tabelle728[[#This Row],[gov_crit_id]])*(Tabelle7[doc_id]=Tabelle728[[#This Row],[doc_id_primary_evidence]]),0)),""))</f>
        <v>S. 19; S. 225</v>
      </c>
    </row>
    <row r="38" spans="1:6" x14ac:dyDescent="0.25">
      <c r="A38" s="24">
        <v>6</v>
      </c>
      <c r="B38" s="2" t="s">
        <v>192</v>
      </c>
      <c r="C38" s="2">
        <f>IF(Tabelle728[[#This Row],[score_0_3]]=0,"",IFERROR(_xlfn.MINIFS(Tabelle7[doc_id],Tabelle7[company_id],Tabelle728[[#This Row],[company_id]],Tabelle7[gov_id],Tabelle728[[#This Row],[gov_crit_id]],Tabelle7[score_0_3],Tabelle728[[#This Row],[score_0_3]]),""))</f>
        <v>34</v>
      </c>
      <c r="D38" s="3">
        <f>IFERROR(_xlfn.MAXIFS(Tabelle7[score_0_3],Tabelle7[company_id],Tabelle728[[#This Row],[company_id]],Tabelle7[gov_id],Tabelle728[[#This Row],[gov_crit_id]]),0)</f>
        <v>2</v>
      </c>
      <c r="E38" t="str" cm="1">
        <f t="array" ref="E38">IF(Tabelle728[[#This Row],[doc_id_primary_evidence]]="","",IFERROR(INDEX(Tabelle7[evidence_quote],MATCH(1,(Tabelle7[company_id]=Tabelle728[[#This Row],[company_id]])*(Tabelle7[gov_id]=Tabelle728[[#This Row],[gov_crit_id]])*(Tabelle7[doc_id]=Tabelle728[[#This Row],[doc_id_primary_evidence]]),0)),""))</f>
        <v>“It monitors the company’s digital strategy”; “general framework for the further strategic development of AI”; “communication guidelines for using AI for all global brands”</v>
      </c>
      <c r="F38" s="51" t="str" cm="1">
        <f t="array" ref="F38">IF(Tabelle728[[#This Row],[doc_id_primary_evidence]]="","",IFERROR(INDEX(Tabelle7[evidence_location],MATCH(1,(Tabelle7[company_id]=Tabelle728[[#This Row],[company_id]])*(Tabelle7[gov_id]=Tabelle728[[#This Row],[gov_crit_id]])*(Tabelle7[doc_id]=Tabelle728[[#This Row],[doc_id_primary_evidence]]),0)),""))</f>
        <v>S. 12; S. 202</v>
      </c>
    </row>
    <row r="39" spans="1:6" x14ac:dyDescent="0.25">
      <c r="A39" s="24">
        <v>6</v>
      </c>
      <c r="B39" s="2" t="s">
        <v>198</v>
      </c>
      <c r="C39" s="2">
        <f>IF(Tabelle728[[#This Row],[score_0_3]]=0,"",IFERROR(_xlfn.MINIFS(Tabelle7[doc_id],Tabelle7[company_id],Tabelle728[[#This Row],[company_id]],Tabelle7[gov_id],Tabelle728[[#This Row],[gov_crit_id]],Tabelle7[score_0_3],Tabelle728[[#This Row],[score_0_3]]),""))</f>
        <v>34</v>
      </c>
      <c r="D39" s="3">
        <f>IFERROR(_xlfn.MAXIFS(Tabelle7[score_0_3],Tabelle7[company_id],Tabelle728[[#This Row],[company_id]],Tabelle7[gov_id],Tabelle728[[#This Row],[gov_crit_id]]),0)</f>
        <v>2</v>
      </c>
      <c r="E39" t="str" cm="1">
        <f t="array" ref="E39">IF(Tabelle728[[#This Row],[doc_id_primary_evidence]]="","",IFERROR(INDEX(Tabelle7[evidence_quote],MATCH(1,(Tabelle7[company_id]=Tabelle728[[#This Row],[company_id]])*(Tabelle7[gov_id]=Tabelle728[[#This Row],[gov_crit_id]])*(Tabelle7[doc_id]=Tabelle728[[#This Row],[doc_id_primary_evidence]]),0)),""))</f>
        <v>“bundled all marketing-related AI tools on one platform”; “introduced our innovative AI-controlled wrinkle analysis wrinkle.ai as a standardized test procedure”</v>
      </c>
      <c r="F39" s="51" t="str" cm="1">
        <f t="array" ref="F39">IF(Tabelle728[[#This Row],[doc_id_primary_evidence]]="","",IFERROR(INDEX(Tabelle7[evidence_location],MATCH(1,(Tabelle7[company_id]=Tabelle728[[#This Row],[company_id]])*(Tabelle7[gov_id]=Tabelle728[[#This Row],[gov_crit_id]])*(Tabelle7[doc_id]=Tabelle728[[#This Row],[doc_id_primary_evidence]]),0)),""))</f>
        <v>S. 202; S. 35</v>
      </c>
    </row>
    <row r="40" spans="1:6" x14ac:dyDescent="0.25">
      <c r="A40" s="24">
        <v>6</v>
      </c>
      <c r="B40" s="2" t="s">
        <v>204</v>
      </c>
      <c r="C40" s="2" t="str">
        <f>IF(Tabelle728[[#This Row],[score_0_3]]=0,"",IFERROR(_xlfn.MINIFS(Tabelle7[doc_id],Tabelle7[company_id],Tabelle728[[#This Row],[company_id]],Tabelle7[gov_id],Tabelle728[[#This Row],[gov_crit_id]],Tabelle7[score_0_3],Tabelle728[[#This Row],[score_0_3]]),""))</f>
        <v/>
      </c>
      <c r="D40" s="3">
        <f>IFERROR(_xlfn.MAXIFS(Tabelle7[score_0_3],Tabelle7[company_id],Tabelle728[[#This Row],[company_id]],Tabelle7[gov_id],Tabelle728[[#This Row],[gov_crit_id]]),0)</f>
        <v>0</v>
      </c>
      <c r="E40" t="str" cm="1">
        <f t="array" ref="E40">IF(Tabelle728[[#This Row],[doc_id_primary_evidence]]="","",IFERROR(INDEX(Tabelle7[evidence_quote],MATCH(1,(Tabelle7[company_id]=Tabelle728[[#This Row],[company_id]])*(Tabelle7[gov_id]=Tabelle728[[#This Row],[gov_crit_id]])*(Tabelle7[doc_id]=Tabelle728[[#This Row],[doc_id_primary_evidence]]),0)),""))</f>
        <v/>
      </c>
      <c r="F40" s="51" t="str" cm="1">
        <f t="array" ref="F40">IF(Tabelle728[[#This Row],[doc_id_primary_evidence]]="","",IFERROR(INDEX(Tabelle7[evidence_location],MATCH(1,(Tabelle7[company_id]=Tabelle728[[#This Row],[company_id]])*(Tabelle7[gov_id]=Tabelle728[[#This Row],[gov_crit_id]])*(Tabelle7[doc_id]=Tabelle728[[#This Row],[doc_id_primary_evidence]]),0)),""))</f>
        <v/>
      </c>
    </row>
    <row r="41" spans="1:6" x14ac:dyDescent="0.25">
      <c r="A41" s="24">
        <v>6</v>
      </c>
      <c r="B41" s="2" t="s">
        <v>210</v>
      </c>
      <c r="C41" s="2" t="str">
        <f>IF(Tabelle728[[#This Row],[score_0_3]]=0,"",IFERROR(_xlfn.MINIFS(Tabelle7[doc_id],Tabelle7[company_id],Tabelle728[[#This Row],[company_id]],Tabelle7[gov_id],Tabelle728[[#This Row],[gov_crit_id]],Tabelle7[score_0_3],Tabelle728[[#This Row],[score_0_3]]),""))</f>
        <v/>
      </c>
      <c r="D41" s="3">
        <f>IFERROR(_xlfn.MAXIFS(Tabelle7[score_0_3],Tabelle7[company_id],Tabelle728[[#This Row],[company_id]],Tabelle7[gov_id],Tabelle728[[#This Row],[gov_crit_id]]),0)</f>
        <v>0</v>
      </c>
      <c r="E41" t="str" cm="1">
        <f t="array" ref="E41">IF(Tabelle728[[#This Row],[doc_id_primary_evidence]]="","",IFERROR(INDEX(Tabelle7[evidence_quote],MATCH(1,(Tabelle7[company_id]=Tabelle728[[#This Row],[company_id]])*(Tabelle7[gov_id]=Tabelle728[[#This Row],[gov_crit_id]])*(Tabelle7[doc_id]=Tabelle728[[#This Row],[doc_id_primary_evidence]]),0)),""))</f>
        <v/>
      </c>
      <c r="F41" s="51" t="str" cm="1">
        <f t="array" ref="F41">IF(Tabelle728[[#This Row],[doc_id_primary_evidence]]="","",IFERROR(INDEX(Tabelle7[evidence_location],MATCH(1,(Tabelle7[company_id]=Tabelle728[[#This Row],[company_id]])*(Tabelle7[gov_id]=Tabelle728[[#This Row],[gov_crit_id]])*(Tabelle7[doc_id]=Tabelle728[[#This Row],[doc_id_primary_evidence]]),0)),""))</f>
        <v/>
      </c>
    </row>
    <row r="42" spans="1:6" x14ac:dyDescent="0.25">
      <c r="A42" s="24">
        <v>6</v>
      </c>
      <c r="B42" s="2" t="s">
        <v>215</v>
      </c>
      <c r="C42" s="2" t="str">
        <f>IF(Tabelle728[[#This Row],[score_0_3]]=0,"",IFERROR(_xlfn.MINIFS(Tabelle7[doc_id],Tabelle7[company_id],Tabelle728[[#This Row],[company_id]],Tabelle7[gov_id],Tabelle728[[#This Row],[gov_crit_id]],Tabelle7[score_0_3],Tabelle728[[#This Row],[score_0_3]]),""))</f>
        <v/>
      </c>
      <c r="D42" s="3">
        <f>IFERROR(_xlfn.MAXIFS(Tabelle7[score_0_3],Tabelle7[company_id],Tabelle728[[#This Row],[company_id]],Tabelle7[gov_id],Tabelle728[[#This Row],[gov_crit_id]]),0)</f>
        <v>0</v>
      </c>
      <c r="E42" t="str" cm="1">
        <f t="array" ref="E42">IF(Tabelle728[[#This Row],[doc_id_primary_evidence]]="","",IFERROR(INDEX(Tabelle7[evidence_quote],MATCH(1,(Tabelle7[company_id]=Tabelle728[[#This Row],[company_id]])*(Tabelle7[gov_id]=Tabelle728[[#This Row],[gov_crit_id]])*(Tabelle7[doc_id]=Tabelle728[[#This Row],[doc_id_primary_evidence]]),0)),""))</f>
        <v/>
      </c>
      <c r="F42" s="51" t="str" cm="1">
        <f t="array" ref="F42">IF(Tabelle728[[#This Row],[doc_id_primary_evidence]]="","",IFERROR(INDEX(Tabelle7[evidence_location],MATCH(1,(Tabelle7[company_id]=Tabelle728[[#This Row],[company_id]])*(Tabelle7[gov_id]=Tabelle728[[#This Row],[gov_crit_id]])*(Tabelle7[doc_id]=Tabelle728[[#This Row],[doc_id_primary_evidence]]),0)),""))</f>
        <v/>
      </c>
    </row>
    <row r="43" spans="1:6" ht="15.75" thickBot="1" x14ac:dyDescent="0.3">
      <c r="A43" s="26">
        <v>6</v>
      </c>
      <c r="B43" s="27" t="s">
        <v>221</v>
      </c>
      <c r="C43" s="27">
        <f>IF(Tabelle728[[#This Row],[score_0_3]]=0,"",IFERROR(_xlfn.MINIFS(Tabelle7[doc_id],Tabelle7[company_id],Tabelle728[[#This Row],[company_id]],Tabelle7[gov_id],Tabelle728[[#This Row],[gov_crit_id]],Tabelle7[score_0_3],Tabelle728[[#This Row],[score_0_3]]),""))</f>
        <v>34</v>
      </c>
      <c r="D43" s="28">
        <f>IFERROR(_xlfn.MAXIFS(Tabelle7[score_0_3],Tabelle7[company_id],Tabelle728[[#This Row],[company_id]],Tabelle7[gov_id],Tabelle728[[#This Row],[gov_crit_id]]),0)</f>
        <v>1</v>
      </c>
      <c r="E43" s="30" t="str" cm="1">
        <f t="array" ref="E43">IF(Tabelle728[[#This Row],[doc_id_primary_evidence]]="","",IFERROR(INDEX(Tabelle7[evidence_quote],MATCH(1,(Tabelle7[company_id]=Tabelle728[[#This Row],[company_id]])*(Tabelle7[gov_id]=Tabelle728[[#This Row],[gov_crit_id]])*(Tabelle7[doc_id]=Tabelle728[[#This Row],[doc_id_primary_evidence]]),0)),""))</f>
        <v>“the extent of the risk remains low, but the likelihood of occurrence is raised to possible.”</v>
      </c>
      <c r="F43" s="52" t="str" cm="1">
        <f t="array" ref="F43">IF(Tabelle728[[#This Row],[doc_id_primary_evidence]]="","",IFERROR(INDEX(Tabelle7[evidence_location],MATCH(1,(Tabelle7[company_id]=Tabelle728[[#This Row],[company_id]])*(Tabelle7[gov_id]=Tabelle728[[#This Row],[gov_crit_id]])*(Tabelle7[doc_id]=Tabelle728[[#This Row],[doc_id_primary_evidence]]),0)),""))</f>
        <v>S. 202–203</v>
      </c>
    </row>
    <row r="44" spans="1:6" x14ac:dyDescent="0.25">
      <c r="A44" s="18">
        <v>7</v>
      </c>
      <c r="B44" s="19" t="s">
        <v>186</v>
      </c>
      <c r="C44" s="19">
        <f>IF(Tabelle728[[#This Row],[score_0_3]]=0,"",IFERROR(_xlfn.MINIFS(Tabelle7[doc_id],Tabelle7[company_id],Tabelle728[[#This Row],[company_id]],Tabelle7[gov_id],Tabelle728[[#This Row],[gov_crit_id]],Tabelle7[score_0_3],Tabelle728[[#This Row],[score_0_3]]),""))</f>
        <v>37</v>
      </c>
      <c r="D44" s="20">
        <f>IFERROR(_xlfn.MAXIFS(Tabelle7[score_0_3],Tabelle7[company_id],Tabelle728[[#This Row],[company_id]],Tabelle7[gov_id],Tabelle728[[#This Row],[gov_crit_id]]),0)</f>
        <v>2</v>
      </c>
      <c r="E44" s="22" t="str" cm="1">
        <f t="array" ref="E44">IF(Tabelle728[[#This Row],[doc_id_primary_evidence]]="","",IFERROR(INDEX(Tabelle7[evidence_quote],MATCH(1,(Tabelle7[company_id]=Tabelle728[[#This Row],[company_id]])*(Tabelle7[gov_id]=Tabelle728[[#This Row],[gov_crit_id]])*(Tabelle7[doc_id]=Tabelle728[[#This Row],[doc_id_primary_evidence]]),0)),""))</f>
        <v>“centre of competence for data analytics and machine learning”</v>
      </c>
      <c r="F44" s="50" t="str" cm="1">
        <f t="array" ref="F44">IF(Tabelle728[[#This Row],[doc_id_primary_evidence]]="","",IFERROR(INDEX(Tabelle7[evidence_location],MATCH(1,(Tabelle7[company_id]=Tabelle728[[#This Row],[company_id]])*(Tabelle7[gov_id]=Tabelle728[[#This Row],[gov_crit_id]])*(Tabelle7[doc_id]=Tabelle728[[#This Row],[doc_id_primary_evidence]]),0)),""))</f>
        <v>S. 3</v>
      </c>
    </row>
    <row r="45" spans="1:6" x14ac:dyDescent="0.25">
      <c r="A45" s="24">
        <v>7</v>
      </c>
      <c r="B45" s="2" t="s">
        <v>192</v>
      </c>
      <c r="C45" s="2">
        <f>IF(Tabelle728[[#This Row],[score_0_3]]=0,"",IFERROR(_xlfn.MINIFS(Tabelle7[doc_id],Tabelle7[company_id],Tabelle728[[#This Row],[company_id]],Tabelle7[gov_id],Tabelle728[[#This Row],[gov_crit_id]],Tabelle7[score_0_3],Tabelle728[[#This Row],[score_0_3]]),""))</f>
        <v>37</v>
      </c>
      <c r="D45" s="3">
        <f>IFERROR(_xlfn.MAXIFS(Tabelle7[score_0_3],Tabelle7[company_id],Tabelle728[[#This Row],[company_id]],Tabelle7[gov_id],Tabelle728[[#This Row],[gov_crit_id]]),0)</f>
        <v>2</v>
      </c>
      <c r="E45" t="str" cm="1">
        <f t="array" ref="E45">IF(Tabelle728[[#This Row],[doc_id_primary_evidence]]="","",IFERROR(INDEX(Tabelle7[evidence_quote],MATCH(1,(Tabelle7[company_id]=Tabelle728[[#This Row],[company_id]])*(Tabelle7[gov_id]=Tabelle728[[#This Row],[gov_crit_id]])*(Tabelle7[doc_id]=Tabelle728[[#This Row],[doc_id_primary_evidence]]),0)),""))</f>
        <v>“identify, assess, report and mitigate risks”; “continuously refined and adapted</v>
      </c>
      <c r="F45" s="51" t="str" cm="1">
        <f t="array" ref="F45">IF(Tabelle728[[#This Row],[doc_id_primary_evidence]]="","",IFERROR(INDEX(Tabelle7[evidence_location],MATCH(1,(Tabelle7[company_id]=Tabelle728[[#This Row],[company_id]])*(Tabelle7[gov_id]=Tabelle728[[#This Row],[gov_crit_id]])*(Tabelle7[doc_id]=Tabelle728[[#This Row],[doc_id_primary_evidence]]),0)),""))</f>
        <v>S. 1; S. 3</v>
      </c>
    </row>
    <row r="46" spans="1:6" x14ac:dyDescent="0.25">
      <c r="A46" s="24">
        <v>7</v>
      </c>
      <c r="B46" s="2" t="s">
        <v>198</v>
      </c>
      <c r="C46" s="2">
        <f>IF(Tabelle728[[#This Row],[score_0_3]]=0,"",IFERROR(_xlfn.MINIFS(Tabelle7[doc_id],Tabelle7[company_id],Tabelle728[[#This Row],[company_id]],Tabelle7[gov_id],Tabelle728[[#This Row],[gov_crit_id]],Tabelle7[score_0_3],Tabelle728[[#This Row],[score_0_3]]),""))</f>
        <v>37</v>
      </c>
      <c r="D46" s="3">
        <f>IFERROR(_xlfn.MAXIFS(Tabelle7[score_0_3],Tabelle7[company_id],Tabelle728[[#This Row],[company_id]],Tabelle7[gov_id],Tabelle728[[#This Row],[gov_crit_id]]),0)</f>
        <v>2</v>
      </c>
      <c r="E46" t="str" cm="1">
        <f t="array" ref="E46">IF(Tabelle728[[#This Row],[doc_id_primary_evidence]]="","",IFERROR(INDEX(Tabelle7[evidence_quote],MATCH(1,(Tabelle7[company_id]=Tabelle728[[#This Row],[company_id]])*(Tabelle7[gov_id]=Tabelle728[[#This Row],[gov_crit_id]])*(Tabelle7[doc_id]=Tabelle728[[#This Row],[doc_id_primary_evidence]]),0)),""))</f>
        <v>“portfolio tool which creates transparency”; “checked – in real time – for linguistic quality, similarity and consistency”; “determines deviations from the standard in real time”</v>
      </c>
      <c r="F46" s="51" t="str" cm="1">
        <f t="array" ref="F46">IF(Tabelle728[[#This Row],[doc_id_primary_evidence]]="","",IFERROR(INDEX(Tabelle7[evidence_location],MATCH(1,(Tabelle7[company_id]=Tabelle728[[#This Row],[company_id]])*(Tabelle7[gov_id]=Tabelle728[[#This Row],[gov_crit_id]])*(Tabelle7[doc_id]=Tabelle728[[#This Row],[doc_id_primary_evidence]]),0)),""))</f>
        <v>S. 3–6</v>
      </c>
    </row>
    <row r="47" spans="1:6" x14ac:dyDescent="0.25">
      <c r="A47" s="24">
        <v>7</v>
      </c>
      <c r="B47" s="2" t="s">
        <v>204</v>
      </c>
      <c r="C47" s="2" t="str">
        <f>IF(Tabelle728[[#This Row],[score_0_3]]=0,"",IFERROR(_xlfn.MINIFS(Tabelle7[doc_id],Tabelle7[company_id],Tabelle728[[#This Row],[company_id]],Tabelle7[gov_id],Tabelle728[[#This Row],[gov_crit_id]],Tabelle7[score_0_3],Tabelle728[[#This Row],[score_0_3]]),""))</f>
        <v/>
      </c>
      <c r="D47" s="3">
        <f>IFERROR(_xlfn.MAXIFS(Tabelle7[score_0_3],Tabelle7[company_id],Tabelle728[[#This Row],[company_id]],Tabelle7[gov_id],Tabelle728[[#This Row],[gov_crit_id]]),0)</f>
        <v>0</v>
      </c>
      <c r="E47" t="str" cm="1">
        <f t="array" ref="E47">IF(Tabelle728[[#This Row],[doc_id_primary_evidence]]="","",IFERROR(INDEX(Tabelle7[evidence_quote],MATCH(1,(Tabelle7[company_id]=Tabelle728[[#This Row],[company_id]])*(Tabelle7[gov_id]=Tabelle728[[#This Row],[gov_crit_id]])*(Tabelle7[doc_id]=Tabelle728[[#This Row],[doc_id_primary_evidence]]),0)),""))</f>
        <v/>
      </c>
      <c r="F47" s="51" t="str" cm="1">
        <f t="array" ref="F47">IF(Tabelle728[[#This Row],[doc_id_primary_evidence]]="","",IFERROR(INDEX(Tabelle7[evidence_location],MATCH(1,(Tabelle7[company_id]=Tabelle728[[#This Row],[company_id]])*(Tabelle7[gov_id]=Tabelle728[[#This Row],[gov_crit_id]])*(Tabelle7[doc_id]=Tabelle728[[#This Row],[doc_id_primary_evidence]]),0)),""))</f>
        <v/>
      </c>
    </row>
    <row r="48" spans="1:6" x14ac:dyDescent="0.25">
      <c r="A48" s="24">
        <v>7</v>
      </c>
      <c r="B48" s="2" t="s">
        <v>210</v>
      </c>
      <c r="C48" s="2">
        <f>IF(Tabelle728[[#This Row],[score_0_3]]=0,"",IFERROR(_xlfn.MINIFS(Tabelle7[doc_id],Tabelle7[company_id],Tabelle728[[#This Row],[company_id]],Tabelle7[gov_id],Tabelle728[[#This Row],[gov_crit_id]],Tabelle7[score_0_3],Tabelle728[[#This Row],[score_0_3]]),""))</f>
        <v>37</v>
      </c>
      <c r="D48" s="3">
        <f>IFERROR(_xlfn.MAXIFS(Tabelle7[score_0_3],Tabelle7[company_id],Tabelle728[[#This Row],[company_id]],Tabelle7[gov_id],Tabelle728[[#This Row],[gov_crit_id]]),0)</f>
        <v>1</v>
      </c>
      <c r="E48" t="str" cm="1">
        <f t="array" ref="E48">IF(Tabelle728[[#This Row],[doc_id_primary_evidence]]="","",IFERROR(INDEX(Tabelle7[evidence_quote],MATCH(1,(Tabelle7[company_id]=Tabelle728[[#This Row],[company_id]])*(Tabelle7[gov_id]=Tabelle728[[#This Row],[gov_crit_id]])*(Tabelle7[doc_id]=Tabelle728[[#This Row],[doc_id_primary_evidence]]),0)),""))</f>
        <v>“determines deviations from the standard in real time”</v>
      </c>
      <c r="F48" s="51" t="str" cm="1">
        <f t="array" ref="F48">IF(Tabelle728[[#This Row],[doc_id_primary_evidence]]="","",IFERROR(INDEX(Tabelle7[evidence_location],MATCH(1,(Tabelle7[company_id]=Tabelle728[[#This Row],[company_id]])*(Tabelle7[gov_id]=Tabelle728[[#This Row],[gov_crit_id]])*(Tabelle7[doc_id]=Tabelle728[[#This Row],[doc_id_primary_evidence]]),0)),""))</f>
        <v>S. 1</v>
      </c>
    </row>
    <row r="49" spans="1:6" x14ac:dyDescent="0.25">
      <c r="A49" s="24">
        <v>7</v>
      </c>
      <c r="B49" s="2" t="s">
        <v>215</v>
      </c>
      <c r="C49" s="2" t="str">
        <f>IF(Tabelle728[[#This Row],[score_0_3]]=0,"",IFERROR(_xlfn.MINIFS(Tabelle7[doc_id],Tabelle7[company_id],Tabelle728[[#This Row],[company_id]],Tabelle7[gov_id],Tabelle728[[#This Row],[gov_crit_id]],Tabelle7[score_0_3],Tabelle728[[#This Row],[score_0_3]]),""))</f>
        <v/>
      </c>
      <c r="D49" s="3">
        <f>IFERROR(_xlfn.MAXIFS(Tabelle7[score_0_3],Tabelle7[company_id],Tabelle728[[#This Row],[company_id]],Tabelle7[gov_id],Tabelle728[[#This Row],[gov_crit_id]]),0)</f>
        <v>0</v>
      </c>
      <c r="E49" t="str" cm="1">
        <f t="array" ref="E49">IF(Tabelle728[[#This Row],[doc_id_primary_evidence]]="","",IFERROR(INDEX(Tabelle7[evidence_quote],MATCH(1,(Tabelle7[company_id]=Tabelle728[[#This Row],[company_id]])*(Tabelle7[gov_id]=Tabelle728[[#This Row],[gov_crit_id]])*(Tabelle7[doc_id]=Tabelle728[[#This Row],[doc_id_primary_evidence]]),0)),""))</f>
        <v/>
      </c>
      <c r="F49" s="51" t="str" cm="1">
        <f t="array" ref="F49">IF(Tabelle728[[#This Row],[doc_id_primary_evidence]]="","",IFERROR(INDEX(Tabelle7[evidence_location],MATCH(1,(Tabelle7[company_id]=Tabelle728[[#This Row],[company_id]])*(Tabelle7[gov_id]=Tabelle728[[#This Row],[gov_crit_id]])*(Tabelle7[doc_id]=Tabelle728[[#This Row],[doc_id_primary_evidence]]),0)),""))</f>
        <v/>
      </c>
    </row>
    <row r="50" spans="1:6" ht="15.75" thickBot="1" x14ac:dyDescent="0.3">
      <c r="A50" s="26">
        <v>7</v>
      </c>
      <c r="B50" s="27" t="s">
        <v>221</v>
      </c>
      <c r="C50" s="27">
        <f>IF(Tabelle728[[#This Row],[score_0_3]]=0,"",IFERROR(_xlfn.MINIFS(Tabelle7[doc_id],Tabelle7[company_id],Tabelle728[[#This Row],[company_id]],Tabelle7[gov_id],Tabelle728[[#This Row],[gov_crit_id]],Tabelle7[score_0_3],Tabelle728[[#This Row],[score_0_3]]),""))</f>
        <v>37</v>
      </c>
      <c r="D50" s="28">
        <f>IFERROR(_xlfn.MAXIFS(Tabelle7[score_0_3],Tabelle7[company_id],Tabelle728[[#This Row],[company_id]],Tabelle7[gov_id],Tabelle728[[#This Row],[gov_crit_id]]),0)</f>
        <v>1</v>
      </c>
      <c r="E50" s="30" t="str" cm="1">
        <f t="array" ref="E50">IF(Tabelle728[[#This Row],[doc_id_primary_evidence]]="","",IFERROR(INDEX(Tabelle7[evidence_quote],MATCH(1,(Tabelle7[company_id]=Tabelle728[[#This Row],[company_id]])*(Tabelle7[gov_id]=Tabelle728[[#This Row],[gov_crit_id]])*(Tabelle7[doc_id]=Tabelle728[[#This Row],[doc_id_primary_evidence]]),0)),""))</f>
        <v>“currently spans 400 use cases, of which more than 50 are available for regular operation”</v>
      </c>
      <c r="F50" s="52" t="str" cm="1">
        <f t="array" ref="F50">IF(Tabelle728[[#This Row],[doc_id_primary_evidence]]="","",IFERROR(INDEX(Tabelle7[evidence_location],MATCH(1,(Tabelle7[company_id]=Tabelle728[[#This Row],[company_id]])*(Tabelle7[gov_id]=Tabelle728[[#This Row],[gov_crit_id]])*(Tabelle7[doc_id]=Tabelle728[[#This Row],[doc_id_primary_evidence]]),0)),""))</f>
        <v>S. 3</v>
      </c>
    </row>
    <row r="51" spans="1:6" x14ac:dyDescent="0.25">
      <c r="A51" s="18">
        <v>8</v>
      </c>
      <c r="B51" s="19" t="s">
        <v>186</v>
      </c>
      <c r="C51" s="19" t="str">
        <f>IF(Tabelle728[[#This Row],[score_0_3]]=0,"",IFERROR(_xlfn.MINIFS(Tabelle7[doc_id],Tabelle7[company_id],Tabelle728[[#This Row],[company_id]],Tabelle7[gov_id],Tabelle728[[#This Row],[gov_crit_id]],Tabelle7[score_0_3],Tabelle728[[#This Row],[score_0_3]]),""))</f>
        <v/>
      </c>
      <c r="D51" s="20">
        <f>IFERROR(_xlfn.MAXIFS(Tabelle7[score_0_3],Tabelle7[company_id],Tabelle728[[#This Row],[company_id]],Tabelle7[gov_id],Tabelle728[[#This Row],[gov_crit_id]]),0)</f>
        <v>0</v>
      </c>
      <c r="E51" s="22" t="str" cm="1">
        <f t="array" ref="E51">IF(Tabelle728[[#This Row],[doc_id_primary_evidence]]="","",IFERROR(INDEX(Tabelle7[evidence_quote],MATCH(1,(Tabelle7[company_id]=Tabelle728[[#This Row],[company_id]])*(Tabelle7[gov_id]=Tabelle728[[#This Row],[gov_crit_id]])*(Tabelle7[doc_id]=Tabelle728[[#This Row],[doc_id_primary_evidence]]),0)),""))</f>
        <v/>
      </c>
      <c r="F51" s="50" t="str" cm="1">
        <f t="array" ref="F51">IF(Tabelle728[[#This Row],[doc_id_primary_evidence]]="","",IFERROR(INDEX(Tabelle7[evidence_location],MATCH(1,(Tabelle7[company_id]=Tabelle728[[#This Row],[company_id]])*(Tabelle7[gov_id]=Tabelle728[[#This Row],[gov_crit_id]])*(Tabelle7[doc_id]=Tabelle728[[#This Row],[doc_id_primary_evidence]]),0)),""))</f>
        <v/>
      </c>
    </row>
    <row r="52" spans="1:6" x14ac:dyDescent="0.25">
      <c r="A52" s="24">
        <v>8</v>
      </c>
      <c r="B52" s="2" t="s">
        <v>192</v>
      </c>
      <c r="C52" s="2" t="str">
        <f>IF(Tabelle728[[#This Row],[score_0_3]]=0,"",IFERROR(_xlfn.MINIFS(Tabelle7[doc_id],Tabelle7[company_id],Tabelle728[[#This Row],[company_id]],Tabelle7[gov_id],Tabelle728[[#This Row],[gov_crit_id]],Tabelle7[score_0_3],Tabelle728[[#This Row],[score_0_3]]),""))</f>
        <v/>
      </c>
      <c r="D52" s="3">
        <f>IFERROR(_xlfn.MAXIFS(Tabelle7[score_0_3],Tabelle7[company_id],Tabelle728[[#This Row],[company_id]],Tabelle7[gov_id],Tabelle728[[#This Row],[gov_crit_id]]),0)</f>
        <v>0</v>
      </c>
      <c r="E52" t="str" cm="1">
        <f t="array" ref="E52">IF(Tabelle728[[#This Row],[doc_id_primary_evidence]]="","",IFERROR(INDEX(Tabelle7[evidence_quote],MATCH(1,(Tabelle7[company_id]=Tabelle728[[#This Row],[company_id]])*(Tabelle7[gov_id]=Tabelle728[[#This Row],[gov_crit_id]])*(Tabelle7[doc_id]=Tabelle728[[#This Row],[doc_id_primary_evidence]]),0)),""))</f>
        <v/>
      </c>
      <c r="F52" s="51" t="str" cm="1">
        <f t="array" ref="F52">IF(Tabelle728[[#This Row],[doc_id_primary_evidence]]="","",IFERROR(INDEX(Tabelle7[evidence_location],MATCH(1,(Tabelle7[company_id]=Tabelle728[[#This Row],[company_id]])*(Tabelle7[gov_id]=Tabelle728[[#This Row],[gov_crit_id]])*(Tabelle7[doc_id]=Tabelle728[[#This Row],[doc_id_primary_evidence]]),0)),""))</f>
        <v/>
      </c>
    </row>
    <row r="53" spans="1:6" x14ac:dyDescent="0.25">
      <c r="A53" s="24">
        <v>8</v>
      </c>
      <c r="B53" s="2" t="s">
        <v>198</v>
      </c>
      <c r="C53" s="2" t="str">
        <f>IF(Tabelle728[[#This Row],[score_0_3]]=0,"",IFERROR(_xlfn.MINIFS(Tabelle7[doc_id],Tabelle7[company_id],Tabelle728[[#This Row],[company_id]],Tabelle7[gov_id],Tabelle728[[#This Row],[gov_crit_id]],Tabelle7[score_0_3],Tabelle728[[#This Row],[score_0_3]]),""))</f>
        <v/>
      </c>
      <c r="D53" s="3">
        <f>IFERROR(_xlfn.MAXIFS(Tabelle7[score_0_3],Tabelle7[company_id],Tabelle728[[#This Row],[company_id]],Tabelle7[gov_id],Tabelle728[[#This Row],[gov_crit_id]]),0)</f>
        <v>0</v>
      </c>
      <c r="E53" t="str" cm="1">
        <f t="array" ref="E53">IF(Tabelle728[[#This Row],[doc_id_primary_evidence]]="","",IFERROR(INDEX(Tabelle7[evidence_quote],MATCH(1,(Tabelle7[company_id]=Tabelle728[[#This Row],[company_id]])*(Tabelle7[gov_id]=Tabelle728[[#This Row],[gov_crit_id]])*(Tabelle7[doc_id]=Tabelle728[[#This Row],[doc_id_primary_evidence]]),0)),""))</f>
        <v/>
      </c>
      <c r="F53" s="51" t="str" cm="1">
        <f t="array" ref="F53">IF(Tabelle728[[#This Row],[doc_id_primary_evidence]]="","",IFERROR(INDEX(Tabelle7[evidence_location],MATCH(1,(Tabelle7[company_id]=Tabelle728[[#This Row],[company_id]])*(Tabelle7[gov_id]=Tabelle728[[#This Row],[gov_crit_id]])*(Tabelle7[doc_id]=Tabelle728[[#This Row],[doc_id_primary_evidence]]),0)),""))</f>
        <v/>
      </c>
    </row>
    <row r="54" spans="1:6" x14ac:dyDescent="0.25">
      <c r="A54" s="24">
        <v>8</v>
      </c>
      <c r="B54" s="2" t="s">
        <v>204</v>
      </c>
      <c r="C54" s="2" t="str">
        <f>IF(Tabelle728[[#This Row],[score_0_3]]=0,"",IFERROR(_xlfn.MINIFS(Tabelle7[doc_id],Tabelle7[company_id],Tabelle728[[#This Row],[company_id]],Tabelle7[gov_id],Tabelle728[[#This Row],[gov_crit_id]],Tabelle7[score_0_3],Tabelle728[[#This Row],[score_0_3]]),""))</f>
        <v/>
      </c>
      <c r="D54" s="3">
        <f>IFERROR(_xlfn.MAXIFS(Tabelle7[score_0_3],Tabelle7[company_id],Tabelle728[[#This Row],[company_id]],Tabelle7[gov_id],Tabelle728[[#This Row],[gov_crit_id]]),0)</f>
        <v>0</v>
      </c>
      <c r="E54" t="str" cm="1">
        <f t="array" ref="E54">IF(Tabelle728[[#This Row],[doc_id_primary_evidence]]="","",IFERROR(INDEX(Tabelle7[evidence_quote],MATCH(1,(Tabelle7[company_id]=Tabelle728[[#This Row],[company_id]])*(Tabelle7[gov_id]=Tabelle728[[#This Row],[gov_crit_id]])*(Tabelle7[doc_id]=Tabelle728[[#This Row],[doc_id_primary_evidence]]),0)),""))</f>
        <v/>
      </c>
      <c r="F54" s="51" t="str" cm="1">
        <f t="array" ref="F54">IF(Tabelle728[[#This Row],[doc_id_primary_evidence]]="","",IFERROR(INDEX(Tabelle7[evidence_location],MATCH(1,(Tabelle7[company_id]=Tabelle728[[#This Row],[company_id]])*(Tabelle7[gov_id]=Tabelle728[[#This Row],[gov_crit_id]])*(Tabelle7[doc_id]=Tabelle728[[#This Row],[doc_id_primary_evidence]]),0)),""))</f>
        <v/>
      </c>
    </row>
    <row r="55" spans="1:6" x14ac:dyDescent="0.25">
      <c r="A55" s="24">
        <v>8</v>
      </c>
      <c r="B55" s="2" t="s">
        <v>210</v>
      </c>
      <c r="C55" s="2" t="str">
        <f>IF(Tabelle728[[#This Row],[score_0_3]]=0,"",IFERROR(_xlfn.MINIFS(Tabelle7[doc_id],Tabelle7[company_id],Tabelle728[[#This Row],[company_id]],Tabelle7[gov_id],Tabelle728[[#This Row],[gov_crit_id]],Tabelle7[score_0_3],Tabelle728[[#This Row],[score_0_3]]),""))</f>
        <v/>
      </c>
      <c r="D55" s="3">
        <f>IFERROR(_xlfn.MAXIFS(Tabelle7[score_0_3],Tabelle7[company_id],Tabelle728[[#This Row],[company_id]],Tabelle7[gov_id],Tabelle728[[#This Row],[gov_crit_id]]),0)</f>
        <v>0</v>
      </c>
      <c r="E55" t="str" cm="1">
        <f t="array" ref="E55">IF(Tabelle728[[#This Row],[doc_id_primary_evidence]]="","",IFERROR(INDEX(Tabelle7[evidence_quote],MATCH(1,(Tabelle7[company_id]=Tabelle728[[#This Row],[company_id]])*(Tabelle7[gov_id]=Tabelle728[[#This Row],[gov_crit_id]])*(Tabelle7[doc_id]=Tabelle728[[#This Row],[doc_id_primary_evidence]]),0)),""))</f>
        <v/>
      </c>
      <c r="F55" s="51" t="str" cm="1">
        <f t="array" ref="F55">IF(Tabelle728[[#This Row],[doc_id_primary_evidence]]="","",IFERROR(INDEX(Tabelle7[evidence_location],MATCH(1,(Tabelle7[company_id]=Tabelle728[[#This Row],[company_id]])*(Tabelle7[gov_id]=Tabelle728[[#This Row],[gov_crit_id]])*(Tabelle7[doc_id]=Tabelle728[[#This Row],[doc_id_primary_evidence]]),0)),""))</f>
        <v/>
      </c>
    </row>
    <row r="56" spans="1:6" x14ac:dyDescent="0.25">
      <c r="A56" s="24">
        <v>8</v>
      </c>
      <c r="B56" s="2" t="s">
        <v>215</v>
      </c>
      <c r="C56" s="2" t="str">
        <f>IF(Tabelle728[[#This Row],[score_0_3]]=0,"",IFERROR(_xlfn.MINIFS(Tabelle7[doc_id],Tabelle7[company_id],Tabelle728[[#This Row],[company_id]],Tabelle7[gov_id],Tabelle728[[#This Row],[gov_crit_id]],Tabelle7[score_0_3],Tabelle728[[#This Row],[score_0_3]]),""))</f>
        <v/>
      </c>
      <c r="D56" s="3">
        <f>IFERROR(_xlfn.MAXIFS(Tabelle7[score_0_3],Tabelle7[company_id],Tabelle728[[#This Row],[company_id]],Tabelle7[gov_id],Tabelle728[[#This Row],[gov_crit_id]]),0)</f>
        <v>0</v>
      </c>
      <c r="E56" t="str" cm="1">
        <f t="array" ref="E56">IF(Tabelle728[[#This Row],[doc_id_primary_evidence]]="","",IFERROR(INDEX(Tabelle7[evidence_quote],MATCH(1,(Tabelle7[company_id]=Tabelle728[[#This Row],[company_id]])*(Tabelle7[gov_id]=Tabelle728[[#This Row],[gov_crit_id]])*(Tabelle7[doc_id]=Tabelle728[[#This Row],[doc_id_primary_evidence]]),0)),""))</f>
        <v/>
      </c>
      <c r="F56" s="51" t="str" cm="1">
        <f t="array" ref="F56">IF(Tabelle728[[#This Row],[doc_id_primary_evidence]]="","",IFERROR(INDEX(Tabelle7[evidence_location],MATCH(1,(Tabelle7[company_id]=Tabelle728[[#This Row],[company_id]])*(Tabelle7[gov_id]=Tabelle728[[#This Row],[gov_crit_id]])*(Tabelle7[doc_id]=Tabelle728[[#This Row],[doc_id_primary_evidence]]),0)),""))</f>
        <v/>
      </c>
    </row>
    <row r="57" spans="1:6" ht="15.75" thickBot="1" x14ac:dyDescent="0.3">
      <c r="A57" s="26">
        <v>8</v>
      </c>
      <c r="B57" s="27" t="s">
        <v>221</v>
      </c>
      <c r="C57" s="27" t="str">
        <f>IF(Tabelle728[[#This Row],[score_0_3]]=0,"",IFERROR(_xlfn.MINIFS(Tabelle7[doc_id],Tabelle7[company_id],Tabelle728[[#This Row],[company_id]],Tabelle7[gov_id],Tabelle728[[#This Row],[gov_crit_id]],Tabelle7[score_0_3],Tabelle728[[#This Row],[score_0_3]]),""))</f>
        <v/>
      </c>
      <c r="D57" s="28">
        <f>IFERROR(_xlfn.MAXIFS(Tabelle7[score_0_3],Tabelle7[company_id],Tabelle728[[#This Row],[company_id]],Tabelle7[gov_id],Tabelle728[[#This Row],[gov_crit_id]]),0)</f>
        <v>0</v>
      </c>
      <c r="E57" s="30" t="str" cm="1">
        <f t="array" ref="E57">IF(Tabelle728[[#This Row],[doc_id_primary_evidence]]="","",IFERROR(INDEX(Tabelle7[evidence_quote],MATCH(1,(Tabelle7[company_id]=Tabelle728[[#This Row],[company_id]])*(Tabelle7[gov_id]=Tabelle728[[#This Row],[gov_crit_id]])*(Tabelle7[doc_id]=Tabelle728[[#This Row],[doc_id_primary_evidence]]),0)),""))</f>
        <v/>
      </c>
      <c r="F57" s="52" t="str" cm="1">
        <f t="array" ref="F57">IF(Tabelle728[[#This Row],[doc_id_primary_evidence]]="","",IFERROR(INDEX(Tabelle7[evidence_location],MATCH(1,(Tabelle7[company_id]=Tabelle728[[#This Row],[company_id]])*(Tabelle7[gov_id]=Tabelle728[[#This Row],[gov_crit_id]])*(Tabelle7[doc_id]=Tabelle728[[#This Row],[doc_id_primary_evidence]]),0)),""))</f>
        <v/>
      </c>
    </row>
    <row r="58" spans="1:6" x14ac:dyDescent="0.25">
      <c r="A58" s="18">
        <v>9</v>
      </c>
      <c r="B58" s="19" t="s">
        <v>186</v>
      </c>
      <c r="C58" s="19">
        <f>IF(Tabelle728[[#This Row],[score_0_3]]=0,"",IFERROR(_xlfn.MINIFS(Tabelle7[doc_id],Tabelle7[company_id],Tabelle728[[#This Row],[company_id]],Tabelle7[gov_id],Tabelle728[[#This Row],[gov_crit_id]],Tabelle7[score_0_3],Tabelle728[[#This Row],[score_0_3]]),""))</f>
        <v>46</v>
      </c>
      <c r="D58" s="20">
        <f>IFERROR(_xlfn.MAXIFS(Tabelle7[score_0_3],Tabelle7[company_id],Tabelle728[[#This Row],[company_id]],Tabelle7[gov_id],Tabelle728[[#This Row],[gov_crit_id]]),0)</f>
        <v>2</v>
      </c>
      <c r="E58" s="22" t="str" cm="1">
        <f t="array" ref="E58">IF(Tabelle728[[#This Row],[doc_id_primary_evidence]]="","",IFERROR(INDEX(Tabelle7[evidence_quote],MATCH(1,(Tabelle7[company_id]=Tabelle728[[#This Row],[company_id]])*(Tabelle7[gov_id]=Tabelle728[[#This Row],[gov_crit_id]])*(Tabelle7[doc_id]=Tabelle728[[#This Row],[doc_id_primary_evidence]]),0)),""))</f>
        <v>“establish a common view regarding the use of Artificial Intelligence”; “will continue to exchange views … on a regular basis”</v>
      </c>
      <c r="F58" s="50" t="str" cm="1">
        <f t="array" ref="F58">IF(Tabelle728[[#This Row],[doc_id_primary_evidence]]="","",IFERROR(INDEX(Tabelle7[evidence_location],MATCH(1,(Tabelle7[company_id]=Tabelle728[[#This Row],[company_id]])*(Tabelle7[gov_id]=Tabelle728[[#This Row],[gov_crit_id]])*(Tabelle7[doc_id]=Tabelle728[[#This Row],[doc_id_primary_evidence]]),0)),""))</f>
        <v>S. 1–2</v>
      </c>
    </row>
    <row r="59" spans="1:6" x14ac:dyDescent="0.25">
      <c r="A59" s="24">
        <v>9</v>
      </c>
      <c r="B59" s="2" t="s">
        <v>192</v>
      </c>
      <c r="C59" s="2">
        <f>IF(Tabelle728[[#This Row],[score_0_3]]=0,"",IFERROR(_xlfn.MINIFS(Tabelle7[doc_id],Tabelle7[company_id],Tabelle728[[#This Row],[company_id]],Tabelle7[gov_id],Tabelle728[[#This Row],[gov_crit_id]],Tabelle7[score_0_3],Tabelle728[[#This Row],[score_0_3]]),""))</f>
        <v>46</v>
      </c>
      <c r="D59" s="3">
        <f>IFERROR(_xlfn.MAXIFS(Tabelle7[score_0_3],Tabelle7[company_id],Tabelle728[[#This Row],[company_id]],Tabelle7[gov_id],Tabelle728[[#This Row],[gov_crit_id]]),0)</f>
        <v>2</v>
      </c>
      <c r="E59" t="str" cm="1">
        <f t="array" ref="E59">IF(Tabelle728[[#This Row],[doc_id_primary_evidence]]="","",IFERROR(INDEX(Tabelle7[evidence_quote],MATCH(1,(Tabelle7[company_id]=Tabelle728[[#This Row],[company_id]])*(Tabelle7[gov_id]=Tabelle728[[#This Row],[gov_crit_id]])*(Tabelle7[doc_id]=Tabelle728[[#This Row],[doc_id_primary_evidence]]),0)),""))</f>
        <v>“Opportunities and risks are addressed and weighed when selecting models”; “review and further development of the existing principles as well as their operationalization</v>
      </c>
      <c r="F59" s="51" t="str" cm="1">
        <f t="array" ref="F59">IF(Tabelle728[[#This Row],[doc_id_primary_evidence]]="","",IFERROR(INDEX(Tabelle7[evidence_location],MATCH(1,(Tabelle7[company_id]=Tabelle728[[#This Row],[company_id]])*(Tabelle7[gov_id]=Tabelle728[[#This Row],[gov_crit_id]])*(Tabelle7[doc_id]=Tabelle728[[#This Row],[doc_id_primary_evidence]]),0)),""))</f>
        <v>S. 1–2</v>
      </c>
    </row>
    <row r="60" spans="1:6" x14ac:dyDescent="0.25">
      <c r="A60" s="24">
        <v>9</v>
      </c>
      <c r="B60" s="2" t="s">
        <v>198</v>
      </c>
      <c r="C60" s="2">
        <f>IF(Tabelle728[[#This Row],[score_0_3]]=0,"",IFERROR(_xlfn.MINIFS(Tabelle7[doc_id],Tabelle7[company_id],Tabelle728[[#This Row],[company_id]],Tabelle7[gov_id],Tabelle728[[#This Row],[gov_crit_id]],Tabelle7[score_0_3],Tabelle728[[#This Row],[score_0_3]]),""))</f>
        <v>46</v>
      </c>
      <c r="D60" s="3">
        <f>IFERROR(_xlfn.MAXIFS(Tabelle7[score_0_3],Tabelle7[company_id],Tabelle728[[#This Row],[company_id]],Tabelle7[gov_id],Tabelle728[[#This Row],[gov_crit_id]]),0)</f>
        <v>2</v>
      </c>
      <c r="E60" t="str" cm="1">
        <f t="array" ref="E60">IF(Tabelle728[[#This Row],[doc_id_primary_evidence]]="","",IFERROR(INDEX(Tabelle7[evidence_quote],MATCH(1,(Tabelle7[company_id]=Tabelle728[[#This Row],[company_id]])*(Tabelle7[gov_id]=Tabelle728[[#This Row],[gov_crit_id]])*(Tabelle7[doc_id]=Tabelle728[[#This Row],[doc_id_primary_evidence]]),0)),""))</f>
        <v>“mandatory testing”; “SECAM classification of an IT system”</v>
      </c>
      <c r="F60" s="51" t="str" cm="1">
        <f t="array" ref="F60">IF(Tabelle728[[#This Row],[doc_id_primary_evidence]]="","",IFERROR(INDEX(Tabelle7[evidence_location],MATCH(1,(Tabelle7[company_id]=Tabelle728[[#This Row],[company_id]])*(Tabelle7[gov_id]=Tabelle728[[#This Row],[gov_crit_id]])*(Tabelle7[doc_id]=Tabelle728[[#This Row],[doc_id_primary_evidence]]),0)),""))</f>
        <v>S. 2; S. 4</v>
      </c>
    </row>
    <row r="61" spans="1:6" x14ac:dyDescent="0.25">
      <c r="A61" s="24">
        <v>9</v>
      </c>
      <c r="B61" s="2" t="s">
        <v>204</v>
      </c>
      <c r="C61" s="2">
        <f>IF(Tabelle728[[#This Row],[score_0_3]]=0,"",IFERROR(_xlfn.MINIFS(Tabelle7[doc_id],Tabelle7[company_id],Tabelle728[[#This Row],[company_id]],Tabelle7[gov_id],Tabelle728[[#This Row],[gov_crit_id]],Tabelle7[score_0_3],Tabelle728[[#This Row],[score_0_3]]),""))</f>
        <v>48</v>
      </c>
      <c r="D61" s="3">
        <f>IFERROR(_xlfn.MAXIFS(Tabelle7[score_0_3],Tabelle7[company_id],Tabelle728[[#This Row],[company_id]],Tabelle7[gov_id],Tabelle728[[#This Row],[gov_crit_id]]),0)</f>
        <v>2</v>
      </c>
      <c r="E61" t="str" cm="1">
        <f t="array" ref="E61">IF(Tabelle728[[#This Row],[doc_id_primary_evidence]]="","",IFERROR(INDEX(Tabelle7[evidence_quote],MATCH(1,(Tabelle7[company_id]=Tabelle728[[#This Row],[company_id]])*(Tabelle7[gov_id]=Tabelle728[[#This Row],[gov_crit_id]])*(Tabelle7[doc_id]=Tabelle728[[#This Row],[doc_id_primary_evidence]]),0)),""))</f>
        <v>“The third line of defence is carried out by internal audit.”</v>
      </c>
      <c r="F61" s="51" t="str" cm="1">
        <f t="array" ref="F61">IF(Tabelle728[[#This Row],[doc_id_primary_evidence]]="","",IFERROR(INDEX(Tabelle7[evidence_location],MATCH(1,(Tabelle7[company_id]=Tabelle728[[#This Row],[company_id]])*(Tabelle7[gov_id]=Tabelle728[[#This Row],[gov_crit_id]])*(Tabelle7[doc_id]=Tabelle728[[#This Row],[doc_id_primary_evidence]]),0)),""))</f>
        <v>S. 5</v>
      </c>
    </row>
    <row r="62" spans="1:6" x14ac:dyDescent="0.25">
      <c r="A62" s="24">
        <v>9</v>
      </c>
      <c r="B62" s="2" t="s">
        <v>210</v>
      </c>
      <c r="C62" s="2">
        <f>IF(Tabelle728[[#This Row],[score_0_3]]=0,"",IFERROR(_xlfn.MINIFS(Tabelle7[doc_id],Tabelle7[company_id],Tabelle728[[#This Row],[company_id]],Tabelle7[gov_id],Tabelle728[[#This Row],[gov_crit_id]],Tabelle7[score_0_3],Tabelle728[[#This Row],[score_0_3]]),""))</f>
        <v>46</v>
      </c>
      <c r="D62" s="3">
        <f>IFERROR(_xlfn.MAXIFS(Tabelle7[score_0_3],Tabelle7[company_id],Tabelle728[[#This Row],[company_id]],Tabelle7[gov_id],Tabelle728[[#This Row],[gov_crit_id]]),0)</f>
        <v>1</v>
      </c>
      <c r="E62" t="str" cm="1">
        <f t="array" ref="E62">IF(Tabelle728[[#This Row],[doc_id_primary_evidence]]="","",IFERROR(INDEX(Tabelle7[evidence_quote],MATCH(1,(Tabelle7[company_id]=Tabelle728[[#This Row],[company_id]])*(Tabelle7[gov_id]=Tabelle728[[#This Row],[gov_crit_id]])*(Tabelle7[doc_id]=Tabelle728[[#This Row],[doc_id_primary_evidence]]),0)),""))</f>
        <v>“presented and explained to the employees in a transparent manner”</v>
      </c>
      <c r="F62" s="51" t="str" cm="1">
        <f t="array" ref="F62">IF(Tabelle728[[#This Row],[doc_id_primary_evidence]]="","",IFERROR(INDEX(Tabelle7[evidence_location],MATCH(1,(Tabelle7[company_id]=Tabelle728[[#This Row],[company_id]])*(Tabelle7[gov_id]=Tabelle728[[#This Row],[gov_crit_id]])*(Tabelle7[doc_id]=Tabelle728[[#This Row],[doc_id_primary_evidence]]),0)),""))</f>
        <v>S. 1</v>
      </c>
    </row>
    <row r="63" spans="1:6" x14ac:dyDescent="0.25">
      <c r="A63" s="24">
        <v>9</v>
      </c>
      <c r="B63" s="2" t="s">
        <v>215</v>
      </c>
      <c r="C63" s="2" t="str">
        <f>IF(Tabelle728[[#This Row],[score_0_3]]=0,"",IFERROR(_xlfn.MINIFS(Tabelle7[doc_id],Tabelle7[company_id],Tabelle728[[#This Row],[company_id]],Tabelle7[gov_id],Tabelle728[[#This Row],[gov_crit_id]],Tabelle7[score_0_3],Tabelle728[[#This Row],[score_0_3]]),""))</f>
        <v/>
      </c>
      <c r="D63" s="3">
        <f>IFERROR(_xlfn.MAXIFS(Tabelle7[score_0_3],Tabelle7[company_id],Tabelle728[[#This Row],[company_id]],Tabelle7[gov_id],Tabelle728[[#This Row],[gov_crit_id]]),0)</f>
        <v>0</v>
      </c>
      <c r="E63" t="str" cm="1">
        <f t="array" ref="E63">IF(Tabelle728[[#This Row],[doc_id_primary_evidence]]="","",IFERROR(INDEX(Tabelle7[evidence_quote],MATCH(1,(Tabelle7[company_id]=Tabelle728[[#This Row],[company_id]])*(Tabelle7[gov_id]=Tabelle728[[#This Row],[gov_crit_id]])*(Tabelle7[doc_id]=Tabelle728[[#This Row],[doc_id_primary_evidence]]),0)),""))</f>
        <v/>
      </c>
      <c r="F63" s="51" t="str" cm="1">
        <f t="array" ref="F63">IF(Tabelle728[[#This Row],[doc_id_primary_evidence]]="","",IFERROR(INDEX(Tabelle7[evidence_location],MATCH(1,(Tabelle7[company_id]=Tabelle728[[#This Row],[company_id]])*(Tabelle7[gov_id]=Tabelle728[[#This Row],[gov_crit_id]])*(Tabelle7[doc_id]=Tabelle728[[#This Row],[doc_id_primary_evidence]]),0)),""))</f>
        <v/>
      </c>
    </row>
    <row r="64" spans="1:6" ht="15.75" thickBot="1" x14ac:dyDescent="0.3">
      <c r="A64" s="26">
        <v>9</v>
      </c>
      <c r="B64" s="27" t="s">
        <v>221</v>
      </c>
      <c r="C64" s="27" t="str">
        <f>IF(Tabelle728[[#This Row],[score_0_3]]=0,"",IFERROR(_xlfn.MINIFS(Tabelle7[doc_id],Tabelle7[company_id],Tabelle728[[#This Row],[company_id]],Tabelle7[gov_id],Tabelle728[[#This Row],[gov_crit_id]],Tabelle7[score_0_3],Tabelle728[[#This Row],[score_0_3]]),""))</f>
        <v/>
      </c>
      <c r="D64" s="28">
        <f>IFERROR(_xlfn.MAXIFS(Tabelle7[score_0_3],Tabelle7[company_id],Tabelle728[[#This Row],[company_id]],Tabelle7[gov_id],Tabelle728[[#This Row],[gov_crit_id]]),0)</f>
        <v>0</v>
      </c>
      <c r="E64" s="30" t="str" cm="1">
        <f t="array" ref="E64">IF(Tabelle728[[#This Row],[doc_id_primary_evidence]]="","",IFERROR(INDEX(Tabelle7[evidence_quote],MATCH(1,(Tabelle7[company_id]=Tabelle728[[#This Row],[company_id]])*(Tabelle7[gov_id]=Tabelle728[[#This Row],[gov_crit_id]])*(Tabelle7[doc_id]=Tabelle728[[#This Row],[doc_id_primary_evidence]]),0)),""))</f>
        <v/>
      </c>
      <c r="F64" s="52" t="str" cm="1">
        <f t="array" ref="F64">IF(Tabelle728[[#This Row],[doc_id_primary_evidence]]="","",IFERROR(INDEX(Tabelle7[evidence_location],MATCH(1,(Tabelle7[company_id]=Tabelle728[[#This Row],[company_id]])*(Tabelle7[gov_id]=Tabelle728[[#This Row],[gov_crit_id]])*(Tabelle7[doc_id]=Tabelle728[[#This Row],[doc_id_primary_evidence]]),0)),""))</f>
        <v/>
      </c>
    </row>
    <row r="65" spans="1:6" x14ac:dyDescent="0.25">
      <c r="A65" s="18">
        <v>10</v>
      </c>
      <c r="B65" s="19" t="s">
        <v>186</v>
      </c>
      <c r="C65" s="19" t="str">
        <f>IF(Tabelle728[[#This Row],[score_0_3]]=0,"",IFERROR(_xlfn.MINIFS(Tabelle7[doc_id],Tabelle7[company_id],Tabelle728[[#This Row],[company_id]],Tabelle7[gov_id],Tabelle728[[#This Row],[gov_crit_id]],Tabelle7[score_0_3],Tabelle728[[#This Row],[score_0_3]]),""))</f>
        <v/>
      </c>
      <c r="D65" s="20">
        <f>IFERROR(_xlfn.MAXIFS(Tabelle7[score_0_3],Tabelle7[company_id],Tabelle728[[#This Row],[company_id]],Tabelle7[gov_id],Tabelle728[[#This Row],[gov_crit_id]]),0)</f>
        <v>0</v>
      </c>
      <c r="E65" s="22" t="str" cm="1">
        <f t="array" ref="E65">IF(Tabelle728[[#This Row],[doc_id_primary_evidence]]="","",IFERROR(INDEX(Tabelle7[evidence_quote],MATCH(1,(Tabelle7[company_id]=Tabelle728[[#This Row],[company_id]])*(Tabelle7[gov_id]=Tabelle728[[#This Row],[gov_crit_id]])*(Tabelle7[doc_id]=Tabelle728[[#This Row],[doc_id_primary_evidence]]),0)),""))</f>
        <v/>
      </c>
      <c r="F65" s="50" t="str" cm="1">
        <f t="array" ref="F65">IF(Tabelle728[[#This Row],[doc_id_primary_evidence]]="","",IFERROR(INDEX(Tabelle7[evidence_location],MATCH(1,(Tabelle7[company_id]=Tabelle728[[#This Row],[company_id]])*(Tabelle7[gov_id]=Tabelle728[[#This Row],[gov_crit_id]])*(Tabelle7[doc_id]=Tabelle728[[#This Row],[doc_id_primary_evidence]]),0)),""))</f>
        <v/>
      </c>
    </row>
    <row r="66" spans="1:6" x14ac:dyDescent="0.25">
      <c r="A66" s="24">
        <v>10</v>
      </c>
      <c r="B66" s="2" t="s">
        <v>192</v>
      </c>
      <c r="C66" s="2">
        <f>IF(Tabelle728[[#This Row],[score_0_3]]=0,"",IFERROR(_xlfn.MINIFS(Tabelle7[doc_id],Tabelle7[company_id],Tabelle728[[#This Row],[company_id]],Tabelle7[gov_id],Tabelle728[[#This Row],[gov_crit_id]],Tabelle7[score_0_3],Tabelle728[[#This Row],[score_0_3]]),""))</f>
        <v>52</v>
      </c>
      <c r="D66" s="3">
        <f>IFERROR(_xlfn.MAXIFS(Tabelle7[score_0_3],Tabelle7[company_id],Tabelle728[[#This Row],[company_id]],Tabelle7[gov_id],Tabelle728[[#This Row],[gov_crit_id]]),0)</f>
        <v>1</v>
      </c>
      <c r="E66" t="str" cm="1">
        <f t="array" ref="E66">IF(Tabelle728[[#This Row],[doc_id_primary_evidence]]="","",IFERROR(INDEX(Tabelle7[evidence_quote],MATCH(1,(Tabelle7[company_id]=Tabelle728[[#This Row],[company_id]])*(Tabelle7[gov_id]=Tabelle728[[#This Row],[gov_crit_id]])*(Tabelle7[doc_id]=Tabelle728[[#This Row],[doc_id_primary_evidence]]),0)),""))</f>
        <v>“Please refer to the AI Code of Ethics”</v>
      </c>
      <c r="F66" s="51" t="str" cm="1">
        <f t="array" ref="F66">IF(Tabelle728[[#This Row],[doc_id_primary_evidence]]="","",IFERROR(INDEX(Tabelle7[evidence_location],MATCH(1,(Tabelle7[company_id]=Tabelle728[[#This Row],[company_id]])*(Tabelle7[gov_id]=Tabelle728[[#This Row],[gov_crit_id]])*(Tabelle7[doc_id]=Tabelle728[[#This Row],[doc_id_primary_evidence]]),0)),""))</f>
        <v>S. 40</v>
      </c>
    </row>
    <row r="67" spans="1:6" x14ac:dyDescent="0.25">
      <c r="A67" s="24">
        <v>10</v>
      </c>
      <c r="B67" s="2" t="s">
        <v>198</v>
      </c>
      <c r="C67" s="2" t="str">
        <f>IF(Tabelle728[[#This Row],[score_0_3]]=0,"",IFERROR(_xlfn.MINIFS(Tabelle7[doc_id],Tabelle7[company_id],Tabelle728[[#This Row],[company_id]],Tabelle7[gov_id],Tabelle728[[#This Row],[gov_crit_id]],Tabelle7[score_0_3],Tabelle728[[#This Row],[score_0_3]]),""))</f>
        <v/>
      </c>
      <c r="D67" s="3">
        <f>IFERROR(_xlfn.MAXIFS(Tabelle7[score_0_3],Tabelle7[company_id],Tabelle728[[#This Row],[company_id]],Tabelle7[gov_id],Tabelle728[[#This Row],[gov_crit_id]]),0)</f>
        <v>0</v>
      </c>
      <c r="E67" t="str" cm="1">
        <f t="array" ref="E67">IF(Tabelle728[[#This Row],[doc_id_primary_evidence]]="","",IFERROR(INDEX(Tabelle7[evidence_quote],MATCH(1,(Tabelle7[company_id]=Tabelle728[[#This Row],[company_id]])*(Tabelle7[gov_id]=Tabelle728[[#This Row],[gov_crit_id]])*(Tabelle7[doc_id]=Tabelle728[[#This Row],[doc_id_primary_evidence]]),0)),""))</f>
        <v/>
      </c>
      <c r="F67" s="51" t="str" cm="1">
        <f t="array" ref="F67">IF(Tabelle728[[#This Row],[doc_id_primary_evidence]]="","",IFERROR(INDEX(Tabelle7[evidence_location],MATCH(1,(Tabelle7[company_id]=Tabelle728[[#This Row],[company_id]])*(Tabelle7[gov_id]=Tabelle728[[#This Row],[gov_crit_id]])*(Tabelle7[doc_id]=Tabelle728[[#This Row],[doc_id_primary_evidence]]),0)),""))</f>
        <v/>
      </c>
    </row>
    <row r="68" spans="1:6" x14ac:dyDescent="0.25">
      <c r="A68" s="24">
        <v>10</v>
      </c>
      <c r="B68" s="2" t="s">
        <v>204</v>
      </c>
      <c r="C68" s="2" t="str">
        <f>IF(Tabelle728[[#This Row],[score_0_3]]=0,"",IFERROR(_xlfn.MINIFS(Tabelle7[doc_id],Tabelle7[company_id],Tabelle728[[#This Row],[company_id]],Tabelle7[gov_id],Tabelle728[[#This Row],[gov_crit_id]],Tabelle7[score_0_3],Tabelle728[[#This Row],[score_0_3]]),""))</f>
        <v/>
      </c>
      <c r="D68" s="3">
        <f>IFERROR(_xlfn.MAXIFS(Tabelle7[score_0_3],Tabelle7[company_id],Tabelle728[[#This Row],[company_id]],Tabelle7[gov_id],Tabelle728[[#This Row],[gov_crit_id]]),0)</f>
        <v>0</v>
      </c>
      <c r="E68" t="str" cm="1">
        <f t="array" ref="E68">IF(Tabelle728[[#This Row],[doc_id_primary_evidence]]="","",IFERROR(INDEX(Tabelle7[evidence_quote],MATCH(1,(Tabelle7[company_id]=Tabelle728[[#This Row],[company_id]])*(Tabelle7[gov_id]=Tabelle728[[#This Row],[gov_crit_id]])*(Tabelle7[doc_id]=Tabelle728[[#This Row],[doc_id_primary_evidence]]),0)),""))</f>
        <v/>
      </c>
      <c r="F68" s="51" t="str" cm="1">
        <f t="array" ref="F68">IF(Tabelle728[[#This Row],[doc_id_primary_evidence]]="","",IFERROR(INDEX(Tabelle7[evidence_location],MATCH(1,(Tabelle7[company_id]=Tabelle728[[#This Row],[company_id]])*(Tabelle7[gov_id]=Tabelle728[[#This Row],[gov_crit_id]])*(Tabelle7[doc_id]=Tabelle728[[#This Row],[doc_id_primary_evidence]]),0)),""))</f>
        <v/>
      </c>
    </row>
    <row r="69" spans="1:6" x14ac:dyDescent="0.25">
      <c r="A69" s="24">
        <v>10</v>
      </c>
      <c r="B69" s="2" t="s">
        <v>210</v>
      </c>
      <c r="C69" s="2" t="str">
        <f>IF(Tabelle728[[#This Row],[score_0_3]]=0,"",IFERROR(_xlfn.MINIFS(Tabelle7[doc_id],Tabelle7[company_id],Tabelle728[[#This Row],[company_id]],Tabelle7[gov_id],Tabelle728[[#This Row],[gov_crit_id]],Tabelle7[score_0_3],Tabelle728[[#This Row],[score_0_3]]),""))</f>
        <v/>
      </c>
      <c r="D69" s="3">
        <f>IFERROR(_xlfn.MAXIFS(Tabelle7[score_0_3],Tabelle7[company_id],Tabelle728[[#This Row],[company_id]],Tabelle7[gov_id],Tabelle728[[#This Row],[gov_crit_id]]),0)</f>
        <v>0</v>
      </c>
      <c r="E69" t="str" cm="1">
        <f t="array" ref="E69">IF(Tabelle728[[#This Row],[doc_id_primary_evidence]]="","",IFERROR(INDEX(Tabelle7[evidence_quote],MATCH(1,(Tabelle7[company_id]=Tabelle728[[#This Row],[company_id]])*(Tabelle7[gov_id]=Tabelle728[[#This Row],[gov_crit_id]])*(Tabelle7[doc_id]=Tabelle728[[#This Row],[doc_id_primary_evidence]]),0)),""))</f>
        <v/>
      </c>
      <c r="F69" s="51" t="str" cm="1">
        <f t="array" ref="F69">IF(Tabelle728[[#This Row],[doc_id_primary_evidence]]="","",IFERROR(INDEX(Tabelle7[evidence_location],MATCH(1,(Tabelle7[company_id]=Tabelle728[[#This Row],[company_id]])*(Tabelle7[gov_id]=Tabelle728[[#This Row],[gov_crit_id]])*(Tabelle7[doc_id]=Tabelle728[[#This Row],[doc_id_primary_evidence]]),0)),""))</f>
        <v/>
      </c>
    </row>
    <row r="70" spans="1:6" x14ac:dyDescent="0.25">
      <c r="A70" s="24">
        <v>10</v>
      </c>
      <c r="B70" s="2" t="s">
        <v>215</v>
      </c>
      <c r="C70" s="2">
        <f>IF(Tabelle728[[#This Row],[score_0_3]]=0,"",IFERROR(_xlfn.MINIFS(Tabelle7[doc_id],Tabelle7[company_id],Tabelle728[[#This Row],[company_id]],Tabelle7[gov_id],Tabelle728[[#This Row],[gov_crit_id]],Tabelle7[score_0_3],Tabelle728[[#This Row],[score_0_3]]),""))</f>
        <v>52</v>
      </c>
      <c r="D70" s="3">
        <f>IFERROR(_xlfn.MAXIFS(Tabelle7[score_0_3],Tabelle7[company_id],Tabelle728[[#This Row],[company_id]],Tabelle7[gov_id],Tabelle728[[#This Row],[gov_crit_id]]),0)</f>
        <v>1</v>
      </c>
      <c r="E70" t="str" cm="1">
        <f t="array" ref="E70">IF(Tabelle728[[#This Row],[doc_id_primary_evidence]]="","",IFERROR(INDEX(Tabelle7[evidence_quote],MATCH(1,(Tabelle7[company_id]=Tabelle728[[#This Row],[company_id]])*(Tabelle7[gov_id]=Tabelle728[[#This Row],[gov_crit_id]])*(Tabelle7[doc_id]=Tabelle728[[#This Row],[doc_id_primary_evidence]]),0)),""))</f>
        <v>“please contact Data Compliance”</v>
      </c>
      <c r="F70" s="51" t="str" cm="1">
        <f t="array" ref="F70">IF(Tabelle728[[#This Row],[doc_id_primary_evidence]]="","",IFERROR(INDEX(Tabelle7[evidence_location],MATCH(1,(Tabelle7[company_id]=Tabelle728[[#This Row],[company_id]])*(Tabelle7[gov_id]=Tabelle728[[#This Row],[gov_crit_id]])*(Tabelle7[doc_id]=Tabelle728[[#This Row],[doc_id_primary_evidence]]),0)),""))</f>
        <v>S. 40</v>
      </c>
    </row>
    <row r="71" spans="1:6" ht="15.75" thickBot="1" x14ac:dyDescent="0.3">
      <c r="A71" s="26">
        <v>10</v>
      </c>
      <c r="B71" s="27" t="s">
        <v>221</v>
      </c>
      <c r="C71" s="27" t="str">
        <f>IF(Tabelle728[[#This Row],[score_0_3]]=0,"",IFERROR(_xlfn.MINIFS(Tabelle7[doc_id],Tabelle7[company_id],Tabelle728[[#This Row],[company_id]],Tabelle7[gov_id],Tabelle728[[#This Row],[gov_crit_id]],Tabelle7[score_0_3],Tabelle728[[#This Row],[score_0_3]]),""))</f>
        <v/>
      </c>
      <c r="D71" s="28">
        <f>IFERROR(_xlfn.MAXIFS(Tabelle7[score_0_3],Tabelle7[company_id],Tabelle728[[#This Row],[company_id]],Tabelle7[gov_id],Tabelle728[[#This Row],[gov_crit_id]]),0)</f>
        <v>0</v>
      </c>
      <c r="E71" s="30" t="str" cm="1">
        <f t="array" ref="E71">IF(Tabelle728[[#This Row],[doc_id_primary_evidence]]="","",IFERROR(INDEX(Tabelle7[evidence_quote],MATCH(1,(Tabelle7[company_id]=Tabelle728[[#This Row],[company_id]])*(Tabelle7[gov_id]=Tabelle728[[#This Row],[gov_crit_id]])*(Tabelle7[doc_id]=Tabelle728[[#This Row],[doc_id_primary_evidence]]),0)),""))</f>
        <v/>
      </c>
      <c r="F71" s="52" t="str" cm="1">
        <f t="array" ref="F71">IF(Tabelle728[[#This Row],[doc_id_primary_evidence]]="","",IFERROR(INDEX(Tabelle7[evidence_location],MATCH(1,(Tabelle7[company_id]=Tabelle728[[#This Row],[company_id]])*(Tabelle7[gov_id]=Tabelle728[[#This Row],[gov_crit_id]])*(Tabelle7[doc_id]=Tabelle728[[#This Row],[doc_id_primary_evidence]]),0)),""))</f>
        <v/>
      </c>
    </row>
    <row r="72" spans="1:6" x14ac:dyDescent="0.25">
      <c r="A72" s="18">
        <v>11</v>
      </c>
      <c r="B72" s="19" t="s">
        <v>186</v>
      </c>
      <c r="C72" s="19" t="str">
        <f>IF(Tabelle728[[#This Row],[score_0_3]]=0,"",IFERROR(_xlfn.MINIFS(Tabelle7[doc_id],Tabelle7[company_id],Tabelle728[[#This Row],[company_id]],Tabelle7[gov_id],Tabelle728[[#This Row],[gov_crit_id]],Tabelle7[score_0_3],Tabelle728[[#This Row],[score_0_3]]),""))</f>
        <v/>
      </c>
      <c r="D72" s="20">
        <f>IFERROR(_xlfn.MAXIFS(Tabelle7[score_0_3],Tabelle7[company_id],Tabelle728[[#This Row],[company_id]],Tabelle7[gov_id],Tabelle728[[#This Row],[gov_crit_id]]),0)</f>
        <v>0</v>
      </c>
      <c r="E72" s="22" t="str" cm="1">
        <f t="array" ref="E72">IF(Tabelle728[[#This Row],[doc_id_primary_evidence]]="","",IFERROR(INDEX(Tabelle7[evidence_quote],MATCH(1,(Tabelle7[company_id]=Tabelle728[[#This Row],[company_id]])*(Tabelle7[gov_id]=Tabelle728[[#This Row],[gov_crit_id]])*(Tabelle7[doc_id]=Tabelle728[[#This Row],[doc_id_primary_evidence]]),0)),""))</f>
        <v/>
      </c>
      <c r="F72" s="50" t="str" cm="1">
        <f t="array" ref="F72">IF(Tabelle728[[#This Row],[doc_id_primary_evidence]]="","",IFERROR(INDEX(Tabelle7[evidence_location],MATCH(1,(Tabelle7[company_id]=Tabelle728[[#This Row],[company_id]])*(Tabelle7[gov_id]=Tabelle728[[#This Row],[gov_crit_id]])*(Tabelle7[doc_id]=Tabelle728[[#This Row],[doc_id_primary_evidence]]),0)),""))</f>
        <v/>
      </c>
    </row>
    <row r="73" spans="1:6" x14ac:dyDescent="0.25">
      <c r="A73" s="24">
        <v>11</v>
      </c>
      <c r="B73" s="2" t="s">
        <v>192</v>
      </c>
      <c r="C73" s="2">
        <f>IF(Tabelle728[[#This Row],[score_0_3]]=0,"",IFERROR(_xlfn.MINIFS(Tabelle7[doc_id],Tabelle7[company_id],Tabelle728[[#This Row],[company_id]],Tabelle7[gov_id],Tabelle728[[#This Row],[gov_crit_id]],Tabelle7[score_0_3],Tabelle728[[#This Row],[score_0_3]]),""))</f>
        <v>57</v>
      </c>
      <c r="D73" s="3">
        <f>IFERROR(_xlfn.MAXIFS(Tabelle7[score_0_3],Tabelle7[company_id],Tabelle728[[#This Row],[company_id]],Tabelle7[gov_id],Tabelle728[[#This Row],[gov_crit_id]]),0)</f>
        <v>1</v>
      </c>
      <c r="E73" t="str" cm="1">
        <f t="array" ref="E73">IF(Tabelle728[[#This Row],[doc_id_primary_evidence]]="","",IFERROR(INDEX(Tabelle7[evidence_quote],MATCH(1,(Tabelle7[company_id]=Tabelle728[[#This Row],[company_id]])*(Tabelle7[gov_id]=Tabelle728[[#This Row],[gov_crit_id]])*(Tabelle7[doc_id]=Tabelle728[[#This Row],[doc_id_primary_evidence]]),0)),""))</f>
        <v>“we follow our demanding AI principles”</v>
      </c>
      <c r="F73" s="51" t="str" cm="1">
        <f t="array" ref="F73">IF(Tabelle728[[#This Row],[doc_id_primary_evidence]]="","",IFERROR(INDEX(Tabelle7[evidence_location],MATCH(1,(Tabelle7[company_id]=Tabelle728[[#This Row],[company_id]])*(Tabelle7[gov_id]=Tabelle728[[#This Row],[gov_crit_id]])*(Tabelle7[doc_id]=Tabelle728[[#This Row],[doc_id_primary_evidence]]),0)),""))</f>
        <v>S. 15</v>
      </c>
    </row>
    <row r="74" spans="1:6" x14ac:dyDescent="0.25">
      <c r="A74" s="24">
        <v>11</v>
      </c>
      <c r="B74" s="2" t="s">
        <v>198</v>
      </c>
      <c r="C74" s="2" t="str">
        <f>IF(Tabelle728[[#This Row],[score_0_3]]=0,"",IFERROR(_xlfn.MINIFS(Tabelle7[doc_id],Tabelle7[company_id],Tabelle728[[#This Row],[company_id]],Tabelle7[gov_id],Tabelle728[[#This Row],[gov_crit_id]],Tabelle7[score_0_3],Tabelle728[[#This Row],[score_0_3]]),""))</f>
        <v/>
      </c>
      <c r="D74" s="3">
        <f>IFERROR(_xlfn.MAXIFS(Tabelle7[score_0_3],Tabelle7[company_id],Tabelle728[[#This Row],[company_id]],Tabelle7[gov_id],Tabelle728[[#This Row],[gov_crit_id]]),0)</f>
        <v>0</v>
      </c>
      <c r="E74" t="str" cm="1">
        <f t="array" ref="E74">IF(Tabelle728[[#This Row],[doc_id_primary_evidence]]="","",IFERROR(INDEX(Tabelle7[evidence_quote],MATCH(1,(Tabelle7[company_id]=Tabelle728[[#This Row],[company_id]])*(Tabelle7[gov_id]=Tabelle728[[#This Row],[gov_crit_id]])*(Tabelle7[doc_id]=Tabelle728[[#This Row],[doc_id_primary_evidence]]),0)),""))</f>
        <v/>
      </c>
      <c r="F74" s="51" t="str" cm="1">
        <f t="array" ref="F74">IF(Tabelle728[[#This Row],[doc_id_primary_evidence]]="","",IFERROR(INDEX(Tabelle7[evidence_location],MATCH(1,(Tabelle7[company_id]=Tabelle728[[#This Row],[company_id]])*(Tabelle7[gov_id]=Tabelle728[[#This Row],[gov_crit_id]])*(Tabelle7[doc_id]=Tabelle728[[#This Row],[doc_id_primary_evidence]]),0)),""))</f>
        <v/>
      </c>
    </row>
    <row r="75" spans="1:6" x14ac:dyDescent="0.25">
      <c r="A75" s="24">
        <v>11</v>
      </c>
      <c r="B75" s="2" t="s">
        <v>204</v>
      </c>
      <c r="C75" s="2" t="str">
        <f>IF(Tabelle728[[#This Row],[score_0_3]]=0,"",IFERROR(_xlfn.MINIFS(Tabelle7[doc_id],Tabelle7[company_id],Tabelle728[[#This Row],[company_id]],Tabelle7[gov_id],Tabelle728[[#This Row],[gov_crit_id]],Tabelle7[score_0_3],Tabelle728[[#This Row],[score_0_3]]),""))</f>
        <v/>
      </c>
      <c r="D75" s="3">
        <f>IFERROR(_xlfn.MAXIFS(Tabelle7[score_0_3],Tabelle7[company_id],Tabelle728[[#This Row],[company_id]],Tabelle7[gov_id],Tabelle728[[#This Row],[gov_crit_id]]),0)</f>
        <v>0</v>
      </c>
      <c r="E75" t="str" cm="1">
        <f t="array" ref="E75">IF(Tabelle728[[#This Row],[doc_id_primary_evidence]]="","",IFERROR(INDEX(Tabelle7[evidence_quote],MATCH(1,(Tabelle7[company_id]=Tabelle728[[#This Row],[company_id]])*(Tabelle7[gov_id]=Tabelle728[[#This Row],[gov_crit_id]])*(Tabelle7[doc_id]=Tabelle728[[#This Row],[doc_id_primary_evidence]]),0)),""))</f>
        <v/>
      </c>
      <c r="F75" s="51" t="str" cm="1">
        <f t="array" ref="F75">IF(Tabelle728[[#This Row],[doc_id_primary_evidence]]="","",IFERROR(INDEX(Tabelle7[evidence_location],MATCH(1,(Tabelle7[company_id]=Tabelle728[[#This Row],[company_id]])*(Tabelle7[gov_id]=Tabelle728[[#This Row],[gov_crit_id]])*(Tabelle7[doc_id]=Tabelle728[[#This Row],[doc_id_primary_evidence]]),0)),""))</f>
        <v/>
      </c>
    </row>
    <row r="76" spans="1:6" x14ac:dyDescent="0.25">
      <c r="A76" s="24">
        <v>11</v>
      </c>
      <c r="B76" s="2" t="s">
        <v>210</v>
      </c>
      <c r="C76" s="2" t="str">
        <f>IF(Tabelle728[[#This Row],[score_0_3]]=0,"",IFERROR(_xlfn.MINIFS(Tabelle7[doc_id],Tabelle7[company_id],Tabelle728[[#This Row],[company_id]],Tabelle7[gov_id],Tabelle728[[#This Row],[gov_crit_id]],Tabelle7[score_0_3],Tabelle728[[#This Row],[score_0_3]]),""))</f>
        <v/>
      </c>
      <c r="D76" s="3">
        <f>IFERROR(_xlfn.MAXIFS(Tabelle7[score_0_3],Tabelle7[company_id],Tabelle728[[#This Row],[company_id]],Tabelle7[gov_id],Tabelle728[[#This Row],[gov_crit_id]]),0)</f>
        <v>0</v>
      </c>
      <c r="E76" t="str" cm="1">
        <f t="array" ref="E76">IF(Tabelle728[[#This Row],[doc_id_primary_evidence]]="","",IFERROR(INDEX(Tabelle7[evidence_quote],MATCH(1,(Tabelle7[company_id]=Tabelle728[[#This Row],[company_id]])*(Tabelle7[gov_id]=Tabelle728[[#This Row],[gov_crit_id]])*(Tabelle7[doc_id]=Tabelle728[[#This Row],[doc_id_primary_evidence]]),0)),""))</f>
        <v/>
      </c>
      <c r="F76" s="51" t="str" cm="1">
        <f t="array" ref="F76">IF(Tabelle728[[#This Row],[doc_id_primary_evidence]]="","",IFERROR(INDEX(Tabelle7[evidence_location],MATCH(1,(Tabelle7[company_id]=Tabelle728[[#This Row],[company_id]])*(Tabelle7[gov_id]=Tabelle728[[#This Row],[gov_crit_id]])*(Tabelle7[doc_id]=Tabelle728[[#This Row],[doc_id_primary_evidence]]),0)),""))</f>
        <v/>
      </c>
    </row>
    <row r="77" spans="1:6" x14ac:dyDescent="0.25">
      <c r="A77" s="24">
        <v>11</v>
      </c>
      <c r="B77" s="2" t="s">
        <v>215</v>
      </c>
      <c r="C77" s="2" t="str">
        <f>IF(Tabelle728[[#This Row],[score_0_3]]=0,"",IFERROR(_xlfn.MINIFS(Tabelle7[doc_id],Tabelle7[company_id],Tabelle728[[#This Row],[company_id]],Tabelle7[gov_id],Tabelle728[[#This Row],[gov_crit_id]],Tabelle7[score_0_3],Tabelle728[[#This Row],[score_0_3]]),""))</f>
        <v/>
      </c>
      <c r="D77" s="3">
        <f>IFERROR(_xlfn.MAXIFS(Tabelle7[score_0_3],Tabelle7[company_id],Tabelle728[[#This Row],[company_id]],Tabelle7[gov_id],Tabelle728[[#This Row],[gov_crit_id]]),0)</f>
        <v>0</v>
      </c>
      <c r="E77" t="str" cm="1">
        <f t="array" ref="E77">IF(Tabelle728[[#This Row],[doc_id_primary_evidence]]="","",IFERROR(INDEX(Tabelle7[evidence_quote],MATCH(1,(Tabelle7[company_id]=Tabelle728[[#This Row],[company_id]])*(Tabelle7[gov_id]=Tabelle728[[#This Row],[gov_crit_id]])*(Tabelle7[doc_id]=Tabelle728[[#This Row],[doc_id_primary_evidence]]),0)),""))</f>
        <v/>
      </c>
      <c r="F77" s="51" t="str" cm="1">
        <f t="array" ref="F77">IF(Tabelle728[[#This Row],[doc_id_primary_evidence]]="","",IFERROR(INDEX(Tabelle7[evidence_location],MATCH(1,(Tabelle7[company_id]=Tabelle728[[#This Row],[company_id]])*(Tabelle7[gov_id]=Tabelle728[[#This Row],[gov_crit_id]])*(Tabelle7[doc_id]=Tabelle728[[#This Row],[doc_id_primary_evidence]]),0)),""))</f>
        <v/>
      </c>
    </row>
    <row r="78" spans="1:6" ht="15.75" thickBot="1" x14ac:dyDescent="0.3">
      <c r="A78" s="26">
        <v>11</v>
      </c>
      <c r="B78" s="27" t="s">
        <v>221</v>
      </c>
      <c r="C78" s="27" t="str">
        <f>IF(Tabelle728[[#This Row],[score_0_3]]=0,"",IFERROR(_xlfn.MINIFS(Tabelle7[doc_id],Tabelle7[company_id],Tabelle728[[#This Row],[company_id]],Tabelle7[gov_id],Tabelle728[[#This Row],[gov_crit_id]],Tabelle7[score_0_3],Tabelle728[[#This Row],[score_0_3]]),""))</f>
        <v/>
      </c>
      <c r="D78" s="28">
        <f>IFERROR(_xlfn.MAXIFS(Tabelle7[score_0_3],Tabelle7[company_id],Tabelle728[[#This Row],[company_id]],Tabelle7[gov_id],Tabelle728[[#This Row],[gov_crit_id]]),0)</f>
        <v>0</v>
      </c>
      <c r="E78" s="30" t="str" cm="1">
        <f t="array" ref="E78">IF(Tabelle728[[#This Row],[doc_id_primary_evidence]]="","",IFERROR(INDEX(Tabelle7[evidence_quote],MATCH(1,(Tabelle7[company_id]=Tabelle728[[#This Row],[company_id]])*(Tabelle7[gov_id]=Tabelle728[[#This Row],[gov_crit_id]])*(Tabelle7[doc_id]=Tabelle728[[#This Row],[doc_id_primary_evidence]]),0)),""))</f>
        <v/>
      </c>
      <c r="F78" s="52" t="str" cm="1">
        <f t="array" ref="F78">IF(Tabelle728[[#This Row],[doc_id_primary_evidence]]="","",IFERROR(INDEX(Tabelle7[evidence_location],MATCH(1,(Tabelle7[company_id]=Tabelle728[[#This Row],[company_id]])*(Tabelle7[gov_id]=Tabelle728[[#This Row],[gov_crit_id]])*(Tabelle7[doc_id]=Tabelle728[[#This Row],[doc_id_primary_evidence]]),0)),""))</f>
        <v/>
      </c>
    </row>
    <row r="79" spans="1:6" x14ac:dyDescent="0.25">
      <c r="A79" s="18">
        <v>12</v>
      </c>
      <c r="B79" s="19" t="s">
        <v>186</v>
      </c>
      <c r="C79" s="19">
        <f>IF(Tabelle728[[#This Row],[score_0_3]]=0,"",IFERROR(_xlfn.MINIFS(Tabelle7[doc_id],Tabelle7[company_id],Tabelle728[[#This Row],[company_id]],Tabelle7[gov_id],Tabelle728[[#This Row],[gov_crit_id]],Tabelle7[score_0_3],Tabelle728[[#This Row],[score_0_3]]),""))</f>
        <v>64</v>
      </c>
      <c r="D79" s="20">
        <f>IFERROR(_xlfn.MAXIFS(Tabelle7[score_0_3],Tabelle7[company_id],Tabelle728[[#This Row],[company_id]],Tabelle7[gov_id],Tabelle728[[#This Row],[gov_crit_id]]),0)</f>
        <v>2</v>
      </c>
      <c r="E79" s="22" t="str" cm="1">
        <f t="array" ref="E79">IF(Tabelle728[[#This Row],[doc_id_primary_evidence]]="","",IFERROR(INDEX(Tabelle7[evidence_quote],MATCH(1,(Tabelle7[company_id]=Tabelle728[[#This Row],[company_id]])*(Tabelle7[gov_id]=Tabelle728[[#This Row],[gov_crit_id]])*(Tabelle7[doc_id]=Tabelle728[[#This Row],[doc_id_primary_evidence]]),0)),""))</f>
        <v>“established an Artificial Intelligence Oversight Forum”; “AI and machine learning … were key topics; “to provide bank-wide oversight and governance”</v>
      </c>
      <c r="F79" s="50" t="str" cm="1">
        <f t="array" ref="F79">IF(Tabelle728[[#This Row],[doc_id_primary_evidence]]="","",IFERROR(INDEX(Tabelle7[evidence_location],MATCH(1,(Tabelle7[company_id]=Tabelle728[[#This Row],[company_id]])*(Tabelle7[gov_id]=Tabelle728[[#This Row],[gov_crit_id]])*(Tabelle7[doc_id]=Tabelle728[[#This Row],[doc_id_primary_evidence]]),0)),""))</f>
        <v>S. 6; S. 132</v>
      </c>
    </row>
    <row r="80" spans="1:6" x14ac:dyDescent="0.25">
      <c r="A80" s="24">
        <v>12</v>
      </c>
      <c r="B80" s="2" t="s">
        <v>192</v>
      </c>
      <c r="C80" s="2">
        <f>IF(Tabelle728[[#This Row],[score_0_3]]=0,"",IFERROR(_xlfn.MINIFS(Tabelle7[doc_id],Tabelle7[company_id],Tabelle728[[#This Row],[company_id]],Tabelle7[gov_id],Tabelle728[[#This Row],[gov_crit_id]],Tabelle7[score_0_3],Tabelle728[[#This Row],[score_0_3]]),""))</f>
        <v>69</v>
      </c>
      <c r="D80" s="3">
        <f>IFERROR(_xlfn.MAXIFS(Tabelle7[score_0_3],Tabelle7[company_id],Tabelle728[[#This Row],[company_id]],Tabelle7[gov_id],Tabelle728[[#This Row],[gov_crit_id]]),0)</f>
        <v>2</v>
      </c>
      <c r="E80" t="str" cm="1">
        <f t="array" ref="E80">IF(Tabelle728[[#This Row],[doc_id_primary_evidence]]="","",IFERROR(INDEX(Tabelle7[evidence_quote],MATCH(1,(Tabelle7[company_id]=Tabelle728[[#This Row],[company_id]])*(Tabelle7[gov_id]=Tabelle728[[#This Row],[gov_crit_id]])*(Tabelle7[doc_id]=Tabelle728[[#This Row],[doc_id_primary_evidence]]),0)),""))</f>
        <v>“models need to be regularly retrained”; “extra due diligence is needed”</v>
      </c>
      <c r="F80" s="51" t="str" cm="1">
        <f t="array" ref="F80">IF(Tabelle728[[#This Row],[doc_id_primary_evidence]]="","",IFERROR(INDEX(Tabelle7[evidence_location],MATCH(1,(Tabelle7[company_id]=Tabelle728[[#This Row],[company_id]])*(Tabelle7[gov_id]=Tabelle728[[#This Row],[gov_crit_id]])*(Tabelle7[doc_id]=Tabelle728[[#This Row],[doc_id_primary_evidence]]),0)),""))</f>
        <v>S. 17; S. 18</v>
      </c>
    </row>
    <row r="81" spans="1:6" x14ac:dyDescent="0.25">
      <c r="A81" s="24">
        <v>12</v>
      </c>
      <c r="B81" s="2" t="s">
        <v>198</v>
      </c>
      <c r="C81" s="2">
        <f>IF(Tabelle728[[#This Row],[score_0_3]]=0,"",IFERROR(_xlfn.MINIFS(Tabelle7[doc_id],Tabelle7[company_id],Tabelle728[[#This Row],[company_id]],Tabelle7[gov_id],Tabelle728[[#This Row],[gov_crit_id]],Tabelle7[score_0_3],Tabelle728[[#This Row],[score_0_3]]),""))</f>
        <v>64</v>
      </c>
      <c r="D81" s="3">
        <f>IFERROR(_xlfn.MAXIFS(Tabelle7[score_0_3],Tabelle7[company_id],Tabelle728[[#This Row],[company_id]],Tabelle7[gov_id],Tabelle728[[#This Row],[gov_crit_id]]),0)</f>
        <v>2</v>
      </c>
      <c r="E81" t="str" cm="1">
        <f t="array" ref="E81">IF(Tabelle728[[#This Row],[doc_id_primary_evidence]]="","",IFERROR(INDEX(Tabelle7[evidence_quote],MATCH(1,(Tabelle7[company_id]=Tabelle728[[#This Row],[company_id]])*(Tabelle7[gov_id]=Tabelle728[[#This Row],[gov_crit_id]])*(Tabelle7[doc_id]=Tabelle728[[#This Row],[doc_id_primary_evidence]]),0)),""))</f>
        <v>“adequate monitoring and risk assessment of AI solutions”; “monitoring and risk assessment of AI solutions and their alignment with the bank’s strategic goals”; “The 2023 focus areas included Artificial Intelligence”</v>
      </c>
      <c r="F81" s="51" t="str" cm="1">
        <f t="array" ref="F81">IF(Tabelle728[[#This Row],[doc_id_primary_evidence]]="","",IFERROR(INDEX(Tabelle7[evidence_location],MATCH(1,(Tabelle7[company_id]=Tabelle728[[#This Row],[company_id]])*(Tabelle7[gov_id]=Tabelle728[[#This Row],[gov_crit_id]])*(Tabelle7[doc_id]=Tabelle728[[#This Row],[doc_id_primary_evidence]]),0)),""))</f>
        <v>S. 6; S. 132; S. 135</v>
      </c>
    </row>
    <row r="82" spans="1:6" x14ac:dyDescent="0.25">
      <c r="A82" s="24">
        <v>12</v>
      </c>
      <c r="B82" s="2" t="s">
        <v>204</v>
      </c>
      <c r="C82" s="2">
        <f>IF(Tabelle728[[#This Row],[score_0_3]]=0,"",IFERROR(_xlfn.MINIFS(Tabelle7[doc_id],Tabelle7[company_id],Tabelle728[[#This Row],[company_id]],Tabelle7[gov_id],Tabelle728[[#This Row],[gov_crit_id]],Tabelle7[score_0_3],Tabelle728[[#This Row],[score_0_3]]),""))</f>
        <v>69</v>
      </c>
      <c r="D82" s="3">
        <f>IFERROR(_xlfn.MAXIFS(Tabelle7[score_0_3],Tabelle7[company_id],Tabelle728[[#This Row],[company_id]],Tabelle7[gov_id],Tabelle728[[#This Row],[gov_crit_id]]),0)</f>
        <v>1</v>
      </c>
      <c r="E82" t="str" cm="1">
        <f t="array" ref="E82">IF(Tabelle728[[#This Row],[doc_id_primary_evidence]]="","",IFERROR(INDEX(Tabelle7[evidence_quote],MATCH(1,(Tabelle7[company_id]=Tabelle728[[#This Row],[company_id]])*(Tabelle7[gov_id]=Tabelle728[[#This Row],[gov_crit_id]])*(Tabelle7[doc_id]=Tabelle728[[#This Row],[doc_id_primary_evidence]]),0)),""))</f>
        <v>“subjected to thorough audits”</v>
      </c>
      <c r="F82" s="51" t="str" cm="1">
        <f t="array" ref="F82">IF(Tabelle728[[#This Row],[doc_id_primary_evidence]]="","",IFERROR(INDEX(Tabelle7[evidence_location],MATCH(1,(Tabelle7[company_id]=Tabelle728[[#This Row],[company_id]])*(Tabelle7[gov_id]=Tabelle728[[#This Row],[gov_crit_id]])*(Tabelle7[doc_id]=Tabelle728[[#This Row],[doc_id_primary_evidence]]),0)),""))</f>
        <v>S. 21, Abschnitt 4.3</v>
      </c>
    </row>
    <row r="83" spans="1:6" x14ac:dyDescent="0.25">
      <c r="A83" s="24">
        <v>12</v>
      </c>
      <c r="B83" s="2" t="s">
        <v>210</v>
      </c>
      <c r="C83" s="2">
        <f>IF(Tabelle728[[#This Row],[score_0_3]]=0,"",IFERROR(_xlfn.MINIFS(Tabelle7[doc_id],Tabelle7[company_id],Tabelle728[[#This Row],[company_id]],Tabelle7[gov_id],Tabelle728[[#This Row],[gov_crit_id]],Tabelle7[score_0_3],Tabelle728[[#This Row],[score_0_3]]),""))</f>
        <v>62</v>
      </c>
      <c r="D83" s="3">
        <f>IFERROR(_xlfn.MAXIFS(Tabelle7[score_0_3],Tabelle7[company_id],Tabelle728[[#This Row],[company_id]],Tabelle7[gov_id],Tabelle728[[#This Row],[gov_crit_id]]),0)</f>
        <v>1</v>
      </c>
      <c r="E83" t="str" cm="1">
        <f t="array" ref="E83">IF(Tabelle728[[#This Row],[doc_id_primary_evidence]]="","",IFERROR(INDEX(Tabelle7[evidence_quote],MATCH(1,(Tabelle7[company_id]=Tabelle728[[#This Row],[company_id]])*(Tabelle7[gov_id]=Tabelle728[[#This Row],[gov_crit_id]])*(Tabelle7[doc_id]=Tabelle728[[#This Row],[doc_id_primary_evidence]]),0)),""))</f>
        <v>“access to continuous training”</v>
      </c>
      <c r="F83" s="51" t="str" cm="1">
        <f t="array" ref="F83">IF(Tabelle728[[#This Row],[doc_id_primary_evidence]]="","",IFERROR(INDEX(Tabelle7[evidence_location],MATCH(1,(Tabelle7[company_id]=Tabelle728[[#This Row],[company_id]])*(Tabelle7[gov_id]=Tabelle728[[#This Row],[gov_crit_id]])*(Tabelle7[doc_id]=Tabelle728[[#This Row],[doc_id_primary_evidence]]),0)),""))</f>
        <v>S. 5, Abschnitt 10</v>
      </c>
    </row>
    <row r="84" spans="1:6" x14ac:dyDescent="0.25">
      <c r="A84" s="24">
        <v>12</v>
      </c>
      <c r="B84" s="2" t="s">
        <v>215</v>
      </c>
      <c r="C84" s="2" t="str">
        <f>IF(Tabelle728[[#This Row],[score_0_3]]=0,"",IFERROR(_xlfn.MINIFS(Tabelle7[doc_id],Tabelle7[company_id],Tabelle728[[#This Row],[company_id]],Tabelle7[gov_id],Tabelle728[[#This Row],[gov_crit_id]],Tabelle7[score_0_3],Tabelle728[[#This Row],[score_0_3]]),""))</f>
        <v/>
      </c>
      <c r="D84" s="3">
        <f>IFERROR(_xlfn.MAXIFS(Tabelle7[score_0_3],Tabelle7[company_id],Tabelle728[[#This Row],[company_id]],Tabelle7[gov_id],Tabelle728[[#This Row],[gov_crit_id]]),0)</f>
        <v>0</v>
      </c>
      <c r="E84" t="str" cm="1">
        <f t="array" ref="E84">IF(Tabelle728[[#This Row],[doc_id_primary_evidence]]="","",IFERROR(INDEX(Tabelle7[evidence_quote],MATCH(1,(Tabelle7[company_id]=Tabelle728[[#This Row],[company_id]])*(Tabelle7[gov_id]=Tabelle728[[#This Row],[gov_crit_id]])*(Tabelle7[doc_id]=Tabelle728[[#This Row],[doc_id_primary_evidence]]),0)),""))</f>
        <v/>
      </c>
      <c r="F84" s="51" t="str" cm="1">
        <f t="array" ref="F84">IF(Tabelle728[[#This Row],[doc_id_primary_evidence]]="","",IFERROR(INDEX(Tabelle7[evidence_location],MATCH(1,(Tabelle7[company_id]=Tabelle728[[#This Row],[company_id]])*(Tabelle7[gov_id]=Tabelle728[[#This Row],[gov_crit_id]])*(Tabelle7[doc_id]=Tabelle728[[#This Row],[doc_id_primary_evidence]]),0)),""))</f>
        <v/>
      </c>
    </row>
    <row r="85" spans="1:6" ht="15.75" thickBot="1" x14ac:dyDescent="0.3">
      <c r="A85" s="26">
        <v>12</v>
      </c>
      <c r="B85" s="27" t="s">
        <v>221</v>
      </c>
      <c r="C85" s="27" t="str">
        <f>IF(Tabelle728[[#This Row],[score_0_3]]=0,"",IFERROR(_xlfn.MINIFS(Tabelle7[doc_id],Tabelle7[company_id],Tabelle728[[#This Row],[company_id]],Tabelle7[gov_id],Tabelle728[[#This Row],[gov_crit_id]],Tabelle7[score_0_3],Tabelle728[[#This Row],[score_0_3]]),""))</f>
        <v/>
      </c>
      <c r="D85" s="28">
        <f>IFERROR(_xlfn.MAXIFS(Tabelle7[score_0_3],Tabelle7[company_id],Tabelle728[[#This Row],[company_id]],Tabelle7[gov_id],Tabelle728[[#This Row],[gov_crit_id]]),0)</f>
        <v>0</v>
      </c>
      <c r="E85" s="30" t="str" cm="1">
        <f t="array" ref="E85">IF(Tabelle728[[#This Row],[doc_id_primary_evidence]]="","",IFERROR(INDEX(Tabelle7[evidence_quote],MATCH(1,(Tabelle7[company_id]=Tabelle728[[#This Row],[company_id]])*(Tabelle7[gov_id]=Tabelle728[[#This Row],[gov_crit_id]])*(Tabelle7[doc_id]=Tabelle728[[#This Row],[doc_id_primary_evidence]]),0)),""))</f>
        <v/>
      </c>
      <c r="F85" s="52" t="str" cm="1">
        <f t="array" ref="F85">IF(Tabelle728[[#This Row],[doc_id_primary_evidence]]="","",IFERROR(INDEX(Tabelle7[evidence_location],MATCH(1,(Tabelle7[company_id]=Tabelle728[[#This Row],[company_id]])*(Tabelle7[gov_id]=Tabelle728[[#This Row],[gov_crit_id]])*(Tabelle7[doc_id]=Tabelle728[[#This Row],[doc_id_primary_evidence]]),0)),""))</f>
        <v/>
      </c>
    </row>
    <row r="86" spans="1:6" x14ac:dyDescent="0.25">
      <c r="A86" s="18">
        <v>13</v>
      </c>
      <c r="B86" s="19" t="s">
        <v>186</v>
      </c>
      <c r="C86" s="19">
        <f>IF(Tabelle728[[#This Row],[score_0_3]]=0,"",IFERROR(_xlfn.MINIFS(Tabelle7[doc_id],Tabelle7[company_id],Tabelle728[[#This Row],[company_id]],Tabelle7[gov_id],Tabelle728[[#This Row],[gov_crit_id]],Tabelle7[score_0_3],Tabelle728[[#This Row],[score_0_3]]),""))</f>
        <v>73</v>
      </c>
      <c r="D86" s="20">
        <f>IFERROR(_xlfn.MAXIFS(Tabelle7[score_0_3],Tabelle7[company_id],Tabelle728[[#This Row],[company_id]],Tabelle7[gov_id],Tabelle728[[#This Row],[gov_crit_id]]),0)</f>
        <v>1</v>
      </c>
      <c r="E86" s="22" t="str" cm="1">
        <f t="array" ref="E86">IF(Tabelle728[[#This Row],[doc_id_primary_evidence]]="","",IFERROR(INDEX(Tabelle7[evidence_quote],MATCH(1,(Tabelle7[company_id]=Tabelle728[[#This Row],[company_id]])*(Tabelle7[gov_id]=Tabelle728[[#This Row],[gov_crit_id]])*(Tabelle7[doc_id]=Tabelle728[[#This Row],[doc_id_primary_evidence]]),0)),""))</f>
        <v>“in-house dedicated teams developing AI solutions”</v>
      </c>
      <c r="F86" s="50" t="str" cm="1">
        <f t="array" ref="F86">IF(Tabelle728[[#This Row],[doc_id_primary_evidence]]="","",IFERROR(INDEX(Tabelle7[evidence_location],MATCH(1,(Tabelle7[company_id]=Tabelle728[[#This Row],[company_id]])*(Tabelle7[gov_id]=Tabelle728[[#This Row],[gov_crit_id]])*(Tabelle7[doc_id]=Tabelle728[[#This Row],[doc_id_primary_evidence]]),0)),""))</f>
        <v>S. 10, Q5</v>
      </c>
    </row>
    <row r="87" spans="1:6" x14ac:dyDescent="0.25">
      <c r="A87" s="24">
        <v>13</v>
      </c>
      <c r="B87" s="2" t="s">
        <v>192</v>
      </c>
      <c r="C87" s="2">
        <f>IF(Tabelle728[[#This Row],[score_0_3]]=0,"",IFERROR(_xlfn.MINIFS(Tabelle7[doc_id],Tabelle7[company_id],Tabelle728[[#This Row],[company_id]],Tabelle7[gov_id],Tabelle728[[#This Row],[gov_crit_id]],Tabelle7[score_0_3],Tabelle728[[#This Row],[score_0_3]]),""))</f>
        <v>73</v>
      </c>
      <c r="D87" s="3">
        <f>IFERROR(_xlfn.MAXIFS(Tabelle7[score_0_3],Tabelle7[company_id],Tabelle728[[#This Row],[company_id]],Tabelle7[gov_id],Tabelle728[[#This Row],[gov_crit_id]]),0)</f>
        <v>1</v>
      </c>
      <c r="E87" t="str" cm="1">
        <f t="array" ref="E87">IF(Tabelle728[[#This Row],[doc_id_primary_evidence]]="","",IFERROR(INDEX(Tabelle7[evidence_quote],MATCH(1,(Tabelle7[company_id]=Tabelle728[[#This Row],[company_id]])*(Tabelle7[gov_id]=Tabelle728[[#This Row],[gov_crit_id]])*(Tabelle7[doc_id]=Tabelle728[[#This Row],[doc_id_primary_evidence]]),0)),""))</f>
        <v>“following a structured approach”; “incorporated an AI strategy into its Horizon 2026 Strategy”</v>
      </c>
      <c r="F87" s="51" t="str" cm="1">
        <f t="array" ref="F87">IF(Tabelle728[[#This Row],[doc_id_primary_evidence]]="","",IFERROR(INDEX(Tabelle7[evidence_location],MATCH(1,(Tabelle7[company_id]=Tabelle728[[#This Row],[company_id]])*(Tabelle7[gov_id]=Tabelle728[[#This Row],[gov_crit_id]])*(Tabelle7[doc_id]=Tabelle728[[#This Row],[doc_id_primary_evidence]]),0)),""))</f>
        <v>S. 10, Q4.1; S. 28, Q28</v>
      </c>
    </row>
    <row r="88" spans="1:6" x14ac:dyDescent="0.25">
      <c r="A88" s="24">
        <v>13</v>
      </c>
      <c r="B88" s="2" t="s">
        <v>198</v>
      </c>
      <c r="C88" s="2">
        <f>IF(Tabelle728[[#This Row],[score_0_3]]=0,"",IFERROR(_xlfn.MINIFS(Tabelle7[doc_id],Tabelle7[company_id],Tabelle728[[#This Row],[company_id]],Tabelle7[gov_id],Tabelle728[[#This Row],[gov_crit_id]],Tabelle7[score_0_3],Tabelle728[[#This Row],[score_0_3]]),""))</f>
        <v>74</v>
      </c>
      <c r="D88" s="3">
        <f>IFERROR(_xlfn.MAXIFS(Tabelle7[score_0_3],Tabelle7[company_id],Tabelle728[[#This Row],[company_id]],Tabelle7[gov_id],Tabelle728[[#This Row],[gov_crit_id]]),0)</f>
        <v>2</v>
      </c>
      <c r="E88" t="str" cm="1">
        <f t="array" ref="E88">IF(Tabelle728[[#This Row],[doc_id_primary_evidence]]="","",IFERROR(INDEX(Tabelle7[evidence_quote],MATCH(1,(Tabelle7[company_id]=Tabelle728[[#This Row],[company_id]])*(Tabelle7[gov_id]=Tabelle728[[#This Row],[gov_crit_id]])*(Tabelle7[doc_id]=Tabelle728[[#This Row],[doc_id_primary_evidence]]),0)),""))</f>
        <v>“establish and maintain robust internal control and entitlement systems”; “should start with the AI model’s initial access to the data corpus”; “ensure that there exists an internal control for access”</v>
      </c>
      <c r="F88" s="51" t="str" cm="1">
        <f t="array" ref="F88">IF(Tabelle728[[#This Row],[doc_id_primary_evidence]]="","",IFERROR(INDEX(Tabelle7[evidence_location],MATCH(1,(Tabelle7[company_id]=Tabelle728[[#This Row],[company_id]])*(Tabelle7[gov_id]=Tabelle728[[#This Row],[gov_crit_id]])*(Tabelle7[doc_id]=Tabelle728[[#This Row],[doc_id_primary_evidence]]),0)),""))</f>
        <v>S. 23, Abschnitt 10</v>
      </c>
    </row>
    <row r="89" spans="1:6" x14ac:dyDescent="0.25">
      <c r="A89" s="24">
        <v>13</v>
      </c>
      <c r="B89" s="2" t="s">
        <v>204</v>
      </c>
      <c r="C89" s="2" t="str">
        <f>IF(Tabelle728[[#This Row],[score_0_3]]=0,"",IFERROR(_xlfn.MINIFS(Tabelle7[doc_id],Tabelle7[company_id],Tabelle728[[#This Row],[company_id]],Tabelle7[gov_id],Tabelle728[[#This Row],[gov_crit_id]],Tabelle7[score_0_3],Tabelle728[[#This Row],[score_0_3]]),""))</f>
        <v/>
      </c>
      <c r="D89" s="3">
        <f>IFERROR(_xlfn.MAXIFS(Tabelle7[score_0_3],Tabelle7[company_id],Tabelle728[[#This Row],[company_id]],Tabelle7[gov_id],Tabelle728[[#This Row],[gov_crit_id]]),0)</f>
        <v>0</v>
      </c>
      <c r="E89" t="str" cm="1">
        <f t="array" ref="E89">IF(Tabelle728[[#This Row],[doc_id_primary_evidence]]="","",IFERROR(INDEX(Tabelle7[evidence_quote],MATCH(1,(Tabelle7[company_id]=Tabelle728[[#This Row],[company_id]])*(Tabelle7[gov_id]=Tabelle728[[#This Row],[gov_crit_id]])*(Tabelle7[doc_id]=Tabelle728[[#This Row],[doc_id_primary_evidence]]),0)),""))</f>
        <v/>
      </c>
      <c r="F89" s="51" t="str" cm="1">
        <f t="array" ref="F89">IF(Tabelle728[[#This Row],[doc_id_primary_evidence]]="","",IFERROR(INDEX(Tabelle7[evidence_location],MATCH(1,(Tabelle7[company_id]=Tabelle728[[#This Row],[company_id]])*(Tabelle7[gov_id]=Tabelle728[[#This Row],[gov_crit_id]])*(Tabelle7[doc_id]=Tabelle728[[#This Row],[doc_id_primary_evidence]]),0)),""))</f>
        <v/>
      </c>
    </row>
    <row r="90" spans="1:6" x14ac:dyDescent="0.25">
      <c r="A90" s="24">
        <v>13</v>
      </c>
      <c r="B90" s="2" t="s">
        <v>210</v>
      </c>
      <c r="C90" s="2" t="str">
        <f>IF(Tabelle728[[#This Row],[score_0_3]]=0,"",IFERROR(_xlfn.MINIFS(Tabelle7[doc_id],Tabelle7[company_id],Tabelle728[[#This Row],[company_id]],Tabelle7[gov_id],Tabelle728[[#This Row],[gov_crit_id]],Tabelle7[score_0_3],Tabelle728[[#This Row],[score_0_3]]),""))</f>
        <v/>
      </c>
      <c r="D90" s="3">
        <f>IFERROR(_xlfn.MAXIFS(Tabelle7[score_0_3],Tabelle7[company_id],Tabelle728[[#This Row],[company_id]],Tabelle7[gov_id],Tabelle728[[#This Row],[gov_crit_id]]),0)</f>
        <v>0</v>
      </c>
      <c r="E90" t="str" cm="1">
        <f t="array" ref="E90">IF(Tabelle728[[#This Row],[doc_id_primary_evidence]]="","",IFERROR(INDEX(Tabelle7[evidence_quote],MATCH(1,(Tabelle7[company_id]=Tabelle728[[#This Row],[company_id]])*(Tabelle7[gov_id]=Tabelle728[[#This Row],[gov_crit_id]])*(Tabelle7[doc_id]=Tabelle728[[#This Row],[doc_id_primary_evidence]]),0)),""))</f>
        <v/>
      </c>
      <c r="F90" s="51" t="str" cm="1">
        <f t="array" ref="F90">IF(Tabelle728[[#This Row],[doc_id_primary_evidence]]="","",IFERROR(INDEX(Tabelle7[evidence_location],MATCH(1,(Tabelle7[company_id]=Tabelle728[[#This Row],[company_id]])*(Tabelle7[gov_id]=Tabelle728[[#This Row],[gov_crit_id]])*(Tabelle7[doc_id]=Tabelle728[[#This Row],[doc_id_primary_evidence]]),0)),""))</f>
        <v/>
      </c>
    </row>
    <row r="91" spans="1:6" x14ac:dyDescent="0.25">
      <c r="A91" s="24">
        <v>13</v>
      </c>
      <c r="B91" s="2" t="s">
        <v>215</v>
      </c>
      <c r="C91" s="2" t="str">
        <f>IF(Tabelle728[[#This Row],[score_0_3]]=0,"",IFERROR(_xlfn.MINIFS(Tabelle7[doc_id],Tabelle7[company_id],Tabelle728[[#This Row],[company_id]],Tabelle7[gov_id],Tabelle728[[#This Row],[gov_crit_id]],Tabelle7[score_0_3],Tabelle728[[#This Row],[score_0_3]]),""))</f>
        <v/>
      </c>
      <c r="D91" s="3">
        <f>IFERROR(_xlfn.MAXIFS(Tabelle7[score_0_3],Tabelle7[company_id],Tabelle728[[#This Row],[company_id]],Tabelle7[gov_id],Tabelle728[[#This Row],[gov_crit_id]]),0)</f>
        <v>0</v>
      </c>
      <c r="E91" t="str" cm="1">
        <f t="array" ref="E91">IF(Tabelle728[[#This Row],[doc_id_primary_evidence]]="","",IFERROR(INDEX(Tabelle7[evidence_quote],MATCH(1,(Tabelle7[company_id]=Tabelle728[[#This Row],[company_id]])*(Tabelle7[gov_id]=Tabelle728[[#This Row],[gov_crit_id]])*(Tabelle7[doc_id]=Tabelle728[[#This Row],[doc_id_primary_evidence]]),0)),""))</f>
        <v/>
      </c>
      <c r="F91" s="51" t="str" cm="1">
        <f t="array" ref="F91">IF(Tabelle728[[#This Row],[doc_id_primary_evidence]]="","",IFERROR(INDEX(Tabelle7[evidence_location],MATCH(1,(Tabelle7[company_id]=Tabelle728[[#This Row],[company_id]])*(Tabelle7[gov_id]=Tabelle728[[#This Row],[gov_crit_id]])*(Tabelle7[doc_id]=Tabelle728[[#This Row],[doc_id_primary_evidence]]),0)),""))</f>
        <v/>
      </c>
    </row>
    <row r="92" spans="1:6" ht="15.75" thickBot="1" x14ac:dyDescent="0.3">
      <c r="A92" s="26">
        <v>13</v>
      </c>
      <c r="B92" s="27" t="s">
        <v>221</v>
      </c>
      <c r="C92" s="27" t="str">
        <f>IF(Tabelle728[[#This Row],[score_0_3]]=0,"",IFERROR(_xlfn.MINIFS(Tabelle7[doc_id],Tabelle7[company_id],Tabelle728[[#This Row],[company_id]],Tabelle7[gov_id],Tabelle728[[#This Row],[gov_crit_id]],Tabelle7[score_0_3],Tabelle728[[#This Row],[score_0_3]]),""))</f>
        <v/>
      </c>
      <c r="D92" s="28">
        <f>IFERROR(_xlfn.MAXIFS(Tabelle7[score_0_3],Tabelle7[company_id],Tabelle728[[#This Row],[company_id]],Tabelle7[gov_id],Tabelle728[[#This Row],[gov_crit_id]]),0)</f>
        <v>0</v>
      </c>
      <c r="E92" s="30" t="str" cm="1">
        <f t="array" ref="E92">IF(Tabelle728[[#This Row],[doc_id_primary_evidence]]="","",IFERROR(INDEX(Tabelle7[evidence_quote],MATCH(1,(Tabelle7[company_id]=Tabelle728[[#This Row],[company_id]])*(Tabelle7[gov_id]=Tabelle728[[#This Row],[gov_crit_id]])*(Tabelle7[doc_id]=Tabelle728[[#This Row],[doc_id_primary_evidence]]),0)),""))</f>
        <v/>
      </c>
      <c r="F92" s="52" t="str" cm="1">
        <f t="array" ref="F92">IF(Tabelle728[[#This Row],[doc_id_primary_evidence]]="","",IFERROR(INDEX(Tabelle7[evidence_location],MATCH(1,(Tabelle7[company_id]=Tabelle728[[#This Row],[company_id]])*(Tabelle7[gov_id]=Tabelle728[[#This Row],[gov_crit_id]])*(Tabelle7[doc_id]=Tabelle728[[#This Row],[doc_id_primary_evidence]]),0)),""))</f>
        <v/>
      </c>
    </row>
    <row r="93" spans="1:6" x14ac:dyDescent="0.25">
      <c r="A93" s="18">
        <v>14</v>
      </c>
      <c r="B93" s="19" t="s">
        <v>186</v>
      </c>
      <c r="C93" s="19" t="str">
        <f>IF(Tabelle728[[#This Row],[score_0_3]]=0,"",IFERROR(_xlfn.MINIFS(Tabelle7[doc_id],Tabelle7[company_id],Tabelle728[[#This Row],[company_id]],Tabelle7[gov_id],Tabelle728[[#This Row],[gov_crit_id]],Tabelle7[score_0_3],Tabelle728[[#This Row],[score_0_3]]),""))</f>
        <v/>
      </c>
      <c r="D93" s="20">
        <f>IFERROR(_xlfn.MAXIFS(Tabelle7[score_0_3],Tabelle7[company_id],Tabelle728[[#This Row],[company_id]],Tabelle7[gov_id],Tabelle728[[#This Row],[gov_crit_id]]),0)</f>
        <v>0</v>
      </c>
      <c r="E93" s="22" t="str" cm="1">
        <f t="array" ref="E93">IF(Tabelle728[[#This Row],[doc_id_primary_evidence]]="","",IFERROR(INDEX(Tabelle7[evidence_quote],MATCH(1,(Tabelle7[company_id]=Tabelle728[[#This Row],[company_id]])*(Tabelle7[gov_id]=Tabelle728[[#This Row],[gov_crit_id]])*(Tabelle7[doc_id]=Tabelle728[[#This Row],[doc_id_primary_evidence]]),0)),""))</f>
        <v/>
      </c>
      <c r="F93" s="50" t="str" cm="1">
        <f t="array" ref="F93">IF(Tabelle728[[#This Row],[doc_id_primary_evidence]]="","",IFERROR(INDEX(Tabelle7[evidence_location],MATCH(1,(Tabelle7[company_id]=Tabelle728[[#This Row],[company_id]])*(Tabelle7[gov_id]=Tabelle728[[#This Row],[gov_crit_id]])*(Tabelle7[doc_id]=Tabelle728[[#This Row],[doc_id_primary_evidence]]),0)),""))</f>
        <v/>
      </c>
    </row>
    <row r="94" spans="1:6" x14ac:dyDescent="0.25">
      <c r="A94" s="24">
        <v>14</v>
      </c>
      <c r="B94" s="2" t="s">
        <v>192</v>
      </c>
      <c r="C94" s="2" t="str">
        <f>IF(Tabelle728[[#This Row],[score_0_3]]=0,"",IFERROR(_xlfn.MINIFS(Tabelle7[doc_id],Tabelle7[company_id],Tabelle728[[#This Row],[company_id]],Tabelle7[gov_id],Tabelle728[[#This Row],[gov_crit_id]],Tabelle7[score_0_3],Tabelle728[[#This Row],[score_0_3]]),""))</f>
        <v/>
      </c>
      <c r="D94" s="3">
        <f>IFERROR(_xlfn.MAXIFS(Tabelle7[score_0_3],Tabelle7[company_id],Tabelle728[[#This Row],[company_id]],Tabelle7[gov_id],Tabelle728[[#This Row],[gov_crit_id]]),0)</f>
        <v>0</v>
      </c>
      <c r="E94" t="str" cm="1">
        <f t="array" ref="E94">IF(Tabelle728[[#This Row],[doc_id_primary_evidence]]="","",IFERROR(INDEX(Tabelle7[evidence_quote],MATCH(1,(Tabelle7[company_id]=Tabelle728[[#This Row],[company_id]])*(Tabelle7[gov_id]=Tabelle728[[#This Row],[gov_crit_id]])*(Tabelle7[doc_id]=Tabelle728[[#This Row],[doc_id_primary_evidence]]),0)),""))</f>
        <v/>
      </c>
      <c r="F94" s="51" t="str" cm="1">
        <f t="array" ref="F94">IF(Tabelle728[[#This Row],[doc_id_primary_evidence]]="","",IFERROR(INDEX(Tabelle7[evidence_location],MATCH(1,(Tabelle7[company_id]=Tabelle728[[#This Row],[company_id]])*(Tabelle7[gov_id]=Tabelle728[[#This Row],[gov_crit_id]])*(Tabelle7[doc_id]=Tabelle728[[#This Row],[doc_id_primary_evidence]]),0)),""))</f>
        <v/>
      </c>
    </row>
    <row r="95" spans="1:6" x14ac:dyDescent="0.25">
      <c r="A95" s="24">
        <v>14</v>
      </c>
      <c r="B95" s="2" t="s">
        <v>198</v>
      </c>
      <c r="C95" s="2" t="str">
        <f>IF(Tabelle728[[#This Row],[score_0_3]]=0,"",IFERROR(_xlfn.MINIFS(Tabelle7[doc_id],Tabelle7[company_id],Tabelle728[[#This Row],[company_id]],Tabelle7[gov_id],Tabelle728[[#This Row],[gov_crit_id]],Tabelle7[score_0_3],Tabelle728[[#This Row],[score_0_3]]),""))</f>
        <v/>
      </c>
      <c r="D95" s="3">
        <f>IFERROR(_xlfn.MAXIFS(Tabelle7[score_0_3],Tabelle7[company_id],Tabelle728[[#This Row],[company_id]],Tabelle7[gov_id],Tabelle728[[#This Row],[gov_crit_id]]),0)</f>
        <v>0</v>
      </c>
      <c r="E95" t="str" cm="1">
        <f t="array" ref="E95">IF(Tabelle728[[#This Row],[doc_id_primary_evidence]]="","",IFERROR(INDEX(Tabelle7[evidence_quote],MATCH(1,(Tabelle7[company_id]=Tabelle728[[#This Row],[company_id]])*(Tabelle7[gov_id]=Tabelle728[[#This Row],[gov_crit_id]])*(Tabelle7[doc_id]=Tabelle728[[#This Row],[doc_id_primary_evidence]]),0)),""))</f>
        <v/>
      </c>
      <c r="F95" s="51" t="str" cm="1">
        <f t="array" ref="F95">IF(Tabelle728[[#This Row],[doc_id_primary_evidence]]="","",IFERROR(INDEX(Tabelle7[evidence_location],MATCH(1,(Tabelle7[company_id]=Tabelle728[[#This Row],[company_id]])*(Tabelle7[gov_id]=Tabelle728[[#This Row],[gov_crit_id]])*(Tabelle7[doc_id]=Tabelle728[[#This Row],[doc_id_primary_evidence]]),0)),""))</f>
        <v/>
      </c>
    </row>
    <row r="96" spans="1:6" x14ac:dyDescent="0.25">
      <c r="A96" s="24">
        <v>14</v>
      </c>
      <c r="B96" s="2" t="s">
        <v>204</v>
      </c>
      <c r="C96" s="2" t="str">
        <f>IF(Tabelle728[[#This Row],[score_0_3]]=0,"",IFERROR(_xlfn.MINIFS(Tabelle7[doc_id],Tabelle7[company_id],Tabelle728[[#This Row],[company_id]],Tabelle7[gov_id],Tabelle728[[#This Row],[gov_crit_id]],Tabelle7[score_0_3],Tabelle728[[#This Row],[score_0_3]]),""))</f>
        <v/>
      </c>
      <c r="D96" s="3">
        <f>IFERROR(_xlfn.MAXIFS(Tabelle7[score_0_3],Tabelle7[company_id],Tabelle728[[#This Row],[company_id]],Tabelle7[gov_id],Tabelle728[[#This Row],[gov_crit_id]]),0)</f>
        <v>0</v>
      </c>
      <c r="E96" t="str" cm="1">
        <f t="array" ref="E96">IF(Tabelle728[[#This Row],[doc_id_primary_evidence]]="","",IFERROR(INDEX(Tabelle7[evidence_quote],MATCH(1,(Tabelle7[company_id]=Tabelle728[[#This Row],[company_id]])*(Tabelle7[gov_id]=Tabelle728[[#This Row],[gov_crit_id]])*(Tabelle7[doc_id]=Tabelle728[[#This Row],[doc_id_primary_evidence]]),0)),""))</f>
        <v/>
      </c>
      <c r="F96" s="51" t="str" cm="1">
        <f t="array" ref="F96">IF(Tabelle728[[#This Row],[doc_id_primary_evidence]]="","",IFERROR(INDEX(Tabelle7[evidence_location],MATCH(1,(Tabelle7[company_id]=Tabelle728[[#This Row],[company_id]])*(Tabelle7[gov_id]=Tabelle728[[#This Row],[gov_crit_id]])*(Tabelle7[doc_id]=Tabelle728[[#This Row],[doc_id_primary_evidence]]),0)),""))</f>
        <v/>
      </c>
    </row>
    <row r="97" spans="1:6" x14ac:dyDescent="0.25">
      <c r="A97" s="24">
        <v>14</v>
      </c>
      <c r="B97" s="2" t="s">
        <v>210</v>
      </c>
      <c r="C97" s="2" t="str">
        <f>IF(Tabelle728[[#This Row],[score_0_3]]=0,"",IFERROR(_xlfn.MINIFS(Tabelle7[doc_id],Tabelle7[company_id],Tabelle728[[#This Row],[company_id]],Tabelle7[gov_id],Tabelle728[[#This Row],[gov_crit_id]],Tabelle7[score_0_3],Tabelle728[[#This Row],[score_0_3]]),""))</f>
        <v/>
      </c>
      <c r="D97" s="3">
        <f>IFERROR(_xlfn.MAXIFS(Tabelle7[score_0_3],Tabelle7[company_id],Tabelle728[[#This Row],[company_id]],Tabelle7[gov_id],Tabelle728[[#This Row],[gov_crit_id]]),0)</f>
        <v>0</v>
      </c>
      <c r="E97" t="str" cm="1">
        <f t="array" ref="E97">IF(Tabelle728[[#This Row],[doc_id_primary_evidence]]="","",IFERROR(INDEX(Tabelle7[evidence_quote],MATCH(1,(Tabelle7[company_id]=Tabelle728[[#This Row],[company_id]])*(Tabelle7[gov_id]=Tabelle728[[#This Row],[gov_crit_id]])*(Tabelle7[doc_id]=Tabelle728[[#This Row],[doc_id_primary_evidence]]),0)),""))</f>
        <v/>
      </c>
      <c r="F97" s="51" t="str" cm="1">
        <f t="array" ref="F97">IF(Tabelle728[[#This Row],[doc_id_primary_evidence]]="","",IFERROR(INDEX(Tabelle7[evidence_location],MATCH(1,(Tabelle7[company_id]=Tabelle728[[#This Row],[company_id]])*(Tabelle7[gov_id]=Tabelle728[[#This Row],[gov_crit_id]])*(Tabelle7[doc_id]=Tabelle728[[#This Row],[doc_id_primary_evidence]]),0)),""))</f>
        <v/>
      </c>
    </row>
    <row r="98" spans="1:6" x14ac:dyDescent="0.25">
      <c r="A98" s="24">
        <v>14</v>
      </c>
      <c r="B98" s="2" t="s">
        <v>215</v>
      </c>
      <c r="C98" s="2" t="str">
        <f>IF(Tabelle728[[#This Row],[score_0_3]]=0,"",IFERROR(_xlfn.MINIFS(Tabelle7[doc_id],Tabelle7[company_id],Tabelle728[[#This Row],[company_id]],Tabelle7[gov_id],Tabelle728[[#This Row],[gov_crit_id]],Tabelle7[score_0_3],Tabelle728[[#This Row],[score_0_3]]),""))</f>
        <v/>
      </c>
      <c r="D98" s="3">
        <f>IFERROR(_xlfn.MAXIFS(Tabelle7[score_0_3],Tabelle7[company_id],Tabelle728[[#This Row],[company_id]],Tabelle7[gov_id],Tabelle728[[#This Row],[gov_crit_id]]),0)</f>
        <v>0</v>
      </c>
      <c r="E98" t="str" cm="1">
        <f t="array" ref="E98">IF(Tabelle728[[#This Row],[doc_id_primary_evidence]]="","",IFERROR(INDEX(Tabelle7[evidence_quote],MATCH(1,(Tabelle7[company_id]=Tabelle728[[#This Row],[company_id]])*(Tabelle7[gov_id]=Tabelle728[[#This Row],[gov_crit_id]])*(Tabelle7[doc_id]=Tabelle728[[#This Row],[doc_id_primary_evidence]]),0)),""))</f>
        <v/>
      </c>
      <c r="F98" s="51" t="str" cm="1">
        <f t="array" ref="F98">IF(Tabelle728[[#This Row],[doc_id_primary_evidence]]="","",IFERROR(INDEX(Tabelle7[evidence_location],MATCH(1,(Tabelle7[company_id]=Tabelle728[[#This Row],[company_id]])*(Tabelle7[gov_id]=Tabelle728[[#This Row],[gov_crit_id]])*(Tabelle7[doc_id]=Tabelle728[[#This Row],[doc_id_primary_evidence]]),0)),""))</f>
        <v/>
      </c>
    </row>
    <row r="99" spans="1:6" ht="15.75" thickBot="1" x14ac:dyDescent="0.3">
      <c r="A99" s="26">
        <v>14</v>
      </c>
      <c r="B99" s="27" t="s">
        <v>221</v>
      </c>
      <c r="C99" s="27" t="str">
        <f>IF(Tabelle728[[#This Row],[score_0_3]]=0,"",IFERROR(_xlfn.MINIFS(Tabelle7[doc_id],Tabelle7[company_id],Tabelle728[[#This Row],[company_id]],Tabelle7[gov_id],Tabelle728[[#This Row],[gov_crit_id]],Tabelle7[score_0_3],Tabelle728[[#This Row],[score_0_3]]),""))</f>
        <v/>
      </c>
      <c r="D99" s="28">
        <f>IFERROR(_xlfn.MAXIFS(Tabelle7[score_0_3],Tabelle7[company_id],Tabelle728[[#This Row],[company_id]],Tabelle7[gov_id],Tabelle728[[#This Row],[gov_crit_id]]),0)</f>
        <v>0</v>
      </c>
      <c r="E99" s="30" t="str" cm="1">
        <f t="array" ref="E99">IF(Tabelle728[[#This Row],[doc_id_primary_evidence]]="","",IFERROR(INDEX(Tabelle7[evidence_quote],MATCH(1,(Tabelle7[company_id]=Tabelle728[[#This Row],[company_id]])*(Tabelle7[gov_id]=Tabelle728[[#This Row],[gov_crit_id]])*(Tabelle7[doc_id]=Tabelle728[[#This Row],[doc_id_primary_evidence]]),0)),""))</f>
        <v/>
      </c>
      <c r="F99" s="52" t="str" cm="1">
        <f t="array" ref="F99">IF(Tabelle728[[#This Row],[doc_id_primary_evidence]]="","",IFERROR(INDEX(Tabelle7[evidence_location],MATCH(1,(Tabelle7[company_id]=Tabelle728[[#This Row],[company_id]])*(Tabelle7[gov_id]=Tabelle728[[#This Row],[gov_crit_id]])*(Tabelle7[doc_id]=Tabelle728[[#This Row],[doc_id_primary_evidence]]),0)),""))</f>
        <v/>
      </c>
    </row>
    <row r="100" spans="1:6" x14ac:dyDescent="0.25">
      <c r="A100" s="18">
        <v>15</v>
      </c>
      <c r="B100" s="19" t="s">
        <v>186</v>
      </c>
      <c r="C100" s="19">
        <f>IF(Tabelle728[[#This Row],[score_0_3]]=0,"",IFERROR(_xlfn.MINIFS(Tabelle7[doc_id],Tabelle7[company_id],Tabelle728[[#This Row],[company_id]],Tabelle7[gov_id],Tabelle728[[#This Row],[gov_crit_id]],Tabelle7[score_0_3],Tabelle728[[#This Row],[score_0_3]]),""))</f>
        <v>86</v>
      </c>
      <c r="D100" s="20">
        <f>IFERROR(_xlfn.MAXIFS(Tabelle7[score_0_3],Tabelle7[company_id],Tabelle728[[#This Row],[company_id]],Tabelle7[gov_id],Tabelle728[[#This Row],[gov_crit_id]]),0)</f>
        <v>2</v>
      </c>
      <c r="E100" s="22" t="str" cm="1">
        <f t="array" ref="E100">IF(Tabelle728[[#This Row],[doc_id_primary_evidence]]="","",IFERROR(INDEX(Tabelle7[evidence_quote],MATCH(1,(Tabelle7[company_id]=Tabelle728[[#This Row],[company_id]])*(Tabelle7[gov_id]=Tabelle728[[#This Row],[gov_crit_id]])*(Tabelle7[doc_id]=Tabelle728[[#This Row],[doc_id_primary_evidence]]),0)),""))</f>
        <v>“clear definition of who is responsible for which AI system or feature”</v>
      </c>
      <c r="F100" s="50" t="str" cm="1">
        <f t="array" ref="F100">IF(Tabelle728[[#This Row],[doc_id_primary_evidence]]="","",IFERROR(INDEX(Tabelle7[evidence_location],MATCH(1,(Tabelle7[company_id]=Tabelle728[[#This Row],[company_id]])*(Tabelle7[gov_id]=Tabelle728[[#This Row],[gov_crit_id]])*(Tabelle7[doc_id]=Tabelle728[[#This Row],[doc_id_primary_evidence]]),0)),""))</f>
        <v>S. 3, Abschnitt 1</v>
      </c>
    </row>
    <row r="101" spans="1:6" x14ac:dyDescent="0.25">
      <c r="A101" s="24">
        <v>15</v>
      </c>
      <c r="B101" s="2" t="s">
        <v>192</v>
      </c>
      <c r="C101" s="2">
        <f>IF(Tabelle728[[#This Row],[score_0_3]]=0,"",IFERROR(_xlfn.MINIFS(Tabelle7[doc_id],Tabelle7[company_id],Tabelle728[[#This Row],[company_id]],Tabelle7[gov_id],Tabelle728[[#This Row],[gov_crit_id]],Tabelle7[score_0_3],Tabelle728[[#This Row],[score_0_3]]),""))</f>
        <v>86</v>
      </c>
      <c r="D101" s="3">
        <f>IFERROR(_xlfn.MAXIFS(Tabelle7[score_0_3],Tabelle7[company_id],Tabelle728[[#This Row],[company_id]],Tabelle7[gov_id],Tabelle728[[#This Row],[gov_crit_id]]),0)</f>
        <v>2</v>
      </c>
      <c r="E101" t="str" cm="1">
        <f t="array" ref="E101">IF(Tabelle728[[#This Row],[doc_id_primary_evidence]]="","",IFERROR(INDEX(Tabelle7[evidence_quote],MATCH(1,(Tabelle7[company_id]=Tabelle728[[#This Row],[company_id]])*(Tabelle7[gov_id]=Tabelle728[[#This Row],[gov_crit_id]])*(Tabelle7[doc_id]=Tabelle728[[#This Row],[doc_id_primary_evidence]]),0)),""))</f>
        <v>“privacy und security by design”; “risks and chances scenarios or reliable disaster scenarios”</v>
      </c>
      <c r="F101" s="51" t="str" cm="1">
        <f t="array" ref="F101">IF(Tabelle728[[#This Row],[doc_id_primary_evidence]]="","",IFERROR(INDEX(Tabelle7[evidence_location],MATCH(1,(Tabelle7[company_id]=Tabelle728[[#This Row],[company_id]])*(Tabelle7[gov_id]=Tabelle728[[#This Row],[gov_crit_id]])*(Tabelle7[doc_id]=Tabelle728[[#This Row],[doc_id_primary_evidence]]),0)),""))</f>
        <v>S. 8, Abschnitt 6</v>
      </c>
    </row>
    <row r="102" spans="1:6" x14ac:dyDescent="0.25">
      <c r="A102" s="24">
        <v>15</v>
      </c>
      <c r="B102" s="2" t="s">
        <v>198</v>
      </c>
      <c r="C102" s="2">
        <f>IF(Tabelle728[[#This Row],[score_0_3]]=0,"",IFERROR(_xlfn.MINIFS(Tabelle7[doc_id],Tabelle7[company_id],Tabelle728[[#This Row],[company_id]],Tabelle7[gov_id],Tabelle728[[#This Row],[gov_crit_id]],Tabelle7[score_0_3],Tabelle728[[#This Row],[score_0_3]]),""))</f>
        <v>86</v>
      </c>
      <c r="D102" s="3">
        <f>IFERROR(_xlfn.MAXIFS(Tabelle7[score_0_3],Tabelle7[company_id],Tabelle728[[#This Row],[company_id]],Tabelle7[gov_id],Tabelle728[[#This Row],[gov_crit_id]]),0)</f>
        <v>2</v>
      </c>
      <c r="E102" t="str" cm="1">
        <f t="array" ref="E102">IF(Tabelle728[[#This Row],[doc_id_primary_evidence]]="","",IFERROR(INDEX(Tabelle7[evidence_quote],MATCH(1,(Tabelle7[company_id]=Tabelle728[[#This Row],[company_id]])*(Tabelle7[gov_id]=Tabelle728[[#This Row],[gov_crit_id]])*(Tabelle7[doc_id]=Tabelle728[[#This Row],[doc_id_primary_evidence]]),0)),""))</f>
        <v>“full overview of how customer related data is used and who has access”; “deactivate and stop AI systems at any time (kill switch)”; “remove inappropriate data to avoid bias”</v>
      </c>
      <c r="F102" s="51" t="str" cm="1">
        <f t="array" ref="F102">IF(Tabelle728[[#This Row],[doc_id_primary_evidence]]="","",IFERROR(INDEX(Tabelle7[evidence_location],MATCH(1,(Tabelle7[company_id]=Tabelle728[[#This Row],[company_id]])*(Tabelle7[gov_id]=Tabelle728[[#This Row],[gov_crit_id]])*(Tabelle7[doc_id]=Tabelle728[[#This Row],[doc_id_primary_evidence]]),0)),""))</f>
        <v>S. 7, Abschnitt 5; S. 9, Abschnitt 7</v>
      </c>
    </row>
    <row r="103" spans="1:6" x14ac:dyDescent="0.25">
      <c r="A103" s="24">
        <v>15</v>
      </c>
      <c r="B103" s="2" t="s">
        <v>204</v>
      </c>
      <c r="C103" s="2">
        <f>IF(Tabelle728[[#This Row],[score_0_3]]=0,"",IFERROR(_xlfn.MINIFS(Tabelle7[doc_id],Tabelle7[company_id],Tabelle728[[#This Row],[company_id]],Tabelle7[gov_id],Tabelle728[[#This Row],[gov_crit_id]],Tabelle7[score_0_3],Tabelle728[[#This Row],[score_0_3]]),""))</f>
        <v>92</v>
      </c>
      <c r="D103" s="3">
        <f>IFERROR(_xlfn.MAXIFS(Tabelle7[score_0_3],Tabelle7[company_id],Tabelle728[[#This Row],[company_id]],Tabelle7[gov_id],Tabelle728[[#This Row],[gov_crit_id]]),0)</f>
        <v>3</v>
      </c>
      <c r="E103" t="str" cm="1">
        <f t="array" ref="E103">IF(Tabelle728[[#This Row],[doc_id_primary_evidence]]="","",IFERROR(INDEX(Tabelle7[evidence_quote],MATCH(1,(Tabelle7[company_id]=Tabelle728[[#This Row],[company_id]])*(Tabelle7[gov_id]=Tabelle728[[#This Row],[gov_crit_id]])*(Tabelle7[doc_id]=Tabelle728[[#This Row],[doc_id_primary_evidence]]),0)),""))</f>
        <v>“EU-wide review of all AI applications for prohibited systems”; “This audit was successful”</v>
      </c>
      <c r="F103" s="51" t="str" cm="1">
        <f t="array" ref="F103">IF(Tabelle728[[#This Row],[doc_id_primary_evidence]]="","",IFERROR(INDEX(Tabelle7[evidence_location],MATCH(1,(Tabelle7[company_id]=Tabelle728[[#This Row],[company_id]])*(Tabelle7[gov_id]=Tabelle728[[#This Row],[gov_crit_id]])*(Tabelle7[doc_id]=Tabelle728[[#This Row],[doc_id_primary_evidence]]),0)),""))</f>
        <v>S. 1, Abschnitt “Implementation of the EU AI Regulation”</v>
      </c>
    </row>
    <row r="104" spans="1:6" x14ac:dyDescent="0.25">
      <c r="A104" s="24">
        <v>15</v>
      </c>
      <c r="B104" s="2" t="s">
        <v>210</v>
      </c>
      <c r="C104" s="2">
        <f>IF(Tabelle728[[#This Row],[score_0_3]]=0,"",IFERROR(_xlfn.MINIFS(Tabelle7[doc_id],Tabelle7[company_id],Tabelle728[[#This Row],[company_id]],Tabelle7[gov_id],Tabelle728[[#This Row],[gov_crit_id]],Tabelle7[score_0_3],Tabelle728[[#This Row],[score_0_3]]),""))</f>
        <v>92</v>
      </c>
      <c r="D104" s="3">
        <f>IFERROR(_xlfn.MAXIFS(Tabelle7[score_0_3],Tabelle7[company_id],Tabelle728[[#This Row],[company_id]],Tabelle7[gov_id],Tabelle728[[#This Row],[gov_crit_id]]),0)</f>
        <v>3</v>
      </c>
      <c r="E104" t="str" cm="1">
        <f t="array" ref="E104">IF(Tabelle728[[#This Row],[doc_id_primary_evidence]]="","",IFERROR(INDEX(Tabelle7[evidence_quote],MATCH(1,(Tabelle7[company_id]=Tabelle728[[#This Row],[company_id]])*(Tabelle7[gov_id]=Tabelle728[[#This Row],[gov_crit_id]])*(Tabelle7[doc_id]=Tabelle728[[#This Row],[doc_id_primary_evidence]]),0)),""))</f>
        <v>“AI literacy of employees is specifically promoted”; “Since 2018, a comprehensive and innovative range of training courses”; “gamification application on ‘Digital Ethics in Action’”; “an eLearning on the EU AI Act”; “Prompt-athons … and AI communities”</v>
      </c>
      <c r="F104" s="51" t="str" cm="1">
        <f t="array" ref="F104">IF(Tabelle728[[#This Row],[doc_id_primary_evidence]]="","",IFERROR(INDEX(Tabelle7[evidence_location],MATCH(1,(Tabelle7[company_id]=Tabelle728[[#This Row],[company_id]])*(Tabelle7[gov_id]=Tabelle728[[#This Row],[gov_crit_id]])*(Tabelle7[doc_id]=Tabelle728[[#This Row],[doc_id_primary_evidence]]),0)),""))</f>
        <v>S. 2, erster Absatz</v>
      </c>
    </row>
    <row r="105" spans="1:6" x14ac:dyDescent="0.25">
      <c r="A105" s="24">
        <v>15</v>
      </c>
      <c r="B105" s="2" t="s">
        <v>215</v>
      </c>
      <c r="C105" s="2">
        <f>IF(Tabelle728[[#This Row],[score_0_3]]=0,"",IFERROR(_xlfn.MINIFS(Tabelle7[doc_id],Tabelle7[company_id],Tabelle728[[#This Row],[company_id]],Tabelle7[gov_id],Tabelle728[[#This Row],[gov_crit_id]],Tabelle7[score_0_3],Tabelle728[[#This Row],[score_0_3]]),""))</f>
        <v>94</v>
      </c>
      <c r="D105" s="3">
        <f>IFERROR(_xlfn.MAXIFS(Tabelle7[score_0_3],Tabelle7[company_id],Tabelle728[[#This Row],[company_id]],Tabelle7[gov_id],Tabelle728[[#This Row],[gov_crit_id]]),0)</f>
        <v>2</v>
      </c>
      <c r="E105" t="str" cm="1">
        <f t="array" ref="E105">IF(Tabelle728[[#This Row],[doc_id_primary_evidence]]="","",IFERROR(INDEX(Tabelle7[evidence_quote],MATCH(1,(Tabelle7[company_id]=Tabelle728[[#This Row],[company_id]])*(Tabelle7[gov_id]=Tabelle728[[#This Row],[gov_crit_id]])*(Tabelle7[doc_id]=Tabelle728[[#This Row],[doc_id_primary_evidence]]),0)),""))</f>
        <v>“can and should be contacted”; “must be reported to the person responsible”</v>
      </c>
      <c r="F105" s="51" t="str" cm="1">
        <f t="array" ref="F105">IF(Tabelle728[[#This Row],[doc_id_primary_evidence]]="","",IFERROR(INDEX(Tabelle7[evidence_location],MATCH(1,(Tabelle7[company_id]=Tabelle728[[#This Row],[company_id]])*(Tabelle7[gov_id]=Tabelle728[[#This Row],[gov_crit_id]])*(Tabelle7[doc_id]=Tabelle728[[#This Row],[doc_id_primary_evidence]]),0)),""))</f>
        <v>S. 4; S. 29; S. 33</v>
      </c>
    </row>
    <row r="106" spans="1:6" ht="15.75" thickBot="1" x14ac:dyDescent="0.3">
      <c r="A106" s="26">
        <v>15</v>
      </c>
      <c r="B106" s="27" t="s">
        <v>221</v>
      </c>
      <c r="C106" s="27">
        <f>IF(Tabelle728[[#This Row],[score_0_3]]=0,"",IFERROR(_xlfn.MINIFS(Tabelle7[doc_id],Tabelle7[company_id],Tabelle728[[#This Row],[company_id]],Tabelle7[gov_id],Tabelle728[[#This Row],[gov_crit_id]],Tabelle7[score_0_3],Tabelle728[[#This Row],[score_0_3]]),""))</f>
        <v>94</v>
      </c>
      <c r="D106" s="28">
        <f>IFERROR(_xlfn.MAXIFS(Tabelle7[score_0_3],Tabelle7[company_id],Tabelle728[[#This Row],[company_id]],Tabelle7[gov_id],Tabelle728[[#This Row],[gov_crit_id]]),0)</f>
        <v>1</v>
      </c>
      <c r="E106" s="30" t="str" cm="1">
        <f t="array" ref="E106">IF(Tabelle728[[#This Row],[doc_id_primary_evidence]]="","",IFERROR(INDEX(Tabelle7[evidence_quote],MATCH(1,(Tabelle7[company_id]=Tabelle728[[#This Row],[company_id]])*(Tabelle7[gov_id]=Tabelle728[[#This Row],[gov_crit_id]])*(Tabelle7[doc_id]=Tabelle728[[#This Row],[doc_id_primary_evidence]]),0)),""))</f>
        <v>“must be reported to the person responsible”</v>
      </c>
      <c r="F106" s="52" t="str" cm="1">
        <f t="array" ref="F106">IF(Tabelle728[[#This Row],[doc_id_primary_evidence]]="","",IFERROR(INDEX(Tabelle7[evidence_location],MATCH(1,(Tabelle7[company_id]=Tabelle728[[#This Row],[company_id]])*(Tabelle7[gov_id]=Tabelle728[[#This Row],[gov_crit_id]])*(Tabelle7[doc_id]=Tabelle728[[#This Row],[doc_id_primary_evidence]]),0)),""))</f>
        <v>S. 29; S. 33</v>
      </c>
    </row>
    <row r="107" spans="1:6" x14ac:dyDescent="0.25">
      <c r="A107" s="18">
        <v>16</v>
      </c>
      <c r="B107" s="19" t="s">
        <v>186</v>
      </c>
      <c r="C107" s="19" t="str">
        <f>IF(Tabelle728[[#This Row],[score_0_3]]=0,"",IFERROR(_xlfn.MINIFS(Tabelle7[doc_id],Tabelle7[company_id],Tabelle728[[#This Row],[company_id]],Tabelle7[gov_id],Tabelle728[[#This Row],[gov_crit_id]],Tabelle7[score_0_3],Tabelle728[[#This Row],[score_0_3]]),""))</f>
        <v/>
      </c>
      <c r="D107" s="20">
        <f>IFERROR(_xlfn.MAXIFS(Tabelle7[score_0_3],Tabelle7[company_id],Tabelle728[[#This Row],[company_id]],Tabelle7[gov_id],Tabelle728[[#This Row],[gov_crit_id]]),0)</f>
        <v>0</v>
      </c>
      <c r="E107" s="22" t="str" cm="1">
        <f t="array" ref="E107">IF(Tabelle728[[#This Row],[doc_id_primary_evidence]]="","",IFERROR(INDEX(Tabelle7[evidence_quote],MATCH(1,(Tabelle7[company_id]=Tabelle728[[#This Row],[company_id]])*(Tabelle7[gov_id]=Tabelle728[[#This Row],[gov_crit_id]])*(Tabelle7[doc_id]=Tabelle728[[#This Row],[doc_id_primary_evidence]]),0)),""))</f>
        <v/>
      </c>
      <c r="F107" s="50" t="str" cm="1">
        <f t="array" ref="F107">IF(Tabelle728[[#This Row],[doc_id_primary_evidence]]="","",IFERROR(INDEX(Tabelle7[evidence_location],MATCH(1,(Tabelle7[company_id]=Tabelle728[[#This Row],[company_id]])*(Tabelle7[gov_id]=Tabelle728[[#This Row],[gov_crit_id]])*(Tabelle7[doc_id]=Tabelle728[[#This Row],[doc_id_primary_evidence]]),0)),""))</f>
        <v/>
      </c>
    </row>
    <row r="108" spans="1:6" x14ac:dyDescent="0.25">
      <c r="A108" s="24">
        <v>16</v>
      </c>
      <c r="B108" s="2" t="s">
        <v>192</v>
      </c>
      <c r="C108" s="2" t="str">
        <f>IF(Tabelle728[[#This Row],[score_0_3]]=0,"",IFERROR(_xlfn.MINIFS(Tabelle7[doc_id],Tabelle7[company_id],Tabelle728[[#This Row],[company_id]],Tabelle7[gov_id],Tabelle728[[#This Row],[gov_crit_id]],Tabelle7[score_0_3],Tabelle728[[#This Row],[score_0_3]]),""))</f>
        <v/>
      </c>
      <c r="D108" s="3">
        <f>IFERROR(_xlfn.MAXIFS(Tabelle7[score_0_3],Tabelle7[company_id],Tabelle728[[#This Row],[company_id]],Tabelle7[gov_id],Tabelle728[[#This Row],[gov_crit_id]]),0)</f>
        <v>0</v>
      </c>
      <c r="E108" t="str" cm="1">
        <f t="array" ref="E108">IF(Tabelle728[[#This Row],[doc_id_primary_evidence]]="","",IFERROR(INDEX(Tabelle7[evidence_quote],MATCH(1,(Tabelle7[company_id]=Tabelle728[[#This Row],[company_id]])*(Tabelle7[gov_id]=Tabelle728[[#This Row],[gov_crit_id]])*(Tabelle7[doc_id]=Tabelle728[[#This Row],[doc_id_primary_evidence]]),0)),""))</f>
        <v/>
      </c>
      <c r="F108" s="51" t="str" cm="1">
        <f t="array" ref="F108">IF(Tabelle728[[#This Row],[doc_id_primary_evidence]]="","",IFERROR(INDEX(Tabelle7[evidence_location],MATCH(1,(Tabelle7[company_id]=Tabelle728[[#This Row],[company_id]])*(Tabelle7[gov_id]=Tabelle728[[#This Row],[gov_crit_id]])*(Tabelle7[doc_id]=Tabelle728[[#This Row],[doc_id_primary_evidence]]),0)),""))</f>
        <v/>
      </c>
    </row>
    <row r="109" spans="1:6" x14ac:dyDescent="0.25">
      <c r="A109" s="24">
        <v>16</v>
      </c>
      <c r="B109" s="2" t="s">
        <v>198</v>
      </c>
      <c r="C109" s="2" t="str">
        <f>IF(Tabelle728[[#This Row],[score_0_3]]=0,"",IFERROR(_xlfn.MINIFS(Tabelle7[doc_id],Tabelle7[company_id],Tabelle728[[#This Row],[company_id]],Tabelle7[gov_id],Tabelle728[[#This Row],[gov_crit_id]],Tabelle7[score_0_3],Tabelle728[[#This Row],[score_0_3]]),""))</f>
        <v/>
      </c>
      <c r="D109" s="3">
        <f>IFERROR(_xlfn.MAXIFS(Tabelle7[score_0_3],Tabelle7[company_id],Tabelle728[[#This Row],[company_id]],Tabelle7[gov_id],Tabelle728[[#This Row],[gov_crit_id]]),0)</f>
        <v>0</v>
      </c>
      <c r="E109" t="str" cm="1">
        <f t="array" ref="E109">IF(Tabelle728[[#This Row],[doc_id_primary_evidence]]="","",IFERROR(INDEX(Tabelle7[evidence_quote],MATCH(1,(Tabelle7[company_id]=Tabelle728[[#This Row],[company_id]])*(Tabelle7[gov_id]=Tabelle728[[#This Row],[gov_crit_id]])*(Tabelle7[doc_id]=Tabelle728[[#This Row],[doc_id_primary_evidence]]),0)),""))</f>
        <v/>
      </c>
      <c r="F109" s="51" t="str" cm="1">
        <f t="array" ref="F109">IF(Tabelle728[[#This Row],[doc_id_primary_evidence]]="","",IFERROR(INDEX(Tabelle7[evidence_location],MATCH(1,(Tabelle7[company_id]=Tabelle728[[#This Row],[company_id]])*(Tabelle7[gov_id]=Tabelle728[[#This Row],[gov_crit_id]])*(Tabelle7[doc_id]=Tabelle728[[#This Row],[doc_id_primary_evidence]]),0)),""))</f>
        <v/>
      </c>
    </row>
    <row r="110" spans="1:6" x14ac:dyDescent="0.25">
      <c r="A110" s="24">
        <v>16</v>
      </c>
      <c r="B110" s="2" t="s">
        <v>204</v>
      </c>
      <c r="C110" s="2" t="str">
        <f>IF(Tabelle728[[#This Row],[score_0_3]]=0,"",IFERROR(_xlfn.MINIFS(Tabelle7[doc_id],Tabelle7[company_id],Tabelle728[[#This Row],[company_id]],Tabelle7[gov_id],Tabelle728[[#This Row],[gov_crit_id]],Tabelle7[score_0_3],Tabelle728[[#This Row],[score_0_3]]),""))</f>
        <v/>
      </c>
      <c r="D110" s="3">
        <f>IFERROR(_xlfn.MAXIFS(Tabelle7[score_0_3],Tabelle7[company_id],Tabelle728[[#This Row],[company_id]],Tabelle7[gov_id],Tabelle728[[#This Row],[gov_crit_id]]),0)</f>
        <v>0</v>
      </c>
      <c r="E110" t="str" cm="1">
        <f t="array" ref="E110">IF(Tabelle728[[#This Row],[doc_id_primary_evidence]]="","",IFERROR(INDEX(Tabelle7[evidence_quote],MATCH(1,(Tabelle7[company_id]=Tabelle728[[#This Row],[company_id]])*(Tabelle7[gov_id]=Tabelle728[[#This Row],[gov_crit_id]])*(Tabelle7[doc_id]=Tabelle728[[#This Row],[doc_id_primary_evidence]]),0)),""))</f>
        <v/>
      </c>
      <c r="F110" s="51" t="str" cm="1">
        <f t="array" ref="F110">IF(Tabelle728[[#This Row],[doc_id_primary_evidence]]="","",IFERROR(INDEX(Tabelle7[evidence_location],MATCH(1,(Tabelle7[company_id]=Tabelle728[[#This Row],[company_id]])*(Tabelle7[gov_id]=Tabelle728[[#This Row],[gov_crit_id]])*(Tabelle7[doc_id]=Tabelle728[[#This Row],[doc_id_primary_evidence]]),0)),""))</f>
        <v/>
      </c>
    </row>
    <row r="111" spans="1:6" x14ac:dyDescent="0.25">
      <c r="A111" s="24">
        <v>16</v>
      </c>
      <c r="B111" s="2" t="s">
        <v>210</v>
      </c>
      <c r="C111" s="2" t="str">
        <f>IF(Tabelle728[[#This Row],[score_0_3]]=0,"",IFERROR(_xlfn.MINIFS(Tabelle7[doc_id],Tabelle7[company_id],Tabelle728[[#This Row],[company_id]],Tabelle7[gov_id],Tabelle728[[#This Row],[gov_crit_id]],Tabelle7[score_0_3],Tabelle728[[#This Row],[score_0_3]]),""))</f>
        <v/>
      </c>
      <c r="D111" s="3">
        <f>IFERROR(_xlfn.MAXIFS(Tabelle7[score_0_3],Tabelle7[company_id],Tabelle728[[#This Row],[company_id]],Tabelle7[gov_id],Tabelle728[[#This Row],[gov_crit_id]]),0)</f>
        <v>0</v>
      </c>
      <c r="E111" t="str" cm="1">
        <f t="array" ref="E111">IF(Tabelle728[[#This Row],[doc_id_primary_evidence]]="","",IFERROR(INDEX(Tabelle7[evidence_quote],MATCH(1,(Tabelle7[company_id]=Tabelle728[[#This Row],[company_id]])*(Tabelle7[gov_id]=Tabelle728[[#This Row],[gov_crit_id]])*(Tabelle7[doc_id]=Tabelle728[[#This Row],[doc_id_primary_evidence]]),0)),""))</f>
        <v/>
      </c>
      <c r="F111" s="51" t="str" cm="1">
        <f t="array" ref="F111">IF(Tabelle728[[#This Row],[doc_id_primary_evidence]]="","",IFERROR(INDEX(Tabelle7[evidence_location],MATCH(1,(Tabelle7[company_id]=Tabelle728[[#This Row],[company_id]])*(Tabelle7[gov_id]=Tabelle728[[#This Row],[gov_crit_id]])*(Tabelle7[doc_id]=Tabelle728[[#This Row],[doc_id_primary_evidence]]),0)),""))</f>
        <v/>
      </c>
    </row>
    <row r="112" spans="1:6" x14ac:dyDescent="0.25">
      <c r="A112" s="24">
        <v>16</v>
      </c>
      <c r="B112" s="2" t="s">
        <v>215</v>
      </c>
      <c r="C112" s="2" t="str">
        <f>IF(Tabelle728[[#This Row],[score_0_3]]=0,"",IFERROR(_xlfn.MINIFS(Tabelle7[doc_id],Tabelle7[company_id],Tabelle728[[#This Row],[company_id]],Tabelle7[gov_id],Tabelle728[[#This Row],[gov_crit_id]],Tabelle7[score_0_3],Tabelle728[[#This Row],[score_0_3]]),""))</f>
        <v/>
      </c>
      <c r="D112" s="3">
        <f>IFERROR(_xlfn.MAXIFS(Tabelle7[score_0_3],Tabelle7[company_id],Tabelle728[[#This Row],[company_id]],Tabelle7[gov_id],Tabelle728[[#This Row],[gov_crit_id]]),0)</f>
        <v>0</v>
      </c>
      <c r="E112" t="str" cm="1">
        <f t="array" ref="E112">IF(Tabelle728[[#This Row],[doc_id_primary_evidence]]="","",IFERROR(INDEX(Tabelle7[evidence_quote],MATCH(1,(Tabelle7[company_id]=Tabelle728[[#This Row],[company_id]])*(Tabelle7[gov_id]=Tabelle728[[#This Row],[gov_crit_id]])*(Tabelle7[doc_id]=Tabelle728[[#This Row],[doc_id_primary_evidence]]),0)),""))</f>
        <v/>
      </c>
      <c r="F112" s="51" t="str" cm="1">
        <f t="array" ref="F112">IF(Tabelle728[[#This Row],[doc_id_primary_evidence]]="","",IFERROR(INDEX(Tabelle7[evidence_location],MATCH(1,(Tabelle7[company_id]=Tabelle728[[#This Row],[company_id]])*(Tabelle7[gov_id]=Tabelle728[[#This Row],[gov_crit_id]])*(Tabelle7[doc_id]=Tabelle728[[#This Row],[doc_id_primary_evidence]]),0)),""))</f>
        <v/>
      </c>
    </row>
    <row r="113" spans="1:6" ht="15.75" thickBot="1" x14ac:dyDescent="0.3">
      <c r="A113" s="26">
        <v>16</v>
      </c>
      <c r="B113" s="27" t="s">
        <v>221</v>
      </c>
      <c r="C113" s="27" t="str">
        <f>IF(Tabelle728[[#This Row],[score_0_3]]=0,"",IFERROR(_xlfn.MINIFS(Tabelle7[doc_id],Tabelle7[company_id],Tabelle728[[#This Row],[company_id]],Tabelle7[gov_id],Tabelle728[[#This Row],[gov_crit_id]],Tabelle7[score_0_3],Tabelle728[[#This Row],[score_0_3]]),""))</f>
        <v/>
      </c>
      <c r="D113" s="28">
        <f>IFERROR(_xlfn.MAXIFS(Tabelle7[score_0_3],Tabelle7[company_id],Tabelle728[[#This Row],[company_id]],Tabelle7[gov_id],Tabelle728[[#This Row],[gov_crit_id]]),0)</f>
        <v>0</v>
      </c>
      <c r="E113" s="30" t="str" cm="1">
        <f t="array" ref="E113">IF(Tabelle728[[#This Row],[doc_id_primary_evidence]]="","",IFERROR(INDEX(Tabelle7[evidence_quote],MATCH(1,(Tabelle7[company_id]=Tabelle728[[#This Row],[company_id]])*(Tabelle7[gov_id]=Tabelle728[[#This Row],[gov_crit_id]])*(Tabelle7[doc_id]=Tabelle728[[#This Row],[doc_id_primary_evidence]]),0)),""))</f>
        <v/>
      </c>
      <c r="F113" s="52" t="str" cm="1">
        <f t="array" ref="F113">IF(Tabelle728[[#This Row],[doc_id_primary_evidence]]="","",IFERROR(INDEX(Tabelle7[evidence_location],MATCH(1,(Tabelle7[company_id]=Tabelle728[[#This Row],[company_id]])*(Tabelle7[gov_id]=Tabelle728[[#This Row],[gov_crit_id]])*(Tabelle7[doc_id]=Tabelle728[[#This Row],[doc_id_primary_evidence]]),0)),""))</f>
        <v/>
      </c>
    </row>
    <row r="114" spans="1:6" x14ac:dyDescent="0.25">
      <c r="A114" s="18">
        <v>17</v>
      </c>
      <c r="B114" s="19" t="s">
        <v>186</v>
      </c>
      <c r="C114" s="19" t="str">
        <f>IF(Tabelle728[[#This Row],[score_0_3]]=0,"",IFERROR(_xlfn.MINIFS(Tabelle7[doc_id],Tabelle7[company_id],Tabelle728[[#This Row],[company_id]],Tabelle7[gov_id],Tabelle728[[#This Row],[gov_crit_id]],Tabelle7[score_0_3],Tabelle728[[#This Row],[score_0_3]]),""))</f>
        <v/>
      </c>
      <c r="D114" s="20">
        <f>IFERROR(_xlfn.MAXIFS(Tabelle7[score_0_3],Tabelle7[company_id],Tabelle728[[#This Row],[company_id]],Tabelle7[gov_id],Tabelle728[[#This Row],[gov_crit_id]]),0)</f>
        <v>0</v>
      </c>
      <c r="E114" s="22" t="str" cm="1">
        <f t="array" ref="E114">IF(Tabelle728[[#This Row],[doc_id_primary_evidence]]="","",IFERROR(INDEX(Tabelle7[evidence_quote],MATCH(1,(Tabelle7[company_id]=Tabelle728[[#This Row],[company_id]])*(Tabelle7[gov_id]=Tabelle728[[#This Row],[gov_crit_id]])*(Tabelle7[doc_id]=Tabelle728[[#This Row],[doc_id_primary_evidence]]),0)),""))</f>
        <v/>
      </c>
      <c r="F114" s="50" t="str" cm="1">
        <f t="array" ref="F114">IF(Tabelle728[[#This Row],[doc_id_primary_evidence]]="","",IFERROR(INDEX(Tabelle7[evidence_location],MATCH(1,(Tabelle7[company_id]=Tabelle728[[#This Row],[company_id]])*(Tabelle7[gov_id]=Tabelle728[[#This Row],[gov_crit_id]])*(Tabelle7[doc_id]=Tabelle728[[#This Row],[doc_id_primary_evidence]]),0)),""))</f>
        <v/>
      </c>
    </row>
    <row r="115" spans="1:6" x14ac:dyDescent="0.25">
      <c r="A115" s="24">
        <v>17</v>
      </c>
      <c r="B115" s="2" t="s">
        <v>192</v>
      </c>
      <c r="C115" s="2">
        <f>IF(Tabelle728[[#This Row],[score_0_3]]=0,"",IFERROR(_xlfn.MINIFS(Tabelle7[doc_id],Tabelle7[company_id],Tabelle728[[#This Row],[company_id]],Tabelle7[gov_id],Tabelle728[[#This Row],[gov_crit_id]],Tabelle7[score_0_3],Tabelle728[[#This Row],[score_0_3]]),""))</f>
        <v>102</v>
      </c>
      <c r="D115" s="3">
        <f>IFERROR(_xlfn.MAXIFS(Tabelle7[score_0_3],Tabelle7[company_id],Tabelle728[[#This Row],[company_id]],Tabelle7[gov_id],Tabelle728[[#This Row],[gov_crit_id]]),0)</f>
        <v>2</v>
      </c>
      <c r="E115" t="str" cm="1">
        <f t="array" ref="E115">IF(Tabelle728[[#This Row],[doc_id_primary_evidence]]="","",IFERROR(INDEX(Tabelle7[evidence_quote],MATCH(1,(Tabelle7[company_id]=Tabelle728[[#This Row],[company_id]])*(Tabelle7[gov_id]=Tabelle728[[#This Row],[gov_crit_id]])*(Tabelle7[doc_id]=Tabelle728[[#This Row],[doc_id_primary_evidence]]),0)),""))</f>
        <v>“sufficient safeguards and human oversight”; “inclusive design processes involving relevant stakeholders”; “AI systems must comply with applicable privacy laws”</v>
      </c>
      <c r="F115" s="51" t="str" cm="1">
        <f t="array" ref="F115">IF(Tabelle728[[#This Row],[doc_id_primary_evidence]]="","",IFERROR(INDEX(Tabelle7[evidence_location],MATCH(1,(Tabelle7[company_id]=Tabelle728[[#This Row],[company_id]])*(Tabelle7[gov_id]=Tabelle728[[#This Row],[gov_crit_id]])*(Tabelle7[doc_id]=Tabelle728[[#This Row],[doc_id_primary_evidence]]),0)),""))</f>
        <v>S. 2 GUIDELINE; S. 3 / S. 5 WHEN DEVELOPING OR PROCURING AI</v>
      </c>
    </row>
    <row r="116" spans="1:6" x14ac:dyDescent="0.25">
      <c r="A116" s="24">
        <v>17</v>
      </c>
      <c r="B116" s="2" t="s">
        <v>198</v>
      </c>
      <c r="C116" s="2">
        <f>IF(Tabelle728[[#This Row],[score_0_3]]=0,"",IFERROR(_xlfn.MINIFS(Tabelle7[doc_id],Tabelle7[company_id],Tabelle728[[#This Row],[company_id]],Tabelle7[gov_id],Tabelle728[[#This Row],[gov_crit_id]],Tabelle7[score_0_3],Tabelle728[[#This Row],[score_0_3]]),""))</f>
        <v>102</v>
      </c>
      <c r="D116" s="3">
        <f>IFERROR(_xlfn.MAXIFS(Tabelle7[score_0_3],Tabelle7[company_id],Tabelle728[[#This Row],[company_id]],Tabelle7[gov_id],Tabelle728[[#This Row],[gov_crit_id]]),0)</f>
        <v>2</v>
      </c>
      <c r="E116" t="str" cm="1">
        <f t="array" ref="E116">IF(Tabelle728[[#This Row],[doc_id_primary_evidence]]="","",IFERROR(INDEX(Tabelle7[evidence_quote],MATCH(1,(Tabelle7[company_id]=Tabelle728[[#This Row],[company_id]])*(Tabelle7[gov_id]=Tabelle728[[#This Row],[gov_crit_id]])*(Tabelle7[doc_id]=Tabelle728[[#This Row],[doc_id_primary_evidence]]),0)),""))</f>
        <v>“Double-checking is sensible”; “We document data sets and processes”; “unless the use of the specific system has been explicitly whitelisted”</v>
      </c>
      <c r="F116" s="51" t="str" cm="1">
        <f t="array" ref="F116">IF(Tabelle728[[#This Row],[doc_id_primary_evidence]]="","",IFERROR(INDEX(Tabelle7[evidence_location],MATCH(1,(Tabelle7[company_id]=Tabelle728[[#This Row],[company_id]])*(Tabelle7[gov_id]=Tabelle728[[#This Row],[gov_crit_id]])*(Tabelle7[doc_id]=Tabelle728[[#This Row],[doc_id_primary_evidence]]),0)),""))</f>
        <v>S. 3 GUIDELINE / WHEN DEVELOPING OR PROCURING AI; S. 5 USING / DEVELOPING OR PROCURING AI</v>
      </c>
    </row>
    <row r="117" spans="1:6" x14ac:dyDescent="0.25">
      <c r="A117" s="24">
        <v>17</v>
      </c>
      <c r="B117" s="2" t="s">
        <v>204</v>
      </c>
      <c r="C117" s="2" t="str">
        <f>IF(Tabelle728[[#This Row],[score_0_3]]=0,"",IFERROR(_xlfn.MINIFS(Tabelle7[doc_id],Tabelle7[company_id],Tabelle728[[#This Row],[company_id]],Tabelle7[gov_id],Tabelle728[[#This Row],[gov_crit_id]],Tabelle7[score_0_3],Tabelle728[[#This Row],[score_0_3]]),""))</f>
        <v/>
      </c>
      <c r="D117" s="3">
        <f>IFERROR(_xlfn.MAXIFS(Tabelle7[score_0_3],Tabelle7[company_id],Tabelle728[[#This Row],[company_id]],Tabelle7[gov_id],Tabelle728[[#This Row],[gov_crit_id]]),0)</f>
        <v>0</v>
      </c>
      <c r="E117" t="str" cm="1">
        <f t="array" ref="E117">IF(Tabelle728[[#This Row],[doc_id_primary_evidence]]="","",IFERROR(INDEX(Tabelle7[evidence_quote],MATCH(1,(Tabelle7[company_id]=Tabelle728[[#This Row],[company_id]])*(Tabelle7[gov_id]=Tabelle728[[#This Row],[gov_crit_id]])*(Tabelle7[doc_id]=Tabelle728[[#This Row],[doc_id_primary_evidence]]),0)),""))</f>
        <v/>
      </c>
      <c r="F117" s="51" t="str" cm="1">
        <f t="array" ref="F117">IF(Tabelle728[[#This Row],[doc_id_primary_evidence]]="","",IFERROR(INDEX(Tabelle7[evidence_location],MATCH(1,(Tabelle7[company_id]=Tabelle728[[#This Row],[company_id]])*(Tabelle7[gov_id]=Tabelle728[[#This Row],[gov_crit_id]])*(Tabelle7[doc_id]=Tabelle728[[#This Row],[doc_id_primary_evidence]]),0)),""))</f>
        <v/>
      </c>
    </row>
    <row r="118" spans="1:6" x14ac:dyDescent="0.25">
      <c r="A118" s="24">
        <v>17</v>
      </c>
      <c r="B118" s="2" t="s">
        <v>210</v>
      </c>
      <c r="C118" s="2">
        <f>IF(Tabelle728[[#This Row],[score_0_3]]=0,"",IFERROR(_xlfn.MINIFS(Tabelle7[doc_id],Tabelle7[company_id],Tabelle728[[#This Row],[company_id]],Tabelle7[gov_id],Tabelle728[[#This Row],[gov_crit_id]],Tabelle7[score_0_3],Tabelle728[[#This Row],[score_0_3]]),""))</f>
        <v>102</v>
      </c>
      <c r="D118" s="3">
        <f>IFERROR(_xlfn.MAXIFS(Tabelle7[score_0_3],Tabelle7[company_id],Tabelle728[[#This Row],[company_id]],Tabelle7[gov_id],Tabelle728[[#This Row],[gov_crit_id]]),0)</f>
        <v>1</v>
      </c>
      <c r="E118" t="str" cm="1">
        <f t="array" ref="E118">IF(Tabelle728[[#This Row],[doc_id_primary_evidence]]="","",IFERROR(INDEX(Tabelle7[evidence_quote],MATCH(1,(Tabelle7[company_id]=Tabelle728[[#This Row],[company_id]])*(Tabelle7[gov_id]=Tabelle728[[#This Row],[gov_crit_id]])*(Tabelle7[doc_id]=Tabelle728[[#This Row],[doc_id_primary_evidence]]),0)),""))</f>
        <v>“promote its use for the benefit of our society”</v>
      </c>
      <c r="F118" s="51" t="str" cm="1">
        <f t="array" ref="F118">IF(Tabelle728[[#This Row],[doc_id_primary_evidence]]="","",IFERROR(INDEX(Tabelle7[evidence_location],MATCH(1,(Tabelle7[company_id]=Tabelle728[[#This Row],[company_id]])*(Tabelle7[gov_id]=Tabelle728[[#This Row],[gov_crit_id]])*(Tabelle7[doc_id]=Tabelle728[[#This Row],[doc_id_primary_evidence]]),0)),""))</f>
        <v>S. 5, SOCIAL AWARENESS</v>
      </c>
    </row>
    <row r="119" spans="1:6" x14ac:dyDescent="0.25">
      <c r="A119" s="24">
        <v>17</v>
      </c>
      <c r="B119" s="2" t="s">
        <v>215</v>
      </c>
      <c r="C119" s="2">
        <f>IF(Tabelle728[[#This Row],[score_0_3]]=0,"",IFERROR(_xlfn.MINIFS(Tabelle7[doc_id],Tabelle7[company_id],Tabelle728[[#This Row],[company_id]],Tabelle7[gov_id],Tabelle728[[#This Row],[gov_crit_id]],Tabelle7[score_0_3],Tabelle728[[#This Row],[score_0_3]]),""))</f>
        <v>102</v>
      </c>
      <c r="D119" s="3">
        <f>IFERROR(_xlfn.MAXIFS(Tabelle7[score_0_3],Tabelle7[company_id],Tabelle728[[#This Row],[company_id]],Tabelle7[gov_id],Tabelle728[[#This Row],[gov_crit_id]]),0)</f>
        <v>1</v>
      </c>
      <c r="E119" t="str" cm="1">
        <f t="array" ref="E119">IF(Tabelle728[[#This Row],[doc_id_primary_evidence]]="","",IFERROR(INDEX(Tabelle7[evidence_quote],MATCH(1,(Tabelle7[company_id]=Tabelle728[[#This Row],[company_id]])*(Tabelle7[gov_id]=Tabelle728[[#This Row],[gov_crit_id]])*(Tabelle7[doc_id]=Tabelle728[[#This Row],[doc_id_primary_evidence]]),0)),""))</f>
        <v>“consult with IT or cybersecurity team”</v>
      </c>
      <c r="F119" s="51" t="str" cm="1">
        <f t="array" ref="F119">IF(Tabelle728[[#This Row],[doc_id_primary_evidence]]="","",IFERROR(INDEX(Tabelle7[evidence_location],MATCH(1,(Tabelle7[company_id]=Tabelle728[[#This Row],[company_id]])*(Tabelle7[gov_id]=Tabelle728[[#This Row],[gov_crit_id]])*(Tabelle7[doc_id]=Tabelle728[[#This Row],[doc_id_primary_evidence]]),0)),""))</f>
        <v>S. 4, WHEN USING AI</v>
      </c>
    </row>
    <row r="120" spans="1:6" ht="15.75" thickBot="1" x14ac:dyDescent="0.3">
      <c r="A120" s="26">
        <v>17</v>
      </c>
      <c r="B120" s="27" t="s">
        <v>221</v>
      </c>
      <c r="C120" s="27">
        <f>IF(Tabelle728[[#This Row],[score_0_3]]=0,"",IFERROR(_xlfn.MINIFS(Tabelle7[doc_id],Tabelle7[company_id],Tabelle728[[#This Row],[company_id]],Tabelle7[gov_id],Tabelle728[[#This Row],[gov_crit_id]],Tabelle7[score_0_3],Tabelle728[[#This Row],[score_0_3]]),""))</f>
        <v>102</v>
      </c>
      <c r="D120" s="28">
        <f>IFERROR(_xlfn.MAXIFS(Tabelle7[score_0_3],Tabelle7[company_id],Tabelle728[[#This Row],[company_id]],Tabelle7[gov_id],Tabelle728[[#This Row],[gov_crit_id]]),0)</f>
        <v>1</v>
      </c>
      <c r="E120" s="30" t="str" cm="1">
        <f t="array" ref="E120">IF(Tabelle728[[#This Row],[doc_id_primary_evidence]]="","",IFERROR(INDEX(Tabelle7[evidence_quote],MATCH(1,(Tabelle7[company_id]=Tabelle728[[#This Row],[company_id]])*(Tabelle7[gov_id]=Tabelle728[[#This Row],[gov_crit_id]])*(Tabelle7[doc_id]=Tabelle728[[#This Row],[doc_id_primary_evidence]]),0)),""))</f>
        <v>“reporting and redress mechanisms should be available”</v>
      </c>
      <c r="F120" s="52" t="str" cm="1">
        <f t="array" ref="F120">IF(Tabelle728[[#This Row],[doc_id_primary_evidence]]="","",IFERROR(INDEX(Tabelle7[evidence_location],MATCH(1,(Tabelle7[company_id]=Tabelle728[[#This Row],[company_id]])*(Tabelle7[gov_id]=Tabelle728[[#This Row],[gov_crit_id]])*(Tabelle7[doc_id]=Tabelle728[[#This Row],[doc_id_primary_evidence]]),0)),""))</f>
        <v>S. 4, WHEN DEVELOPING OR PROCURING AI</v>
      </c>
    </row>
    <row r="121" spans="1:6" x14ac:dyDescent="0.25">
      <c r="A121" s="18">
        <v>18</v>
      </c>
      <c r="B121" s="19" t="s">
        <v>186</v>
      </c>
      <c r="C121" s="19" t="str">
        <f>IF(Tabelle728[[#This Row],[score_0_3]]=0,"",IFERROR(_xlfn.MINIFS(Tabelle7[doc_id],Tabelle7[company_id],Tabelle728[[#This Row],[company_id]],Tabelle7[gov_id],Tabelle728[[#This Row],[gov_crit_id]],Tabelle7[score_0_3],Tabelle728[[#This Row],[score_0_3]]),""))</f>
        <v/>
      </c>
      <c r="D121" s="20">
        <f>IFERROR(_xlfn.MAXIFS(Tabelle7[score_0_3],Tabelle7[company_id],Tabelle728[[#This Row],[company_id]],Tabelle7[gov_id],Tabelle728[[#This Row],[gov_crit_id]]),0)</f>
        <v>0</v>
      </c>
      <c r="E121" s="22" t="str" cm="1">
        <f t="array" ref="E121">IF(Tabelle728[[#This Row],[doc_id_primary_evidence]]="","",IFERROR(INDEX(Tabelle7[evidence_quote],MATCH(1,(Tabelle7[company_id]=Tabelle728[[#This Row],[company_id]])*(Tabelle7[gov_id]=Tabelle728[[#This Row],[gov_crit_id]])*(Tabelle7[doc_id]=Tabelle728[[#This Row],[doc_id_primary_evidence]]),0)),""))</f>
        <v/>
      </c>
      <c r="F121" s="50" t="str" cm="1">
        <f t="array" ref="F121">IF(Tabelle728[[#This Row],[doc_id_primary_evidence]]="","",IFERROR(INDEX(Tabelle7[evidence_location],MATCH(1,(Tabelle7[company_id]=Tabelle728[[#This Row],[company_id]])*(Tabelle7[gov_id]=Tabelle728[[#This Row],[gov_crit_id]])*(Tabelle7[doc_id]=Tabelle728[[#This Row],[doc_id_primary_evidence]]),0)),""))</f>
        <v/>
      </c>
    </row>
    <row r="122" spans="1:6" x14ac:dyDescent="0.25">
      <c r="A122" s="24">
        <v>18</v>
      </c>
      <c r="B122" s="2" t="s">
        <v>192</v>
      </c>
      <c r="C122" s="2" t="str">
        <f>IF(Tabelle728[[#This Row],[score_0_3]]=0,"",IFERROR(_xlfn.MINIFS(Tabelle7[doc_id],Tabelle7[company_id],Tabelle728[[#This Row],[company_id]],Tabelle7[gov_id],Tabelle728[[#This Row],[gov_crit_id]],Tabelle7[score_0_3],Tabelle728[[#This Row],[score_0_3]]),""))</f>
        <v/>
      </c>
      <c r="D122" s="3">
        <f>IFERROR(_xlfn.MAXIFS(Tabelle7[score_0_3],Tabelle7[company_id],Tabelle728[[#This Row],[company_id]],Tabelle7[gov_id],Tabelle728[[#This Row],[gov_crit_id]]),0)</f>
        <v>0</v>
      </c>
      <c r="E122" t="str" cm="1">
        <f t="array" ref="E122">IF(Tabelle728[[#This Row],[doc_id_primary_evidence]]="","",IFERROR(INDEX(Tabelle7[evidence_quote],MATCH(1,(Tabelle7[company_id]=Tabelle728[[#This Row],[company_id]])*(Tabelle7[gov_id]=Tabelle728[[#This Row],[gov_crit_id]])*(Tabelle7[doc_id]=Tabelle728[[#This Row],[doc_id_primary_evidence]]),0)),""))</f>
        <v/>
      </c>
      <c r="F122" s="51" t="str" cm="1">
        <f t="array" ref="F122">IF(Tabelle728[[#This Row],[doc_id_primary_evidence]]="","",IFERROR(INDEX(Tabelle7[evidence_location],MATCH(1,(Tabelle7[company_id]=Tabelle728[[#This Row],[company_id]])*(Tabelle7[gov_id]=Tabelle728[[#This Row],[gov_crit_id]])*(Tabelle7[doc_id]=Tabelle728[[#This Row],[doc_id_primary_evidence]]),0)),""))</f>
        <v/>
      </c>
    </row>
    <row r="123" spans="1:6" x14ac:dyDescent="0.25">
      <c r="A123" s="24">
        <v>18</v>
      </c>
      <c r="B123" s="2" t="s">
        <v>198</v>
      </c>
      <c r="C123" s="2" t="str">
        <f>IF(Tabelle728[[#This Row],[score_0_3]]=0,"",IFERROR(_xlfn.MINIFS(Tabelle7[doc_id],Tabelle7[company_id],Tabelle728[[#This Row],[company_id]],Tabelle7[gov_id],Tabelle728[[#This Row],[gov_crit_id]],Tabelle7[score_0_3],Tabelle728[[#This Row],[score_0_3]]),""))</f>
        <v/>
      </c>
      <c r="D123" s="3">
        <f>IFERROR(_xlfn.MAXIFS(Tabelle7[score_0_3],Tabelle7[company_id],Tabelle728[[#This Row],[company_id]],Tabelle7[gov_id],Tabelle728[[#This Row],[gov_crit_id]]),0)</f>
        <v>0</v>
      </c>
      <c r="E123" t="str" cm="1">
        <f t="array" ref="E123">IF(Tabelle728[[#This Row],[doc_id_primary_evidence]]="","",IFERROR(INDEX(Tabelle7[evidence_quote],MATCH(1,(Tabelle7[company_id]=Tabelle728[[#This Row],[company_id]])*(Tabelle7[gov_id]=Tabelle728[[#This Row],[gov_crit_id]])*(Tabelle7[doc_id]=Tabelle728[[#This Row],[doc_id_primary_evidence]]),0)),""))</f>
        <v/>
      </c>
      <c r="F123" s="51" t="str" cm="1">
        <f t="array" ref="F123">IF(Tabelle728[[#This Row],[doc_id_primary_evidence]]="","",IFERROR(INDEX(Tabelle7[evidence_location],MATCH(1,(Tabelle7[company_id]=Tabelle728[[#This Row],[company_id]])*(Tabelle7[gov_id]=Tabelle728[[#This Row],[gov_crit_id]])*(Tabelle7[doc_id]=Tabelle728[[#This Row],[doc_id_primary_evidence]]),0)),""))</f>
        <v/>
      </c>
    </row>
    <row r="124" spans="1:6" x14ac:dyDescent="0.25">
      <c r="A124" s="24">
        <v>18</v>
      </c>
      <c r="B124" s="2" t="s">
        <v>204</v>
      </c>
      <c r="C124" s="2" t="str">
        <f>IF(Tabelle728[[#This Row],[score_0_3]]=0,"",IFERROR(_xlfn.MINIFS(Tabelle7[doc_id],Tabelle7[company_id],Tabelle728[[#This Row],[company_id]],Tabelle7[gov_id],Tabelle728[[#This Row],[gov_crit_id]],Tabelle7[score_0_3],Tabelle728[[#This Row],[score_0_3]]),""))</f>
        <v/>
      </c>
      <c r="D124" s="3">
        <f>IFERROR(_xlfn.MAXIFS(Tabelle7[score_0_3],Tabelle7[company_id],Tabelle728[[#This Row],[company_id]],Tabelle7[gov_id],Tabelle728[[#This Row],[gov_crit_id]]),0)</f>
        <v>0</v>
      </c>
      <c r="E124" t="str" cm="1">
        <f t="array" ref="E124">IF(Tabelle728[[#This Row],[doc_id_primary_evidence]]="","",IFERROR(INDEX(Tabelle7[evidence_quote],MATCH(1,(Tabelle7[company_id]=Tabelle728[[#This Row],[company_id]])*(Tabelle7[gov_id]=Tabelle728[[#This Row],[gov_crit_id]])*(Tabelle7[doc_id]=Tabelle728[[#This Row],[doc_id_primary_evidence]]),0)),""))</f>
        <v/>
      </c>
      <c r="F124" s="51" t="str" cm="1">
        <f t="array" ref="F124">IF(Tabelle728[[#This Row],[doc_id_primary_evidence]]="","",IFERROR(INDEX(Tabelle7[evidence_location],MATCH(1,(Tabelle7[company_id]=Tabelle728[[#This Row],[company_id]])*(Tabelle7[gov_id]=Tabelle728[[#This Row],[gov_crit_id]])*(Tabelle7[doc_id]=Tabelle728[[#This Row],[doc_id_primary_evidence]]),0)),""))</f>
        <v/>
      </c>
    </row>
    <row r="125" spans="1:6" x14ac:dyDescent="0.25">
      <c r="A125" s="24">
        <v>18</v>
      </c>
      <c r="B125" s="2" t="s">
        <v>210</v>
      </c>
      <c r="C125" s="2" t="str">
        <f>IF(Tabelle728[[#This Row],[score_0_3]]=0,"",IFERROR(_xlfn.MINIFS(Tabelle7[doc_id],Tabelle7[company_id],Tabelle728[[#This Row],[company_id]],Tabelle7[gov_id],Tabelle728[[#This Row],[gov_crit_id]],Tabelle7[score_0_3],Tabelle728[[#This Row],[score_0_3]]),""))</f>
        <v/>
      </c>
      <c r="D125" s="3">
        <f>IFERROR(_xlfn.MAXIFS(Tabelle7[score_0_3],Tabelle7[company_id],Tabelle728[[#This Row],[company_id]],Tabelle7[gov_id],Tabelle728[[#This Row],[gov_crit_id]]),0)</f>
        <v>0</v>
      </c>
      <c r="E125" t="str" cm="1">
        <f t="array" ref="E125">IF(Tabelle728[[#This Row],[doc_id_primary_evidence]]="","",IFERROR(INDEX(Tabelle7[evidence_quote],MATCH(1,(Tabelle7[company_id]=Tabelle728[[#This Row],[company_id]])*(Tabelle7[gov_id]=Tabelle728[[#This Row],[gov_crit_id]])*(Tabelle7[doc_id]=Tabelle728[[#This Row],[doc_id_primary_evidence]]),0)),""))</f>
        <v/>
      </c>
      <c r="F125" s="51" t="str" cm="1">
        <f t="array" ref="F125">IF(Tabelle728[[#This Row],[doc_id_primary_evidence]]="","",IFERROR(INDEX(Tabelle7[evidence_location],MATCH(1,(Tabelle7[company_id]=Tabelle728[[#This Row],[company_id]])*(Tabelle7[gov_id]=Tabelle728[[#This Row],[gov_crit_id]])*(Tabelle7[doc_id]=Tabelle728[[#This Row],[doc_id_primary_evidence]]),0)),""))</f>
        <v/>
      </c>
    </row>
    <row r="126" spans="1:6" x14ac:dyDescent="0.25">
      <c r="A126" s="24">
        <v>18</v>
      </c>
      <c r="B126" s="2" t="s">
        <v>215</v>
      </c>
      <c r="C126" s="2" t="str">
        <f>IF(Tabelle728[[#This Row],[score_0_3]]=0,"",IFERROR(_xlfn.MINIFS(Tabelle7[doc_id],Tabelle7[company_id],Tabelle728[[#This Row],[company_id]],Tabelle7[gov_id],Tabelle728[[#This Row],[gov_crit_id]],Tabelle7[score_0_3],Tabelle728[[#This Row],[score_0_3]]),""))</f>
        <v/>
      </c>
      <c r="D126" s="3">
        <f>IFERROR(_xlfn.MAXIFS(Tabelle7[score_0_3],Tabelle7[company_id],Tabelle728[[#This Row],[company_id]],Tabelle7[gov_id],Tabelle728[[#This Row],[gov_crit_id]]),0)</f>
        <v>0</v>
      </c>
      <c r="E126" t="str" cm="1">
        <f t="array" ref="E126">IF(Tabelle728[[#This Row],[doc_id_primary_evidence]]="","",IFERROR(INDEX(Tabelle7[evidence_quote],MATCH(1,(Tabelle7[company_id]=Tabelle728[[#This Row],[company_id]])*(Tabelle7[gov_id]=Tabelle728[[#This Row],[gov_crit_id]])*(Tabelle7[doc_id]=Tabelle728[[#This Row],[doc_id_primary_evidence]]),0)),""))</f>
        <v/>
      </c>
      <c r="F126" s="51" t="str" cm="1">
        <f t="array" ref="F126">IF(Tabelle728[[#This Row],[doc_id_primary_evidence]]="","",IFERROR(INDEX(Tabelle7[evidence_location],MATCH(1,(Tabelle7[company_id]=Tabelle728[[#This Row],[company_id]])*(Tabelle7[gov_id]=Tabelle728[[#This Row],[gov_crit_id]])*(Tabelle7[doc_id]=Tabelle728[[#This Row],[doc_id_primary_evidence]]),0)),""))</f>
        <v/>
      </c>
    </row>
    <row r="127" spans="1:6" ht="15.75" thickBot="1" x14ac:dyDescent="0.3">
      <c r="A127" s="26">
        <v>18</v>
      </c>
      <c r="B127" s="27" t="s">
        <v>221</v>
      </c>
      <c r="C127" s="27" t="str">
        <f>IF(Tabelle728[[#This Row],[score_0_3]]=0,"",IFERROR(_xlfn.MINIFS(Tabelle7[doc_id],Tabelle7[company_id],Tabelle728[[#This Row],[company_id]],Tabelle7[gov_id],Tabelle728[[#This Row],[gov_crit_id]],Tabelle7[score_0_3],Tabelle728[[#This Row],[score_0_3]]),""))</f>
        <v/>
      </c>
      <c r="D127" s="28">
        <f>IFERROR(_xlfn.MAXIFS(Tabelle7[score_0_3],Tabelle7[company_id],Tabelle728[[#This Row],[company_id]],Tabelle7[gov_id],Tabelle728[[#This Row],[gov_crit_id]]),0)</f>
        <v>0</v>
      </c>
      <c r="E127" s="30" t="str" cm="1">
        <f t="array" ref="E127">IF(Tabelle728[[#This Row],[doc_id_primary_evidence]]="","",IFERROR(INDEX(Tabelle7[evidence_quote],MATCH(1,(Tabelle7[company_id]=Tabelle728[[#This Row],[company_id]])*(Tabelle7[gov_id]=Tabelle728[[#This Row],[gov_crit_id]])*(Tabelle7[doc_id]=Tabelle728[[#This Row],[doc_id_primary_evidence]]),0)),""))</f>
        <v/>
      </c>
      <c r="F127" s="52" t="str" cm="1">
        <f t="array" ref="F127">IF(Tabelle728[[#This Row],[doc_id_primary_evidence]]="","",IFERROR(INDEX(Tabelle7[evidence_location],MATCH(1,(Tabelle7[company_id]=Tabelle728[[#This Row],[company_id]])*(Tabelle7[gov_id]=Tabelle728[[#This Row],[gov_crit_id]])*(Tabelle7[doc_id]=Tabelle728[[#This Row],[doc_id_primary_evidence]]),0)),""))</f>
        <v/>
      </c>
    </row>
    <row r="128" spans="1:6" x14ac:dyDescent="0.25">
      <c r="A128" s="18">
        <v>19</v>
      </c>
      <c r="B128" s="19" t="s">
        <v>186</v>
      </c>
      <c r="C128" s="19">
        <f>IF(Tabelle728[[#This Row],[score_0_3]]=0,"",IFERROR(_xlfn.MINIFS(Tabelle7[doc_id],Tabelle7[company_id],Tabelle728[[#This Row],[company_id]],Tabelle7[gov_id],Tabelle728[[#This Row],[gov_crit_id]],Tabelle7[score_0_3],Tabelle728[[#This Row],[score_0_3]]),""))</f>
        <v>113</v>
      </c>
      <c r="D128" s="20">
        <f>IFERROR(_xlfn.MAXIFS(Tabelle7[score_0_3],Tabelle7[company_id],Tabelle728[[#This Row],[company_id]],Tabelle7[gov_id],Tabelle728[[#This Row],[gov_crit_id]]),0)</f>
        <v>2</v>
      </c>
      <c r="E128" s="22" t="str" cm="1">
        <f t="array" ref="E128">IF(Tabelle728[[#This Row],[doc_id_primary_evidence]]="","",IFERROR(INDEX(Tabelle7[evidence_quote],MATCH(1,(Tabelle7[company_id]=Tabelle728[[#This Row],[company_id]])*(Tabelle7[gov_id]=Tabelle728[[#This Row],[gov_crit_id]])*(Tabelle7[doc_id]=Tabelle728[[#This Row],[doc_id_primary_evidence]]),0)),""))</f>
        <v>“assigned by name”</v>
      </c>
      <c r="F128" s="50" t="str" cm="1">
        <f t="array" ref="F128">IF(Tabelle728[[#This Row],[doc_id_primary_evidence]]="","",IFERROR(INDEX(Tabelle7[evidence_location],MATCH(1,(Tabelle7[company_id]=Tabelle728[[#This Row],[company_id]])*(Tabelle7[gov_id]=Tabelle728[[#This Row],[gov_crit_id]])*(Tabelle7[doc_id]=Tabelle728[[#This Row],[doc_id_primary_evidence]]),0)),""))</f>
        <v>S. 10, CUSTOMER-CENTRIC INNOVATION</v>
      </c>
    </row>
    <row r="129" spans="1:6" x14ac:dyDescent="0.25">
      <c r="A129" s="24">
        <v>19</v>
      </c>
      <c r="B129" s="2" t="s">
        <v>192</v>
      </c>
      <c r="C129" s="2">
        <f>IF(Tabelle728[[#This Row],[score_0_3]]=0,"",IFERROR(_xlfn.MINIFS(Tabelle7[doc_id],Tabelle7[company_id],Tabelle728[[#This Row],[company_id]],Tabelle7[gov_id],Tabelle728[[#This Row],[gov_crit_id]],Tabelle7[score_0_3],Tabelle728[[#This Row],[score_0_3]]),""))</f>
        <v>113</v>
      </c>
      <c r="D129" s="3">
        <f>IFERROR(_xlfn.MAXIFS(Tabelle7[score_0_3],Tabelle7[company_id],Tabelle728[[#This Row],[company_id]],Tabelle7[gov_id],Tabelle728[[#This Row],[gov_crit_id]]),0)</f>
        <v>2</v>
      </c>
      <c r="E129" t="str" cm="1">
        <f t="array" ref="E129">IF(Tabelle728[[#This Row],[doc_id_primary_evidence]]="","",IFERROR(INDEX(Tabelle7[evidence_quote],MATCH(1,(Tabelle7[company_id]=Tabelle728[[#This Row],[company_id]])*(Tabelle7[gov_id]=Tabelle728[[#This Row],[gov_crit_id]])*(Tabelle7[doc_id]=Tabelle728[[#This Row],[doc_id_primary_evidence]]),0)),""))</f>
        <v>“We define clear guardrails for the use of AI systems”; “humans stay in control of critical decisions”; “security and data protection by design”</v>
      </c>
      <c r="F129" s="51" t="str" cm="1">
        <f t="array" ref="F129">IF(Tabelle728[[#This Row],[doc_id_primary_evidence]]="","",IFERROR(INDEX(Tabelle7[evidence_location],MATCH(1,(Tabelle7[company_id]=Tabelle728[[#This Row],[company_id]])*(Tabelle7[gov_id]=Tabelle728[[#This Row],[gov_crit_id]])*(Tabelle7[doc_id]=Tabelle728[[#This Row],[doc_id_primary_evidence]]),0)),""))</f>
        <v>S. 5, GEA VALUES; S. 9, DIGITAL PARTICIPATION; S. 12, DATA PROTECTION...</v>
      </c>
    </row>
    <row r="130" spans="1:6" x14ac:dyDescent="0.25">
      <c r="A130" s="24">
        <v>19</v>
      </c>
      <c r="B130" s="2" t="s">
        <v>198</v>
      </c>
      <c r="C130" s="2">
        <f>IF(Tabelle728[[#This Row],[score_0_3]]=0,"",IFERROR(_xlfn.MINIFS(Tabelle7[doc_id],Tabelle7[company_id],Tabelle728[[#This Row],[company_id]],Tabelle7[gov_id],Tabelle728[[#This Row],[gov_crit_id]],Tabelle7[score_0_3],Tabelle728[[#This Row],[score_0_3]]),""))</f>
        <v>113</v>
      </c>
      <c r="D130" s="3">
        <f>IFERROR(_xlfn.MAXIFS(Tabelle7[score_0_3],Tabelle7[company_id],Tabelle728[[#This Row],[company_id]],Tabelle7[gov_id],Tabelle728[[#This Row],[gov_crit_id]]),0)</f>
        <v>2</v>
      </c>
      <c r="E130" t="str" cm="1">
        <f t="array" ref="E130">IF(Tabelle728[[#This Row],[doc_id_primary_evidence]]="","",IFERROR(INDEX(Tabelle7[evidence_quote],MATCH(1,(Tabelle7[company_id]=Tabelle728[[#This Row],[company_id]])*(Tabelle7[gov_id]=Tabelle728[[#This Row],[gov_crit_id]])*(Tabelle7[doc_id]=Tabelle728[[#This Row],[doc_id_primary_evidence]]),0)),""))</f>
        <v>“critically examining and evaluating its results”; “clearly label AI-generated content”; “clearly label AI-generated content”</v>
      </c>
      <c r="F130" s="51" t="str" cm="1">
        <f t="array" ref="F130">IF(Tabelle728[[#This Row],[doc_id_primary_evidence]]="","",IFERROR(INDEX(Tabelle7[evidence_location],MATCH(1,(Tabelle7[company_id]=Tabelle728[[#This Row],[company_id]])*(Tabelle7[gov_id]=Tabelle728[[#This Row],[gov_crit_id]])*(Tabelle7[doc_id]=Tabelle728[[#This Row],[doc_id_primary_evidence]]),0)),""))</f>
        <v>S. 8, DIGITAL COMPETENCE; S. 11, FAIRNESS AND TRANSPARENCY; S. 12, DATA PROTECTION...</v>
      </c>
    </row>
    <row r="131" spans="1:6" x14ac:dyDescent="0.25">
      <c r="A131" s="24">
        <v>19</v>
      </c>
      <c r="B131" s="2" t="s">
        <v>204</v>
      </c>
      <c r="C131" s="2" t="str">
        <f>IF(Tabelle728[[#This Row],[score_0_3]]=0,"",IFERROR(_xlfn.MINIFS(Tabelle7[doc_id],Tabelle7[company_id],Tabelle728[[#This Row],[company_id]],Tabelle7[gov_id],Tabelle728[[#This Row],[gov_crit_id]],Tabelle7[score_0_3],Tabelle728[[#This Row],[score_0_3]]),""))</f>
        <v/>
      </c>
      <c r="D131" s="3">
        <f>IFERROR(_xlfn.MAXIFS(Tabelle7[score_0_3],Tabelle7[company_id],Tabelle728[[#This Row],[company_id]],Tabelle7[gov_id],Tabelle728[[#This Row],[gov_crit_id]]),0)</f>
        <v>0</v>
      </c>
      <c r="E131" t="str" cm="1">
        <f t="array" ref="E131">IF(Tabelle728[[#This Row],[doc_id_primary_evidence]]="","",IFERROR(INDEX(Tabelle7[evidence_quote],MATCH(1,(Tabelle7[company_id]=Tabelle728[[#This Row],[company_id]])*(Tabelle7[gov_id]=Tabelle728[[#This Row],[gov_crit_id]])*(Tabelle7[doc_id]=Tabelle728[[#This Row],[doc_id_primary_evidence]]),0)),""))</f>
        <v/>
      </c>
      <c r="F131" s="51" t="str" cm="1">
        <f t="array" ref="F131">IF(Tabelle728[[#This Row],[doc_id_primary_evidence]]="","",IFERROR(INDEX(Tabelle7[evidence_location],MATCH(1,(Tabelle7[company_id]=Tabelle728[[#This Row],[company_id]])*(Tabelle7[gov_id]=Tabelle728[[#This Row],[gov_crit_id]])*(Tabelle7[doc_id]=Tabelle728[[#This Row],[doc_id_primary_evidence]]),0)),""))</f>
        <v/>
      </c>
    </row>
    <row r="132" spans="1:6" x14ac:dyDescent="0.25">
      <c r="A132" s="24">
        <v>19</v>
      </c>
      <c r="B132" s="2" t="s">
        <v>210</v>
      </c>
      <c r="C132" s="2">
        <f>IF(Tabelle728[[#This Row],[score_0_3]]=0,"",IFERROR(_xlfn.MINIFS(Tabelle7[doc_id],Tabelle7[company_id],Tabelle728[[#This Row],[company_id]],Tabelle7[gov_id],Tabelle728[[#This Row],[gov_crit_id]],Tabelle7[score_0_3],Tabelle728[[#This Row],[score_0_3]]),""))</f>
        <v>113</v>
      </c>
      <c r="D132" s="3">
        <f>IFERROR(_xlfn.MAXIFS(Tabelle7[score_0_3],Tabelle7[company_id],Tabelle728[[#This Row],[company_id]],Tabelle7[gov_id],Tabelle728[[#This Row],[gov_crit_id]]),0)</f>
        <v>2</v>
      </c>
      <c r="E132" t="str" cm="1">
        <f t="array" ref="E132">IF(Tabelle728[[#This Row],[doc_id_primary_evidence]]="","",IFERROR(INDEX(Tabelle7[evidence_quote],MATCH(1,(Tabelle7[company_id]=Tabelle728[[#This Row],[company_id]])*(Tabelle7[gov_id]=Tabelle728[[#This Row],[gov_crit_id]])*(Tabelle7[doc_id]=Tabelle728[[#This Row],[doc_id_primary_evidence]]),0)),""))</f>
        <v>“provides the necessary training during working hours”</v>
      </c>
      <c r="F132" s="51" t="str" cm="1">
        <f t="array" ref="F132">IF(Tabelle728[[#This Row],[doc_id_primary_evidence]]="","",IFERROR(INDEX(Tabelle7[evidence_location],MATCH(1,(Tabelle7[company_id]=Tabelle728[[#This Row],[company_id]])*(Tabelle7[gov_id]=Tabelle728[[#This Row],[gov_crit_id]])*(Tabelle7[doc_id]=Tabelle728[[#This Row],[doc_id_primary_evidence]]),0)),""))</f>
        <v>S. 8, DIGITAL COMPETENCE</v>
      </c>
    </row>
    <row r="133" spans="1:6" x14ac:dyDescent="0.25">
      <c r="A133" s="24">
        <v>19</v>
      </c>
      <c r="B133" s="2" t="s">
        <v>215</v>
      </c>
      <c r="C133" s="2">
        <f>IF(Tabelle728[[#This Row],[score_0_3]]=0,"",IFERROR(_xlfn.MINIFS(Tabelle7[doc_id],Tabelle7[company_id],Tabelle728[[#This Row],[company_id]],Tabelle7[gov_id],Tabelle728[[#This Row],[gov_crit_id]],Tabelle7[score_0_3],Tabelle728[[#This Row],[score_0_3]]),""))</f>
        <v>113</v>
      </c>
      <c r="D133" s="3">
        <f>IFERROR(_xlfn.MAXIFS(Tabelle7[score_0_3],Tabelle7[company_id],Tabelle728[[#This Row],[company_id]],Tabelle7[gov_id],Tabelle728[[#This Row],[gov_crit_id]]),0)</f>
        <v>1</v>
      </c>
      <c r="E133" t="str" cm="1">
        <f t="array" ref="E133">IF(Tabelle728[[#This Row],[doc_id_primary_evidence]]="","",IFERROR(INDEX(Tabelle7[evidence_quote],MATCH(1,(Tabelle7[company_id]=Tabelle728[[#This Row],[company_id]])*(Tabelle7[gov_id]=Tabelle728[[#This Row],[gov_crit_id]])*(Tabelle7[doc_id]=Tabelle728[[#This Row],[doc_id_primary_evidence]]),0)),""))</f>
        <v>“specific technical contacts are available at any time”</v>
      </c>
      <c r="F133" s="51" t="str" cm="1">
        <f t="array" ref="F133">IF(Tabelle728[[#This Row],[doc_id_primary_evidence]]="","",IFERROR(INDEX(Tabelle7[evidence_location],MATCH(1,(Tabelle7[company_id]=Tabelle728[[#This Row],[company_id]])*(Tabelle7[gov_id]=Tabelle728[[#This Row],[gov_crit_id]])*(Tabelle7[doc_id]=Tabelle728[[#This Row],[doc_id_primary_evidence]]),0)),""))</f>
        <v>S. 8, DIGITAL COMPETENCE</v>
      </c>
    </row>
    <row r="134" spans="1:6" ht="15.75" thickBot="1" x14ac:dyDescent="0.3">
      <c r="A134" s="26">
        <v>19</v>
      </c>
      <c r="B134" s="27" t="s">
        <v>221</v>
      </c>
      <c r="C134" s="27" t="str">
        <f>IF(Tabelle728[[#This Row],[score_0_3]]=0,"",IFERROR(_xlfn.MINIFS(Tabelle7[doc_id],Tabelle7[company_id],Tabelle728[[#This Row],[company_id]],Tabelle7[gov_id],Tabelle728[[#This Row],[gov_crit_id]],Tabelle7[score_0_3],Tabelle728[[#This Row],[score_0_3]]),""))</f>
        <v/>
      </c>
      <c r="D134" s="28">
        <f>IFERROR(_xlfn.MAXIFS(Tabelle7[score_0_3],Tabelle7[company_id],Tabelle728[[#This Row],[company_id]],Tabelle7[gov_id],Tabelle728[[#This Row],[gov_crit_id]]),0)</f>
        <v>0</v>
      </c>
      <c r="E134" s="30" t="str" cm="1">
        <f t="array" ref="E134">IF(Tabelle728[[#This Row],[doc_id_primary_evidence]]="","",IFERROR(INDEX(Tabelle7[evidence_quote],MATCH(1,(Tabelle7[company_id]=Tabelle728[[#This Row],[company_id]])*(Tabelle7[gov_id]=Tabelle728[[#This Row],[gov_crit_id]])*(Tabelle7[doc_id]=Tabelle728[[#This Row],[doc_id_primary_evidence]]),0)),""))</f>
        <v/>
      </c>
      <c r="F134" s="52" t="str" cm="1">
        <f t="array" ref="F134">IF(Tabelle728[[#This Row],[doc_id_primary_evidence]]="","",IFERROR(INDEX(Tabelle7[evidence_location],MATCH(1,(Tabelle7[company_id]=Tabelle728[[#This Row],[company_id]])*(Tabelle7[gov_id]=Tabelle728[[#This Row],[gov_crit_id]])*(Tabelle7[doc_id]=Tabelle728[[#This Row],[doc_id_primary_evidence]]),0)),""))</f>
        <v/>
      </c>
    </row>
    <row r="135" spans="1:6" x14ac:dyDescent="0.25">
      <c r="A135" s="18">
        <v>20</v>
      </c>
      <c r="B135" s="19" t="s">
        <v>186</v>
      </c>
      <c r="C135" s="19" t="str">
        <f>IF(Tabelle728[[#This Row],[score_0_3]]=0,"",IFERROR(_xlfn.MINIFS(Tabelle7[doc_id],Tabelle7[company_id],Tabelle728[[#This Row],[company_id]],Tabelle7[gov_id],Tabelle728[[#This Row],[gov_crit_id]],Tabelle7[score_0_3],Tabelle728[[#This Row],[score_0_3]]),""))</f>
        <v/>
      </c>
      <c r="D135" s="20">
        <f>IFERROR(_xlfn.MAXIFS(Tabelle7[score_0_3],Tabelle7[company_id],Tabelle728[[#This Row],[company_id]],Tabelle7[gov_id],Tabelle728[[#This Row],[gov_crit_id]]),0)</f>
        <v>0</v>
      </c>
      <c r="E135" s="22" t="str" cm="1">
        <f t="array" ref="E135">IF(Tabelle728[[#This Row],[doc_id_primary_evidence]]="","",IFERROR(INDEX(Tabelle7[evidence_quote],MATCH(1,(Tabelle7[company_id]=Tabelle728[[#This Row],[company_id]])*(Tabelle7[gov_id]=Tabelle728[[#This Row],[gov_crit_id]])*(Tabelle7[doc_id]=Tabelle728[[#This Row],[doc_id_primary_evidence]]),0)),""))</f>
        <v/>
      </c>
      <c r="F135" s="50" t="str" cm="1">
        <f t="array" ref="F135">IF(Tabelle728[[#This Row],[doc_id_primary_evidence]]="","",IFERROR(INDEX(Tabelle7[evidence_location],MATCH(1,(Tabelle7[company_id]=Tabelle728[[#This Row],[company_id]])*(Tabelle7[gov_id]=Tabelle728[[#This Row],[gov_crit_id]])*(Tabelle7[doc_id]=Tabelle728[[#This Row],[doc_id_primary_evidence]]),0)),""))</f>
        <v/>
      </c>
    </row>
    <row r="136" spans="1:6" x14ac:dyDescent="0.25">
      <c r="A136" s="24">
        <v>20</v>
      </c>
      <c r="B136" s="2" t="s">
        <v>192</v>
      </c>
      <c r="C136" s="2">
        <f>IF(Tabelle728[[#This Row],[score_0_3]]=0,"",IFERROR(_xlfn.MINIFS(Tabelle7[doc_id],Tabelle7[company_id],Tabelle728[[#This Row],[company_id]],Tabelle7[gov_id],Tabelle728[[#This Row],[gov_crit_id]],Tabelle7[score_0_3],Tabelle728[[#This Row],[score_0_3]]),""))</f>
        <v>122</v>
      </c>
      <c r="D136" s="3">
        <f>IFERROR(_xlfn.MAXIFS(Tabelle7[score_0_3],Tabelle7[company_id],Tabelle728[[#This Row],[company_id]],Tabelle7[gov_id],Tabelle728[[#This Row],[gov_crit_id]]),0)</f>
        <v>1</v>
      </c>
      <c r="E136" t="str" cm="1">
        <f t="array" ref="E136">IF(Tabelle728[[#This Row],[doc_id_primary_evidence]]="","",IFERROR(INDEX(Tabelle7[evidence_quote],MATCH(1,(Tabelle7[company_id]=Tabelle728[[#This Row],[company_id]])*(Tabelle7[gov_id]=Tabelle728[[#This Row],[gov_crit_id]])*(Tabelle7[doc_id]=Tabelle728[[#This Row],[doc_id_primary_evidence]]),0)),""))</f>
        <v>“analysis and structuring of unstructured data”; “AI service provider”; “data analysis and process automation solutions”</v>
      </c>
      <c r="F136" s="51" t="str" cm="1">
        <f t="array" ref="F136">IF(Tabelle728[[#This Row],[doc_id_primary_evidence]]="","",IFERROR(INDEX(Tabelle7[evidence_location],MATCH(1,(Tabelle7[company_id]=Tabelle728[[#This Row],[company_id]])*(Tabelle7[gov_id]=Tabelle728[[#This Row],[gov_crit_id]])*(Tabelle7[doc_id]=Tabelle728[[#This Row],[doc_id_primary_evidence]]),0)),""))</f>
        <v>S. 3, Abschnitt 2; S. 6, Abschnitt 5</v>
      </c>
    </row>
    <row r="137" spans="1:6" x14ac:dyDescent="0.25">
      <c r="A137" s="24">
        <v>20</v>
      </c>
      <c r="B137" s="2" t="s">
        <v>198</v>
      </c>
      <c r="C137" s="2" t="str">
        <f>IF(Tabelle728[[#This Row],[score_0_3]]=0,"",IFERROR(_xlfn.MINIFS(Tabelle7[doc_id],Tabelle7[company_id],Tabelle728[[#This Row],[company_id]],Tabelle7[gov_id],Tabelle728[[#This Row],[gov_crit_id]],Tabelle7[score_0_3],Tabelle728[[#This Row],[score_0_3]]),""))</f>
        <v/>
      </c>
      <c r="D137" s="3">
        <f>IFERROR(_xlfn.MAXIFS(Tabelle7[score_0_3],Tabelle7[company_id],Tabelle728[[#This Row],[company_id]],Tabelle7[gov_id],Tabelle728[[#This Row],[gov_crit_id]]),0)</f>
        <v>0</v>
      </c>
      <c r="E137" t="str" cm="1">
        <f t="array" ref="E137">IF(Tabelle728[[#This Row],[doc_id_primary_evidence]]="","",IFERROR(INDEX(Tabelle7[evidence_quote],MATCH(1,(Tabelle7[company_id]=Tabelle728[[#This Row],[company_id]])*(Tabelle7[gov_id]=Tabelle728[[#This Row],[gov_crit_id]])*(Tabelle7[doc_id]=Tabelle728[[#This Row],[doc_id_primary_evidence]]),0)),""))</f>
        <v/>
      </c>
      <c r="F137" s="51" t="str" cm="1">
        <f t="array" ref="F137">IF(Tabelle728[[#This Row],[doc_id_primary_evidence]]="","",IFERROR(INDEX(Tabelle7[evidence_location],MATCH(1,(Tabelle7[company_id]=Tabelle728[[#This Row],[company_id]])*(Tabelle7[gov_id]=Tabelle728[[#This Row],[gov_crit_id]])*(Tabelle7[doc_id]=Tabelle728[[#This Row],[doc_id_primary_evidence]]),0)),""))</f>
        <v/>
      </c>
    </row>
    <row r="138" spans="1:6" x14ac:dyDescent="0.25">
      <c r="A138" s="24">
        <v>20</v>
      </c>
      <c r="B138" s="2" t="s">
        <v>204</v>
      </c>
      <c r="C138" s="2" t="str">
        <f>IF(Tabelle728[[#This Row],[score_0_3]]=0,"",IFERROR(_xlfn.MINIFS(Tabelle7[doc_id],Tabelle7[company_id],Tabelle728[[#This Row],[company_id]],Tabelle7[gov_id],Tabelle728[[#This Row],[gov_crit_id]],Tabelle7[score_0_3],Tabelle728[[#This Row],[score_0_3]]),""))</f>
        <v/>
      </c>
      <c r="D138" s="3">
        <f>IFERROR(_xlfn.MAXIFS(Tabelle7[score_0_3],Tabelle7[company_id],Tabelle728[[#This Row],[company_id]],Tabelle7[gov_id],Tabelle728[[#This Row],[gov_crit_id]]),0)</f>
        <v>0</v>
      </c>
      <c r="E138" t="str" cm="1">
        <f t="array" ref="E138">IF(Tabelle728[[#This Row],[doc_id_primary_evidence]]="","",IFERROR(INDEX(Tabelle7[evidence_quote],MATCH(1,(Tabelle7[company_id]=Tabelle728[[#This Row],[company_id]])*(Tabelle7[gov_id]=Tabelle728[[#This Row],[gov_crit_id]])*(Tabelle7[doc_id]=Tabelle728[[#This Row],[doc_id_primary_evidence]]),0)),""))</f>
        <v/>
      </c>
      <c r="F138" s="51" t="str" cm="1">
        <f t="array" ref="F138">IF(Tabelle728[[#This Row],[doc_id_primary_evidence]]="","",IFERROR(INDEX(Tabelle7[evidence_location],MATCH(1,(Tabelle7[company_id]=Tabelle728[[#This Row],[company_id]])*(Tabelle7[gov_id]=Tabelle728[[#This Row],[gov_crit_id]])*(Tabelle7[doc_id]=Tabelle728[[#This Row],[doc_id_primary_evidence]]),0)),""))</f>
        <v/>
      </c>
    </row>
    <row r="139" spans="1:6" x14ac:dyDescent="0.25">
      <c r="A139" s="24">
        <v>20</v>
      </c>
      <c r="B139" s="2" t="s">
        <v>210</v>
      </c>
      <c r="C139" s="2" t="str">
        <f>IF(Tabelle728[[#This Row],[score_0_3]]=0,"",IFERROR(_xlfn.MINIFS(Tabelle7[doc_id],Tabelle7[company_id],Tabelle728[[#This Row],[company_id]],Tabelle7[gov_id],Tabelle728[[#This Row],[gov_crit_id]],Tabelle7[score_0_3],Tabelle728[[#This Row],[score_0_3]]),""))</f>
        <v/>
      </c>
      <c r="D139" s="3">
        <f>IFERROR(_xlfn.MAXIFS(Tabelle7[score_0_3],Tabelle7[company_id],Tabelle728[[#This Row],[company_id]],Tabelle7[gov_id],Tabelle728[[#This Row],[gov_crit_id]]),0)</f>
        <v>0</v>
      </c>
      <c r="E139" t="str" cm="1">
        <f t="array" ref="E139">IF(Tabelle728[[#This Row],[doc_id_primary_evidence]]="","",IFERROR(INDEX(Tabelle7[evidence_quote],MATCH(1,(Tabelle7[company_id]=Tabelle728[[#This Row],[company_id]])*(Tabelle7[gov_id]=Tabelle728[[#This Row],[gov_crit_id]])*(Tabelle7[doc_id]=Tabelle728[[#This Row],[doc_id_primary_evidence]]),0)),""))</f>
        <v/>
      </c>
      <c r="F139" s="51" t="str" cm="1">
        <f t="array" ref="F139">IF(Tabelle728[[#This Row],[doc_id_primary_evidence]]="","",IFERROR(INDEX(Tabelle7[evidence_location],MATCH(1,(Tabelle7[company_id]=Tabelle728[[#This Row],[company_id]])*(Tabelle7[gov_id]=Tabelle728[[#This Row],[gov_crit_id]])*(Tabelle7[doc_id]=Tabelle728[[#This Row],[doc_id_primary_evidence]]),0)),""))</f>
        <v/>
      </c>
    </row>
    <row r="140" spans="1:6" x14ac:dyDescent="0.25">
      <c r="A140" s="24">
        <v>20</v>
      </c>
      <c r="B140" s="2" t="s">
        <v>215</v>
      </c>
      <c r="C140" s="2" t="str">
        <f>IF(Tabelle728[[#This Row],[score_0_3]]=0,"",IFERROR(_xlfn.MINIFS(Tabelle7[doc_id],Tabelle7[company_id],Tabelle728[[#This Row],[company_id]],Tabelle7[gov_id],Tabelle728[[#This Row],[gov_crit_id]],Tabelle7[score_0_3],Tabelle728[[#This Row],[score_0_3]]),""))</f>
        <v/>
      </c>
      <c r="D140" s="3">
        <f>IFERROR(_xlfn.MAXIFS(Tabelle7[score_0_3],Tabelle7[company_id],Tabelle728[[#This Row],[company_id]],Tabelle7[gov_id],Tabelle728[[#This Row],[gov_crit_id]]),0)</f>
        <v>0</v>
      </c>
      <c r="E140" t="str" cm="1">
        <f t="array" ref="E140">IF(Tabelle728[[#This Row],[doc_id_primary_evidence]]="","",IFERROR(INDEX(Tabelle7[evidence_quote],MATCH(1,(Tabelle7[company_id]=Tabelle728[[#This Row],[company_id]])*(Tabelle7[gov_id]=Tabelle728[[#This Row],[gov_crit_id]])*(Tabelle7[doc_id]=Tabelle728[[#This Row],[doc_id_primary_evidence]]),0)),""))</f>
        <v/>
      </c>
      <c r="F140" s="51" t="str" cm="1">
        <f t="array" ref="F140">IF(Tabelle728[[#This Row],[doc_id_primary_evidence]]="","",IFERROR(INDEX(Tabelle7[evidence_location],MATCH(1,(Tabelle7[company_id]=Tabelle728[[#This Row],[company_id]])*(Tabelle7[gov_id]=Tabelle728[[#This Row],[gov_crit_id]])*(Tabelle7[doc_id]=Tabelle728[[#This Row],[doc_id_primary_evidence]]),0)),""))</f>
        <v/>
      </c>
    </row>
    <row r="141" spans="1:6" ht="15.75" thickBot="1" x14ac:dyDescent="0.3">
      <c r="A141" s="26">
        <v>20</v>
      </c>
      <c r="B141" s="27" t="s">
        <v>221</v>
      </c>
      <c r="C141" s="27" t="str">
        <f>IF(Tabelle728[[#This Row],[score_0_3]]=0,"",IFERROR(_xlfn.MINIFS(Tabelle7[doc_id],Tabelle7[company_id],Tabelle728[[#This Row],[company_id]],Tabelle7[gov_id],Tabelle728[[#This Row],[gov_crit_id]],Tabelle7[score_0_3],Tabelle728[[#This Row],[score_0_3]]),""))</f>
        <v/>
      </c>
      <c r="D141" s="28">
        <f>IFERROR(_xlfn.MAXIFS(Tabelle7[score_0_3],Tabelle7[company_id],Tabelle728[[#This Row],[company_id]],Tabelle7[gov_id],Tabelle728[[#This Row],[gov_crit_id]]),0)</f>
        <v>0</v>
      </c>
      <c r="E141" s="30" t="str" cm="1">
        <f t="array" ref="E141">IF(Tabelle728[[#This Row],[doc_id_primary_evidence]]="","",IFERROR(INDEX(Tabelle7[evidence_quote],MATCH(1,(Tabelle7[company_id]=Tabelle728[[#This Row],[company_id]])*(Tabelle7[gov_id]=Tabelle728[[#This Row],[gov_crit_id]])*(Tabelle7[doc_id]=Tabelle728[[#This Row],[doc_id_primary_evidence]]),0)),""))</f>
        <v/>
      </c>
      <c r="F141" s="52" t="str" cm="1">
        <f t="array" ref="F141">IF(Tabelle728[[#This Row],[doc_id_primary_evidence]]="","",IFERROR(INDEX(Tabelle7[evidence_location],MATCH(1,(Tabelle7[company_id]=Tabelle728[[#This Row],[company_id]])*(Tabelle7[gov_id]=Tabelle728[[#This Row],[gov_crit_id]])*(Tabelle7[doc_id]=Tabelle728[[#This Row],[doc_id_primary_evidence]]),0)),""))</f>
        <v/>
      </c>
    </row>
    <row r="142" spans="1:6" x14ac:dyDescent="0.25">
      <c r="A142" s="18">
        <v>21</v>
      </c>
      <c r="B142" s="19" t="s">
        <v>186</v>
      </c>
      <c r="C142" s="19" t="str">
        <f>IF(Tabelle728[[#This Row],[score_0_3]]=0,"",IFERROR(_xlfn.MINIFS(Tabelle7[doc_id],Tabelle7[company_id],Tabelle728[[#This Row],[company_id]],Tabelle7[gov_id],Tabelle728[[#This Row],[gov_crit_id]],Tabelle7[score_0_3],Tabelle728[[#This Row],[score_0_3]]),""))</f>
        <v/>
      </c>
      <c r="D142" s="20">
        <f>IFERROR(_xlfn.MAXIFS(Tabelle7[score_0_3],Tabelle7[company_id],Tabelle728[[#This Row],[company_id]],Tabelle7[gov_id],Tabelle728[[#This Row],[gov_crit_id]]),0)</f>
        <v>0</v>
      </c>
      <c r="E142" s="22" t="str" cm="1">
        <f t="array" ref="E142">IF(Tabelle728[[#This Row],[doc_id_primary_evidence]]="","",IFERROR(INDEX(Tabelle7[evidence_quote],MATCH(1,(Tabelle7[company_id]=Tabelle728[[#This Row],[company_id]])*(Tabelle7[gov_id]=Tabelle728[[#This Row],[gov_crit_id]])*(Tabelle7[doc_id]=Tabelle728[[#This Row],[doc_id_primary_evidence]]),0)),""))</f>
        <v/>
      </c>
      <c r="F142" s="50" t="str" cm="1">
        <f t="array" ref="F142">IF(Tabelle728[[#This Row],[doc_id_primary_evidence]]="","",IFERROR(INDEX(Tabelle7[evidence_location],MATCH(1,(Tabelle7[company_id]=Tabelle728[[#This Row],[company_id]])*(Tabelle7[gov_id]=Tabelle728[[#This Row],[gov_crit_id]])*(Tabelle7[doc_id]=Tabelle728[[#This Row],[doc_id_primary_evidence]]),0)),""))</f>
        <v/>
      </c>
    </row>
    <row r="143" spans="1:6" x14ac:dyDescent="0.25">
      <c r="A143" s="24">
        <v>21</v>
      </c>
      <c r="B143" s="2" t="s">
        <v>192</v>
      </c>
      <c r="C143" s="2" t="str">
        <f>IF(Tabelle728[[#This Row],[score_0_3]]=0,"",IFERROR(_xlfn.MINIFS(Tabelle7[doc_id],Tabelle7[company_id],Tabelle728[[#This Row],[company_id]],Tabelle7[gov_id],Tabelle728[[#This Row],[gov_crit_id]],Tabelle7[score_0_3],Tabelle728[[#This Row],[score_0_3]]),""))</f>
        <v/>
      </c>
      <c r="D143" s="3">
        <f>IFERROR(_xlfn.MAXIFS(Tabelle7[score_0_3],Tabelle7[company_id],Tabelle728[[#This Row],[company_id]],Tabelle7[gov_id],Tabelle728[[#This Row],[gov_crit_id]]),0)</f>
        <v>0</v>
      </c>
      <c r="E143" t="str" cm="1">
        <f t="array" ref="E143">IF(Tabelle728[[#This Row],[doc_id_primary_evidence]]="","",IFERROR(INDEX(Tabelle7[evidence_quote],MATCH(1,(Tabelle7[company_id]=Tabelle728[[#This Row],[company_id]])*(Tabelle7[gov_id]=Tabelle728[[#This Row],[gov_crit_id]])*(Tabelle7[doc_id]=Tabelle728[[#This Row],[doc_id_primary_evidence]]),0)),""))</f>
        <v/>
      </c>
      <c r="F143" s="51" t="str" cm="1">
        <f t="array" ref="F143">IF(Tabelle728[[#This Row],[doc_id_primary_evidence]]="","",IFERROR(INDEX(Tabelle7[evidence_location],MATCH(1,(Tabelle7[company_id]=Tabelle728[[#This Row],[company_id]])*(Tabelle7[gov_id]=Tabelle728[[#This Row],[gov_crit_id]])*(Tabelle7[doc_id]=Tabelle728[[#This Row],[doc_id_primary_evidence]]),0)),""))</f>
        <v/>
      </c>
    </row>
    <row r="144" spans="1:6" x14ac:dyDescent="0.25">
      <c r="A144" s="24">
        <v>21</v>
      </c>
      <c r="B144" s="2" t="s">
        <v>198</v>
      </c>
      <c r="C144" s="2" t="str">
        <f>IF(Tabelle728[[#This Row],[score_0_3]]=0,"",IFERROR(_xlfn.MINIFS(Tabelle7[doc_id],Tabelle7[company_id],Tabelle728[[#This Row],[company_id]],Tabelle7[gov_id],Tabelle728[[#This Row],[gov_crit_id]],Tabelle7[score_0_3],Tabelle728[[#This Row],[score_0_3]]),""))</f>
        <v/>
      </c>
      <c r="D144" s="3">
        <f>IFERROR(_xlfn.MAXIFS(Tabelle7[score_0_3],Tabelle7[company_id],Tabelle728[[#This Row],[company_id]],Tabelle7[gov_id],Tabelle728[[#This Row],[gov_crit_id]]),0)</f>
        <v>0</v>
      </c>
      <c r="E144" t="str" cm="1">
        <f t="array" ref="E144">IF(Tabelle728[[#This Row],[doc_id_primary_evidence]]="","",IFERROR(INDEX(Tabelle7[evidence_quote],MATCH(1,(Tabelle7[company_id]=Tabelle728[[#This Row],[company_id]])*(Tabelle7[gov_id]=Tabelle728[[#This Row],[gov_crit_id]])*(Tabelle7[doc_id]=Tabelle728[[#This Row],[doc_id_primary_evidence]]),0)),""))</f>
        <v/>
      </c>
      <c r="F144" s="51" t="str" cm="1">
        <f t="array" ref="F144">IF(Tabelle728[[#This Row],[doc_id_primary_evidence]]="","",IFERROR(INDEX(Tabelle7[evidence_location],MATCH(1,(Tabelle7[company_id]=Tabelle728[[#This Row],[company_id]])*(Tabelle7[gov_id]=Tabelle728[[#This Row],[gov_crit_id]])*(Tabelle7[doc_id]=Tabelle728[[#This Row],[doc_id_primary_evidence]]),0)),""))</f>
        <v/>
      </c>
    </row>
    <row r="145" spans="1:6" x14ac:dyDescent="0.25">
      <c r="A145" s="24">
        <v>21</v>
      </c>
      <c r="B145" s="2" t="s">
        <v>204</v>
      </c>
      <c r="C145" s="2" t="str">
        <f>IF(Tabelle728[[#This Row],[score_0_3]]=0,"",IFERROR(_xlfn.MINIFS(Tabelle7[doc_id],Tabelle7[company_id],Tabelle728[[#This Row],[company_id]],Tabelle7[gov_id],Tabelle728[[#This Row],[gov_crit_id]],Tabelle7[score_0_3],Tabelle728[[#This Row],[score_0_3]]),""))</f>
        <v/>
      </c>
      <c r="D145" s="3">
        <f>IFERROR(_xlfn.MAXIFS(Tabelle7[score_0_3],Tabelle7[company_id],Tabelle728[[#This Row],[company_id]],Tabelle7[gov_id],Tabelle728[[#This Row],[gov_crit_id]]),0)</f>
        <v>0</v>
      </c>
      <c r="E145" t="str" cm="1">
        <f t="array" ref="E145">IF(Tabelle728[[#This Row],[doc_id_primary_evidence]]="","",IFERROR(INDEX(Tabelle7[evidence_quote],MATCH(1,(Tabelle7[company_id]=Tabelle728[[#This Row],[company_id]])*(Tabelle7[gov_id]=Tabelle728[[#This Row],[gov_crit_id]])*(Tabelle7[doc_id]=Tabelle728[[#This Row],[doc_id_primary_evidence]]),0)),""))</f>
        <v/>
      </c>
      <c r="F145" s="51" t="str" cm="1">
        <f t="array" ref="F145">IF(Tabelle728[[#This Row],[doc_id_primary_evidence]]="","",IFERROR(INDEX(Tabelle7[evidence_location],MATCH(1,(Tabelle7[company_id]=Tabelle728[[#This Row],[company_id]])*(Tabelle7[gov_id]=Tabelle728[[#This Row],[gov_crit_id]])*(Tabelle7[doc_id]=Tabelle728[[#This Row],[doc_id_primary_evidence]]),0)),""))</f>
        <v/>
      </c>
    </row>
    <row r="146" spans="1:6" x14ac:dyDescent="0.25">
      <c r="A146" s="24">
        <v>21</v>
      </c>
      <c r="B146" s="2" t="s">
        <v>210</v>
      </c>
      <c r="C146" s="2" t="str">
        <f>IF(Tabelle728[[#This Row],[score_0_3]]=0,"",IFERROR(_xlfn.MINIFS(Tabelle7[doc_id],Tabelle7[company_id],Tabelle728[[#This Row],[company_id]],Tabelle7[gov_id],Tabelle728[[#This Row],[gov_crit_id]],Tabelle7[score_0_3],Tabelle728[[#This Row],[score_0_3]]),""))</f>
        <v/>
      </c>
      <c r="D146" s="3">
        <f>IFERROR(_xlfn.MAXIFS(Tabelle7[score_0_3],Tabelle7[company_id],Tabelle728[[#This Row],[company_id]],Tabelle7[gov_id],Tabelle728[[#This Row],[gov_crit_id]]),0)</f>
        <v>0</v>
      </c>
      <c r="E146" t="str" cm="1">
        <f t="array" ref="E146">IF(Tabelle728[[#This Row],[doc_id_primary_evidence]]="","",IFERROR(INDEX(Tabelle7[evidence_quote],MATCH(1,(Tabelle7[company_id]=Tabelle728[[#This Row],[company_id]])*(Tabelle7[gov_id]=Tabelle728[[#This Row],[gov_crit_id]])*(Tabelle7[doc_id]=Tabelle728[[#This Row],[doc_id_primary_evidence]]),0)),""))</f>
        <v/>
      </c>
      <c r="F146" s="51" t="str" cm="1">
        <f t="array" ref="F146">IF(Tabelle728[[#This Row],[doc_id_primary_evidence]]="","",IFERROR(INDEX(Tabelle7[evidence_location],MATCH(1,(Tabelle7[company_id]=Tabelle728[[#This Row],[company_id]])*(Tabelle7[gov_id]=Tabelle728[[#This Row],[gov_crit_id]])*(Tabelle7[doc_id]=Tabelle728[[#This Row],[doc_id_primary_evidence]]),0)),""))</f>
        <v/>
      </c>
    </row>
    <row r="147" spans="1:6" x14ac:dyDescent="0.25">
      <c r="A147" s="24">
        <v>21</v>
      </c>
      <c r="B147" s="2" t="s">
        <v>215</v>
      </c>
      <c r="C147" s="2" t="str">
        <f>IF(Tabelle728[[#This Row],[score_0_3]]=0,"",IFERROR(_xlfn.MINIFS(Tabelle7[doc_id],Tabelle7[company_id],Tabelle728[[#This Row],[company_id]],Tabelle7[gov_id],Tabelle728[[#This Row],[gov_crit_id]],Tabelle7[score_0_3],Tabelle728[[#This Row],[score_0_3]]),""))</f>
        <v/>
      </c>
      <c r="D147" s="3">
        <f>IFERROR(_xlfn.MAXIFS(Tabelle7[score_0_3],Tabelle7[company_id],Tabelle728[[#This Row],[company_id]],Tabelle7[gov_id],Tabelle728[[#This Row],[gov_crit_id]]),0)</f>
        <v>0</v>
      </c>
      <c r="E147" t="str" cm="1">
        <f t="array" ref="E147">IF(Tabelle728[[#This Row],[doc_id_primary_evidence]]="","",IFERROR(INDEX(Tabelle7[evidence_quote],MATCH(1,(Tabelle7[company_id]=Tabelle728[[#This Row],[company_id]])*(Tabelle7[gov_id]=Tabelle728[[#This Row],[gov_crit_id]])*(Tabelle7[doc_id]=Tabelle728[[#This Row],[doc_id_primary_evidence]]),0)),""))</f>
        <v/>
      </c>
      <c r="F147" s="51" t="str" cm="1">
        <f t="array" ref="F147">IF(Tabelle728[[#This Row],[doc_id_primary_evidence]]="","",IFERROR(INDEX(Tabelle7[evidence_location],MATCH(1,(Tabelle7[company_id]=Tabelle728[[#This Row],[company_id]])*(Tabelle7[gov_id]=Tabelle728[[#This Row],[gov_crit_id]])*(Tabelle7[doc_id]=Tabelle728[[#This Row],[doc_id_primary_evidence]]),0)),""))</f>
        <v/>
      </c>
    </row>
    <row r="148" spans="1:6" ht="15.75" thickBot="1" x14ac:dyDescent="0.3">
      <c r="A148" s="26">
        <v>21</v>
      </c>
      <c r="B148" s="27" t="s">
        <v>221</v>
      </c>
      <c r="C148" s="27" t="str">
        <f>IF(Tabelle728[[#This Row],[score_0_3]]=0,"",IFERROR(_xlfn.MINIFS(Tabelle7[doc_id],Tabelle7[company_id],Tabelle728[[#This Row],[company_id]],Tabelle7[gov_id],Tabelle728[[#This Row],[gov_crit_id]],Tabelle7[score_0_3],Tabelle728[[#This Row],[score_0_3]]),""))</f>
        <v/>
      </c>
      <c r="D148" s="28">
        <f>IFERROR(_xlfn.MAXIFS(Tabelle7[score_0_3],Tabelle7[company_id],Tabelle728[[#This Row],[company_id]],Tabelle7[gov_id],Tabelle728[[#This Row],[gov_crit_id]]),0)</f>
        <v>0</v>
      </c>
      <c r="E148" s="30" t="str" cm="1">
        <f t="array" ref="E148">IF(Tabelle728[[#This Row],[doc_id_primary_evidence]]="","",IFERROR(INDEX(Tabelle7[evidence_quote],MATCH(1,(Tabelle7[company_id]=Tabelle728[[#This Row],[company_id]])*(Tabelle7[gov_id]=Tabelle728[[#This Row],[gov_crit_id]])*(Tabelle7[doc_id]=Tabelle728[[#This Row],[doc_id_primary_evidence]]),0)),""))</f>
        <v/>
      </c>
      <c r="F148" s="52" t="str" cm="1">
        <f t="array" ref="F148">IF(Tabelle728[[#This Row],[doc_id_primary_evidence]]="","",IFERROR(INDEX(Tabelle7[evidence_location],MATCH(1,(Tabelle7[company_id]=Tabelle728[[#This Row],[company_id]])*(Tabelle7[gov_id]=Tabelle728[[#This Row],[gov_crit_id]])*(Tabelle7[doc_id]=Tabelle728[[#This Row],[doc_id_primary_evidence]]),0)),""))</f>
        <v/>
      </c>
    </row>
    <row r="149" spans="1:6" x14ac:dyDescent="0.25">
      <c r="A149" s="18">
        <v>22</v>
      </c>
      <c r="B149" s="19" t="s">
        <v>186</v>
      </c>
      <c r="C149" s="19" t="str">
        <f>IF(Tabelle728[[#This Row],[score_0_3]]=0,"",IFERROR(_xlfn.MINIFS(Tabelle7[doc_id],Tabelle7[company_id],Tabelle728[[#This Row],[company_id]],Tabelle7[gov_id],Tabelle728[[#This Row],[gov_crit_id]],Tabelle7[score_0_3],Tabelle728[[#This Row],[score_0_3]]),""))</f>
        <v/>
      </c>
      <c r="D149" s="20">
        <f>IFERROR(_xlfn.MAXIFS(Tabelle7[score_0_3],Tabelle7[company_id],Tabelle728[[#This Row],[company_id]],Tabelle7[gov_id],Tabelle728[[#This Row],[gov_crit_id]]),0)</f>
        <v>0</v>
      </c>
      <c r="E149" s="22" t="str" cm="1">
        <f t="array" ref="E149">IF(Tabelle728[[#This Row],[doc_id_primary_evidence]]="","",IFERROR(INDEX(Tabelle7[evidence_quote],MATCH(1,(Tabelle7[company_id]=Tabelle728[[#This Row],[company_id]])*(Tabelle7[gov_id]=Tabelle728[[#This Row],[gov_crit_id]])*(Tabelle7[doc_id]=Tabelle728[[#This Row],[doc_id_primary_evidence]]),0)),""))</f>
        <v/>
      </c>
      <c r="F149" s="50" t="str" cm="1">
        <f t="array" ref="F149">IF(Tabelle728[[#This Row],[doc_id_primary_evidence]]="","",IFERROR(INDEX(Tabelle7[evidence_location],MATCH(1,(Tabelle7[company_id]=Tabelle728[[#This Row],[company_id]])*(Tabelle7[gov_id]=Tabelle728[[#This Row],[gov_crit_id]])*(Tabelle7[doc_id]=Tabelle728[[#This Row],[doc_id_primary_evidence]]),0)),""))</f>
        <v/>
      </c>
    </row>
    <row r="150" spans="1:6" x14ac:dyDescent="0.25">
      <c r="A150" s="24">
        <v>22</v>
      </c>
      <c r="B150" s="2" t="s">
        <v>192</v>
      </c>
      <c r="C150" s="2" t="str">
        <f>IF(Tabelle728[[#This Row],[score_0_3]]=0,"",IFERROR(_xlfn.MINIFS(Tabelle7[doc_id],Tabelle7[company_id],Tabelle728[[#This Row],[company_id]],Tabelle7[gov_id],Tabelle728[[#This Row],[gov_crit_id]],Tabelle7[score_0_3],Tabelle728[[#This Row],[score_0_3]]),""))</f>
        <v/>
      </c>
      <c r="D150" s="3">
        <f>IFERROR(_xlfn.MAXIFS(Tabelle7[score_0_3],Tabelle7[company_id],Tabelle728[[#This Row],[company_id]],Tabelle7[gov_id],Tabelle728[[#This Row],[gov_crit_id]]),0)</f>
        <v>0</v>
      </c>
      <c r="E150" t="str" cm="1">
        <f t="array" ref="E150">IF(Tabelle728[[#This Row],[doc_id_primary_evidence]]="","",IFERROR(INDEX(Tabelle7[evidence_quote],MATCH(1,(Tabelle7[company_id]=Tabelle728[[#This Row],[company_id]])*(Tabelle7[gov_id]=Tabelle728[[#This Row],[gov_crit_id]])*(Tabelle7[doc_id]=Tabelle728[[#This Row],[doc_id_primary_evidence]]),0)),""))</f>
        <v/>
      </c>
      <c r="F150" s="51" t="str" cm="1">
        <f t="array" ref="F150">IF(Tabelle728[[#This Row],[doc_id_primary_evidence]]="","",IFERROR(INDEX(Tabelle7[evidence_location],MATCH(1,(Tabelle7[company_id]=Tabelle728[[#This Row],[company_id]])*(Tabelle7[gov_id]=Tabelle728[[#This Row],[gov_crit_id]])*(Tabelle7[doc_id]=Tabelle728[[#This Row],[doc_id_primary_evidence]]),0)),""))</f>
        <v/>
      </c>
    </row>
    <row r="151" spans="1:6" x14ac:dyDescent="0.25">
      <c r="A151" s="24">
        <v>22</v>
      </c>
      <c r="B151" s="2" t="s">
        <v>198</v>
      </c>
      <c r="C151" s="2">
        <f>IF(Tabelle728[[#This Row],[score_0_3]]=0,"",IFERROR(_xlfn.MINIFS(Tabelle7[doc_id],Tabelle7[company_id],Tabelle728[[#This Row],[company_id]],Tabelle7[gov_id],Tabelle728[[#This Row],[gov_crit_id]],Tabelle7[score_0_3],Tabelle728[[#This Row],[score_0_3]]),""))</f>
        <v>132</v>
      </c>
      <c r="D151" s="3">
        <f>IFERROR(_xlfn.MAXIFS(Tabelle7[score_0_3],Tabelle7[company_id],Tabelle728[[#This Row],[company_id]],Tabelle7[gov_id],Tabelle728[[#This Row],[gov_crit_id]]),0)</f>
        <v>1</v>
      </c>
      <c r="E151" cm="1">
        <f t="array" ref="E151">IF(Tabelle728[[#This Row],[doc_id_primary_evidence]]="","",IFERROR(INDEX(Tabelle7[evidence_quote],MATCH(1,(Tabelle7[company_id]=Tabelle728[[#This Row],[company_id]])*(Tabelle7[gov_id]=Tabelle728[[#This Row],[gov_crit_id]])*(Tabelle7[doc_id]=Tabelle728[[#This Row],[doc_id_primary_evidence]]),0)),""))</f>
        <v>0</v>
      </c>
      <c r="F151" s="51" t="str" cm="1">
        <f t="array" ref="F151">IF(Tabelle728[[#This Row],[doc_id_primary_evidence]]="","",IFERROR(INDEX(Tabelle7[evidence_location],MATCH(1,(Tabelle7[company_id]=Tabelle728[[#This Row],[company_id]])*(Tabelle7[gov_id]=Tabelle728[[#This Row],[gov_crit_id]])*(Tabelle7[doc_id]=Tabelle728[[#This Row],[doc_id_primary_evidence]]),0)),""))</f>
        <v>S. 18, DIGITAL SAFETY &amp; ETHICS</v>
      </c>
    </row>
    <row r="152" spans="1:6" x14ac:dyDescent="0.25">
      <c r="A152" s="24">
        <v>22</v>
      </c>
      <c r="B152" s="2" t="s">
        <v>204</v>
      </c>
      <c r="C152" s="2" t="str">
        <f>IF(Tabelle728[[#This Row],[score_0_3]]=0,"",IFERROR(_xlfn.MINIFS(Tabelle7[doc_id],Tabelle7[company_id],Tabelle728[[#This Row],[company_id]],Tabelle7[gov_id],Tabelle728[[#This Row],[gov_crit_id]],Tabelle7[score_0_3],Tabelle728[[#This Row],[score_0_3]]),""))</f>
        <v/>
      </c>
      <c r="D152" s="3">
        <f>IFERROR(_xlfn.MAXIFS(Tabelle7[score_0_3],Tabelle7[company_id],Tabelle728[[#This Row],[company_id]],Tabelle7[gov_id],Tabelle728[[#This Row],[gov_crit_id]]),0)</f>
        <v>0</v>
      </c>
      <c r="E152" t="str" cm="1">
        <f t="array" ref="E152">IF(Tabelle728[[#This Row],[doc_id_primary_evidence]]="","",IFERROR(INDEX(Tabelle7[evidence_quote],MATCH(1,(Tabelle7[company_id]=Tabelle728[[#This Row],[company_id]])*(Tabelle7[gov_id]=Tabelle728[[#This Row],[gov_crit_id]])*(Tabelle7[doc_id]=Tabelle728[[#This Row],[doc_id_primary_evidence]]),0)),""))</f>
        <v/>
      </c>
      <c r="F152" s="51" t="str" cm="1">
        <f t="array" ref="F152">IF(Tabelle728[[#This Row],[doc_id_primary_evidence]]="","",IFERROR(INDEX(Tabelle7[evidence_location],MATCH(1,(Tabelle7[company_id]=Tabelle728[[#This Row],[company_id]])*(Tabelle7[gov_id]=Tabelle728[[#This Row],[gov_crit_id]])*(Tabelle7[doc_id]=Tabelle728[[#This Row],[doc_id_primary_evidence]]),0)),""))</f>
        <v/>
      </c>
    </row>
    <row r="153" spans="1:6" x14ac:dyDescent="0.25">
      <c r="A153" s="24">
        <v>22</v>
      </c>
      <c r="B153" s="2" t="s">
        <v>210</v>
      </c>
      <c r="C153" s="2" t="str">
        <f>IF(Tabelle728[[#This Row],[score_0_3]]=0,"",IFERROR(_xlfn.MINIFS(Tabelle7[doc_id],Tabelle7[company_id],Tabelle728[[#This Row],[company_id]],Tabelle7[gov_id],Tabelle728[[#This Row],[gov_crit_id]],Tabelle7[score_0_3],Tabelle728[[#This Row],[score_0_3]]),""))</f>
        <v/>
      </c>
      <c r="D153" s="3">
        <f>IFERROR(_xlfn.MAXIFS(Tabelle7[score_0_3],Tabelle7[company_id],Tabelle728[[#This Row],[company_id]],Tabelle7[gov_id],Tabelle728[[#This Row],[gov_crit_id]]),0)</f>
        <v>0</v>
      </c>
      <c r="E153" t="str" cm="1">
        <f t="array" ref="E153">IF(Tabelle728[[#This Row],[doc_id_primary_evidence]]="","",IFERROR(INDEX(Tabelle7[evidence_quote],MATCH(1,(Tabelle7[company_id]=Tabelle728[[#This Row],[company_id]])*(Tabelle7[gov_id]=Tabelle728[[#This Row],[gov_crit_id]])*(Tabelle7[doc_id]=Tabelle728[[#This Row],[doc_id_primary_evidence]]),0)),""))</f>
        <v/>
      </c>
      <c r="F153" s="51" t="str" cm="1">
        <f t="array" ref="F153">IF(Tabelle728[[#This Row],[doc_id_primary_evidence]]="","",IFERROR(INDEX(Tabelle7[evidence_location],MATCH(1,(Tabelle7[company_id]=Tabelle728[[#This Row],[company_id]])*(Tabelle7[gov_id]=Tabelle728[[#This Row],[gov_crit_id]])*(Tabelle7[doc_id]=Tabelle728[[#This Row],[doc_id_primary_evidence]]),0)),""))</f>
        <v/>
      </c>
    </row>
    <row r="154" spans="1:6" x14ac:dyDescent="0.25">
      <c r="A154" s="24">
        <v>22</v>
      </c>
      <c r="B154" s="2" t="s">
        <v>215</v>
      </c>
      <c r="C154" s="2" t="str">
        <f>IF(Tabelle728[[#This Row],[score_0_3]]=0,"",IFERROR(_xlfn.MINIFS(Tabelle7[doc_id],Tabelle7[company_id],Tabelle728[[#This Row],[company_id]],Tabelle7[gov_id],Tabelle728[[#This Row],[gov_crit_id]],Tabelle7[score_0_3],Tabelle728[[#This Row],[score_0_3]]),""))</f>
        <v/>
      </c>
      <c r="D154" s="3">
        <f>IFERROR(_xlfn.MAXIFS(Tabelle7[score_0_3],Tabelle7[company_id],Tabelle728[[#This Row],[company_id]],Tabelle7[gov_id],Tabelle728[[#This Row],[gov_crit_id]]),0)</f>
        <v>0</v>
      </c>
      <c r="E154" t="str" cm="1">
        <f t="array" ref="E154">IF(Tabelle728[[#This Row],[doc_id_primary_evidence]]="","",IFERROR(INDEX(Tabelle7[evidence_quote],MATCH(1,(Tabelle7[company_id]=Tabelle728[[#This Row],[company_id]])*(Tabelle7[gov_id]=Tabelle728[[#This Row],[gov_crit_id]])*(Tabelle7[doc_id]=Tabelle728[[#This Row],[doc_id_primary_evidence]]),0)),""))</f>
        <v/>
      </c>
      <c r="F154" s="51" t="str" cm="1">
        <f t="array" ref="F154">IF(Tabelle728[[#This Row],[doc_id_primary_evidence]]="","",IFERROR(INDEX(Tabelle7[evidence_location],MATCH(1,(Tabelle7[company_id]=Tabelle728[[#This Row],[company_id]])*(Tabelle7[gov_id]=Tabelle728[[#This Row],[gov_crit_id]])*(Tabelle7[doc_id]=Tabelle728[[#This Row],[doc_id_primary_evidence]]),0)),""))</f>
        <v/>
      </c>
    </row>
    <row r="155" spans="1:6" ht="15.75" thickBot="1" x14ac:dyDescent="0.3">
      <c r="A155" s="26">
        <v>22</v>
      </c>
      <c r="B155" s="27" t="s">
        <v>221</v>
      </c>
      <c r="C155" s="27" t="str">
        <f>IF(Tabelle728[[#This Row],[score_0_3]]=0,"",IFERROR(_xlfn.MINIFS(Tabelle7[doc_id],Tabelle7[company_id],Tabelle728[[#This Row],[company_id]],Tabelle7[gov_id],Tabelle728[[#This Row],[gov_crit_id]],Tabelle7[score_0_3],Tabelle728[[#This Row],[score_0_3]]),""))</f>
        <v/>
      </c>
      <c r="D155" s="28">
        <f>IFERROR(_xlfn.MAXIFS(Tabelle7[score_0_3],Tabelle7[company_id],Tabelle728[[#This Row],[company_id]],Tabelle7[gov_id],Tabelle728[[#This Row],[gov_crit_id]]),0)</f>
        <v>0</v>
      </c>
      <c r="E155" s="30" t="str" cm="1">
        <f t="array" ref="E155">IF(Tabelle728[[#This Row],[doc_id_primary_evidence]]="","",IFERROR(INDEX(Tabelle7[evidence_quote],MATCH(1,(Tabelle7[company_id]=Tabelle728[[#This Row],[company_id]])*(Tabelle7[gov_id]=Tabelle728[[#This Row],[gov_crit_id]])*(Tabelle7[doc_id]=Tabelle728[[#This Row],[doc_id_primary_evidence]]),0)),""))</f>
        <v/>
      </c>
      <c r="F155" s="52" t="str" cm="1">
        <f t="array" ref="F155">IF(Tabelle728[[#This Row],[doc_id_primary_evidence]]="","",IFERROR(INDEX(Tabelle7[evidence_location],MATCH(1,(Tabelle7[company_id]=Tabelle728[[#This Row],[company_id]])*(Tabelle7[gov_id]=Tabelle728[[#This Row],[gov_crit_id]])*(Tabelle7[doc_id]=Tabelle728[[#This Row],[doc_id_primary_evidence]]),0)),""))</f>
        <v/>
      </c>
    </row>
    <row r="156" spans="1:6" x14ac:dyDescent="0.25">
      <c r="A156" s="18">
        <v>23</v>
      </c>
      <c r="B156" s="19" t="s">
        <v>186</v>
      </c>
      <c r="C156" s="19">
        <f>IF(Tabelle728[[#This Row],[score_0_3]]=0,"",IFERROR(_xlfn.MINIFS(Tabelle7[doc_id],Tabelle7[company_id],Tabelle728[[#This Row],[company_id]],Tabelle7[gov_id],Tabelle728[[#This Row],[gov_crit_id]],Tabelle7[score_0_3],Tabelle728[[#This Row],[score_0_3]]),""))</f>
        <v>142</v>
      </c>
      <c r="D156" s="20">
        <f>IFERROR(_xlfn.MAXIFS(Tabelle7[score_0_3],Tabelle7[company_id],Tabelle728[[#This Row],[company_id]],Tabelle7[gov_id],Tabelle728[[#This Row],[gov_crit_id]]),0)</f>
        <v>2</v>
      </c>
      <c r="E156" s="22" t="str" cm="1">
        <f t="array" ref="E156">IF(Tabelle728[[#This Row],[doc_id_primary_evidence]]="","",IFERROR(INDEX(Tabelle7[evidence_quote],MATCH(1,(Tabelle7[company_id]=Tabelle728[[#This Row],[company_id]])*(Tabelle7[gov_id]=Tabelle728[[#This Row],[gov_crit_id]])*(Tabelle7[doc_id]=Tabelle728[[#This Row],[doc_id_primary_evidence]]),0)),""))</f>
        <v>“Digital Council will inspect and resolve the case”;“team works in a tandem formation with two employees from the tech and compliance side”</v>
      </c>
      <c r="F156" s="50" t="str" cm="1">
        <f t="array" ref="F156">IF(Tabelle728[[#This Row],[doc_id_primary_evidence]]="","",IFERROR(INDEX(Tabelle7[evidence_location],MATCH(1,(Tabelle7[company_id]=Tabelle728[[#This Row],[company_id]])*(Tabelle7[gov_id]=Tabelle728[[#This Row],[gov_crit_id]])*(Tabelle7[doc_id]=Tabelle728[[#This Row],[doc_id_primary_evidence]]),0)),""))</f>
        <v>S. 4, „Executing human oversight“</v>
      </c>
    </row>
    <row r="157" spans="1:6" x14ac:dyDescent="0.25">
      <c r="A157" s="24">
        <v>23</v>
      </c>
      <c r="B157" s="2" t="s">
        <v>192</v>
      </c>
      <c r="C157" s="2">
        <f>IF(Tabelle728[[#This Row],[score_0_3]]=0,"",IFERROR(_xlfn.MINIFS(Tabelle7[doc_id],Tabelle7[company_id],Tabelle728[[#This Row],[company_id]],Tabelle7[gov_id],Tabelle728[[#This Row],[gov_crit_id]],Tabelle7[score_0_3],Tabelle728[[#This Row],[score_0_3]]),""))</f>
        <v>142</v>
      </c>
      <c r="D157" s="3">
        <f>IFERROR(_xlfn.MAXIFS(Tabelle7[score_0_3],Tabelle7[company_id],Tabelle728[[#This Row],[company_id]],Tabelle7[gov_id],Tabelle728[[#This Row],[gov_crit_id]]),0)</f>
        <v>2</v>
      </c>
      <c r="E157" t="str" cm="1">
        <f t="array" ref="E157">IF(Tabelle728[[#This Row],[doc_id_primary_evidence]]="","",IFERROR(INDEX(Tabelle7[evidence_quote],MATCH(1,(Tabelle7[company_id]=Tabelle728[[#This Row],[company_id]])*(Tabelle7[gov_id]=Tabelle728[[#This Row],[gov_crit_id]])*(Tabelle7[doc_id]=Tabelle728[[#This Row],[doc_id_primary_evidence]]),0)),""))</f>
        <v>“embedded processes which help to identify risks throughout the AI project life cycle”; “employees can turn if they want to receive guidance”; “Digital Council will inspect and resolve the case”</v>
      </c>
      <c r="F157" s="51" t="str" cm="1">
        <f t="array" ref="F157">IF(Tabelle728[[#This Row],[doc_id_primary_evidence]]="","",IFERROR(INDEX(Tabelle7[evidence_location],MATCH(1,(Tabelle7[company_id]=Tabelle728[[#This Row],[company_id]])*(Tabelle7[gov_id]=Tabelle728[[#This Row],[gov_crit_id]])*(Tabelle7[doc_id]=Tabelle728[[#This Row],[doc_id_primary_evidence]]),0)),""))</f>
        <v>S. 4, „Responsible AI by design“; S. 4, „Executing human oversight“</v>
      </c>
    </row>
    <row r="158" spans="1:6" x14ac:dyDescent="0.25">
      <c r="A158" s="24">
        <v>23</v>
      </c>
      <c r="B158" s="2" t="s">
        <v>198</v>
      </c>
      <c r="C158" s="2">
        <f>IF(Tabelle728[[#This Row],[score_0_3]]=0,"",IFERROR(_xlfn.MINIFS(Tabelle7[doc_id],Tabelle7[company_id],Tabelle728[[#This Row],[company_id]],Tabelle7[gov_id],Tabelle728[[#This Row],[gov_crit_id]],Tabelle7[score_0_3],Tabelle728[[#This Row],[score_0_3]]),""))</f>
        <v>142</v>
      </c>
      <c r="D158" s="3">
        <f>IFERROR(_xlfn.MAXIFS(Tabelle7[score_0_3],Tabelle7[company_id],Tabelle728[[#This Row],[company_id]],Tabelle7[gov_id],Tabelle728[[#This Row],[gov_crit_id]]),0)</f>
        <v>2</v>
      </c>
      <c r="E158" t="str" cm="1">
        <f t="array" ref="E158">IF(Tabelle728[[#This Row],[doc_id_primary_evidence]]="","",IFERROR(INDEX(Tabelle7[evidence_quote],MATCH(1,(Tabelle7[company_id]=Tabelle728[[#This Row],[company_id]])*(Tabelle7[gov_id]=Tabelle728[[#This Row],[gov_crit_id]])*(Tabelle7[doc_id]=Tabelle728[[#This Row],[doc_id_primary_evidence]]),0)),""))</f>
        <v>“toolkits with tutorials and code samples to make AI explainable”; “embedded processes which help to identify risks throughout the AI project life cycle”</v>
      </c>
      <c r="F158" s="51" t="str" cm="1">
        <f t="array" ref="F158">IF(Tabelle728[[#This Row],[doc_id_primary_evidence]]="","",IFERROR(INDEX(Tabelle7[evidence_location],MATCH(1,(Tabelle7[company_id]=Tabelle728[[#This Row],[company_id]])*(Tabelle7[gov_id]=Tabelle728[[#This Row],[gov_crit_id]])*(Tabelle7[doc_id]=Tabelle728[[#This Row],[doc_id_primary_evidence]]),0)),""))</f>
        <v>S. 4, „Upskilling“; S. 4, „Responsible AI by design“</v>
      </c>
    </row>
    <row r="159" spans="1:6" x14ac:dyDescent="0.25">
      <c r="A159" s="24">
        <v>23</v>
      </c>
      <c r="B159" s="2" t="s">
        <v>204</v>
      </c>
      <c r="C159" s="2">
        <f>IF(Tabelle728[[#This Row],[score_0_3]]=0,"",IFERROR(_xlfn.MINIFS(Tabelle7[doc_id],Tabelle7[company_id],Tabelle728[[#This Row],[company_id]],Tabelle7[gov_id],Tabelle728[[#This Row],[gov_crit_id]],Tabelle7[score_0_3],Tabelle728[[#This Row],[score_0_3]]),""))</f>
        <v>142</v>
      </c>
      <c r="D159" s="3">
        <f>IFERROR(_xlfn.MAXIFS(Tabelle7[score_0_3],Tabelle7[company_id],Tabelle728[[#This Row],[company_id]],Tabelle7[gov_id],Tabelle728[[#This Row],[gov_crit_id]]),0)</f>
        <v>1</v>
      </c>
      <c r="E159" t="str" cm="1">
        <f t="array" ref="E159">IF(Tabelle728[[#This Row],[doc_id_primary_evidence]]="","",IFERROR(INDEX(Tabelle7[evidence_quote],MATCH(1,(Tabelle7[company_id]=Tabelle728[[#This Row],[company_id]])*(Tabelle7[gov_id]=Tabelle728[[#This Row],[gov_crit_id]])*(Tabelle7[doc_id]=Tabelle728[[#This Row],[doc_id_primary_evidence]]),0)),""))</f>
        <v>“highest quality and peer review standards”</v>
      </c>
      <c r="F159" s="51" t="str" cm="1">
        <f t="array" ref="F159">IF(Tabelle728[[#This Row],[doc_id_primary_evidence]]="","",IFERROR(INDEX(Tabelle7[evidence_location],MATCH(1,(Tabelle7[company_id]=Tabelle728[[#This Row],[company_id]])*(Tabelle7[gov_id]=Tabelle728[[#This Row],[gov_crit_id]])*(Tabelle7[doc_id]=Tabelle728[[#This Row],[doc_id_primary_evidence]]),0)),""))</f>
        <v>S. 4, „Responsible AI by design“</v>
      </c>
    </row>
    <row r="160" spans="1:6" x14ac:dyDescent="0.25">
      <c r="A160" s="24">
        <v>23</v>
      </c>
      <c r="B160" s="2" t="s">
        <v>210</v>
      </c>
      <c r="C160" s="2">
        <f>IF(Tabelle728[[#This Row],[score_0_3]]=0,"",IFERROR(_xlfn.MINIFS(Tabelle7[doc_id],Tabelle7[company_id],Tabelle728[[#This Row],[company_id]],Tabelle7[gov_id],Tabelle728[[#This Row],[gov_crit_id]],Tabelle7[score_0_3],Tabelle728[[#This Row],[score_0_3]]),""))</f>
        <v>142</v>
      </c>
      <c r="D160" s="3">
        <f>IFERROR(_xlfn.MAXIFS(Tabelle7[score_0_3],Tabelle7[company_id],Tabelle728[[#This Row],[company_id]],Tabelle7[gov_id],Tabelle728[[#This Row],[gov_crit_id]]),0)</f>
        <v>1</v>
      </c>
      <c r="E160" t="str" cm="1">
        <f t="array" ref="E160">IF(Tabelle728[[#This Row],[doc_id_primary_evidence]]="","",IFERROR(INDEX(Tabelle7[evidence_quote],MATCH(1,(Tabelle7[company_id]=Tabelle728[[#This Row],[company_id]])*(Tabelle7[gov_id]=Tabelle728[[#This Row],[gov_crit_id]])*(Tabelle7[doc_id]=Tabelle728[[#This Row],[doc_id_primary_evidence]]),0)),""))</f>
        <v>“toolkits with tutorials and code samples to make AI explainable”; “systematically include ethical questions in Infineon’s internal AI communication efforts”</v>
      </c>
      <c r="F160" s="51" t="str" cm="1">
        <f t="array" ref="F160">IF(Tabelle728[[#This Row],[doc_id_primary_evidence]]="","",IFERROR(INDEX(Tabelle7[evidence_location],MATCH(1,(Tabelle7[company_id]=Tabelle728[[#This Row],[company_id]])*(Tabelle7[gov_id]=Tabelle728[[#This Row],[gov_crit_id]])*(Tabelle7[doc_id]=Tabelle728[[#This Row],[doc_id_primary_evidence]]),0)),""))</f>
        <v>S. 4, „Upskilling“</v>
      </c>
    </row>
    <row r="161" spans="1:6" x14ac:dyDescent="0.25">
      <c r="A161" s="24">
        <v>23</v>
      </c>
      <c r="B161" s="2" t="s">
        <v>215</v>
      </c>
      <c r="C161" s="2">
        <f>IF(Tabelle728[[#This Row],[score_0_3]]=0,"",IFERROR(_xlfn.MINIFS(Tabelle7[doc_id],Tabelle7[company_id],Tabelle728[[#This Row],[company_id]],Tabelle7[gov_id],Tabelle728[[#This Row],[gov_crit_id]],Tabelle7[score_0_3],Tabelle728[[#This Row],[score_0_3]]),""))</f>
        <v>142</v>
      </c>
      <c r="D161" s="3">
        <f>IFERROR(_xlfn.MAXIFS(Tabelle7[score_0_3],Tabelle7[company_id],Tabelle728[[#This Row],[company_id]],Tabelle7[gov_id],Tabelle728[[#This Row],[gov_crit_id]]),0)</f>
        <v>2</v>
      </c>
      <c r="E161" t="str" cm="1">
        <f t="array" ref="E161">IF(Tabelle728[[#This Row],[doc_id_primary_evidence]]="","",IFERROR(INDEX(Tabelle7[evidence_quote],MATCH(1,(Tabelle7[company_id]=Tabelle728[[#This Row],[company_id]])*(Tabelle7[gov_id]=Tabelle728[[#This Row],[gov_crit_id]])*(Tabelle7[doc_id]=Tabelle728[[#This Row],[doc_id_primary_evidence]]),0)),""))</f>
        <v>“employees can turn if they want to receive guidance”; “Digital Council will inspect and resolve the case”</v>
      </c>
      <c r="F161" s="51" t="str" cm="1">
        <f t="array" ref="F161">IF(Tabelle728[[#This Row],[doc_id_primary_evidence]]="","",IFERROR(INDEX(Tabelle7[evidence_location],MATCH(1,(Tabelle7[company_id]=Tabelle728[[#This Row],[company_id]])*(Tabelle7[gov_id]=Tabelle728[[#This Row],[gov_crit_id]])*(Tabelle7[doc_id]=Tabelle728[[#This Row],[doc_id_primary_evidence]]),0)),""))</f>
        <v>S. 4, „Executing human oversight“</v>
      </c>
    </row>
    <row r="162" spans="1:6" ht="15.75" thickBot="1" x14ac:dyDescent="0.3">
      <c r="A162" s="26">
        <v>23</v>
      </c>
      <c r="B162" s="27" t="s">
        <v>221</v>
      </c>
      <c r="C162" s="27" t="str">
        <f>IF(Tabelle728[[#This Row],[score_0_3]]=0,"",IFERROR(_xlfn.MINIFS(Tabelle7[doc_id],Tabelle7[company_id],Tabelle728[[#This Row],[company_id]],Tabelle7[gov_id],Tabelle728[[#This Row],[gov_crit_id]],Tabelle7[score_0_3],Tabelle728[[#This Row],[score_0_3]]),""))</f>
        <v/>
      </c>
      <c r="D162" s="28">
        <f>IFERROR(_xlfn.MAXIFS(Tabelle7[score_0_3],Tabelle7[company_id],Tabelle728[[#This Row],[company_id]],Tabelle7[gov_id],Tabelle728[[#This Row],[gov_crit_id]]),0)</f>
        <v>0</v>
      </c>
      <c r="E162" s="30" t="str" cm="1">
        <f t="array" ref="E162">IF(Tabelle728[[#This Row],[doc_id_primary_evidence]]="","",IFERROR(INDEX(Tabelle7[evidence_quote],MATCH(1,(Tabelle7[company_id]=Tabelle728[[#This Row],[company_id]])*(Tabelle7[gov_id]=Tabelle728[[#This Row],[gov_crit_id]])*(Tabelle7[doc_id]=Tabelle728[[#This Row],[doc_id_primary_evidence]]),0)),""))</f>
        <v/>
      </c>
      <c r="F162" s="52" t="str" cm="1">
        <f t="array" ref="F162">IF(Tabelle728[[#This Row],[doc_id_primary_evidence]]="","",IFERROR(INDEX(Tabelle7[evidence_location],MATCH(1,(Tabelle7[company_id]=Tabelle728[[#This Row],[company_id]])*(Tabelle7[gov_id]=Tabelle728[[#This Row],[gov_crit_id]])*(Tabelle7[doc_id]=Tabelle728[[#This Row],[doc_id_primary_evidence]]),0)),""))</f>
        <v/>
      </c>
    </row>
    <row r="163" spans="1:6" x14ac:dyDescent="0.25">
      <c r="A163" s="18">
        <v>24</v>
      </c>
      <c r="B163" s="19" t="s">
        <v>186</v>
      </c>
      <c r="C163" s="19" t="str">
        <f>IF(Tabelle728[[#This Row],[score_0_3]]=0,"",IFERROR(_xlfn.MINIFS(Tabelle7[doc_id],Tabelle7[company_id],Tabelle728[[#This Row],[company_id]],Tabelle7[gov_id],Tabelle728[[#This Row],[gov_crit_id]],Tabelle7[score_0_3],Tabelle728[[#This Row],[score_0_3]]),""))</f>
        <v/>
      </c>
      <c r="D163" s="20">
        <f>IFERROR(_xlfn.MAXIFS(Tabelle7[score_0_3],Tabelle7[company_id],Tabelle728[[#This Row],[company_id]],Tabelle7[gov_id],Tabelle728[[#This Row],[gov_crit_id]]),0)</f>
        <v>0</v>
      </c>
      <c r="E163" s="22" t="str" cm="1">
        <f t="array" ref="E163">IF(Tabelle728[[#This Row],[doc_id_primary_evidence]]="","",IFERROR(INDEX(Tabelle7[evidence_quote],MATCH(1,(Tabelle7[company_id]=Tabelle728[[#This Row],[company_id]])*(Tabelle7[gov_id]=Tabelle728[[#This Row],[gov_crit_id]])*(Tabelle7[doc_id]=Tabelle728[[#This Row],[doc_id_primary_evidence]]),0)),""))</f>
        <v/>
      </c>
      <c r="F163" s="50" t="str" cm="1">
        <f t="array" ref="F163">IF(Tabelle728[[#This Row],[doc_id_primary_evidence]]="","",IFERROR(INDEX(Tabelle7[evidence_location],MATCH(1,(Tabelle7[company_id]=Tabelle728[[#This Row],[company_id]])*(Tabelle7[gov_id]=Tabelle728[[#This Row],[gov_crit_id]])*(Tabelle7[doc_id]=Tabelle728[[#This Row],[doc_id_primary_evidence]]),0)),""))</f>
        <v/>
      </c>
    </row>
    <row r="164" spans="1:6" x14ac:dyDescent="0.25">
      <c r="A164" s="24">
        <v>24</v>
      </c>
      <c r="B164" s="2" t="s">
        <v>192</v>
      </c>
      <c r="C164" s="2">
        <f>IF(Tabelle728[[#This Row],[score_0_3]]=0,"",IFERROR(_xlfn.MINIFS(Tabelle7[doc_id],Tabelle7[company_id],Tabelle728[[#This Row],[company_id]],Tabelle7[gov_id],Tabelle728[[#This Row],[gov_crit_id]],Tabelle7[score_0_3],Tabelle728[[#This Row],[score_0_3]]),""))</f>
        <v>148</v>
      </c>
      <c r="D164" s="3">
        <f>IFERROR(_xlfn.MAXIFS(Tabelle7[score_0_3],Tabelle7[company_id],Tabelle728[[#This Row],[company_id]],Tabelle7[gov_id],Tabelle728[[#This Row],[gov_crit_id]]),0)</f>
        <v>2</v>
      </c>
      <c r="E164" t="str" cm="1">
        <f t="array" ref="E164">IF(Tabelle728[[#This Row],[doc_id_primary_evidence]]="","",IFERROR(INDEX(Tabelle7[evidence_quote],MATCH(1,(Tabelle7[company_id]=Tabelle728[[#This Row],[company_id]])*(Tabelle7[gov_id]=Tabelle728[[#This Row],[gov_crit_id]])*(Tabelle7[doc_id]=Tabelle728[[#This Row],[doc_id_primary_evidence]]),0)),""))</f>
        <v>“risk-based AI Governance approach”; “anchored them company-wide in our integrity code”; “preceded by a transparent evaluation process”</v>
      </c>
      <c r="F164" s="51" t="str" cm="1">
        <f t="array" ref="F164">IF(Tabelle728[[#This Row],[doc_id_primary_evidence]]="","",IFERROR(INDEX(Tabelle7[evidence_location],MATCH(1,(Tabelle7[company_id]=Tabelle728[[#This Row],[company_id]])*(Tabelle7[gov_id]=Tabelle728[[#This Row],[gov_crit_id]])*(Tabelle7[doc_id]=Tabelle728[[#This Row],[doc_id_primary_evidence]]),0)),""))</f>
        <v>S. 1, Abs. 3-4; S. 2, „1st principle: responsible use“</v>
      </c>
    </row>
    <row r="165" spans="1:6" x14ac:dyDescent="0.25">
      <c r="A165" s="24">
        <v>24</v>
      </c>
      <c r="B165" s="2" t="s">
        <v>198</v>
      </c>
      <c r="C165" s="2">
        <f>IF(Tabelle728[[#This Row],[score_0_3]]=0,"",IFERROR(_xlfn.MINIFS(Tabelle7[doc_id],Tabelle7[company_id],Tabelle728[[#This Row],[company_id]],Tabelle7[gov_id],Tabelle728[[#This Row],[gov_crit_id]],Tabelle7[score_0_3],Tabelle728[[#This Row],[score_0_3]]),""))</f>
        <v>148</v>
      </c>
      <c r="D165" s="3">
        <f>IFERROR(_xlfn.MAXIFS(Tabelle7[score_0_3],Tabelle7[company_id],Tabelle728[[#This Row],[company_id]],Tabelle7[gov_id],Tabelle728[[#This Row],[gov_crit_id]]),0)</f>
        <v>2</v>
      </c>
      <c r="E165" t="str" cm="1">
        <f t="array" ref="E165">IF(Tabelle728[[#This Row],[doc_id_primary_evidence]]="","",IFERROR(INDEX(Tabelle7[evidence_quote],MATCH(1,(Tabelle7[company_id]=Tabelle728[[#This Row],[company_id]])*(Tabelle7[gov_id]=Tabelle728[[#This Row],[gov_crit_id]])*(Tabelle7[doc_id]=Tabelle728[[#This Row],[doc_id_primary_evidence]]),0)),""))</f>
        <v>“we use artificial or anonymized data sets”; “We develop and test our AI technologies”; “scientifically validated and accepted algorithms”</v>
      </c>
      <c r="F165" s="51" t="str" cm="1">
        <f t="array" ref="F165">IF(Tabelle728[[#This Row],[doc_id_primary_evidence]]="","",IFERROR(INDEX(Tabelle7[evidence_location],MATCH(1,(Tabelle7[company_id]=Tabelle728[[#This Row],[company_id]])*(Tabelle7[gov_id]=Tabelle728[[#This Row],[gov_crit_id]])*(Tabelle7[doc_id]=Tabelle728[[#This Row],[doc_id_primary_evidence]]),0)),""))</f>
        <v>S. 3, „3rd principle: protection of privacy“ / „4th principle: safety and reliability“</v>
      </c>
    </row>
    <row r="166" spans="1:6" x14ac:dyDescent="0.25">
      <c r="A166" s="24">
        <v>24</v>
      </c>
      <c r="B166" s="2" t="s">
        <v>204</v>
      </c>
      <c r="C166" s="2" t="str">
        <f>IF(Tabelle728[[#This Row],[score_0_3]]=0,"",IFERROR(_xlfn.MINIFS(Tabelle7[doc_id],Tabelle7[company_id],Tabelle728[[#This Row],[company_id]],Tabelle7[gov_id],Tabelle728[[#This Row],[gov_crit_id]],Tabelle7[score_0_3],Tabelle728[[#This Row],[score_0_3]]),""))</f>
        <v/>
      </c>
      <c r="D166" s="3">
        <f>IFERROR(_xlfn.MAXIFS(Tabelle7[score_0_3],Tabelle7[company_id],Tabelle728[[#This Row],[company_id]],Tabelle7[gov_id],Tabelle728[[#This Row],[gov_crit_id]]),0)</f>
        <v>0</v>
      </c>
      <c r="E166" t="str" cm="1">
        <f t="array" ref="E166">IF(Tabelle728[[#This Row],[doc_id_primary_evidence]]="","",IFERROR(INDEX(Tabelle7[evidence_quote],MATCH(1,(Tabelle7[company_id]=Tabelle728[[#This Row],[company_id]])*(Tabelle7[gov_id]=Tabelle728[[#This Row],[gov_crit_id]])*(Tabelle7[doc_id]=Tabelle728[[#This Row],[doc_id_primary_evidence]]),0)),""))</f>
        <v/>
      </c>
      <c r="F166" s="51" t="str" cm="1">
        <f t="array" ref="F166">IF(Tabelle728[[#This Row],[doc_id_primary_evidence]]="","",IFERROR(INDEX(Tabelle7[evidence_location],MATCH(1,(Tabelle7[company_id]=Tabelle728[[#This Row],[company_id]])*(Tabelle7[gov_id]=Tabelle728[[#This Row],[gov_crit_id]])*(Tabelle7[doc_id]=Tabelle728[[#This Row],[doc_id_primary_evidence]]),0)),""))</f>
        <v/>
      </c>
    </row>
    <row r="167" spans="1:6" x14ac:dyDescent="0.25">
      <c r="A167" s="24">
        <v>24</v>
      </c>
      <c r="B167" s="2" t="s">
        <v>210</v>
      </c>
      <c r="C167" s="2" t="str">
        <f>IF(Tabelle728[[#This Row],[score_0_3]]=0,"",IFERROR(_xlfn.MINIFS(Tabelle7[doc_id],Tabelle7[company_id],Tabelle728[[#This Row],[company_id]],Tabelle7[gov_id],Tabelle728[[#This Row],[gov_crit_id]],Tabelle7[score_0_3],Tabelle728[[#This Row],[score_0_3]]),""))</f>
        <v/>
      </c>
      <c r="D167" s="3">
        <f>IFERROR(_xlfn.MAXIFS(Tabelle7[score_0_3],Tabelle7[company_id],Tabelle728[[#This Row],[company_id]],Tabelle7[gov_id],Tabelle728[[#This Row],[gov_crit_id]]),0)</f>
        <v>0</v>
      </c>
      <c r="E167" t="str" cm="1">
        <f t="array" ref="E167">IF(Tabelle728[[#This Row],[doc_id_primary_evidence]]="","",IFERROR(INDEX(Tabelle7[evidence_quote],MATCH(1,(Tabelle7[company_id]=Tabelle728[[#This Row],[company_id]])*(Tabelle7[gov_id]=Tabelle728[[#This Row],[gov_crit_id]])*(Tabelle7[doc_id]=Tabelle728[[#This Row],[doc_id_primary_evidence]]),0)),""))</f>
        <v/>
      </c>
      <c r="F167" s="51" t="str" cm="1">
        <f t="array" ref="F167">IF(Tabelle728[[#This Row],[doc_id_primary_evidence]]="","",IFERROR(INDEX(Tabelle7[evidence_location],MATCH(1,(Tabelle7[company_id]=Tabelle728[[#This Row],[company_id]])*(Tabelle7[gov_id]=Tabelle728[[#This Row],[gov_crit_id]])*(Tabelle7[doc_id]=Tabelle728[[#This Row],[doc_id_primary_evidence]]),0)),""))</f>
        <v/>
      </c>
    </row>
    <row r="168" spans="1:6" x14ac:dyDescent="0.25">
      <c r="A168" s="24">
        <v>24</v>
      </c>
      <c r="B168" s="2" t="s">
        <v>215</v>
      </c>
      <c r="C168" s="2" t="str">
        <f>IF(Tabelle728[[#This Row],[score_0_3]]=0,"",IFERROR(_xlfn.MINIFS(Tabelle7[doc_id],Tabelle7[company_id],Tabelle728[[#This Row],[company_id]],Tabelle7[gov_id],Tabelle728[[#This Row],[gov_crit_id]],Tabelle7[score_0_3],Tabelle728[[#This Row],[score_0_3]]),""))</f>
        <v/>
      </c>
      <c r="D168" s="3">
        <f>IFERROR(_xlfn.MAXIFS(Tabelle7[score_0_3],Tabelle7[company_id],Tabelle728[[#This Row],[company_id]],Tabelle7[gov_id],Tabelle728[[#This Row],[gov_crit_id]]),0)</f>
        <v>0</v>
      </c>
      <c r="E168" t="str" cm="1">
        <f t="array" ref="E168">IF(Tabelle728[[#This Row],[doc_id_primary_evidence]]="","",IFERROR(INDEX(Tabelle7[evidence_quote],MATCH(1,(Tabelle7[company_id]=Tabelle728[[#This Row],[company_id]])*(Tabelle7[gov_id]=Tabelle728[[#This Row],[gov_crit_id]])*(Tabelle7[doc_id]=Tabelle728[[#This Row],[doc_id_primary_evidence]]),0)),""))</f>
        <v/>
      </c>
      <c r="F168" s="51" t="str" cm="1">
        <f t="array" ref="F168">IF(Tabelle728[[#This Row],[doc_id_primary_evidence]]="","",IFERROR(INDEX(Tabelle7[evidence_location],MATCH(1,(Tabelle7[company_id]=Tabelle728[[#This Row],[company_id]])*(Tabelle7[gov_id]=Tabelle728[[#This Row],[gov_crit_id]])*(Tabelle7[doc_id]=Tabelle728[[#This Row],[doc_id_primary_evidence]]),0)),""))</f>
        <v/>
      </c>
    </row>
    <row r="169" spans="1:6" ht="15.75" thickBot="1" x14ac:dyDescent="0.3">
      <c r="A169" s="26">
        <v>24</v>
      </c>
      <c r="B169" s="27" t="s">
        <v>221</v>
      </c>
      <c r="C169" s="27" t="str">
        <f>IF(Tabelle728[[#This Row],[score_0_3]]=0,"",IFERROR(_xlfn.MINIFS(Tabelle7[doc_id],Tabelle7[company_id],Tabelle728[[#This Row],[company_id]],Tabelle7[gov_id],Tabelle728[[#This Row],[gov_crit_id]],Tabelle7[score_0_3],Tabelle728[[#This Row],[score_0_3]]),""))</f>
        <v/>
      </c>
      <c r="D169" s="28">
        <f>IFERROR(_xlfn.MAXIFS(Tabelle7[score_0_3],Tabelle7[company_id],Tabelle728[[#This Row],[company_id]],Tabelle7[gov_id],Tabelle728[[#This Row],[gov_crit_id]]),0)</f>
        <v>0</v>
      </c>
      <c r="E169" s="30" t="str" cm="1">
        <f t="array" ref="E169">IF(Tabelle728[[#This Row],[doc_id_primary_evidence]]="","",IFERROR(INDEX(Tabelle7[evidence_quote],MATCH(1,(Tabelle7[company_id]=Tabelle728[[#This Row],[company_id]])*(Tabelle7[gov_id]=Tabelle728[[#This Row],[gov_crit_id]])*(Tabelle7[doc_id]=Tabelle728[[#This Row],[doc_id_primary_evidence]]),0)),""))</f>
        <v/>
      </c>
      <c r="F169" s="52" t="str" cm="1">
        <f t="array" ref="F169">IF(Tabelle728[[#This Row],[doc_id_primary_evidence]]="","",IFERROR(INDEX(Tabelle7[evidence_location],MATCH(1,(Tabelle7[company_id]=Tabelle728[[#This Row],[company_id]])*(Tabelle7[gov_id]=Tabelle728[[#This Row],[gov_crit_id]])*(Tabelle7[doc_id]=Tabelle728[[#This Row],[doc_id_primary_evidence]]),0)),""))</f>
        <v/>
      </c>
    </row>
    <row r="170" spans="1:6" x14ac:dyDescent="0.25">
      <c r="A170" s="18">
        <v>25</v>
      </c>
      <c r="B170" s="19" t="s">
        <v>186</v>
      </c>
      <c r="C170" s="19">
        <f>IF(Tabelle728[[#This Row],[score_0_3]]=0,"",IFERROR(_xlfn.MINIFS(Tabelle7[doc_id],Tabelle7[company_id],Tabelle728[[#This Row],[company_id]],Tabelle7[gov_id],Tabelle728[[#This Row],[gov_crit_id]],Tabelle7[score_0_3],Tabelle728[[#This Row],[score_0_3]]),""))</f>
        <v>153</v>
      </c>
      <c r="D170" s="20">
        <f>IFERROR(_xlfn.MAXIFS(Tabelle7[score_0_3],Tabelle7[company_id],Tabelle728[[#This Row],[company_id]],Tabelle7[gov_id],Tabelle728[[#This Row],[gov_crit_id]]),0)</f>
        <v>2</v>
      </c>
      <c r="E170" s="22" t="str" cm="1">
        <f t="array" ref="E170">IF(Tabelle728[[#This Row],[doc_id_primary_evidence]]="","",IFERROR(INDEX(Tabelle7[evidence_quote],MATCH(1,(Tabelle7[company_id]=Tabelle728[[#This Row],[company_id]])*(Tabelle7[gov_id]=Tabelle728[[#This Row],[gov_crit_id]])*(Tabelle7[doc_id]=Tabelle728[[#This Row],[doc_id_primary_evidence]]),0)),""))</f>
        <v>“created a dedicated Digital Ethics Group, our Digital Ethics Advisory Panel and our Code of Digital Ethics”; “Since 2020, we have embedded a dedicated digital ethics group”; “The DEAP is appointed by the Executive Board”</v>
      </c>
      <c r="F170" s="50" t="str" cm="1">
        <f t="array" ref="F170">IF(Tabelle728[[#This Row],[doc_id_primary_evidence]]="","",IFERROR(INDEX(Tabelle7[evidence_location],MATCH(1,(Tabelle7[company_id]=Tabelle728[[#This Row],[company_id]])*(Tabelle7[gov_id]=Tabelle728[[#This Row],[gov_crit_id]])*(Tabelle7[doc_id]=Tabelle728[[#This Row],[doc_id_primary_evidence]]),0)),""))</f>
        <v>S. 2 „Why Digital Ethics Matter“; S. 2 „Digital Ethics at our company“; S. 3 „DEAP“</v>
      </c>
    </row>
    <row r="171" spans="1:6" x14ac:dyDescent="0.25">
      <c r="A171" s="24">
        <v>25</v>
      </c>
      <c r="B171" s="2" t="s">
        <v>192</v>
      </c>
      <c r="C171" s="2">
        <f>IF(Tabelle728[[#This Row],[score_0_3]]=0,"",IFERROR(_xlfn.MINIFS(Tabelle7[doc_id],Tabelle7[company_id],Tabelle728[[#This Row],[company_id]],Tabelle7[gov_id],Tabelle728[[#This Row],[gov_crit_id]],Tabelle7[score_0_3],Tabelle728[[#This Row],[score_0_3]]),""))</f>
        <v>153</v>
      </c>
      <c r="D171" s="3">
        <f>IFERROR(_xlfn.MAXIFS(Tabelle7[score_0_3],Tabelle7[company_id],Tabelle728[[#This Row],[company_id]],Tabelle7[gov_id],Tabelle728[[#This Row],[gov_crit_id]]),0)</f>
        <v>3</v>
      </c>
      <c r="E171" t="str" cm="1">
        <f t="array" ref="E171">IF(Tabelle728[[#This Row],[doc_id_primary_evidence]]="","",IFERROR(INDEX(Tabelle7[evidence_quote],MATCH(1,(Tabelle7[company_id]=Tabelle728[[#This Row],[company_id]])*(Tabelle7[gov_id]=Tabelle728[[#This Row],[gov_crit_id]])*(Tabelle7[doc_id]=Tabelle728[[#This Row],[doc_id_primary_evidence]]),0)),""))</f>
        <v>“assess the ethical aspects of data use and algorithms”; “used to analyze … new products in an early development phase”; “used to analyze … new products in an early development phase”</v>
      </c>
      <c r="F171" s="51" t="str" cm="1">
        <f t="array" ref="F171">IF(Tabelle728[[#This Row],[doc_id_primary_evidence]]="","",IFERROR(INDEX(Tabelle7[evidence_location],MATCH(1,(Tabelle7[company_id]=Tabelle728[[#This Row],[company_id]])*(Tabelle7[gov_id]=Tabelle728[[#This Row],[gov_crit_id]])*(Tabelle7[doc_id]=Tabelle728[[#This Row],[doc_id_primary_evidence]]),0)),""))</f>
        <v>S. 13 „The Code“; S. 15 „PaRA“; S. 16 „Handling Patient Data“</v>
      </c>
    </row>
    <row r="172" spans="1:6" x14ac:dyDescent="0.25">
      <c r="A172" s="24">
        <v>25</v>
      </c>
      <c r="B172" s="2" t="s">
        <v>198</v>
      </c>
      <c r="C172" s="2">
        <f>IF(Tabelle728[[#This Row],[score_0_3]]=0,"",IFERROR(_xlfn.MINIFS(Tabelle7[doc_id],Tabelle7[company_id],Tabelle728[[#This Row],[company_id]],Tabelle7[gov_id],Tabelle728[[#This Row],[gov_crit_id]],Tabelle7[score_0_3],Tabelle728[[#This Row],[score_0_3]]),""))</f>
        <v>153</v>
      </c>
      <c r="D172" s="3">
        <f>IFERROR(_xlfn.MAXIFS(Tabelle7[score_0_3],Tabelle7[company_id],Tabelle728[[#This Row],[company_id]],Tabelle7[gov_id],Tabelle728[[#This Row],[gov_crit_id]]),0)</f>
        <v>3</v>
      </c>
      <c r="E172" t="str" cm="1">
        <f t="array" ref="E172">IF(Tabelle728[[#This Row],[doc_id_primary_evidence]]="","",IFERROR(INDEX(Tabelle7[evidence_quote],MATCH(1,(Tabelle7[company_id]=Tabelle728[[#This Row],[company_id]])*(Tabelle7[gov_id]=Tabelle728[[#This Row],[gov_crit_id]])*(Tabelle7[doc_id]=Tabelle728[[#This Row],[doc_id_primary_evidence]]),0)),""))</f>
        <v>“PaRA is a formal ethics review tool”; “rule-based in-process scoring system”,“rule-based in-process scoring system”</v>
      </c>
      <c r="F172" s="51" t="str" cm="1">
        <f t="array" ref="F172">IF(Tabelle728[[#This Row],[doc_id_primary_evidence]]="","",IFERROR(INDEX(Tabelle7[evidence_location],MATCH(1,(Tabelle7[company_id]=Tabelle728[[#This Row],[company_id]])*(Tabelle7[gov_id]=Tabelle728[[#This Row],[gov_crit_id]])*(Tabelle7[doc_id]=Tabelle728[[#This Row],[doc_id_primary_evidence]]),0)),""))</f>
        <v>S. 15 „PaRA“; S. 17 „Automated Risk Assessment“</v>
      </c>
    </row>
    <row r="173" spans="1:6" x14ac:dyDescent="0.25">
      <c r="A173" s="24">
        <v>25</v>
      </c>
      <c r="B173" s="2" t="s">
        <v>204</v>
      </c>
      <c r="C173" s="2">
        <f>IF(Tabelle728[[#This Row],[score_0_3]]=0,"",IFERROR(_xlfn.MINIFS(Tabelle7[doc_id],Tabelle7[company_id],Tabelle728[[#This Row],[company_id]],Tabelle7[gov_id],Tabelle728[[#This Row],[gov_crit_id]],Tabelle7[score_0_3],Tabelle728[[#This Row],[score_0_3]]),""))</f>
        <v>153</v>
      </c>
      <c r="D173" s="3">
        <f>IFERROR(_xlfn.MAXIFS(Tabelle7[score_0_3],Tabelle7[company_id],Tabelle728[[#This Row],[company_id]],Tabelle7[gov_id],Tabelle728[[#This Row],[gov_crit_id]]),0)</f>
        <v>2</v>
      </c>
      <c r="E173" t="str" cm="1">
        <f t="array" ref="E173">IF(Tabelle728[[#This Row],[doc_id_primary_evidence]]="","",IFERROR(INDEX(Tabelle7[evidence_quote],MATCH(1,(Tabelle7[company_id]=Tabelle728[[#This Row],[company_id]])*(Tabelle7[gov_id]=Tabelle728[[#This Row],[gov_crit_id]])*(Tabelle7[doc_id]=Tabelle728[[#This Row],[doc_id_primary_evidence]]),0)),""))</f>
        <v>“assess complex ethical challenges related to data and AI”; “forms the basis for the Digital Ethics Advisory Panel evaluation”; “The tool’s assessment is reviewed by the DEAP”</v>
      </c>
      <c r="F173" s="51" t="str" cm="1">
        <f t="array" ref="F173">IF(Tabelle728[[#This Row],[doc_id_primary_evidence]]="","",IFERROR(INDEX(Tabelle7[evidence_location],MATCH(1,(Tabelle7[company_id]=Tabelle728[[#This Row],[company_id]])*(Tabelle7[gov_id]=Tabelle728[[#This Row],[gov_crit_id]])*(Tabelle7[doc_id]=Tabelle728[[#This Row],[doc_id_primary_evidence]]),0)),""))</f>
        <v>S. 3 „DEAP“; S. 13 „The Code“; S. 15 „PaRA“</v>
      </c>
    </row>
    <row r="174" spans="1:6" x14ac:dyDescent="0.25">
      <c r="A174" s="24">
        <v>25</v>
      </c>
      <c r="B174" s="2" t="s">
        <v>210</v>
      </c>
      <c r="C174" s="2">
        <f>IF(Tabelle728[[#This Row],[score_0_3]]=0,"",IFERROR(_xlfn.MINIFS(Tabelle7[doc_id],Tabelle7[company_id],Tabelle728[[#This Row],[company_id]],Tabelle7[gov_id],Tabelle728[[#This Row],[gov_crit_id]],Tabelle7[score_0_3],Tabelle728[[#This Row],[score_0_3]]),""))</f>
        <v>153</v>
      </c>
      <c r="D174" s="3">
        <f>IFERROR(_xlfn.MAXIFS(Tabelle7[score_0_3],Tabelle7[company_id],Tabelle728[[#This Row],[company_id]],Tabelle7[gov_id],Tabelle728[[#This Row],[gov_crit_id]]),0)</f>
        <v>3</v>
      </c>
      <c r="E174" t="str" cm="1">
        <f t="array" ref="E174">IF(Tabelle728[[#This Row],[doc_id_primary_evidence]]="","",IFERROR(INDEX(Tabelle7[evidence_quote],MATCH(1,(Tabelle7[company_id]=Tabelle728[[#This Row],[company_id]])*(Tabelle7[gov_id]=Tabelle728[[#This Row],[gov_crit_id]])*(Tabelle7[doc_id]=Tabelle728[[#This Row],[doc_id_primary_evidence]]),0)),""))</f>
        <v>“developed a mandatory training”; “anchored within the individual training plans”</v>
      </c>
      <c r="F174" s="51" t="str" cm="1">
        <f t="array" ref="F174">IF(Tabelle728[[#This Row],[doc_id_primary_evidence]]="","",IFERROR(INDEX(Tabelle7[evidence_location],MATCH(1,(Tabelle7[company_id]=Tabelle728[[#This Row],[company_id]])*(Tabelle7[gov_id]=Tabelle728[[#This Row],[gov_crit_id]])*(Tabelle7[doc_id]=Tabelle728[[#This Row],[doc_id_primary_evidence]]),0)),""))</f>
        <v>S. 18 „Training“</v>
      </c>
    </row>
    <row r="175" spans="1:6" x14ac:dyDescent="0.25">
      <c r="A175" s="24">
        <v>25</v>
      </c>
      <c r="B175" s="2" t="s">
        <v>215</v>
      </c>
      <c r="C175" s="2">
        <f>IF(Tabelle728[[#This Row],[score_0_3]]=0,"",IFERROR(_xlfn.MINIFS(Tabelle7[doc_id],Tabelle7[company_id],Tabelle728[[#This Row],[company_id]],Tabelle7[gov_id],Tabelle728[[#This Row],[gov_crit_id]],Tabelle7[score_0_3],Tabelle728[[#This Row],[score_0_3]]),""))</f>
        <v>153</v>
      </c>
      <c r="D175" s="3">
        <f>IFERROR(_xlfn.MAXIFS(Tabelle7[score_0_3],Tabelle7[company_id],Tabelle728[[#This Row],[company_id]],Tabelle7[gov_id],Tabelle728[[#This Row],[gov_crit_id]]),0)</f>
        <v>3</v>
      </c>
      <c r="E175" t="str" cm="1">
        <f t="array" ref="E175">IF(Tabelle728[[#This Row],[doc_id_primary_evidence]]="","",IFERROR(INDEX(Tabelle7[evidence_quote],MATCH(1,(Tabelle7[company_id]=Tabelle728[[#This Row],[company_id]])*(Tabelle7[gov_id]=Tabelle728[[#This Row],[gov_crit_id]])*(Tabelle7[doc_id]=Tabelle728[[#This Row],[doc_id_primary_evidence]]),0)),""))</f>
        <v>“All employees may submit topics to the DEAP”; “Our business approached the Digital Ethics Advisory Panel”; “Have any questions or feedback … Contact us at ethics@merckgroup.com"</v>
      </c>
      <c r="F175" s="51" t="str" cm="1">
        <f t="array" ref="F175">IF(Tabelle728[[#This Row],[doc_id_primary_evidence]]="","",IFERROR(INDEX(Tabelle7[evidence_location],MATCH(1,(Tabelle7[company_id]=Tabelle728[[#This Row],[company_id]])*(Tabelle7[gov_id]=Tabelle728[[#This Row],[gov_crit_id]])*(Tabelle7[doc_id]=Tabelle728[[#This Row],[doc_id_primary_evidence]]),0)),""))</f>
        <v>S. 3 „DEAP“; S. 16 „Handling Patient Data“; S. 22 „Questions or Inputs?“</v>
      </c>
    </row>
    <row r="176" spans="1:6" ht="15.75" thickBot="1" x14ac:dyDescent="0.3">
      <c r="A176" s="26">
        <v>25</v>
      </c>
      <c r="B176" s="27" t="s">
        <v>221</v>
      </c>
      <c r="C176" s="27" t="str">
        <f>IF(Tabelle728[[#This Row],[score_0_3]]=0,"",IFERROR(_xlfn.MINIFS(Tabelle7[doc_id],Tabelle7[company_id],Tabelle728[[#This Row],[company_id]],Tabelle7[gov_id],Tabelle728[[#This Row],[gov_crit_id]],Tabelle7[score_0_3],Tabelle728[[#This Row],[score_0_3]]),""))</f>
        <v/>
      </c>
      <c r="D176" s="28">
        <f>IFERROR(_xlfn.MAXIFS(Tabelle7[score_0_3],Tabelle7[company_id],Tabelle728[[#This Row],[company_id]],Tabelle7[gov_id],Tabelle728[[#This Row],[gov_crit_id]]),0)</f>
        <v>0</v>
      </c>
      <c r="E176" s="30" t="str" cm="1">
        <f t="array" ref="E176">IF(Tabelle728[[#This Row],[doc_id_primary_evidence]]="","",IFERROR(INDEX(Tabelle7[evidence_quote],MATCH(1,(Tabelle7[company_id]=Tabelle728[[#This Row],[company_id]])*(Tabelle7[gov_id]=Tabelle728[[#This Row],[gov_crit_id]])*(Tabelle7[doc_id]=Tabelle728[[#This Row],[doc_id_primary_evidence]]),0)),""))</f>
        <v/>
      </c>
      <c r="F176" s="52" t="str" cm="1">
        <f t="array" ref="F176">IF(Tabelle728[[#This Row],[doc_id_primary_evidence]]="","",IFERROR(INDEX(Tabelle7[evidence_location],MATCH(1,(Tabelle7[company_id]=Tabelle728[[#This Row],[company_id]])*(Tabelle7[gov_id]=Tabelle728[[#This Row],[gov_crit_id]])*(Tabelle7[doc_id]=Tabelle728[[#This Row],[doc_id_primary_evidence]]),0)),""))</f>
        <v/>
      </c>
    </row>
    <row r="177" spans="1:6" x14ac:dyDescent="0.25">
      <c r="A177" s="18">
        <v>26</v>
      </c>
      <c r="B177" s="19" t="s">
        <v>186</v>
      </c>
      <c r="C177" s="19" t="str">
        <f>IF(Tabelle728[[#This Row],[score_0_3]]=0,"",IFERROR(_xlfn.MINIFS(Tabelle7[doc_id],Tabelle7[company_id],Tabelle728[[#This Row],[company_id]],Tabelle7[gov_id],Tabelle728[[#This Row],[gov_crit_id]],Tabelle7[score_0_3],Tabelle728[[#This Row],[score_0_3]]),""))</f>
        <v/>
      </c>
      <c r="D177" s="20">
        <f>IFERROR(_xlfn.MAXIFS(Tabelle7[score_0_3],Tabelle7[company_id],Tabelle728[[#This Row],[company_id]],Tabelle7[gov_id],Tabelle728[[#This Row],[gov_crit_id]]),0)</f>
        <v>0</v>
      </c>
      <c r="E177" s="22" t="str" cm="1">
        <f t="array" ref="E177">IF(Tabelle728[[#This Row],[doc_id_primary_evidence]]="","",IFERROR(INDEX(Tabelle7[evidence_quote],MATCH(1,(Tabelle7[company_id]=Tabelle728[[#This Row],[company_id]])*(Tabelle7[gov_id]=Tabelle728[[#This Row],[gov_crit_id]])*(Tabelle7[doc_id]=Tabelle728[[#This Row],[doc_id_primary_evidence]]),0)),""))</f>
        <v/>
      </c>
      <c r="F177" s="50" t="str" cm="1">
        <f t="array" ref="F177">IF(Tabelle728[[#This Row],[doc_id_primary_evidence]]="","",IFERROR(INDEX(Tabelle7[evidence_location],MATCH(1,(Tabelle7[company_id]=Tabelle728[[#This Row],[company_id]])*(Tabelle7[gov_id]=Tabelle728[[#This Row],[gov_crit_id]])*(Tabelle7[doc_id]=Tabelle728[[#This Row],[doc_id_primary_evidence]]),0)),""))</f>
        <v/>
      </c>
    </row>
    <row r="178" spans="1:6" x14ac:dyDescent="0.25">
      <c r="A178" s="24">
        <v>26</v>
      </c>
      <c r="B178" s="2" t="s">
        <v>192</v>
      </c>
      <c r="C178" s="2" t="str">
        <f>IF(Tabelle728[[#This Row],[score_0_3]]=0,"",IFERROR(_xlfn.MINIFS(Tabelle7[doc_id],Tabelle7[company_id],Tabelle728[[#This Row],[company_id]],Tabelle7[gov_id],Tabelle728[[#This Row],[gov_crit_id]],Tabelle7[score_0_3],Tabelle728[[#This Row],[score_0_3]]),""))</f>
        <v/>
      </c>
      <c r="D178" s="3">
        <f>IFERROR(_xlfn.MAXIFS(Tabelle7[score_0_3],Tabelle7[company_id],Tabelle728[[#This Row],[company_id]],Tabelle7[gov_id],Tabelle728[[#This Row],[gov_crit_id]]),0)</f>
        <v>0</v>
      </c>
      <c r="E178" t="str" cm="1">
        <f t="array" ref="E178">IF(Tabelle728[[#This Row],[doc_id_primary_evidence]]="","",IFERROR(INDEX(Tabelle7[evidence_quote],MATCH(1,(Tabelle7[company_id]=Tabelle728[[#This Row],[company_id]])*(Tabelle7[gov_id]=Tabelle728[[#This Row],[gov_crit_id]])*(Tabelle7[doc_id]=Tabelle728[[#This Row],[doc_id_primary_evidence]]),0)),""))</f>
        <v/>
      </c>
      <c r="F178" s="51" t="str" cm="1">
        <f t="array" ref="F178">IF(Tabelle728[[#This Row],[doc_id_primary_evidence]]="","",IFERROR(INDEX(Tabelle7[evidence_location],MATCH(1,(Tabelle7[company_id]=Tabelle728[[#This Row],[company_id]])*(Tabelle7[gov_id]=Tabelle728[[#This Row],[gov_crit_id]])*(Tabelle7[doc_id]=Tabelle728[[#This Row],[doc_id_primary_evidence]]),0)),""))</f>
        <v/>
      </c>
    </row>
    <row r="179" spans="1:6" x14ac:dyDescent="0.25">
      <c r="A179" s="24">
        <v>26</v>
      </c>
      <c r="B179" s="2" t="s">
        <v>198</v>
      </c>
      <c r="C179" s="2" t="str">
        <f>IF(Tabelle728[[#This Row],[score_0_3]]=0,"",IFERROR(_xlfn.MINIFS(Tabelle7[doc_id],Tabelle7[company_id],Tabelle728[[#This Row],[company_id]],Tabelle7[gov_id],Tabelle728[[#This Row],[gov_crit_id]],Tabelle7[score_0_3],Tabelle728[[#This Row],[score_0_3]]),""))</f>
        <v/>
      </c>
      <c r="D179" s="3">
        <f>IFERROR(_xlfn.MAXIFS(Tabelle7[score_0_3],Tabelle7[company_id],Tabelle728[[#This Row],[company_id]],Tabelle7[gov_id],Tabelle728[[#This Row],[gov_crit_id]]),0)</f>
        <v>0</v>
      </c>
      <c r="E179" t="str" cm="1">
        <f t="array" ref="E179">IF(Tabelle728[[#This Row],[doc_id_primary_evidence]]="","",IFERROR(INDEX(Tabelle7[evidence_quote],MATCH(1,(Tabelle7[company_id]=Tabelle728[[#This Row],[company_id]])*(Tabelle7[gov_id]=Tabelle728[[#This Row],[gov_crit_id]])*(Tabelle7[doc_id]=Tabelle728[[#This Row],[doc_id_primary_evidence]]),0)),""))</f>
        <v/>
      </c>
      <c r="F179" s="51" t="str" cm="1">
        <f t="array" ref="F179">IF(Tabelle728[[#This Row],[doc_id_primary_evidence]]="","",IFERROR(INDEX(Tabelle7[evidence_location],MATCH(1,(Tabelle7[company_id]=Tabelle728[[#This Row],[company_id]])*(Tabelle7[gov_id]=Tabelle728[[#This Row],[gov_crit_id]])*(Tabelle7[doc_id]=Tabelle728[[#This Row],[doc_id_primary_evidence]]),0)),""))</f>
        <v/>
      </c>
    </row>
    <row r="180" spans="1:6" x14ac:dyDescent="0.25">
      <c r="A180" s="24">
        <v>26</v>
      </c>
      <c r="B180" s="2" t="s">
        <v>204</v>
      </c>
      <c r="C180" s="2" t="str">
        <f>IF(Tabelle728[[#This Row],[score_0_3]]=0,"",IFERROR(_xlfn.MINIFS(Tabelle7[doc_id],Tabelle7[company_id],Tabelle728[[#This Row],[company_id]],Tabelle7[gov_id],Tabelle728[[#This Row],[gov_crit_id]],Tabelle7[score_0_3],Tabelle728[[#This Row],[score_0_3]]),""))</f>
        <v/>
      </c>
      <c r="D180" s="3">
        <f>IFERROR(_xlfn.MAXIFS(Tabelle7[score_0_3],Tabelle7[company_id],Tabelle728[[#This Row],[company_id]],Tabelle7[gov_id],Tabelle728[[#This Row],[gov_crit_id]]),0)</f>
        <v>0</v>
      </c>
      <c r="E180" t="str" cm="1">
        <f t="array" ref="E180">IF(Tabelle728[[#This Row],[doc_id_primary_evidence]]="","",IFERROR(INDEX(Tabelle7[evidence_quote],MATCH(1,(Tabelle7[company_id]=Tabelle728[[#This Row],[company_id]])*(Tabelle7[gov_id]=Tabelle728[[#This Row],[gov_crit_id]])*(Tabelle7[doc_id]=Tabelle728[[#This Row],[doc_id_primary_evidence]]),0)),""))</f>
        <v/>
      </c>
      <c r="F180" s="51" t="str" cm="1">
        <f t="array" ref="F180">IF(Tabelle728[[#This Row],[doc_id_primary_evidence]]="","",IFERROR(INDEX(Tabelle7[evidence_location],MATCH(1,(Tabelle7[company_id]=Tabelle728[[#This Row],[company_id]])*(Tabelle7[gov_id]=Tabelle728[[#This Row],[gov_crit_id]])*(Tabelle7[doc_id]=Tabelle728[[#This Row],[doc_id_primary_evidence]]),0)),""))</f>
        <v/>
      </c>
    </row>
    <row r="181" spans="1:6" x14ac:dyDescent="0.25">
      <c r="A181" s="24">
        <v>26</v>
      </c>
      <c r="B181" s="2" t="s">
        <v>210</v>
      </c>
      <c r="C181" s="2" t="str">
        <f>IF(Tabelle728[[#This Row],[score_0_3]]=0,"",IFERROR(_xlfn.MINIFS(Tabelle7[doc_id],Tabelle7[company_id],Tabelle728[[#This Row],[company_id]],Tabelle7[gov_id],Tabelle728[[#This Row],[gov_crit_id]],Tabelle7[score_0_3],Tabelle728[[#This Row],[score_0_3]]),""))</f>
        <v/>
      </c>
      <c r="D181" s="3">
        <f>IFERROR(_xlfn.MAXIFS(Tabelle7[score_0_3],Tabelle7[company_id],Tabelle728[[#This Row],[company_id]],Tabelle7[gov_id],Tabelle728[[#This Row],[gov_crit_id]]),0)</f>
        <v>0</v>
      </c>
      <c r="E181" t="str" cm="1">
        <f t="array" ref="E181">IF(Tabelle728[[#This Row],[doc_id_primary_evidence]]="","",IFERROR(INDEX(Tabelle7[evidence_quote],MATCH(1,(Tabelle7[company_id]=Tabelle728[[#This Row],[company_id]])*(Tabelle7[gov_id]=Tabelle728[[#This Row],[gov_crit_id]])*(Tabelle7[doc_id]=Tabelle728[[#This Row],[doc_id_primary_evidence]]),0)),""))</f>
        <v/>
      </c>
      <c r="F181" s="51" t="str" cm="1">
        <f t="array" ref="F181">IF(Tabelle728[[#This Row],[doc_id_primary_evidence]]="","",IFERROR(INDEX(Tabelle7[evidence_location],MATCH(1,(Tabelle7[company_id]=Tabelle728[[#This Row],[company_id]])*(Tabelle7[gov_id]=Tabelle728[[#This Row],[gov_crit_id]])*(Tabelle7[doc_id]=Tabelle728[[#This Row],[doc_id_primary_evidence]]),0)),""))</f>
        <v/>
      </c>
    </row>
    <row r="182" spans="1:6" x14ac:dyDescent="0.25">
      <c r="A182" s="24">
        <v>26</v>
      </c>
      <c r="B182" s="2" t="s">
        <v>215</v>
      </c>
      <c r="C182" s="2" t="str">
        <f>IF(Tabelle728[[#This Row],[score_0_3]]=0,"",IFERROR(_xlfn.MINIFS(Tabelle7[doc_id],Tabelle7[company_id],Tabelle728[[#This Row],[company_id]],Tabelle7[gov_id],Tabelle728[[#This Row],[gov_crit_id]],Tabelle7[score_0_3],Tabelle728[[#This Row],[score_0_3]]),""))</f>
        <v/>
      </c>
      <c r="D182" s="3">
        <f>IFERROR(_xlfn.MAXIFS(Tabelle7[score_0_3],Tabelle7[company_id],Tabelle728[[#This Row],[company_id]],Tabelle7[gov_id],Tabelle728[[#This Row],[gov_crit_id]]),0)</f>
        <v>0</v>
      </c>
      <c r="E182" t="str" cm="1">
        <f t="array" ref="E182">IF(Tabelle728[[#This Row],[doc_id_primary_evidence]]="","",IFERROR(INDEX(Tabelle7[evidence_quote],MATCH(1,(Tabelle7[company_id]=Tabelle728[[#This Row],[company_id]])*(Tabelle7[gov_id]=Tabelle728[[#This Row],[gov_crit_id]])*(Tabelle7[doc_id]=Tabelle728[[#This Row],[doc_id_primary_evidence]]),0)),""))</f>
        <v/>
      </c>
      <c r="F182" s="51" t="str" cm="1">
        <f t="array" ref="F182">IF(Tabelle728[[#This Row],[doc_id_primary_evidence]]="","",IFERROR(INDEX(Tabelle7[evidence_location],MATCH(1,(Tabelle7[company_id]=Tabelle728[[#This Row],[company_id]])*(Tabelle7[gov_id]=Tabelle728[[#This Row],[gov_crit_id]])*(Tabelle7[doc_id]=Tabelle728[[#This Row],[doc_id_primary_evidence]]),0)),""))</f>
        <v/>
      </c>
    </row>
    <row r="183" spans="1:6" ht="15.75" thickBot="1" x14ac:dyDescent="0.3">
      <c r="A183" s="26">
        <v>26</v>
      </c>
      <c r="B183" s="27" t="s">
        <v>221</v>
      </c>
      <c r="C183" s="27" t="str">
        <f>IF(Tabelle728[[#This Row],[score_0_3]]=0,"",IFERROR(_xlfn.MINIFS(Tabelle7[doc_id],Tabelle7[company_id],Tabelle728[[#This Row],[company_id]],Tabelle7[gov_id],Tabelle728[[#This Row],[gov_crit_id]],Tabelle7[score_0_3],Tabelle728[[#This Row],[score_0_3]]),""))</f>
        <v/>
      </c>
      <c r="D183" s="28">
        <f>IFERROR(_xlfn.MAXIFS(Tabelle7[score_0_3],Tabelle7[company_id],Tabelle728[[#This Row],[company_id]],Tabelle7[gov_id],Tabelle728[[#This Row],[gov_crit_id]]),0)</f>
        <v>0</v>
      </c>
      <c r="E183" s="30" t="str" cm="1">
        <f t="array" ref="E183">IF(Tabelle728[[#This Row],[doc_id_primary_evidence]]="","",IFERROR(INDEX(Tabelle7[evidence_quote],MATCH(1,(Tabelle7[company_id]=Tabelle728[[#This Row],[company_id]])*(Tabelle7[gov_id]=Tabelle728[[#This Row],[gov_crit_id]])*(Tabelle7[doc_id]=Tabelle728[[#This Row],[doc_id_primary_evidence]]),0)),""))</f>
        <v/>
      </c>
      <c r="F183" s="52" t="str" cm="1">
        <f t="array" ref="F183">IF(Tabelle728[[#This Row],[doc_id_primary_evidence]]="","",IFERROR(INDEX(Tabelle7[evidence_location],MATCH(1,(Tabelle7[company_id]=Tabelle728[[#This Row],[company_id]])*(Tabelle7[gov_id]=Tabelle728[[#This Row],[gov_crit_id]])*(Tabelle7[doc_id]=Tabelle728[[#This Row],[doc_id_primary_evidence]]),0)),""))</f>
        <v/>
      </c>
    </row>
    <row r="184" spans="1:6" x14ac:dyDescent="0.25">
      <c r="A184" s="18">
        <v>27</v>
      </c>
      <c r="B184" s="19" t="s">
        <v>186</v>
      </c>
      <c r="C184" s="19">
        <f>IF(Tabelle728[[#This Row],[score_0_3]]=0,"",IFERROR(_xlfn.MINIFS(Tabelle7[doc_id],Tabelle7[company_id],Tabelle728[[#This Row],[company_id]],Tabelle7[gov_id],Tabelle728[[#This Row],[gov_crit_id]],Tabelle7[score_0_3],Tabelle728[[#This Row],[score_0_3]]),""))</f>
        <v>163</v>
      </c>
      <c r="D184" s="20">
        <f>IFERROR(_xlfn.MAXIFS(Tabelle7[score_0_3],Tabelle7[company_id],Tabelle728[[#This Row],[company_id]],Tabelle7[gov_id],Tabelle728[[#This Row],[gov_crit_id]]),0)</f>
        <v>2</v>
      </c>
      <c r="E184" s="22" t="str" cm="1">
        <f t="array" ref="E184">IF(Tabelle728[[#This Row],[doc_id_primary_evidence]]="","",IFERROR(INDEX(Tabelle7[evidence_quote],MATCH(1,(Tabelle7[company_id]=Tabelle728[[#This Row],[company_id]])*(Tabelle7[gov_id]=Tabelle728[[#This Row],[gov_crit_id]])*(Tabelle7[doc_id]=Tabelle728[[#This Row],[doc_id_primary_evidence]]),0)),""))</f>
        <v>“handled by the Data Strategy and Governance department”; “All Munich Re staff can contact this department”; “overseen by the Compliance and Legal division”</v>
      </c>
      <c r="F184" s="50" t="str" cm="1">
        <f t="array" ref="F184">IF(Tabelle728[[#This Row],[doc_id_primary_evidence]]="","",IFERROR(INDEX(Tabelle7[evidence_location],MATCH(1,(Tabelle7[company_id]=Tabelle728[[#This Row],[company_id]])*(Tabelle7[gov_id]=Tabelle728[[#This Row],[gov_crit_id]])*(Tabelle7[doc_id]=Tabelle728[[#This Row],[doc_id_primary_evidence]]),0)),""))</f>
        <v>S. 58 „Responsible digital transformation…“</v>
      </c>
    </row>
    <row r="185" spans="1:6" x14ac:dyDescent="0.25">
      <c r="A185" s="24">
        <v>27</v>
      </c>
      <c r="B185" s="2" t="s">
        <v>192</v>
      </c>
      <c r="C185" s="2">
        <f>IF(Tabelle728[[#This Row],[score_0_3]]=0,"",IFERROR(_xlfn.MINIFS(Tabelle7[doc_id],Tabelle7[company_id],Tabelle728[[#This Row],[company_id]],Tabelle7[gov_id],Tabelle728[[#This Row],[gov_crit_id]],Tabelle7[score_0_3],Tabelle728[[#This Row],[score_0_3]]),""))</f>
        <v>163</v>
      </c>
      <c r="D185" s="3">
        <f>IFERROR(_xlfn.MAXIFS(Tabelle7[score_0_3],Tabelle7[company_id],Tabelle728[[#This Row],[company_id]],Tabelle7[gov_id],Tabelle728[[#This Row],[gov_crit_id]]),0)</f>
        <v>2</v>
      </c>
      <c r="E185" t="str" cm="1">
        <f t="array" ref="E185">IF(Tabelle728[[#This Row],[doc_id_primary_evidence]]="","",IFERROR(INDEX(Tabelle7[evidence_quote],MATCH(1,(Tabelle7[company_id]=Tabelle728[[#This Row],[company_id]])*(Tabelle7[gov_id]=Tabelle728[[#This Row],[gov_crit_id]])*(Tabelle7[doc_id]=Tabelle728[[#This Row],[doc_id_primary_evidence]]),0)),""))</f>
        <v>“reviewed using a defined process”</v>
      </c>
      <c r="F185" s="51" t="str" cm="1">
        <f t="array" ref="F185">IF(Tabelle728[[#This Row],[doc_id_primary_evidence]]="","",IFERROR(INDEX(Tabelle7[evidence_location],MATCH(1,(Tabelle7[company_id]=Tabelle728[[#This Row],[company_id]])*(Tabelle7[gov_id]=Tabelle728[[#This Row],[gov_crit_id]])*(Tabelle7[doc_id]=Tabelle728[[#This Row],[doc_id_primary_evidence]]),0)),""))</f>
        <v>S. 60 „Measures“</v>
      </c>
    </row>
    <row r="186" spans="1:6" x14ac:dyDescent="0.25">
      <c r="A186" s="24">
        <v>27</v>
      </c>
      <c r="B186" s="2" t="s">
        <v>198</v>
      </c>
      <c r="C186" s="2">
        <f>IF(Tabelle728[[#This Row],[score_0_3]]=0,"",IFERROR(_xlfn.MINIFS(Tabelle7[doc_id],Tabelle7[company_id],Tabelle728[[#This Row],[company_id]],Tabelle7[gov_id],Tabelle728[[#This Row],[gov_crit_id]],Tabelle7[score_0_3],Tabelle728[[#This Row],[score_0_3]]),""))</f>
        <v>163</v>
      </c>
      <c r="D186" s="3">
        <f>IFERROR(_xlfn.MAXIFS(Tabelle7[score_0_3],Tabelle7[company_id],Tabelle728[[#This Row],[company_id]],Tabelle7[gov_id],Tabelle728[[#This Row],[gov_crit_id]]),0)</f>
        <v>2</v>
      </c>
      <c r="E186" t="str" cm="1">
        <f t="array" ref="E186">IF(Tabelle728[[#This Row],[doc_id_primary_evidence]]="","",IFERROR(INDEX(Tabelle7[evidence_quote],MATCH(1,(Tabelle7[company_id]=Tabelle728[[#This Row],[company_id]])*(Tabelle7[gov_id]=Tabelle728[[#This Row],[gov_crit_id]])*(Tabelle7[doc_id]=Tabelle728[[#This Row],[doc_id_primary_evidence]]),0)),""))</f>
        <v>“identified and monitored through a privacy impact assessment”; “introduced an overarching governance, risk and compliance platform”; “we check that our data resources cover all relevant demographic groups”</v>
      </c>
      <c r="F186" s="51" t="str" cm="1">
        <f t="array" ref="F186">IF(Tabelle728[[#This Row],[doc_id_primary_evidence]]="","",IFERROR(INDEX(Tabelle7[evidence_location],MATCH(1,(Tabelle7[company_id]=Tabelle728[[#This Row],[company_id]])*(Tabelle7[gov_id]=Tabelle728[[#This Row],[gov_crit_id]])*(Tabelle7[doc_id]=Tabelle728[[#This Row],[doc_id_primary_evidence]]),0)),""))</f>
        <v>S. 60 „Measures“</v>
      </c>
    </row>
    <row r="187" spans="1:6" x14ac:dyDescent="0.25">
      <c r="A187" s="24">
        <v>27</v>
      </c>
      <c r="B187" s="2" t="s">
        <v>204</v>
      </c>
      <c r="C187" s="2" t="str">
        <f>IF(Tabelle728[[#This Row],[score_0_3]]=0,"",IFERROR(_xlfn.MINIFS(Tabelle7[doc_id],Tabelle7[company_id],Tabelle728[[#This Row],[company_id]],Tabelle7[gov_id],Tabelle728[[#This Row],[gov_crit_id]],Tabelle7[score_0_3],Tabelle728[[#This Row],[score_0_3]]),""))</f>
        <v/>
      </c>
      <c r="D187" s="3">
        <f>IFERROR(_xlfn.MAXIFS(Tabelle7[score_0_3],Tabelle7[company_id],Tabelle728[[#This Row],[company_id]],Tabelle7[gov_id],Tabelle728[[#This Row],[gov_crit_id]]),0)</f>
        <v>0</v>
      </c>
      <c r="E187" t="str" cm="1">
        <f t="array" ref="E187">IF(Tabelle728[[#This Row],[doc_id_primary_evidence]]="","",IFERROR(INDEX(Tabelle7[evidence_quote],MATCH(1,(Tabelle7[company_id]=Tabelle728[[#This Row],[company_id]])*(Tabelle7[gov_id]=Tabelle728[[#This Row],[gov_crit_id]])*(Tabelle7[doc_id]=Tabelle728[[#This Row],[doc_id_primary_evidence]]),0)),""))</f>
        <v/>
      </c>
      <c r="F187" s="51" t="str" cm="1">
        <f t="array" ref="F187">IF(Tabelle728[[#This Row],[doc_id_primary_evidence]]="","",IFERROR(INDEX(Tabelle7[evidence_location],MATCH(1,(Tabelle7[company_id]=Tabelle728[[#This Row],[company_id]])*(Tabelle7[gov_id]=Tabelle728[[#This Row],[gov_crit_id]])*(Tabelle7[doc_id]=Tabelle728[[#This Row],[doc_id_primary_evidence]]),0)),""))</f>
        <v/>
      </c>
    </row>
    <row r="188" spans="1:6" x14ac:dyDescent="0.25">
      <c r="A188" s="24">
        <v>27</v>
      </c>
      <c r="B188" s="2" t="s">
        <v>210</v>
      </c>
      <c r="C188" s="2">
        <f>IF(Tabelle728[[#This Row],[score_0_3]]=0,"",IFERROR(_xlfn.MINIFS(Tabelle7[doc_id],Tabelle7[company_id],Tabelle728[[#This Row],[company_id]],Tabelle7[gov_id],Tabelle728[[#This Row],[gov_crit_id]],Tabelle7[score_0_3],Tabelle728[[#This Row],[score_0_3]]),""))</f>
        <v>163</v>
      </c>
      <c r="D188" s="3">
        <f>IFERROR(_xlfn.MAXIFS(Tabelle7[score_0_3],Tabelle7[company_id],Tabelle728[[#This Row],[company_id]],Tabelle7[gov_id],Tabelle728[[#This Row],[gov_crit_id]]),0)</f>
        <v>3</v>
      </c>
      <c r="E188" t="str" cm="1">
        <f t="array" ref="E188">IF(Tabelle728[[#This Row],[doc_id_primary_evidence]]="","",IFERROR(INDEX(Tabelle7[evidence_quote],MATCH(1,(Tabelle7[company_id]=Tabelle728[[#This Row],[company_id]])*(Tabelle7[gov_id]=Tabelle728[[#This Row],[gov_crit_id]])*(Tabelle7[doc_id]=Tabelle728[[#This Row],[doc_id_primary_evidence]]),0)),""))</f>
        <v>“staff receive regular training via e-learning programs”; “All new staff are also required to complete”; “online presentations outlining the handling of data, analytics and AI”</v>
      </c>
      <c r="F188" s="51" t="str" cm="1">
        <f t="array" ref="F188">IF(Tabelle728[[#This Row],[doc_id_primary_evidence]]="","",IFERROR(INDEX(Tabelle7[evidence_location],MATCH(1,(Tabelle7[company_id]=Tabelle728[[#This Row],[company_id]])*(Tabelle7[gov_id]=Tabelle728[[#This Row],[gov_crit_id]])*(Tabelle7[doc_id]=Tabelle728[[#This Row],[doc_id_primary_evidence]]),0)),""))</f>
        <v>S. 60 „Measures“</v>
      </c>
    </row>
    <row r="189" spans="1:6" x14ac:dyDescent="0.25">
      <c r="A189" s="24">
        <v>27</v>
      </c>
      <c r="B189" s="2" t="s">
        <v>215</v>
      </c>
      <c r="C189" s="2">
        <f>IF(Tabelle728[[#This Row],[score_0_3]]=0,"",IFERROR(_xlfn.MINIFS(Tabelle7[doc_id],Tabelle7[company_id],Tabelle728[[#This Row],[company_id]],Tabelle7[gov_id],Tabelle728[[#This Row],[gov_crit_id]],Tabelle7[score_0_3],Tabelle728[[#This Row],[score_0_3]]),""))</f>
        <v>163</v>
      </c>
      <c r="D189" s="3">
        <f>IFERROR(_xlfn.MAXIFS(Tabelle7[score_0_3],Tabelle7[company_id],Tabelle728[[#This Row],[company_id]],Tabelle7[gov_id],Tabelle728[[#This Row],[gov_crit_id]]),0)</f>
        <v>1</v>
      </c>
      <c r="E189" t="str" cm="1">
        <f t="array" ref="E189">IF(Tabelle728[[#This Row],[doc_id_primary_evidence]]="","",IFERROR(INDEX(Tabelle7[evidence_quote],MATCH(1,(Tabelle7[company_id]=Tabelle728[[#This Row],[company_id]])*(Tabelle7[gov_id]=Tabelle728[[#This Row],[gov_crit_id]])*(Tabelle7[doc_id]=Tabelle728[[#This Row],[doc_id_primary_evidence]]),0)),""))</f>
        <v>“All Munich Re staff can contact this department”</v>
      </c>
      <c r="F189" s="51" t="str" cm="1">
        <f t="array" ref="F189">IF(Tabelle728[[#This Row],[doc_id_primary_evidence]]="","",IFERROR(INDEX(Tabelle7[evidence_location],MATCH(1,(Tabelle7[company_id]=Tabelle728[[#This Row],[company_id]])*(Tabelle7[gov_id]=Tabelle728[[#This Row],[gov_crit_id]])*(Tabelle7[doc_id]=Tabelle728[[#This Row],[doc_id_primary_evidence]]),0)),""))</f>
        <v>S. 58 „Responsible digital transformation…“</v>
      </c>
    </row>
    <row r="190" spans="1:6" ht="15.75" thickBot="1" x14ac:dyDescent="0.3">
      <c r="A190" s="26">
        <v>27</v>
      </c>
      <c r="B190" s="27" t="s">
        <v>221</v>
      </c>
      <c r="C190" s="27">
        <f>IF(Tabelle728[[#This Row],[score_0_3]]=0,"",IFERROR(_xlfn.MINIFS(Tabelle7[doc_id],Tabelle7[company_id],Tabelle728[[#This Row],[company_id]],Tabelle7[gov_id],Tabelle728[[#This Row],[gov_crit_id]],Tabelle7[score_0_3],Tabelle728[[#This Row],[score_0_3]]),""))</f>
        <v>163</v>
      </c>
      <c r="D190" s="28">
        <f>IFERROR(_xlfn.MAXIFS(Tabelle7[score_0_3],Tabelle7[company_id],Tabelle728[[#This Row],[company_id]],Tabelle7[gov_id],Tabelle728[[#This Row],[gov_crit_id]]),0)</f>
        <v>1</v>
      </c>
      <c r="E190" s="30" t="str" cm="1">
        <f t="array" ref="E190">IF(Tabelle728[[#This Row],[doc_id_primary_evidence]]="","",IFERROR(INDEX(Tabelle7[evidence_quote],MATCH(1,(Tabelle7[company_id]=Tabelle728[[#This Row],[company_id]])*(Tabelle7[gov_id]=Tabelle728[[#This Row],[gov_crit_id]])*(Tabelle7[doc_id]=Tabelle728[[#This Row],[doc_id_primary_evidence]]),0)),""))</f>
        <v>“handled by the Data Strategy and Governance department”; “All Munich Re staff can contact this department”</v>
      </c>
      <c r="F190" s="52" t="str" cm="1">
        <f t="array" ref="F190">IF(Tabelle728[[#This Row],[doc_id_primary_evidence]]="","",IFERROR(INDEX(Tabelle7[evidence_location],MATCH(1,(Tabelle7[company_id]=Tabelle728[[#This Row],[company_id]])*(Tabelle7[gov_id]=Tabelle728[[#This Row],[gov_crit_id]])*(Tabelle7[doc_id]=Tabelle728[[#This Row],[doc_id_primary_evidence]]),0)),""))</f>
        <v>S. 58 „Responsible digital transformation…“</v>
      </c>
    </row>
    <row r="191" spans="1:6" x14ac:dyDescent="0.25">
      <c r="A191" s="18">
        <v>28</v>
      </c>
      <c r="B191" s="19" t="s">
        <v>186</v>
      </c>
      <c r="C191" s="19" t="str">
        <f>IF(Tabelle728[[#This Row],[score_0_3]]=0,"",IFERROR(_xlfn.MINIFS(Tabelle7[doc_id],Tabelle7[company_id],Tabelle728[[#This Row],[company_id]],Tabelle7[gov_id],Tabelle728[[#This Row],[gov_crit_id]],Tabelle7[score_0_3],Tabelle728[[#This Row],[score_0_3]]),""))</f>
        <v/>
      </c>
      <c r="D191" s="20">
        <f>IFERROR(_xlfn.MAXIFS(Tabelle7[score_0_3],Tabelle7[company_id],Tabelle728[[#This Row],[company_id]],Tabelle7[gov_id],Tabelle728[[#This Row],[gov_crit_id]]),0)</f>
        <v>0</v>
      </c>
      <c r="E191" s="22" t="str" cm="1">
        <f t="array" ref="E191">IF(Tabelle728[[#This Row],[doc_id_primary_evidence]]="","",IFERROR(INDEX(Tabelle7[evidence_quote],MATCH(1,(Tabelle7[company_id]=Tabelle728[[#This Row],[company_id]])*(Tabelle7[gov_id]=Tabelle728[[#This Row],[gov_crit_id]])*(Tabelle7[doc_id]=Tabelle728[[#This Row],[doc_id_primary_evidence]]),0)),""))</f>
        <v/>
      </c>
      <c r="F191" s="50" t="str" cm="1">
        <f t="array" ref="F191">IF(Tabelle728[[#This Row],[doc_id_primary_evidence]]="","",IFERROR(INDEX(Tabelle7[evidence_location],MATCH(1,(Tabelle7[company_id]=Tabelle728[[#This Row],[company_id]])*(Tabelle7[gov_id]=Tabelle728[[#This Row],[gov_crit_id]])*(Tabelle7[doc_id]=Tabelle728[[#This Row],[doc_id_primary_evidence]]),0)),""))</f>
        <v/>
      </c>
    </row>
    <row r="192" spans="1:6" x14ac:dyDescent="0.25">
      <c r="A192" s="24">
        <v>28</v>
      </c>
      <c r="B192" s="2" t="s">
        <v>192</v>
      </c>
      <c r="C192" s="2" t="str">
        <f>IF(Tabelle728[[#This Row],[score_0_3]]=0,"",IFERROR(_xlfn.MINIFS(Tabelle7[doc_id],Tabelle7[company_id],Tabelle728[[#This Row],[company_id]],Tabelle7[gov_id],Tabelle728[[#This Row],[gov_crit_id]],Tabelle7[score_0_3],Tabelle728[[#This Row],[score_0_3]]),""))</f>
        <v/>
      </c>
      <c r="D192" s="3">
        <f>IFERROR(_xlfn.MAXIFS(Tabelle7[score_0_3],Tabelle7[company_id],Tabelle728[[#This Row],[company_id]],Tabelle7[gov_id],Tabelle728[[#This Row],[gov_crit_id]]),0)</f>
        <v>0</v>
      </c>
      <c r="E192" t="str" cm="1">
        <f t="array" ref="E192">IF(Tabelle728[[#This Row],[doc_id_primary_evidence]]="","",IFERROR(INDEX(Tabelle7[evidence_quote],MATCH(1,(Tabelle7[company_id]=Tabelle728[[#This Row],[company_id]])*(Tabelle7[gov_id]=Tabelle728[[#This Row],[gov_crit_id]])*(Tabelle7[doc_id]=Tabelle728[[#This Row],[doc_id_primary_evidence]]),0)),""))</f>
        <v/>
      </c>
      <c r="F192" s="51" t="str" cm="1">
        <f t="array" ref="F192">IF(Tabelle728[[#This Row],[doc_id_primary_evidence]]="","",IFERROR(INDEX(Tabelle7[evidence_location],MATCH(1,(Tabelle7[company_id]=Tabelle728[[#This Row],[company_id]])*(Tabelle7[gov_id]=Tabelle728[[#This Row],[gov_crit_id]])*(Tabelle7[doc_id]=Tabelle728[[#This Row],[doc_id_primary_evidence]]),0)),""))</f>
        <v/>
      </c>
    </row>
    <row r="193" spans="1:6" x14ac:dyDescent="0.25">
      <c r="A193" s="24">
        <v>28</v>
      </c>
      <c r="B193" s="2" t="s">
        <v>198</v>
      </c>
      <c r="C193" s="2" t="str">
        <f>IF(Tabelle728[[#This Row],[score_0_3]]=0,"",IFERROR(_xlfn.MINIFS(Tabelle7[doc_id],Tabelle7[company_id],Tabelle728[[#This Row],[company_id]],Tabelle7[gov_id],Tabelle728[[#This Row],[gov_crit_id]],Tabelle7[score_0_3],Tabelle728[[#This Row],[score_0_3]]),""))</f>
        <v/>
      </c>
      <c r="D193" s="3">
        <f>IFERROR(_xlfn.MAXIFS(Tabelle7[score_0_3],Tabelle7[company_id],Tabelle728[[#This Row],[company_id]],Tabelle7[gov_id],Tabelle728[[#This Row],[gov_crit_id]]),0)</f>
        <v>0</v>
      </c>
      <c r="E193" t="str" cm="1">
        <f t="array" ref="E193">IF(Tabelle728[[#This Row],[doc_id_primary_evidence]]="","",IFERROR(INDEX(Tabelle7[evidence_quote],MATCH(1,(Tabelle7[company_id]=Tabelle728[[#This Row],[company_id]])*(Tabelle7[gov_id]=Tabelle728[[#This Row],[gov_crit_id]])*(Tabelle7[doc_id]=Tabelle728[[#This Row],[doc_id_primary_evidence]]),0)),""))</f>
        <v/>
      </c>
      <c r="F193" s="51" t="str" cm="1">
        <f t="array" ref="F193">IF(Tabelle728[[#This Row],[doc_id_primary_evidence]]="","",IFERROR(INDEX(Tabelle7[evidence_location],MATCH(1,(Tabelle7[company_id]=Tabelle728[[#This Row],[company_id]])*(Tabelle7[gov_id]=Tabelle728[[#This Row],[gov_crit_id]])*(Tabelle7[doc_id]=Tabelle728[[#This Row],[doc_id_primary_evidence]]),0)),""))</f>
        <v/>
      </c>
    </row>
    <row r="194" spans="1:6" x14ac:dyDescent="0.25">
      <c r="A194" s="24">
        <v>28</v>
      </c>
      <c r="B194" s="2" t="s">
        <v>204</v>
      </c>
      <c r="C194" s="2" t="str">
        <f>IF(Tabelle728[[#This Row],[score_0_3]]=0,"",IFERROR(_xlfn.MINIFS(Tabelle7[doc_id],Tabelle7[company_id],Tabelle728[[#This Row],[company_id]],Tabelle7[gov_id],Tabelle728[[#This Row],[gov_crit_id]],Tabelle7[score_0_3],Tabelle728[[#This Row],[score_0_3]]),""))</f>
        <v/>
      </c>
      <c r="D194" s="3">
        <f>IFERROR(_xlfn.MAXIFS(Tabelle7[score_0_3],Tabelle7[company_id],Tabelle728[[#This Row],[company_id]],Tabelle7[gov_id],Tabelle728[[#This Row],[gov_crit_id]]),0)</f>
        <v>0</v>
      </c>
      <c r="E194" t="str" cm="1">
        <f t="array" ref="E194">IF(Tabelle728[[#This Row],[doc_id_primary_evidence]]="","",IFERROR(INDEX(Tabelle7[evidence_quote],MATCH(1,(Tabelle7[company_id]=Tabelle728[[#This Row],[company_id]])*(Tabelle7[gov_id]=Tabelle728[[#This Row],[gov_crit_id]])*(Tabelle7[doc_id]=Tabelle728[[#This Row],[doc_id_primary_evidence]]),0)),""))</f>
        <v/>
      </c>
      <c r="F194" s="51" t="str" cm="1">
        <f t="array" ref="F194">IF(Tabelle728[[#This Row],[doc_id_primary_evidence]]="","",IFERROR(INDEX(Tabelle7[evidence_location],MATCH(1,(Tabelle7[company_id]=Tabelle728[[#This Row],[company_id]])*(Tabelle7[gov_id]=Tabelle728[[#This Row],[gov_crit_id]])*(Tabelle7[doc_id]=Tabelle728[[#This Row],[doc_id_primary_evidence]]),0)),""))</f>
        <v/>
      </c>
    </row>
    <row r="195" spans="1:6" x14ac:dyDescent="0.25">
      <c r="A195" s="24">
        <v>28</v>
      </c>
      <c r="B195" s="2" t="s">
        <v>210</v>
      </c>
      <c r="C195" s="2" t="str">
        <f>IF(Tabelle728[[#This Row],[score_0_3]]=0,"",IFERROR(_xlfn.MINIFS(Tabelle7[doc_id],Tabelle7[company_id],Tabelle728[[#This Row],[company_id]],Tabelle7[gov_id],Tabelle728[[#This Row],[gov_crit_id]],Tabelle7[score_0_3],Tabelle728[[#This Row],[score_0_3]]),""))</f>
        <v/>
      </c>
      <c r="D195" s="3">
        <f>IFERROR(_xlfn.MAXIFS(Tabelle7[score_0_3],Tabelle7[company_id],Tabelle728[[#This Row],[company_id]],Tabelle7[gov_id],Tabelle728[[#This Row],[gov_crit_id]]),0)</f>
        <v>0</v>
      </c>
      <c r="E195" t="str" cm="1">
        <f t="array" ref="E195">IF(Tabelle728[[#This Row],[doc_id_primary_evidence]]="","",IFERROR(INDEX(Tabelle7[evidence_quote],MATCH(1,(Tabelle7[company_id]=Tabelle728[[#This Row],[company_id]])*(Tabelle7[gov_id]=Tabelle728[[#This Row],[gov_crit_id]])*(Tabelle7[doc_id]=Tabelle728[[#This Row],[doc_id_primary_evidence]]),0)),""))</f>
        <v/>
      </c>
      <c r="F195" s="51" t="str" cm="1">
        <f t="array" ref="F195">IF(Tabelle728[[#This Row],[doc_id_primary_evidence]]="","",IFERROR(INDEX(Tabelle7[evidence_location],MATCH(1,(Tabelle7[company_id]=Tabelle728[[#This Row],[company_id]])*(Tabelle7[gov_id]=Tabelle728[[#This Row],[gov_crit_id]])*(Tabelle7[doc_id]=Tabelle728[[#This Row],[doc_id_primary_evidence]]),0)),""))</f>
        <v/>
      </c>
    </row>
    <row r="196" spans="1:6" x14ac:dyDescent="0.25">
      <c r="A196" s="24">
        <v>28</v>
      </c>
      <c r="B196" s="2" t="s">
        <v>215</v>
      </c>
      <c r="C196" s="2" t="str">
        <f>IF(Tabelle728[[#This Row],[score_0_3]]=0,"",IFERROR(_xlfn.MINIFS(Tabelle7[doc_id],Tabelle7[company_id],Tabelle728[[#This Row],[company_id]],Tabelle7[gov_id],Tabelle728[[#This Row],[gov_crit_id]],Tabelle7[score_0_3],Tabelle728[[#This Row],[score_0_3]]),""))</f>
        <v/>
      </c>
      <c r="D196" s="3">
        <f>IFERROR(_xlfn.MAXIFS(Tabelle7[score_0_3],Tabelle7[company_id],Tabelle728[[#This Row],[company_id]],Tabelle7[gov_id],Tabelle728[[#This Row],[gov_crit_id]]),0)</f>
        <v>0</v>
      </c>
      <c r="E196" t="str" cm="1">
        <f t="array" ref="E196">IF(Tabelle728[[#This Row],[doc_id_primary_evidence]]="","",IFERROR(INDEX(Tabelle7[evidence_quote],MATCH(1,(Tabelle7[company_id]=Tabelle728[[#This Row],[company_id]])*(Tabelle7[gov_id]=Tabelle728[[#This Row],[gov_crit_id]])*(Tabelle7[doc_id]=Tabelle728[[#This Row],[doc_id_primary_evidence]]),0)),""))</f>
        <v/>
      </c>
      <c r="F196" s="51" t="str" cm="1">
        <f t="array" ref="F196">IF(Tabelle728[[#This Row],[doc_id_primary_evidence]]="","",IFERROR(INDEX(Tabelle7[evidence_location],MATCH(1,(Tabelle7[company_id]=Tabelle728[[#This Row],[company_id]])*(Tabelle7[gov_id]=Tabelle728[[#This Row],[gov_crit_id]])*(Tabelle7[doc_id]=Tabelle728[[#This Row],[doc_id_primary_evidence]]),0)),""))</f>
        <v/>
      </c>
    </row>
    <row r="197" spans="1:6" ht="15.75" thickBot="1" x14ac:dyDescent="0.3">
      <c r="A197" s="26">
        <v>28</v>
      </c>
      <c r="B197" s="27" t="s">
        <v>221</v>
      </c>
      <c r="C197" s="27" t="str">
        <f>IF(Tabelle728[[#This Row],[score_0_3]]=0,"",IFERROR(_xlfn.MINIFS(Tabelle7[doc_id],Tabelle7[company_id],Tabelle728[[#This Row],[company_id]],Tabelle7[gov_id],Tabelle728[[#This Row],[gov_crit_id]],Tabelle7[score_0_3],Tabelle728[[#This Row],[score_0_3]]),""))</f>
        <v/>
      </c>
      <c r="D197" s="28">
        <f>IFERROR(_xlfn.MAXIFS(Tabelle7[score_0_3],Tabelle7[company_id],Tabelle728[[#This Row],[company_id]],Tabelle7[gov_id],Tabelle728[[#This Row],[gov_crit_id]]),0)</f>
        <v>0</v>
      </c>
      <c r="E197" s="30" t="str" cm="1">
        <f t="array" ref="E197">IF(Tabelle728[[#This Row],[doc_id_primary_evidence]]="","",IFERROR(INDEX(Tabelle7[evidence_quote],MATCH(1,(Tabelle7[company_id]=Tabelle728[[#This Row],[company_id]])*(Tabelle7[gov_id]=Tabelle728[[#This Row],[gov_crit_id]])*(Tabelle7[doc_id]=Tabelle728[[#This Row],[doc_id_primary_evidence]]),0)),""))</f>
        <v/>
      </c>
      <c r="F197" s="52" t="str" cm="1">
        <f t="array" ref="F197">IF(Tabelle728[[#This Row],[doc_id_primary_evidence]]="","",IFERROR(INDEX(Tabelle7[evidence_location],MATCH(1,(Tabelle7[company_id]=Tabelle728[[#This Row],[company_id]])*(Tabelle7[gov_id]=Tabelle728[[#This Row],[gov_crit_id]])*(Tabelle7[doc_id]=Tabelle728[[#This Row],[doc_id_primary_evidence]]),0)),""))</f>
        <v/>
      </c>
    </row>
    <row r="198" spans="1:6" x14ac:dyDescent="0.25">
      <c r="A198" s="18">
        <v>29</v>
      </c>
      <c r="B198" s="19" t="s">
        <v>186</v>
      </c>
      <c r="C198" s="19" t="str">
        <f>IF(Tabelle728[[#This Row],[score_0_3]]=0,"",IFERROR(_xlfn.MINIFS(Tabelle7[doc_id],Tabelle7[company_id],Tabelle728[[#This Row],[company_id]],Tabelle7[gov_id],Tabelle728[[#This Row],[gov_crit_id]],Tabelle7[score_0_3],Tabelle728[[#This Row],[score_0_3]]),""))</f>
        <v/>
      </c>
      <c r="D198" s="20">
        <f>IFERROR(_xlfn.MAXIFS(Tabelle7[score_0_3],Tabelle7[company_id],Tabelle728[[#This Row],[company_id]],Tabelle7[gov_id],Tabelle728[[#This Row],[gov_crit_id]]),0)</f>
        <v>0</v>
      </c>
      <c r="E198" s="22" t="str" cm="1">
        <f t="array" ref="E198">IF(Tabelle728[[#This Row],[doc_id_primary_evidence]]="","",IFERROR(INDEX(Tabelle7[evidence_quote],MATCH(1,(Tabelle7[company_id]=Tabelle728[[#This Row],[company_id]])*(Tabelle7[gov_id]=Tabelle728[[#This Row],[gov_crit_id]])*(Tabelle7[doc_id]=Tabelle728[[#This Row],[doc_id_primary_evidence]]),0)),""))</f>
        <v/>
      </c>
      <c r="F198" s="50" t="str" cm="1">
        <f t="array" ref="F198">IF(Tabelle728[[#This Row],[doc_id_primary_evidence]]="","",IFERROR(INDEX(Tabelle7[evidence_location],MATCH(1,(Tabelle7[company_id]=Tabelle728[[#This Row],[company_id]])*(Tabelle7[gov_id]=Tabelle728[[#This Row],[gov_crit_id]])*(Tabelle7[doc_id]=Tabelle728[[#This Row],[doc_id_primary_evidence]]),0)),""))</f>
        <v/>
      </c>
    </row>
    <row r="199" spans="1:6" x14ac:dyDescent="0.25">
      <c r="A199" s="24">
        <v>29</v>
      </c>
      <c r="B199" s="2" t="s">
        <v>192</v>
      </c>
      <c r="C199" s="2" t="str">
        <f>IF(Tabelle728[[#This Row],[score_0_3]]=0,"",IFERROR(_xlfn.MINIFS(Tabelle7[doc_id],Tabelle7[company_id],Tabelle728[[#This Row],[company_id]],Tabelle7[gov_id],Tabelle728[[#This Row],[gov_crit_id]],Tabelle7[score_0_3],Tabelle728[[#This Row],[score_0_3]]),""))</f>
        <v/>
      </c>
      <c r="D199" s="3">
        <f>IFERROR(_xlfn.MAXIFS(Tabelle7[score_0_3],Tabelle7[company_id],Tabelle728[[#This Row],[company_id]],Tabelle7[gov_id],Tabelle728[[#This Row],[gov_crit_id]]),0)</f>
        <v>0</v>
      </c>
      <c r="E199" t="str" cm="1">
        <f t="array" ref="E199">IF(Tabelle728[[#This Row],[doc_id_primary_evidence]]="","",IFERROR(INDEX(Tabelle7[evidence_quote],MATCH(1,(Tabelle7[company_id]=Tabelle728[[#This Row],[company_id]])*(Tabelle7[gov_id]=Tabelle728[[#This Row],[gov_crit_id]])*(Tabelle7[doc_id]=Tabelle728[[#This Row],[doc_id_primary_evidence]]),0)),""))</f>
        <v/>
      </c>
      <c r="F199" s="51" t="str" cm="1">
        <f t="array" ref="F199">IF(Tabelle728[[#This Row],[doc_id_primary_evidence]]="","",IFERROR(INDEX(Tabelle7[evidence_location],MATCH(1,(Tabelle7[company_id]=Tabelle728[[#This Row],[company_id]])*(Tabelle7[gov_id]=Tabelle728[[#This Row],[gov_crit_id]])*(Tabelle7[doc_id]=Tabelle728[[#This Row],[doc_id_primary_evidence]]),0)),""))</f>
        <v/>
      </c>
    </row>
    <row r="200" spans="1:6" x14ac:dyDescent="0.25">
      <c r="A200" s="24">
        <v>29</v>
      </c>
      <c r="B200" s="2" t="s">
        <v>198</v>
      </c>
      <c r="C200" s="2" t="str">
        <f>IF(Tabelle728[[#This Row],[score_0_3]]=0,"",IFERROR(_xlfn.MINIFS(Tabelle7[doc_id],Tabelle7[company_id],Tabelle728[[#This Row],[company_id]],Tabelle7[gov_id],Tabelle728[[#This Row],[gov_crit_id]],Tabelle7[score_0_3],Tabelle728[[#This Row],[score_0_3]]),""))</f>
        <v/>
      </c>
      <c r="D200" s="3">
        <f>IFERROR(_xlfn.MAXIFS(Tabelle7[score_0_3],Tabelle7[company_id],Tabelle728[[#This Row],[company_id]],Tabelle7[gov_id],Tabelle728[[#This Row],[gov_crit_id]]),0)</f>
        <v>0</v>
      </c>
      <c r="E200" t="str" cm="1">
        <f t="array" ref="E200">IF(Tabelle728[[#This Row],[doc_id_primary_evidence]]="","",IFERROR(INDEX(Tabelle7[evidence_quote],MATCH(1,(Tabelle7[company_id]=Tabelle728[[#This Row],[company_id]])*(Tabelle7[gov_id]=Tabelle728[[#This Row],[gov_crit_id]])*(Tabelle7[doc_id]=Tabelle728[[#This Row],[doc_id_primary_evidence]]),0)),""))</f>
        <v/>
      </c>
      <c r="F200" s="51" t="str" cm="1">
        <f t="array" ref="F200">IF(Tabelle728[[#This Row],[doc_id_primary_evidence]]="","",IFERROR(INDEX(Tabelle7[evidence_location],MATCH(1,(Tabelle7[company_id]=Tabelle728[[#This Row],[company_id]])*(Tabelle7[gov_id]=Tabelle728[[#This Row],[gov_crit_id]])*(Tabelle7[doc_id]=Tabelle728[[#This Row],[doc_id_primary_evidence]]),0)),""))</f>
        <v/>
      </c>
    </row>
    <row r="201" spans="1:6" x14ac:dyDescent="0.25">
      <c r="A201" s="24">
        <v>29</v>
      </c>
      <c r="B201" s="2" t="s">
        <v>204</v>
      </c>
      <c r="C201" s="2" t="str">
        <f>IF(Tabelle728[[#This Row],[score_0_3]]=0,"",IFERROR(_xlfn.MINIFS(Tabelle7[doc_id],Tabelle7[company_id],Tabelle728[[#This Row],[company_id]],Tabelle7[gov_id],Tabelle728[[#This Row],[gov_crit_id]],Tabelle7[score_0_3],Tabelle728[[#This Row],[score_0_3]]),""))</f>
        <v/>
      </c>
      <c r="D201" s="3">
        <f>IFERROR(_xlfn.MAXIFS(Tabelle7[score_0_3],Tabelle7[company_id],Tabelle728[[#This Row],[company_id]],Tabelle7[gov_id],Tabelle728[[#This Row],[gov_crit_id]]),0)</f>
        <v>0</v>
      </c>
      <c r="E201" t="str" cm="1">
        <f t="array" ref="E201">IF(Tabelle728[[#This Row],[doc_id_primary_evidence]]="","",IFERROR(INDEX(Tabelle7[evidence_quote],MATCH(1,(Tabelle7[company_id]=Tabelle728[[#This Row],[company_id]])*(Tabelle7[gov_id]=Tabelle728[[#This Row],[gov_crit_id]])*(Tabelle7[doc_id]=Tabelle728[[#This Row],[doc_id_primary_evidence]]),0)),""))</f>
        <v/>
      </c>
      <c r="F201" s="51" t="str" cm="1">
        <f t="array" ref="F201">IF(Tabelle728[[#This Row],[doc_id_primary_evidence]]="","",IFERROR(INDEX(Tabelle7[evidence_location],MATCH(1,(Tabelle7[company_id]=Tabelle728[[#This Row],[company_id]])*(Tabelle7[gov_id]=Tabelle728[[#This Row],[gov_crit_id]])*(Tabelle7[doc_id]=Tabelle728[[#This Row],[doc_id_primary_evidence]]),0)),""))</f>
        <v/>
      </c>
    </row>
    <row r="202" spans="1:6" x14ac:dyDescent="0.25">
      <c r="A202" s="24">
        <v>29</v>
      </c>
      <c r="B202" s="2" t="s">
        <v>210</v>
      </c>
      <c r="C202" s="2" t="str">
        <f>IF(Tabelle728[[#This Row],[score_0_3]]=0,"",IFERROR(_xlfn.MINIFS(Tabelle7[doc_id],Tabelle7[company_id],Tabelle728[[#This Row],[company_id]],Tabelle7[gov_id],Tabelle728[[#This Row],[gov_crit_id]],Tabelle7[score_0_3],Tabelle728[[#This Row],[score_0_3]]),""))</f>
        <v/>
      </c>
      <c r="D202" s="3">
        <f>IFERROR(_xlfn.MAXIFS(Tabelle7[score_0_3],Tabelle7[company_id],Tabelle728[[#This Row],[company_id]],Tabelle7[gov_id],Tabelle728[[#This Row],[gov_crit_id]]),0)</f>
        <v>0</v>
      </c>
      <c r="E202" t="str" cm="1">
        <f t="array" ref="E202">IF(Tabelle728[[#This Row],[doc_id_primary_evidence]]="","",IFERROR(INDEX(Tabelle7[evidence_quote],MATCH(1,(Tabelle7[company_id]=Tabelle728[[#This Row],[company_id]])*(Tabelle7[gov_id]=Tabelle728[[#This Row],[gov_crit_id]])*(Tabelle7[doc_id]=Tabelle728[[#This Row],[doc_id_primary_evidence]]),0)),""))</f>
        <v/>
      </c>
      <c r="F202" s="51" t="str" cm="1">
        <f t="array" ref="F202">IF(Tabelle728[[#This Row],[doc_id_primary_evidence]]="","",IFERROR(INDEX(Tabelle7[evidence_location],MATCH(1,(Tabelle7[company_id]=Tabelle728[[#This Row],[company_id]])*(Tabelle7[gov_id]=Tabelle728[[#This Row],[gov_crit_id]])*(Tabelle7[doc_id]=Tabelle728[[#This Row],[doc_id_primary_evidence]]),0)),""))</f>
        <v/>
      </c>
    </row>
    <row r="203" spans="1:6" x14ac:dyDescent="0.25">
      <c r="A203" s="24">
        <v>29</v>
      </c>
      <c r="B203" s="2" t="s">
        <v>215</v>
      </c>
      <c r="C203" s="2" t="str">
        <f>IF(Tabelle728[[#This Row],[score_0_3]]=0,"",IFERROR(_xlfn.MINIFS(Tabelle7[doc_id],Tabelle7[company_id],Tabelle728[[#This Row],[company_id]],Tabelle7[gov_id],Tabelle728[[#This Row],[gov_crit_id]],Tabelle7[score_0_3],Tabelle728[[#This Row],[score_0_3]]),""))</f>
        <v/>
      </c>
      <c r="D203" s="3">
        <f>IFERROR(_xlfn.MAXIFS(Tabelle7[score_0_3],Tabelle7[company_id],Tabelle728[[#This Row],[company_id]],Tabelle7[gov_id],Tabelle728[[#This Row],[gov_crit_id]]),0)</f>
        <v>0</v>
      </c>
      <c r="E203" t="str" cm="1">
        <f t="array" ref="E203">IF(Tabelle728[[#This Row],[doc_id_primary_evidence]]="","",IFERROR(INDEX(Tabelle7[evidence_quote],MATCH(1,(Tabelle7[company_id]=Tabelle728[[#This Row],[company_id]])*(Tabelle7[gov_id]=Tabelle728[[#This Row],[gov_crit_id]])*(Tabelle7[doc_id]=Tabelle728[[#This Row],[doc_id_primary_evidence]]),0)),""))</f>
        <v/>
      </c>
      <c r="F203" s="51" t="str" cm="1">
        <f t="array" ref="F203">IF(Tabelle728[[#This Row],[doc_id_primary_evidence]]="","",IFERROR(INDEX(Tabelle7[evidence_location],MATCH(1,(Tabelle7[company_id]=Tabelle728[[#This Row],[company_id]])*(Tabelle7[gov_id]=Tabelle728[[#This Row],[gov_crit_id]])*(Tabelle7[doc_id]=Tabelle728[[#This Row],[doc_id_primary_evidence]]),0)),""))</f>
        <v/>
      </c>
    </row>
    <row r="204" spans="1:6" ht="15.75" thickBot="1" x14ac:dyDescent="0.3">
      <c r="A204" s="26">
        <v>29</v>
      </c>
      <c r="B204" s="27" t="s">
        <v>221</v>
      </c>
      <c r="C204" s="27" t="str">
        <f>IF(Tabelle728[[#This Row],[score_0_3]]=0,"",IFERROR(_xlfn.MINIFS(Tabelle7[doc_id],Tabelle7[company_id],Tabelle728[[#This Row],[company_id]],Tabelle7[gov_id],Tabelle728[[#This Row],[gov_crit_id]],Tabelle7[score_0_3],Tabelle728[[#This Row],[score_0_3]]),""))</f>
        <v/>
      </c>
      <c r="D204" s="28">
        <f>IFERROR(_xlfn.MAXIFS(Tabelle7[score_0_3],Tabelle7[company_id],Tabelle728[[#This Row],[company_id]],Tabelle7[gov_id],Tabelle728[[#This Row],[gov_crit_id]]),0)</f>
        <v>0</v>
      </c>
      <c r="E204" s="30" t="str" cm="1">
        <f t="array" ref="E204">IF(Tabelle728[[#This Row],[doc_id_primary_evidence]]="","",IFERROR(INDEX(Tabelle7[evidence_quote],MATCH(1,(Tabelle7[company_id]=Tabelle728[[#This Row],[company_id]])*(Tabelle7[gov_id]=Tabelle728[[#This Row],[gov_crit_id]])*(Tabelle7[doc_id]=Tabelle728[[#This Row],[doc_id_primary_evidence]]),0)),""))</f>
        <v/>
      </c>
      <c r="F204" s="52" t="str" cm="1">
        <f t="array" ref="F204">IF(Tabelle728[[#This Row],[doc_id_primary_evidence]]="","",IFERROR(INDEX(Tabelle7[evidence_location],MATCH(1,(Tabelle7[company_id]=Tabelle728[[#This Row],[company_id]])*(Tabelle7[gov_id]=Tabelle728[[#This Row],[gov_crit_id]])*(Tabelle7[doc_id]=Tabelle728[[#This Row],[doc_id_primary_evidence]]),0)),""))</f>
        <v/>
      </c>
    </row>
    <row r="205" spans="1:6" x14ac:dyDescent="0.25">
      <c r="A205" s="18">
        <v>30</v>
      </c>
      <c r="B205" s="19" t="s">
        <v>186</v>
      </c>
      <c r="C205" s="19" t="str">
        <f>IF(Tabelle728[[#This Row],[score_0_3]]=0,"",IFERROR(_xlfn.MINIFS(Tabelle7[doc_id],Tabelle7[company_id],Tabelle728[[#This Row],[company_id]],Tabelle7[gov_id],Tabelle728[[#This Row],[gov_crit_id]],Tabelle7[score_0_3],Tabelle728[[#This Row],[score_0_3]]),""))</f>
        <v/>
      </c>
      <c r="D205" s="20">
        <f>IFERROR(_xlfn.MAXIFS(Tabelle7[score_0_3],Tabelle7[company_id],Tabelle728[[#This Row],[company_id]],Tabelle7[gov_id],Tabelle728[[#This Row],[gov_crit_id]]),0)</f>
        <v>0</v>
      </c>
      <c r="E205" s="22" t="str" cm="1">
        <f t="array" ref="E205">IF(Tabelle728[[#This Row],[doc_id_primary_evidence]]="","",IFERROR(INDEX(Tabelle7[evidence_quote],MATCH(1,(Tabelle7[company_id]=Tabelle728[[#This Row],[company_id]])*(Tabelle7[gov_id]=Tabelle728[[#This Row],[gov_crit_id]])*(Tabelle7[doc_id]=Tabelle728[[#This Row],[doc_id_primary_evidence]]),0)),""))</f>
        <v/>
      </c>
      <c r="F205" s="50" t="str" cm="1">
        <f t="array" ref="F205">IF(Tabelle728[[#This Row],[doc_id_primary_evidence]]="","",IFERROR(INDEX(Tabelle7[evidence_location],MATCH(1,(Tabelle7[company_id]=Tabelle728[[#This Row],[company_id]])*(Tabelle7[gov_id]=Tabelle728[[#This Row],[gov_crit_id]])*(Tabelle7[doc_id]=Tabelle728[[#This Row],[doc_id_primary_evidence]]),0)),""))</f>
        <v/>
      </c>
    </row>
    <row r="206" spans="1:6" x14ac:dyDescent="0.25">
      <c r="A206" s="24">
        <v>30</v>
      </c>
      <c r="B206" s="2" t="s">
        <v>192</v>
      </c>
      <c r="C206" s="2" t="str">
        <f>IF(Tabelle728[[#This Row],[score_0_3]]=0,"",IFERROR(_xlfn.MINIFS(Tabelle7[doc_id],Tabelle7[company_id],Tabelle728[[#This Row],[company_id]],Tabelle7[gov_id],Tabelle728[[#This Row],[gov_crit_id]],Tabelle7[score_0_3],Tabelle728[[#This Row],[score_0_3]]),""))</f>
        <v/>
      </c>
      <c r="D206" s="3">
        <f>IFERROR(_xlfn.MAXIFS(Tabelle7[score_0_3],Tabelle7[company_id],Tabelle728[[#This Row],[company_id]],Tabelle7[gov_id],Tabelle728[[#This Row],[gov_crit_id]]),0)</f>
        <v>0</v>
      </c>
      <c r="E206" t="str" cm="1">
        <f t="array" ref="E206">IF(Tabelle728[[#This Row],[doc_id_primary_evidence]]="","",IFERROR(INDEX(Tabelle7[evidence_quote],MATCH(1,(Tabelle7[company_id]=Tabelle728[[#This Row],[company_id]])*(Tabelle7[gov_id]=Tabelle728[[#This Row],[gov_crit_id]])*(Tabelle7[doc_id]=Tabelle728[[#This Row],[doc_id_primary_evidence]]),0)),""))</f>
        <v/>
      </c>
      <c r="F206" s="51" t="str" cm="1">
        <f t="array" ref="F206">IF(Tabelle728[[#This Row],[doc_id_primary_evidence]]="","",IFERROR(INDEX(Tabelle7[evidence_location],MATCH(1,(Tabelle7[company_id]=Tabelle728[[#This Row],[company_id]])*(Tabelle7[gov_id]=Tabelle728[[#This Row],[gov_crit_id]])*(Tabelle7[doc_id]=Tabelle728[[#This Row],[doc_id_primary_evidence]]),0)),""))</f>
        <v/>
      </c>
    </row>
    <row r="207" spans="1:6" x14ac:dyDescent="0.25">
      <c r="A207" s="24">
        <v>30</v>
      </c>
      <c r="B207" s="2" t="s">
        <v>198</v>
      </c>
      <c r="C207" s="2" t="str">
        <f>IF(Tabelle728[[#This Row],[score_0_3]]=0,"",IFERROR(_xlfn.MINIFS(Tabelle7[doc_id],Tabelle7[company_id],Tabelle728[[#This Row],[company_id]],Tabelle7[gov_id],Tabelle728[[#This Row],[gov_crit_id]],Tabelle7[score_0_3],Tabelle728[[#This Row],[score_0_3]]),""))</f>
        <v/>
      </c>
      <c r="D207" s="3">
        <f>IFERROR(_xlfn.MAXIFS(Tabelle7[score_0_3],Tabelle7[company_id],Tabelle728[[#This Row],[company_id]],Tabelle7[gov_id],Tabelle728[[#This Row],[gov_crit_id]]),0)</f>
        <v>0</v>
      </c>
      <c r="E207" t="str" cm="1">
        <f t="array" ref="E207">IF(Tabelle728[[#This Row],[doc_id_primary_evidence]]="","",IFERROR(INDEX(Tabelle7[evidence_quote],MATCH(1,(Tabelle7[company_id]=Tabelle728[[#This Row],[company_id]])*(Tabelle7[gov_id]=Tabelle728[[#This Row],[gov_crit_id]])*(Tabelle7[doc_id]=Tabelle728[[#This Row],[doc_id_primary_evidence]]),0)),""))</f>
        <v/>
      </c>
      <c r="F207" s="51" t="str" cm="1">
        <f t="array" ref="F207">IF(Tabelle728[[#This Row],[doc_id_primary_evidence]]="","",IFERROR(INDEX(Tabelle7[evidence_location],MATCH(1,(Tabelle7[company_id]=Tabelle728[[#This Row],[company_id]])*(Tabelle7[gov_id]=Tabelle728[[#This Row],[gov_crit_id]])*(Tabelle7[doc_id]=Tabelle728[[#This Row],[doc_id_primary_evidence]]),0)),""))</f>
        <v/>
      </c>
    </row>
    <row r="208" spans="1:6" x14ac:dyDescent="0.25">
      <c r="A208" s="24">
        <v>30</v>
      </c>
      <c r="B208" s="2" t="s">
        <v>204</v>
      </c>
      <c r="C208" s="2" t="str">
        <f>IF(Tabelle728[[#This Row],[score_0_3]]=0,"",IFERROR(_xlfn.MINIFS(Tabelle7[doc_id],Tabelle7[company_id],Tabelle728[[#This Row],[company_id]],Tabelle7[gov_id],Tabelle728[[#This Row],[gov_crit_id]],Tabelle7[score_0_3],Tabelle728[[#This Row],[score_0_3]]),""))</f>
        <v/>
      </c>
      <c r="D208" s="3">
        <f>IFERROR(_xlfn.MAXIFS(Tabelle7[score_0_3],Tabelle7[company_id],Tabelle728[[#This Row],[company_id]],Tabelle7[gov_id],Tabelle728[[#This Row],[gov_crit_id]]),0)</f>
        <v>0</v>
      </c>
      <c r="E208" t="str" cm="1">
        <f t="array" ref="E208">IF(Tabelle728[[#This Row],[doc_id_primary_evidence]]="","",IFERROR(INDEX(Tabelle7[evidence_quote],MATCH(1,(Tabelle7[company_id]=Tabelle728[[#This Row],[company_id]])*(Tabelle7[gov_id]=Tabelle728[[#This Row],[gov_crit_id]])*(Tabelle7[doc_id]=Tabelle728[[#This Row],[doc_id_primary_evidence]]),0)),""))</f>
        <v/>
      </c>
      <c r="F208" s="51" t="str" cm="1">
        <f t="array" ref="F208">IF(Tabelle728[[#This Row],[doc_id_primary_evidence]]="","",IFERROR(INDEX(Tabelle7[evidence_location],MATCH(1,(Tabelle7[company_id]=Tabelle728[[#This Row],[company_id]])*(Tabelle7[gov_id]=Tabelle728[[#This Row],[gov_crit_id]])*(Tabelle7[doc_id]=Tabelle728[[#This Row],[doc_id_primary_evidence]]),0)),""))</f>
        <v/>
      </c>
    </row>
    <row r="209" spans="1:6" x14ac:dyDescent="0.25">
      <c r="A209" s="24">
        <v>30</v>
      </c>
      <c r="B209" s="2" t="s">
        <v>210</v>
      </c>
      <c r="C209" s="2" t="str">
        <f>IF(Tabelle728[[#This Row],[score_0_3]]=0,"",IFERROR(_xlfn.MINIFS(Tabelle7[doc_id],Tabelle7[company_id],Tabelle728[[#This Row],[company_id]],Tabelle7[gov_id],Tabelle728[[#This Row],[gov_crit_id]],Tabelle7[score_0_3],Tabelle728[[#This Row],[score_0_3]]),""))</f>
        <v/>
      </c>
      <c r="D209" s="3">
        <f>IFERROR(_xlfn.MAXIFS(Tabelle7[score_0_3],Tabelle7[company_id],Tabelle728[[#This Row],[company_id]],Tabelle7[gov_id],Tabelle728[[#This Row],[gov_crit_id]]),0)</f>
        <v>0</v>
      </c>
      <c r="E209" t="str" cm="1">
        <f t="array" ref="E209">IF(Tabelle728[[#This Row],[doc_id_primary_evidence]]="","",IFERROR(INDEX(Tabelle7[evidence_quote],MATCH(1,(Tabelle7[company_id]=Tabelle728[[#This Row],[company_id]])*(Tabelle7[gov_id]=Tabelle728[[#This Row],[gov_crit_id]])*(Tabelle7[doc_id]=Tabelle728[[#This Row],[doc_id_primary_evidence]]),0)),""))</f>
        <v/>
      </c>
      <c r="F209" s="51" t="str" cm="1">
        <f t="array" ref="F209">IF(Tabelle728[[#This Row],[doc_id_primary_evidence]]="","",IFERROR(INDEX(Tabelle7[evidence_location],MATCH(1,(Tabelle7[company_id]=Tabelle728[[#This Row],[company_id]])*(Tabelle7[gov_id]=Tabelle728[[#This Row],[gov_crit_id]])*(Tabelle7[doc_id]=Tabelle728[[#This Row],[doc_id_primary_evidence]]),0)),""))</f>
        <v/>
      </c>
    </row>
    <row r="210" spans="1:6" x14ac:dyDescent="0.25">
      <c r="A210" s="24">
        <v>30</v>
      </c>
      <c r="B210" s="2" t="s">
        <v>215</v>
      </c>
      <c r="C210" s="2" t="str">
        <f>IF(Tabelle728[[#This Row],[score_0_3]]=0,"",IFERROR(_xlfn.MINIFS(Tabelle7[doc_id],Tabelle7[company_id],Tabelle728[[#This Row],[company_id]],Tabelle7[gov_id],Tabelle728[[#This Row],[gov_crit_id]],Tabelle7[score_0_3],Tabelle728[[#This Row],[score_0_3]]),""))</f>
        <v/>
      </c>
      <c r="D210" s="3">
        <f>IFERROR(_xlfn.MAXIFS(Tabelle7[score_0_3],Tabelle7[company_id],Tabelle728[[#This Row],[company_id]],Tabelle7[gov_id],Tabelle728[[#This Row],[gov_crit_id]]),0)</f>
        <v>0</v>
      </c>
      <c r="E210" t="str" cm="1">
        <f t="array" ref="E210">IF(Tabelle728[[#This Row],[doc_id_primary_evidence]]="","",IFERROR(INDEX(Tabelle7[evidence_quote],MATCH(1,(Tabelle7[company_id]=Tabelle728[[#This Row],[company_id]])*(Tabelle7[gov_id]=Tabelle728[[#This Row],[gov_crit_id]])*(Tabelle7[doc_id]=Tabelle728[[#This Row],[doc_id_primary_evidence]]),0)),""))</f>
        <v/>
      </c>
      <c r="F210" s="51" t="str" cm="1">
        <f t="array" ref="F210">IF(Tabelle728[[#This Row],[doc_id_primary_evidence]]="","",IFERROR(INDEX(Tabelle7[evidence_location],MATCH(1,(Tabelle7[company_id]=Tabelle728[[#This Row],[company_id]])*(Tabelle7[gov_id]=Tabelle728[[#This Row],[gov_crit_id]])*(Tabelle7[doc_id]=Tabelle728[[#This Row],[doc_id_primary_evidence]]),0)),""))</f>
        <v/>
      </c>
    </row>
    <row r="211" spans="1:6" ht="15.75" thickBot="1" x14ac:dyDescent="0.3">
      <c r="A211" s="26">
        <v>30</v>
      </c>
      <c r="B211" s="27" t="s">
        <v>221</v>
      </c>
      <c r="C211" s="27" t="str">
        <f>IF(Tabelle728[[#This Row],[score_0_3]]=0,"",IFERROR(_xlfn.MINIFS(Tabelle7[doc_id],Tabelle7[company_id],Tabelle728[[#This Row],[company_id]],Tabelle7[gov_id],Tabelle728[[#This Row],[gov_crit_id]],Tabelle7[score_0_3],Tabelle728[[#This Row],[score_0_3]]),""))</f>
        <v/>
      </c>
      <c r="D211" s="28">
        <f>IFERROR(_xlfn.MAXIFS(Tabelle7[score_0_3],Tabelle7[company_id],Tabelle728[[#This Row],[company_id]],Tabelle7[gov_id],Tabelle728[[#This Row],[gov_crit_id]]),0)</f>
        <v>0</v>
      </c>
      <c r="E211" s="30" t="str" cm="1">
        <f t="array" ref="E211">IF(Tabelle728[[#This Row],[doc_id_primary_evidence]]="","",IFERROR(INDEX(Tabelle7[evidence_quote],MATCH(1,(Tabelle7[company_id]=Tabelle728[[#This Row],[company_id]])*(Tabelle7[gov_id]=Tabelle728[[#This Row],[gov_crit_id]])*(Tabelle7[doc_id]=Tabelle728[[#This Row],[doc_id_primary_evidence]]),0)),""))</f>
        <v/>
      </c>
      <c r="F211" s="52" t="str" cm="1">
        <f t="array" ref="F211">IF(Tabelle728[[#This Row],[doc_id_primary_evidence]]="","",IFERROR(INDEX(Tabelle7[evidence_location],MATCH(1,(Tabelle7[company_id]=Tabelle728[[#This Row],[company_id]])*(Tabelle7[gov_id]=Tabelle728[[#This Row],[gov_crit_id]])*(Tabelle7[doc_id]=Tabelle728[[#This Row],[doc_id_primary_evidence]]),0)),""))</f>
        <v/>
      </c>
    </row>
    <row r="212" spans="1:6" x14ac:dyDescent="0.25">
      <c r="A212" s="18">
        <v>31</v>
      </c>
      <c r="B212" s="19" t="s">
        <v>186</v>
      </c>
      <c r="C212" s="19" t="str">
        <f>IF(Tabelle728[[#This Row],[score_0_3]]=0,"",IFERROR(_xlfn.MINIFS(Tabelle7[doc_id],Tabelle7[company_id],Tabelle728[[#This Row],[company_id]],Tabelle7[gov_id],Tabelle728[[#This Row],[gov_crit_id]],Tabelle7[score_0_3],Tabelle728[[#This Row],[score_0_3]]),""))</f>
        <v/>
      </c>
      <c r="D212" s="20">
        <f>IFERROR(_xlfn.MAXIFS(Tabelle7[score_0_3],Tabelle7[company_id],Tabelle728[[#This Row],[company_id]],Tabelle7[gov_id],Tabelle728[[#This Row],[gov_crit_id]]),0)</f>
        <v>0</v>
      </c>
      <c r="E212" s="22" t="str" cm="1">
        <f t="array" ref="E212">IF(Tabelle728[[#This Row],[doc_id_primary_evidence]]="","",IFERROR(INDEX(Tabelle7[evidence_quote],MATCH(1,(Tabelle7[company_id]=Tabelle728[[#This Row],[company_id]])*(Tabelle7[gov_id]=Tabelle728[[#This Row],[gov_crit_id]])*(Tabelle7[doc_id]=Tabelle728[[#This Row],[doc_id_primary_evidence]]),0)),""))</f>
        <v/>
      </c>
      <c r="F212" s="50" t="str" cm="1">
        <f t="array" ref="F212">IF(Tabelle728[[#This Row],[doc_id_primary_evidence]]="","",IFERROR(INDEX(Tabelle7[evidence_location],MATCH(1,(Tabelle7[company_id]=Tabelle728[[#This Row],[company_id]])*(Tabelle7[gov_id]=Tabelle728[[#This Row],[gov_crit_id]])*(Tabelle7[doc_id]=Tabelle728[[#This Row],[doc_id_primary_evidence]]),0)),""))</f>
        <v/>
      </c>
    </row>
    <row r="213" spans="1:6" x14ac:dyDescent="0.25">
      <c r="A213" s="24">
        <v>31</v>
      </c>
      <c r="B213" s="2" t="s">
        <v>192</v>
      </c>
      <c r="C213" s="2">
        <f>IF(Tabelle728[[#This Row],[score_0_3]]=0,"",IFERROR(_xlfn.MINIFS(Tabelle7[doc_id],Tabelle7[company_id],Tabelle728[[#This Row],[company_id]],Tabelle7[gov_id],Tabelle728[[#This Row],[gov_crit_id]],Tabelle7[score_0_3],Tabelle728[[#This Row],[score_0_3]]),""))</f>
        <v>184</v>
      </c>
      <c r="D213" s="3">
        <f>IFERROR(_xlfn.MAXIFS(Tabelle7[score_0_3],Tabelle7[company_id],Tabelle728[[#This Row],[company_id]],Tabelle7[gov_id],Tabelle728[[#This Row],[gov_crit_id]]),0)</f>
        <v>2</v>
      </c>
      <c r="E213" t="str" cm="1">
        <f t="array" ref="E213">IF(Tabelle728[[#This Row],[doc_id_primary_evidence]]="","",IFERROR(INDEX(Tabelle7[evidence_quote],MATCH(1,(Tabelle7[company_id]=Tabelle728[[#This Row],[company_id]])*(Tabelle7[gov_id]=Tabelle728[[#This Row],[gov_crit_id]])*(Tabelle7[doc_id]=Tabelle728[[#This Row],[doc_id_primary_evidence]]),0)),""))</f>
        <v>“follow a ‘privacy/security by design’ approach”; “Our AI approach is risk-based”</v>
      </c>
      <c r="F213" s="51" t="str" cm="1">
        <f t="array" ref="F213">IF(Tabelle728[[#This Row],[doc_id_primary_evidence]]="","",IFERROR(INDEX(Tabelle7[evidence_location],MATCH(1,(Tabelle7[company_id]=Tabelle728[[#This Row],[company_id]])*(Tabelle7[gov_id]=Tabelle728[[#This Row],[gov_crit_id]])*(Tabelle7[doc_id]=Tabelle728[[#This Row],[doc_id_primary_evidence]]),0)),""))</f>
        <v>S. 2 „Data Protection &amp; Cybersecurity“ / „Proportionality“</v>
      </c>
    </row>
    <row r="214" spans="1:6" x14ac:dyDescent="0.25">
      <c r="A214" s="24">
        <v>31</v>
      </c>
      <c r="B214" s="2" t="s">
        <v>198</v>
      </c>
      <c r="C214" s="2">
        <f>IF(Tabelle728[[#This Row],[score_0_3]]=0,"",IFERROR(_xlfn.MINIFS(Tabelle7[doc_id],Tabelle7[company_id],Tabelle728[[#This Row],[company_id]],Tabelle7[gov_id],Tabelle728[[#This Row],[gov_crit_id]],Tabelle7[score_0_3],Tabelle728[[#This Row],[score_0_3]]),""))</f>
        <v>184</v>
      </c>
      <c r="D214" s="3">
        <f>IFERROR(_xlfn.MAXIFS(Tabelle7[score_0_3],Tabelle7[company_id],Tabelle728[[#This Row],[company_id]],Tabelle7[gov_id],Tabelle728[[#This Row],[gov_crit_id]]),0)</f>
        <v>2</v>
      </c>
      <c r="E214" t="str" cm="1">
        <f t="array" ref="E214">IF(Tabelle728[[#This Row],[doc_id_primary_evidence]]="","",IFERROR(INDEX(Tabelle7[evidence_quote],MATCH(1,(Tabelle7[company_id]=Tabelle728[[#This Row],[company_id]])*(Tabelle7[gov_id]=Tabelle728[[#This Row],[gov_crit_id]])*(Tabelle7[doc_id]=Tabelle728[[#This Row],[doc_id_primary_evidence]]),0)),""))</f>
        <v>“ongoing testing, high-quality data, and continuous monitoring”; “follow a ‘privacy/security by design’ approach”</v>
      </c>
      <c r="F214" s="51" t="str" cm="1">
        <f t="array" ref="F214">IF(Tabelle728[[#This Row],[doc_id_primary_evidence]]="","",IFERROR(INDEX(Tabelle7[evidence_location],MATCH(1,(Tabelle7[company_id]=Tabelle728[[#This Row],[company_id]])*(Tabelle7[gov_id]=Tabelle728[[#This Row],[gov_crit_id]])*(Tabelle7[doc_id]=Tabelle728[[#This Row],[doc_id_primary_evidence]]),0)),""))</f>
        <v>S. 2 „Reliability, Safety &amp; Quality“ / „Data Protection &amp; Cybersecurity“</v>
      </c>
    </row>
    <row r="215" spans="1:6" x14ac:dyDescent="0.25">
      <c r="A215" s="24">
        <v>31</v>
      </c>
      <c r="B215" s="2" t="s">
        <v>204</v>
      </c>
      <c r="C215" s="2" t="str">
        <f>IF(Tabelle728[[#This Row],[score_0_3]]=0,"",IFERROR(_xlfn.MINIFS(Tabelle7[doc_id],Tabelle7[company_id],Tabelle728[[#This Row],[company_id]],Tabelle7[gov_id],Tabelle728[[#This Row],[gov_crit_id]],Tabelle7[score_0_3],Tabelle728[[#This Row],[score_0_3]]),""))</f>
        <v/>
      </c>
      <c r="D215" s="3">
        <f>IFERROR(_xlfn.MAXIFS(Tabelle7[score_0_3],Tabelle7[company_id],Tabelle728[[#This Row],[company_id]],Tabelle7[gov_id],Tabelle728[[#This Row],[gov_crit_id]]),0)</f>
        <v>0</v>
      </c>
      <c r="E215" t="str" cm="1">
        <f t="array" ref="E215">IF(Tabelle728[[#This Row],[doc_id_primary_evidence]]="","",IFERROR(INDEX(Tabelle7[evidence_quote],MATCH(1,(Tabelle7[company_id]=Tabelle728[[#This Row],[company_id]])*(Tabelle7[gov_id]=Tabelle728[[#This Row],[gov_crit_id]])*(Tabelle7[doc_id]=Tabelle728[[#This Row],[doc_id_primary_evidence]]),0)),""))</f>
        <v/>
      </c>
      <c r="F215" s="51" t="str" cm="1">
        <f t="array" ref="F215">IF(Tabelle728[[#This Row],[doc_id_primary_evidence]]="","",IFERROR(INDEX(Tabelle7[evidence_location],MATCH(1,(Tabelle7[company_id]=Tabelle728[[#This Row],[company_id]])*(Tabelle7[gov_id]=Tabelle728[[#This Row],[gov_crit_id]])*(Tabelle7[doc_id]=Tabelle728[[#This Row],[doc_id_primary_evidence]]),0)),""))</f>
        <v/>
      </c>
    </row>
    <row r="216" spans="1:6" x14ac:dyDescent="0.25">
      <c r="A216" s="24">
        <v>31</v>
      </c>
      <c r="B216" s="2" t="s">
        <v>210</v>
      </c>
      <c r="C216" s="2" t="str">
        <f>IF(Tabelle728[[#This Row],[score_0_3]]=0,"",IFERROR(_xlfn.MINIFS(Tabelle7[doc_id],Tabelle7[company_id],Tabelle728[[#This Row],[company_id]],Tabelle7[gov_id],Tabelle728[[#This Row],[gov_crit_id]],Tabelle7[score_0_3],Tabelle728[[#This Row],[score_0_3]]),""))</f>
        <v/>
      </c>
      <c r="D216" s="3">
        <f>IFERROR(_xlfn.MAXIFS(Tabelle7[score_0_3],Tabelle7[company_id],Tabelle728[[#This Row],[company_id]],Tabelle7[gov_id],Tabelle728[[#This Row],[gov_crit_id]]),0)</f>
        <v>0</v>
      </c>
      <c r="E216" t="str" cm="1">
        <f t="array" ref="E216">IF(Tabelle728[[#This Row],[doc_id_primary_evidence]]="","",IFERROR(INDEX(Tabelle7[evidence_quote],MATCH(1,(Tabelle7[company_id]=Tabelle728[[#This Row],[company_id]])*(Tabelle7[gov_id]=Tabelle728[[#This Row],[gov_crit_id]])*(Tabelle7[doc_id]=Tabelle728[[#This Row],[doc_id_primary_evidence]]),0)),""))</f>
        <v/>
      </c>
      <c r="F216" s="51" t="str" cm="1">
        <f t="array" ref="F216">IF(Tabelle728[[#This Row],[doc_id_primary_evidence]]="","",IFERROR(INDEX(Tabelle7[evidence_location],MATCH(1,(Tabelle7[company_id]=Tabelle728[[#This Row],[company_id]])*(Tabelle7[gov_id]=Tabelle728[[#This Row],[gov_crit_id]])*(Tabelle7[doc_id]=Tabelle728[[#This Row],[doc_id_primary_evidence]]),0)),""))</f>
        <v/>
      </c>
    </row>
    <row r="217" spans="1:6" x14ac:dyDescent="0.25">
      <c r="A217" s="24">
        <v>31</v>
      </c>
      <c r="B217" s="2" t="s">
        <v>215</v>
      </c>
      <c r="C217" s="2" t="str">
        <f>IF(Tabelle728[[#This Row],[score_0_3]]=0,"",IFERROR(_xlfn.MINIFS(Tabelle7[doc_id],Tabelle7[company_id],Tabelle728[[#This Row],[company_id]],Tabelle7[gov_id],Tabelle728[[#This Row],[gov_crit_id]],Tabelle7[score_0_3],Tabelle728[[#This Row],[score_0_3]]),""))</f>
        <v/>
      </c>
      <c r="D217" s="3">
        <f>IFERROR(_xlfn.MAXIFS(Tabelle7[score_0_3],Tabelle7[company_id],Tabelle728[[#This Row],[company_id]],Tabelle7[gov_id],Tabelle728[[#This Row],[gov_crit_id]]),0)</f>
        <v>0</v>
      </c>
      <c r="E217" t="str" cm="1">
        <f t="array" ref="E217">IF(Tabelle728[[#This Row],[doc_id_primary_evidence]]="","",IFERROR(INDEX(Tabelle7[evidence_quote],MATCH(1,(Tabelle7[company_id]=Tabelle728[[#This Row],[company_id]])*(Tabelle7[gov_id]=Tabelle728[[#This Row],[gov_crit_id]])*(Tabelle7[doc_id]=Tabelle728[[#This Row],[doc_id_primary_evidence]]),0)),""))</f>
        <v/>
      </c>
      <c r="F217" s="51" t="str" cm="1">
        <f t="array" ref="F217">IF(Tabelle728[[#This Row],[doc_id_primary_evidence]]="","",IFERROR(INDEX(Tabelle7[evidence_location],MATCH(1,(Tabelle7[company_id]=Tabelle728[[#This Row],[company_id]])*(Tabelle7[gov_id]=Tabelle728[[#This Row],[gov_crit_id]])*(Tabelle7[doc_id]=Tabelle728[[#This Row],[doc_id_primary_evidence]]),0)),""))</f>
        <v/>
      </c>
    </row>
    <row r="218" spans="1:6" ht="15.75" thickBot="1" x14ac:dyDescent="0.3">
      <c r="A218" s="26">
        <v>31</v>
      </c>
      <c r="B218" s="27" t="s">
        <v>221</v>
      </c>
      <c r="C218" s="27" t="str">
        <f>IF(Tabelle728[[#This Row],[score_0_3]]=0,"",IFERROR(_xlfn.MINIFS(Tabelle7[doc_id],Tabelle7[company_id],Tabelle728[[#This Row],[company_id]],Tabelle7[gov_id],Tabelle728[[#This Row],[gov_crit_id]],Tabelle7[score_0_3],Tabelle728[[#This Row],[score_0_3]]),""))</f>
        <v/>
      </c>
      <c r="D218" s="28">
        <f>IFERROR(_xlfn.MAXIFS(Tabelle7[score_0_3],Tabelle7[company_id],Tabelle728[[#This Row],[company_id]],Tabelle7[gov_id],Tabelle728[[#This Row],[gov_crit_id]]),0)</f>
        <v>0</v>
      </c>
      <c r="E218" s="30" t="str" cm="1">
        <f t="array" ref="E218">IF(Tabelle728[[#This Row],[doc_id_primary_evidence]]="","",IFERROR(INDEX(Tabelle7[evidence_quote],MATCH(1,(Tabelle7[company_id]=Tabelle728[[#This Row],[company_id]])*(Tabelle7[gov_id]=Tabelle728[[#This Row],[gov_crit_id]])*(Tabelle7[doc_id]=Tabelle728[[#This Row],[doc_id_primary_evidence]]),0)),""))</f>
        <v/>
      </c>
      <c r="F218" s="52" t="str" cm="1">
        <f t="array" ref="F218">IF(Tabelle728[[#This Row],[doc_id_primary_evidence]]="","",IFERROR(INDEX(Tabelle7[evidence_location],MATCH(1,(Tabelle7[company_id]=Tabelle728[[#This Row],[company_id]])*(Tabelle7[gov_id]=Tabelle728[[#This Row],[gov_crit_id]])*(Tabelle7[doc_id]=Tabelle728[[#This Row],[doc_id_primary_evidence]]),0)),""))</f>
        <v/>
      </c>
    </row>
    <row r="219" spans="1:6" x14ac:dyDescent="0.25">
      <c r="A219" s="18">
        <v>32</v>
      </c>
      <c r="B219" s="19" t="s">
        <v>186</v>
      </c>
      <c r="C219" s="19">
        <f>IF(Tabelle728[[#This Row],[score_0_3]]=0,"",IFERROR(_xlfn.MINIFS(Tabelle7[doc_id],Tabelle7[company_id],Tabelle728[[#This Row],[company_id]],Tabelle7[gov_id],Tabelle728[[#This Row],[gov_crit_id]],Tabelle7[score_0_3],Tabelle728[[#This Row],[score_0_3]]),""))</f>
        <v>188</v>
      </c>
      <c r="D219" s="20">
        <f>IFERROR(_xlfn.MAXIFS(Tabelle7[score_0_3],Tabelle7[company_id],Tabelle728[[#This Row],[company_id]],Tabelle7[gov_id],Tabelle728[[#This Row],[gov_crit_id]]),0)</f>
        <v>2</v>
      </c>
      <c r="E219" s="22" t="str" cm="1">
        <f t="array" ref="E219">IF(Tabelle728[[#This Row],[doc_id_primary_evidence]]="","",IFERROR(INDEX(Tabelle7[evidence_quote],MATCH(1,(Tabelle7[company_id]=Tabelle728[[#This Row],[company_id]])*(Tabelle7[gov_id]=Tabelle728[[#This Row],[gov_crit_id]])*(Tabelle7[doc_id]=Tabelle728[[#This Row],[doc_id_primary_evidence]]),0)),""))</f>
        <v>“Accountable for approving high-risk use cases”; “independent and unbiased feedback and recommendations”; “independent and unbiased feedback and recommendations”; “Providing education and training material”</v>
      </c>
      <c r="F219" s="50" t="str" cm="1">
        <f t="array" ref="F219">IF(Tabelle728[[#This Row],[doc_id_primary_evidence]]="","",IFERROR(INDEX(Tabelle7[evidence_location],MATCH(1,(Tabelle7[company_id]=Tabelle728[[#This Row],[company_id]])*(Tabelle7[gov_id]=Tabelle728[[#This Row],[gov_crit_id]])*(Tabelle7[doc_id]=Tabelle728[[#This Row],[doc_id_primary_evidence]]),0)),""))</f>
        <v>S. 6-7 „Roles and Responsibilities“</v>
      </c>
    </row>
    <row r="220" spans="1:6" x14ac:dyDescent="0.25">
      <c r="A220" s="24">
        <v>32</v>
      </c>
      <c r="B220" s="2" t="s">
        <v>192</v>
      </c>
      <c r="C220" s="2">
        <f>IF(Tabelle728[[#This Row],[score_0_3]]=0,"",IFERROR(_xlfn.MINIFS(Tabelle7[doc_id],Tabelle7[company_id],Tabelle728[[#This Row],[company_id]],Tabelle7[gov_id],Tabelle728[[#This Row],[gov_crit_id]],Tabelle7[score_0_3],Tabelle728[[#This Row],[score_0_3]]),""))</f>
        <v>188</v>
      </c>
      <c r="D220" s="3">
        <f>IFERROR(_xlfn.MAXIFS(Tabelle7[score_0_3],Tabelle7[company_id],Tabelle728[[#This Row],[company_id]],Tabelle7[gov_id],Tabelle728[[#This Row],[gov_crit_id]]),0)</f>
        <v>2</v>
      </c>
      <c r="E220" t="str" cm="1">
        <f t="array" ref="E220">IF(Tabelle728[[#This Row],[doc_id_primary_evidence]]="","",IFERROR(INDEX(Tabelle7[evidence_quote],MATCH(1,(Tabelle7[company_id]=Tabelle728[[#This Row],[company_id]])*(Tabelle7[gov_id]=Tabelle728[[#This Row],[gov_crit_id]])*(Tabelle7[doc_id]=Tabelle728[[#This Row],[doc_id_primary_evidence]]),0)),""))</f>
        <v>“Each use case is carefully analyzed”; “undergoes an ethical assessment”</v>
      </c>
      <c r="F220" s="51" t="str" cm="1">
        <f t="array" ref="F220">IF(Tabelle728[[#This Row],[doc_id_primary_evidence]]="","",IFERROR(INDEX(Tabelle7[evidence_location],MATCH(1,(Tabelle7[company_id]=Tabelle728[[#This Row],[company_id]])*(Tabelle7[gov_id]=Tabelle728[[#This Row],[gov_crit_id]])*(Tabelle7[doc_id]=Tabelle728[[#This Row],[doc_id_primary_evidence]]),0)),""))</f>
        <v>S. 12 „Governance – Use case evaluation“</v>
      </c>
    </row>
    <row r="221" spans="1:6" x14ac:dyDescent="0.25">
      <c r="A221" s="24">
        <v>32</v>
      </c>
      <c r="B221" s="2" t="s">
        <v>198</v>
      </c>
      <c r="C221" s="2">
        <f>IF(Tabelle728[[#This Row],[score_0_3]]=0,"",IFERROR(_xlfn.MINIFS(Tabelle7[doc_id],Tabelle7[company_id],Tabelle728[[#This Row],[company_id]],Tabelle7[gov_id],Tabelle728[[#This Row],[gov_crit_id]],Tabelle7[score_0_3],Tabelle728[[#This Row],[score_0_3]]),""))</f>
        <v>188</v>
      </c>
      <c r="D221" s="3">
        <f>IFERROR(_xlfn.MAXIFS(Tabelle7[score_0_3],Tabelle7[company_id],Tabelle728[[#This Row],[company_id]],Tabelle7[gov_id],Tabelle728[[#This Row],[gov_crit_id]]),0)</f>
        <v>2</v>
      </c>
      <c r="E221" t="str" cm="1">
        <f t="array" ref="E221">IF(Tabelle728[[#This Row],[doc_id_primary_evidence]]="","",IFERROR(INDEX(Tabelle7[evidence_quote],MATCH(1,(Tabelle7[company_id]=Tabelle728[[#This Row],[company_id]])*(Tabelle7[gov_id]=Tabelle728[[#This Row],[gov_crit_id]])*(Tabelle7[doc_id]=Tabelle728[[#This Row],[doc_id_primary_evidence]]),0)),""))</f>
        <v>“Impact classification mechanisms and measures to prevent harm shall be defined”; “AI systems must be tested extensively”; “AI system should be monitored continuously”</v>
      </c>
      <c r="F221" s="51" t="str" cm="1">
        <f t="array" ref="F221">IF(Tabelle728[[#This Row],[doc_id_primary_evidence]]="","",IFERROR(INDEX(Tabelle7[evidence_location],MATCH(1,(Tabelle7[company_id]=Tabelle728[[#This Row],[company_id]])*(Tabelle7[gov_id]=Tabelle728[[#This Row],[gov_crit_id]])*(Tabelle7[doc_id]=Tabelle728[[#This Row],[doc_id_primary_evidence]]),0)),""))</f>
        <v>S. 7-9 „Principles 1–3“</v>
      </c>
    </row>
    <row r="222" spans="1:6" x14ac:dyDescent="0.25">
      <c r="A222" s="24">
        <v>32</v>
      </c>
      <c r="B222" s="2" t="s">
        <v>204</v>
      </c>
      <c r="C222" s="2">
        <f>IF(Tabelle728[[#This Row],[score_0_3]]=0,"",IFERROR(_xlfn.MINIFS(Tabelle7[doc_id],Tabelle7[company_id],Tabelle728[[#This Row],[company_id]],Tabelle7[gov_id],Tabelle728[[#This Row],[gov_crit_id]],Tabelle7[score_0_3],Tabelle728[[#This Row],[score_0_3]]),""))</f>
        <v>188</v>
      </c>
      <c r="D222" s="3">
        <f>IFERROR(_xlfn.MAXIFS(Tabelle7[score_0_3],Tabelle7[company_id],Tabelle728[[#This Row],[company_id]],Tabelle7[gov_id],Tabelle728[[#This Row],[gov_crit_id]]),0)</f>
        <v>2</v>
      </c>
      <c r="E222" t="str" cm="1">
        <f t="array" ref="E222">IF(Tabelle728[[#This Row],[doc_id_primary_evidence]]="","",IFERROR(INDEX(Tabelle7[evidence_quote],MATCH(1,(Tabelle7[company_id]=Tabelle728[[#This Row],[company_id]])*(Tabelle7[gov_id]=Tabelle728[[#This Row],[gov_crit_id]])*(Tabelle7[doc_id]=Tabelle728[[#This Row],[doc_id_primary_evidence]]),0)),""))</f>
        <v>“independent and unbiased feedback and recommendations”; “must be performed and documented”</v>
      </c>
      <c r="F222" s="51" t="str" cm="1">
        <f t="array" ref="F222">IF(Tabelle728[[#This Row],[doc_id_primary_evidence]]="","",IFERROR(INDEX(Tabelle7[evidence_location],MATCH(1,(Tabelle7[company_id]=Tabelle728[[#This Row],[company_id]])*(Tabelle7[gov_id]=Tabelle728[[#This Row],[gov_crit_id]])*(Tabelle7[doc_id]=Tabelle728[[#This Row],[doc_id_primary_evidence]]),0)),""))</f>
        <v>S. 6 „Advisory Panel“; S. 12 „Governance“</v>
      </c>
    </row>
    <row r="223" spans="1:6" x14ac:dyDescent="0.25">
      <c r="A223" s="24">
        <v>32</v>
      </c>
      <c r="B223" s="2" t="s">
        <v>210</v>
      </c>
      <c r="C223" s="2">
        <f>IF(Tabelle728[[#This Row],[score_0_3]]=0,"",IFERROR(_xlfn.MINIFS(Tabelle7[doc_id],Tabelle7[company_id],Tabelle728[[#This Row],[company_id]],Tabelle7[gov_id],Tabelle728[[#This Row],[gov_crit_id]],Tabelle7[score_0_3],Tabelle728[[#This Row],[score_0_3]]),""))</f>
        <v>188</v>
      </c>
      <c r="D223" s="3">
        <f>IFERROR(_xlfn.MAXIFS(Tabelle7[score_0_3],Tabelle7[company_id],Tabelle728[[#This Row],[company_id]],Tabelle7[gov_id],Tabelle728[[#This Row],[gov_crit_id]]),0)</f>
        <v>2</v>
      </c>
      <c r="E223" t="str" cm="1">
        <f t="array" ref="E223">IF(Tabelle728[[#This Row],[doc_id_primary_evidence]]="","",IFERROR(INDEX(Tabelle7[evidence_quote],MATCH(1,(Tabelle7[company_id]=Tabelle728[[#This Row],[company_id]])*(Tabelle7[gov_id]=Tabelle728[[#This Row],[gov_crit_id]])*(Tabelle7[doc_id]=Tabelle728[[#This Row],[doc_id_primary_evidence]]),0)),""))</f>
        <v>“Providing education and training material”; “Free courses and learning materials”</v>
      </c>
      <c r="F223" s="51" t="str" cm="1">
        <f t="array" ref="F223">IF(Tabelle728[[#This Row],[doc_id_primary_evidence]]="","",IFERROR(INDEX(Tabelle7[evidence_location],MATCH(1,(Tabelle7[company_id]=Tabelle728[[#This Row],[company_id]])*(Tabelle7[gov_id]=Tabelle728[[#This Row],[gov_crit_id]])*(Tabelle7[doc_id]=Tabelle728[[#This Row],[doc_id_primary_evidence]]),0)),""))</f>
        <v>S. 7 „Trustworthy AI Workstream“; S. 11 „Principle 9“</v>
      </c>
    </row>
    <row r="224" spans="1:6" x14ac:dyDescent="0.25">
      <c r="A224" s="24">
        <v>32</v>
      </c>
      <c r="B224" s="2" t="s">
        <v>215</v>
      </c>
      <c r="C224" s="2">
        <f>IF(Tabelle728[[#This Row],[score_0_3]]=0,"",IFERROR(_xlfn.MINIFS(Tabelle7[doc_id],Tabelle7[company_id],Tabelle728[[#This Row],[company_id]],Tabelle7[gov_id],Tabelle728[[#This Row],[gov_crit_id]],Tabelle7[score_0_3],Tabelle728[[#This Row],[score_0_3]]),""))</f>
        <v>188</v>
      </c>
      <c r="D224" s="3">
        <f>IFERROR(_xlfn.MAXIFS(Tabelle7[score_0_3],Tabelle7[company_id],Tabelle728[[#This Row],[company_id]],Tabelle7[gov_id],Tabelle728[[#This Row],[gov_crit_id]]),0)</f>
        <v>2</v>
      </c>
      <c r="E224" t="str" cm="1">
        <f t="array" ref="E224">IF(Tabelle728[[#This Row],[doc_id_primary_evidence]]="","",IFERROR(INDEX(Tabelle7[evidence_quote],MATCH(1,(Tabelle7[company_id]=Tabelle728[[#This Row],[company_id]])*(Tabelle7[gov_id]=Tabelle728[[#This Row],[gov_crit_id]])*(Tabelle7[doc_id]=Tabelle728[[#This Row],[doc_id_primary_evidence]]),0)),""))</f>
        <v>“first point of contact for any AI Ethics related queries”; “SAP will implement corrective measures”; “SAP will implement corrective measures”</v>
      </c>
      <c r="F224" s="51" t="str" cm="1">
        <f t="array" ref="F224">IF(Tabelle728[[#This Row],[doc_id_primary_evidence]]="","",IFERROR(INDEX(Tabelle7[evidence_location],MATCH(1,(Tabelle7[company_id]=Tabelle728[[#This Row],[company_id]])*(Tabelle7[gov_id]=Tabelle728[[#This Row],[gov_crit_id]])*(Tabelle7[doc_id]=Tabelle728[[#This Row],[doc_id_primary_evidence]]),0)),""))</f>
        <v>S. 6 „AI Ethics Office“; S. 9 „Principle 3.2“; S. 12 „Governance“</v>
      </c>
    </row>
    <row r="225" spans="1:6" ht="15.75" thickBot="1" x14ac:dyDescent="0.3">
      <c r="A225" s="26">
        <v>32</v>
      </c>
      <c r="B225" s="27" t="s">
        <v>221</v>
      </c>
      <c r="C225" s="27">
        <f>IF(Tabelle728[[#This Row],[score_0_3]]=0,"",IFERROR(_xlfn.MINIFS(Tabelle7[doc_id],Tabelle7[company_id],Tabelle728[[#This Row],[company_id]],Tabelle7[gov_id],Tabelle728[[#This Row],[gov_crit_id]],Tabelle7[score_0_3],Tabelle728[[#This Row],[score_0_3]]),""))</f>
        <v>188</v>
      </c>
      <c r="D225" s="28">
        <f>IFERROR(_xlfn.MAXIFS(Tabelle7[score_0_3],Tabelle7[company_id],Tabelle728[[#This Row],[company_id]],Tabelle7[gov_id],Tabelle728[[#This Row],[gov_crit_id]]),0)</f>
        <v>2</v>
      </c>
      <c r="E225" s="30" t="str" cm="1">
        <f t="array" ref="E225">IF(Tabelle728[[#This Row],[doc_id_primary_evidence]]="","",IFERROR(INDEX(Tabelle7[evidence_quote],MATCH(1,(Tabelle7[company_id]=Tabelle728[[#This Row],[company_id]])*(Tabelle7[gov_id]=Tabelle728[[#This Row],[gov_crit_id]])*(Tabelle7[doc_id]=Tabelle728[[#This Row],[doc_id_primary_evidence]]),0)),""))</f>
        <v>“must be performed and documented”; “promptly documented … and shared with other actors”</v>
      </c>
      <c r="F225" s="52" t="str" cm="1">
        <f t="array" ref="F225">IF(Tabelle728[[#This Row],[doc_id_primary_evidence]]="","",IFERROR(INDEX(Tabelle7[evidence_location],MATCH(1,(Tabelle7[company_id]=Tabelle728[[#This Row],[company_id]])*(Tabelle7[gov_id]=Tabelle728[[#This Row],[gov_crit_id]])*(Tabelle7[doc_id]=Tabelle728[[#This Row],[doc_id_primary_evidence]]),0)),""))</f>
        <v>S. 10-12 „Documentation/Governance“</v>
      </c>
    </row>
    <row r="226" spans="1:6" x14ac:dyDescent="0.25">
      <c r="A226" s="18">
        <v>33</v>
      </c>
      <c r="B226" s="19" t="s">
        <v>186</v>
      </c>
      <c r="C226" s="19" t="str">
        <f>IF(Tabelle728[[#This Row],[score_0_3]]=0,"",IFERROR(_xlfn.MINIFS(Tabelle7[doc_id],Tabelle7[company_id],Tabelle728[[#This Row],[company_id]],Tabelle7[gov_id],Tabelle728[[#This Row],[gov_crit_id]],Tabelle7[score_0_3],Tabelle728[[#This Row],[score_0_3]]),""))</f>
        <v/>
      </c>
      <c r="D226" s="20">
        <f>IFERROR(_xlfn.MAXIFS(Tabelle7[score_0_3],Tabelle7[company_id],Tabelle728[[#This Row],[company_id]],Tabelle7[gov_id],Tabelle728[[#This Row],[gov_crit_id]]),0)</f>
        <v>0</v>
      </c>
      <c r="E226" s="22" t="str" cm="1">
        <f t="array" ref="E226">IF(Tabelle728[[#This Row],[doc_id_primary_evidence]]="","",IFERROR(INDEX(Tabelle7[evidence_quote],MATCH(1,(Tabelle7[company_id]=Tabelle728[[#This Row],[company_id]])*(Tabelle7[gov_id]=Tabelle728[[#This Row],[gov_crit_id]])*(Tabelle7[doc_id]=Tabelle728[[#This Row],[doc_id_primary_evidence]]),0)),""))</f>
        <v/>
      </c>
      <c r="F226" s="50" t="str" cm="1">
        <f t="array" ref="F226">IF(Tabelle728[[#This Row],[doc_id_primary_evidence]]="","",IFERROR(INDEX(Tabelle7[evidence_location],MATCH(1,(Tabelle7[company_id]=Tabelle728[[#This Row],[company_id]])*(Tabelle7[gov_id]=Tabelle728[[#This Row],[gov_crit_id]])*(Tabelle7[doc_id]=Tabelle728[[#This Row],[doc_id_primary_evidence]]),0)),""))</f>
        <v/>
      </c>
    </row>
    <row r="227" spans="1:6" x14ac:dyDescent="0.25">
      <c r="A227" s="24">
        <v>33</v>
      </c>
      <c r="B227" s="2" t="s">
        <v>192</v>
      </c>
      <c r="C227" s="2" t="str">
        <f>IF(Tabelle728[[#This Row],[score_0_3]]=0,"",IFERROR(_xlfn.MINIFS(Tabelle7[doc_id],Tabelle7[company_id],Tabelle728[[#This Row],[company_id]],Tabelle7[gov_id],Tabelle728[[#This Row],[gov_crit_id]],Tabelle7[score_0_3],Tabelle728[[#This Row],[score_0_3]]),""))</f>
        <v/>
      </c>
      <c r="D227" s="3">
        <f>IFERROR(_xlfn.MAXIFS(Tabelle7[score_0_3],Tabelle7[company_id],Tabelle728[[#This Row],[company_id]],Tabelle7[gov_id],Tabelle728[[#This Row],[gov_crit_id]]),0)</f>
        <v>0</v>
      </c>
      <c r="E227" t="str" cm="1">
        <f t="array" ref="E227">IF(Tabelle728[[#This Row],[doc_id_primary_evidence]]="","",IFERROR(INDEX(Tabelle7[evidence_quote],MATCH(1,(Tabelle7[company_id]=Tabelle728[[#This Row],[company_id]])*(Tabelle7[gov_id]=Tabelle728[[#This Row],[gov_crit_id]])*(Tabelle7[doc_id]=Tabelle728[[#This Row],[doc_id_primary_evidence]]),0)),""))</f>
        <v/>
      </c>
      <c r="F227" s="51" t="str" cm="1">
        <f t="array" ref="F227">IF(Tabelle728[[#This Row],[doc_id_primary_evidence]]="","",IFERROR(INDEX(Tabelle7[evidence_location],MATCH(1,(Tabelle7[company_id]=Tabelle728[[#This Row],[company_id]])*(Tabelle7[gov_id]=Tabelle728[[#This Row],[gov_crit_id]])*(Tabelle7[doc_id]=Tabelle728[[#This Row],[doc_id_primary_evidence]]),0)),""))</f>
        <v/>
      </c>
    </row>
    <row r="228" spans="1:6" x14ac:dyDescent="0.25">
      <c r="A228" s="24">
        <v>33</v>
      </c>
      <c r="B228" s="2" t="s">
        <v>198</v>
      </c>
      <c r="C228" s="2" t="str">
        <f>IF(Tabelle728[[#This Row],[score_0_3]]=0,"",IFERROR(_xlfn.MINIFS(Tabelle7[doc_id],Tabelle7[company_id],Tabelle728[[#This Row],[company_id]],Tabelle7[gov_id],Tabelle728[[#This Row],[gov_crit_id]],Tabelle7[score_0_3],Tabelle728[[#This Row],[score_0_3]]),""))</f>
        <v/>
      </c>
      <c r="D228" s="3">
        <f>IFERROR(_xlfn.MAXIFS(Tabelle7[score_0_3],Tabelle7[company_id],Tabelle728[[#This Row],[company_id]],Tabelle7[gov_id],Tabelle728[[#This Row],[gov_crit_id]]),0)</f>
        <v>0</v>
      </c>
      <c r="E228" t="str" cm="1">
        <f t="array" ref="E228">IF(Tabelle728[[#This Row],[doc_id_primary_evidence]]="","",IFERROR(INDEX(Tabelle7[evidence_quote],MATCH(1,(Tabelle7[company_id]=Tabelle728[[#This Row],[company_id]])*(Tabelle7[gov_id]=Tabelle728[[#This Row],[gov_crit_id]])*(Tabelle7[doc_id]=Tabelle728[[#This Row],[doc_id_primary_evidence]]),0)),""))</f>
        <v/>
      </c>
      <c r="F228" s="51" t="str" cm="1">
        <f t="array" ref="F228">IF(Tabelle728[[#This Row],[doc_id_primary_evidence]]="","",IFERROR(INDEX(Tabelle7[evidence_location],MATCH(1,(Tabelle7[company_id]=Tabelle728[[#This Row],[company_id]])*(Tabelle7[gov_id]=Tabelle728[[#This Row],[gov_crit_id]])*(Tabelle7[doc_id]=Tabelle728[[#This Row],[doc_id_primary_evidence]]),0)),""))</f>
        <v/>
      </c>
    </row>
    <row r="229" spans="1:6" x14ac:dyDescent="0.25">
      <c r="A229" s="24">
        <v>33</v>
      </c>
      <c r="B229" s="2" t="s">
        <v>204</v>
      </c>
      <c r="C229" s="2" t="str">
        <f>IF(Tabelle728[[#This Row],[score_0_3]]=0,"",IFERROR(_xlfn.MINIFS(Tabelle7[doc_id],Tabelle7[company_id],Tabelle728[[#This Row],[company_id]],Tabelle7[gov_id],Tabelle728[[#This Row],[gov_crit_id]],Tabelle7[score_0_3],Tabelle728[[#This Row],[score_0_3]]),""))</f>
        <v/>
      </c>
      <c r="D229" s="3">
        <f>IFERROR(_xlfn.MAXIFS(Tabelle7[score_0_3],Tabelle7[company_id],Tabelle728[[#This Row],[company_id]],Tabelle7[gov_id],Tabelle728[[#This Row],[gov_crit_id]]),0)</f>
        <v>0</v>
      </c>
      <c r="E229" t="str" cm="1">
        <f t="array" ref="E229">IF(Tabelle728[[#This Row],[doc_id_primary_evidence]]="","",IFERROR(INDEX(Tabelle7[evidence_quote],MATCH(1,(Tabelle7[company_id]=Tabelle728[[#This Row],[company_id]])*(Tabelle7[gov_id]=Tabelle728[[#This Row],[gov_crit_id]])*(Tabelle7[doc_id]=Tabelle728[[#This Row],[doc_id_primary_evidence]]),0)),""))</f>
        <v/>
      </c>
      <c r="F229" s="51" t="str" cm="1">
        <f t="array" ref="F229">IF(Tabelle728[[#This Row],[doc_id_primary_evidence]]="","",IFERROR(INDEX(Tabelle7[evidence_location],MATCH(1,(Tabelle7[company_id]=Tabelle728[[#This Row],[company_id]])*(Tabelle7[gov_id]=Tabelle728[[#This Row],[gov_crit_id]])*(Tabelle7[doc_id]=Tabelle728[[#This Row],[doc_id_primary_evidence]]),0)),""))</f>
        <v/>
      </c>
    </row>
    <row r="230" spans="1:6" x14ac:dyDescent="0.25">
      <c r="A230" s="24">
        <v>33</v>
      </c>
      <c r="B230" s="2" t="s">
        <v>210</v>
      </c>
      <c r="C230" s="2" t="str">
        <f>IF(Tabelle728[[#This Row],[score_0_3]]=0,"",IFERROR(_xlfn.MINIFS(Tabelle7[doc_id],Tabelle7[company_id],Tabelle728[[#This Row],[company_id]],Tabelle7[gov_id],Tabelle728[[#This Row],[gov_crit_id]],Tabelle7[score_0_3],Tabelle728[[#This Row],[score_0_3]]),""))</f>
        <v/>
      </c>
      <c r="D230" s="3">
        <f>IFERROR(_xlfn.MAXIFS(Tabelle7[score_0_3],Tabelle7[company_id],Tabelle728[[#This Row],[company_id]],Tabelle7[gov_id],Tabelle728[[#This Row],[gov_crit_id]]),0)</f>
        <v>0</v>
      </c>
      <c r="E230" t="str" cm="1">
        <f t="array" ref="E230">IF(Tabelle728[[#This Row],[doc_id_primary_evidence]]="","",IFERROR(INDEX(Tabelle7[evidence_quote],MATCH(1,(Tabelle7[company_id]=Tabelle728[[#This Row],[company_id]])*(Tabelle7[gov_id]=Tabelle728[[#This Row],[gov_crit_id]])*(Tabelle7[doc_id]=Tabelle728[[#This Row],[doc_id_primary_evidence]]),0)),""))</f>
        <v/>
      </c>
      <c r="F230" s="51" t="str" cm="1">
        <f t="array" ref="F230">IF(Tabelle728[[#This Row],[doc_id_primary_evidence]]="","",IFERROR(INDEX(Tabelle7[evidence_location],MATCH(1,(Tabelle7[company_id]=Tabelle728[[#This Row],[company_id]])*(Tabelle7[gov_id]=Tabelle728[[#This Row],[gov_crit_id]])*(Tabelle7[doc_id]=Tabelle728[[#This Row],[doc_id_primary_evidence]]),0)),""))</f>
        <v/>
      </c>
    </row>
    <row r="231" spans="1:6" x14ac:dyDescent="0.25">
      <c r="A231" s="24">
        <v>33</v>
      </c>
      <c r="B231" s="2" t="s">
        <v>215</v>
      </c>
      <c r="C231" s="2" t="str">
        <f>IF(Tabelle728[[#This Row],[score_0_3]]=0,"",IFERROR(_xlfn.MINIFS(Tabelle7[doc_id],Tabelle7[company_id],Tabelle728[[#This Row],[company_id]],Tabelle7[gov_id],Tabelle728[[#This Row],[gov_crit_id]],Tabelle7[score_0_3],Tabelle728[[#This Row],[score_0_3]]),""))</f>
        <v/>
      </c>
      <c r="D231" s="3">
        <f>IFERROR(_xlfn.MAXIFS(Tabelle7[score_0_3],Tabelle7[company_id],Tabelle728[[#This Row],[company_id]],Tabelle7[gov_id],Tabelle728[[#This Row],[gov_crit_id]]),0)</f>
        <v>0</v>
      </c>
      <c r="E231" t="str" cm="1">
        <f t="array" ref="E231">IF(Tabelle728[[#This Row],[doc_id_primary_evidence]]="","",IFERROR(INDEX(Tabelle7[evidence_quote],MATCH(1,(Tabelle7[company_id]=Tabelle728[[#This Row],[company_id]])*(Tabelle7[gov_id]=Tabelle728[[#This Row],[gov_crit_id]])*(Tabelle7[doc_id]=Tabelle728[[#This Row],[doc_id_primary_evidence]]),0)),""))</f>
        <v/>
      </c>
      <c r="F231" s="51" t="str" cm="1">
        <f t="array" ref="F231">IF(Tabelle728[[#This Row],[doc_id_primary_evidence]]="","",IFERROR(INDEX(Tabelle7[evidence_location],MATCH(1,(Tabelle7[company_id]=Tabelle728[[#This Row],[company_id]])*(Tabelle7[gov_id]=Tabelle728[[#This Row],[gov_crit_id]])*(Tabelle7[doc_id]=Tabelle728[[#This Row],[doc_id_primary_evidence]]),0)),""))</f>
        <v/>
      </c>
    </row>
    <row r="232" spans="1:6" ht="15.75" thickBot="1" x14ac:dyDescent="0.3">
      <c r="A232" s="26">
        <v>33</v>
      </c>
      <c r="B232" s="27" t="s">
        <v>221</v>
      </c>
      <c r="C232" s="27" t="str">
        <f>IF(Tabelle728[[#This Row],[score_0_3]]=0,"",IFERROR(_xlfn.MINIFS(Tabelle7[doc_id],Tabelle7[company_id],Tabelle728[[#This Row],[company_id]],Tabelle7[gov_id],Tabelle728[[#This Row],[gov_crit_id]],Tabelle7[score_0_3],Tabelle728[[#This Row],[score_0_3]]),""))</f>
        <v/>
      </c>
      <c r="D232" s="28">
        <f>IFERROR(_xlfn.MAXIFS(Tabelle7[score_0_3],Tabelle7[company_id],Tabelle728[[#This Row],[company_id]],Tabelle7[gov_id],Tabelle728[[#This Row],[gov_crit_id]]),0)</f>
        <v>0</v>
      </c>
      <c r="E232" s="30" t="str" cm="1">
        <f t="array" ref="E232">IF(Tabelle728[[#This Row],[doc_id_primary_evidence]]="","",IFERROR(INDEX(Tabelle7[evidence_quote],MATCH(1,(Tabelle7[company_id]=Tabelle728[[#This Row],[company_id]])*(Tabelle7[gov_id]=Tabelle728[[#This Row],[gov_crit_id]])*(Tabelle7[doc_id]=Tabelle728[[#This Row],[doc_id_primary_evidence]]),0)),""))</f>
        <v/>
      </c>
      <c r="F232" s="52" t="str" cm="1">
        <f t="array" ref="F232">IF(Tabelle728[[#This Row],[doc_id_primary_evidence]]="","",IFERROR(INDEX(Tabelle7[evidence_location],MATCH(1,(Tabelle7[company_id]=Tabelle728[[#This Row],[company_id]])*(Tabelle7[gov_id]=Tabelle728[[#This Row],[gov_crit_id]])*(Tabelle7[doc_id]=Tabelle728[[#This Row],[doc_id_primary_evidence]]),0)),""))</f>
        <v/>
      </c>
    </row>
    <row r="233" spans="1:6" x14ac:dyDescent="0.25">
      <c r="A233" s="18">
        <v>34</v>
      </c>
      <c r="B233" s="19" t="s">
        <v>186</v>
      </c>
      <c r="C233" s="19">
        <f>IF(Tabelle728[[#This Row],[score_0_3]]=0,"",IFERROR(_xlfn.MINIFS(Tabelle7[doc_id],Tabelle7[company_id],Tabelle728[[#This Row],[company_id]],Tabelle7[gov_id],Tabelle728[[#This Row],[gov_crit_id]],Tabelle7[score_0_3],Tabelle728[[#This Row],[score_0_3]]),""))</f>
        <v>201</v>
      </c>
      <c r="D233" s="20">
        <f>IFERROR(_xlfn.MAXIFS(Tabelle7[score_0_3],Tabelle7[company_id],Tabelle728[[#This Row],[company_id]],Tabelle7[gov_id],Tabelle728[[#This Row],[gov_crit_id]]),0)</f>
        <v>2</v>
      </c>
      <c r="E233" s="22" t="str" cm="1">
        <f t="array" ref="E233">IF(Tabelle728[[#This Row],[doc_id_primary_evidence]]="","",IFERROR(INDEX(Tabelle7[evidence_quote],MATCH(1,(Tabelle7[company_id]=Tabelle728[[#This Row],[company_id]])*(Tabelle7[gov_id]=Tabelle728[[#This Row],[gov_crit_id]])*(Tabelle7[doc_id]=Tabelle728[[#This Row],[doc_id_primary_evidence]]),0)),""))</f>
        <v>“cross-functional Generative AI Governance task force”; “oversees the evaluation, development, and implementation”</v>
      </c>
      <c r="F233" s="50" t="str" cm="1">
        <f t="array" ref="F233">IF(Tabelle728[[#This Row],[doc_id_primary_evidence]]="","",IFERROR(INDEX(Tabelle7[evidence_location],MATCH(1,(Tabelle7[company_id]=Tabelle728[[#This Row],[company_id]])*(Tabelle7[gov_id]=Tabelle728[[#This Row],[gov_crit_id]])*(Tabelle7[doc_id]=Tabelle728[[#This Row],[doc_id_primary_evidence]]),0)),""))</f>
        <v>S. 41</v>
      </c>
    </row>
    <row r="234" spans="1:6" x14ac:dyDescent="0.25">
      <c r="A234" s="24">
        <v>34</v>
      </c>
      <c r="B234" s="2" t="s">
        <v>192</v>
      </c>
      <c r="C234" s="2">
        <f>IF(Tabelle728[[#This Row],[score_0_3]]=0,"",IFERROR(_xlfn.MINIFS(Tabelle7[doc_id],Tabelle7[company_id],Tabelle728[[#This Row],[company_id]],Tabelle7[gov_id],Tabelle728[[#This Row],[gov_crit_id]],Tabelle7[score_0_3],Tabelle728[[#This Row],[score_0_3]]),""))</f>
        <v>201</v>
      </c>
      <c r="D234" s="3">
        <f>IFERROR(_xlfn.MAXIFS(Tabelle7[score_0_3],Tabelle7[company_id],Tabelle728[[#This Row],[company_id]],Tabelle7[gov_id],Tabelle728[[#This Row],[gov_crit_id]]),0)</f>
        <v>2</v>
      </c>
      <c r="E234" t="str" cm="1">
        <f t="array" ref="E234">IF(Tabelle728[[#This Row],[doc_id_primary_evidence]]="","",IFERROR(INDEX(Tabelle7[evidence_quote],MATCH(1,(Tabelle7[company_id]=Tabelle728[[#This Row],[company_id]])*(Tabelle7[gov_id]=Tabelle728[[#This Row],[gov_crit_id]])*(Tabelle7[doc_id]=Tabelle728[[#This Row],[doc_id_primary_evidence]]),0)),""))</f>
        <v>“oversees the evaluation, development, and implementation”; “integrate our Responsible AI Principles and controls into our product and solutions development, procurement, and risk management processes”; “mandatory milestone in the global Siemens Product Lifecycle Management (PLM) process”</v>
      </c>
      <c r="F234" s="51" t="str" cm="1">
        <f t="array" ref="F234">IF(Tabelle728[[#This Row],[doc_id_primary_evidence]]="","",IFERROR(INDEX(Tabelle7[evidence_location],MATCH(1,(Tabelle7[company_id]=Tabelle728[[#This Row],[company_id]])*(Tabelle7[gov_id]=Tabelle728[[#This Row],[gov_crit_id]])*(Tabelle7[doc_id]=Tabelle728[[#This Row],[doc_id_primary_evidence]]),0)),""))</f>
        <v>S. 41; S. 43; S. 49</v>
      </c>
    </row>
    <row r="235" spans="1:6" x14ac:dyDescent="0.25">
      <c r="A235" s="24">
        <v>34</v>
      </c>
      <c r="B235" s="2" t="s">
        <v>198</v>
      </c>
      <c r="C235" s="2">
        <f>IF(Tabelle728[[#This Row],[score_0_3]]=0,"",IFERROR(_xlfn.MINIFS(Tabelle7[doc_id],Tabelle7[company_id],Tabelle728[[#This Row],[company_id]],Tabelle7[gov_id],Tabelle728[[#This Row],[gov_crit_id]],Tabelle7[score_0_3],Tabelle728[[#This Row],[score_0_3]]),""))</f>
        <v>201</v>
      </c>
      <c r="D235" s="3">
        <f>IFERROR(_xlfn.MAXIFS(Tabelle7[score_0_3],Tabelle7[company_id],Tabelle728[[#This Row],[company_id]],Tabelle7[gov_id],Tabelle728[[#This Row],[gov_crit_id]]),0)</f>
        <v>2</v>
      </c>
      <c r="E235" t="str" cm="1">
        <f t="array" ref="E235">IF(Tabelle728[[#This Row],[doc_id_primary_evidence]]="","",IFERROR(INDEX(Tabelle7[evidence_quote],MATCH(1,(Tabelle7[company_id]=Tabelle728[[#This Row],[company_id]])*(Tabelle7[gov_id]=Tabelle728[[#This Row],[gov_crit_id]])*(Tabelle7[doc_id]=Tabelle728[[#This Row],[doc_id_primary_evidence]]),0)),""))</f>
        <v>“central internal Generative AI platform solutions”; “introduced an AI developer questionnaire”; “adding an AI questionnaire”</v>
      </c>
      <c r="F235" s="51" t="str" cm="1">
        <f t="array" ref="F235">IF(Tabelle728[[#This Row],[doc_id_primary_evidence]]="","",IFERROR(INDEX(Tabelle7[evidence_location],MATCH(1,(Tabelle7[company_id]=Tabelle728[[#This Row],[company_id]])*(Tabelle7[gov_id]=Tabelle728[[#This Row],[gov_crit_id]])*(Tabelle7[doc_id]=Tabelle728[[#This Row],[doc_id_primary_evidence]]),0)),""))</f>
        <v>S. 42; S. 49</v>
      </c>
    </row>
    <row r="236" spans="1:6" x14ac:dyDescent="0.25">
      <c r="A236" s="24">
        <v>34</v>
      </c>
      <c r="B236" s="2" t="s">
        <v>204</v>
      </c>
      <c r="C236" s="2">
        <f>IF(Tabelle728[[#This Row],[score_0_3]]=0,"",IFERROR(_xlfn.MINIFS(Tabelle7[doc_id],Tabelle7[company_id],Tabelle728[[#This Row],[company_id]],Tabelle7[gov_id],Tabelle728[[#This Row],[gov_crit_id]],Tabelle7[score_0_3],Tabelle728[[#This Row],[score_0_3]]),""))</f>
        <v>201</v>
      </c>
      <c r="D236" s="3">
        <f>IFERROR(_xlfn.MAXIFS(Tabelle7[score_0_3],Tabelle7[company_id],Tabelle728[[#This Row],[company_id]],Tabelle7[gov_id],Tabelle728[[#This Row],[gov_crit_id]]),0)</f>
        <v>1</v>
      </c>
      <c r="E236" t="str" cm="1">
        <f t="array" ref="E236">IF(Tabelle728[[#This Row],[doc_id_primary_evidence]]="","",IFERROR(INDEX(Tabelle7[evidence_quote],MATCH(1,(Tabelle7[company_id]=Tabelle728[[#This Row],[company_id]])*(Tabelle7[gov_id]=Tabelle728[[#This Row],[gov_crit_id]])*(Tabelle7[doc_id]=Tabelle728[[#This Row],[doc_id_primary_evidence]]),0)),""))</f>
        <v>“mandated and conducted an audit on Trustworthy AI”; “evaluating the governance for AI at Siemens”</v>
      </c>
      <c r="F236" s="51" t="str" cm="1">
        <f t="array" ref="F236">IF(Tabelle728[[#This Row],[doc_id_primary_evidence]]="","",IFERROR(INDEX(Tabelle7[evidence_location],MATCH(1,(Tabelle7[company_id]=Tabelle728[[#This Row],[company_id]])*(Tabelle7[gov_id]=Tabelle728[[#This Row],[gov_crit_id]])*(Tabelle7[doc_id]=Tabelle728[[#This Row],[doc_id_primary_evidence]]),0)),""))</f>
        <v>S. 43</v>
      </c>
    </row>
    <row r="237" spans="1:6" x14ac:dyDescent="0.25">
      <c r="A237" s="24">
        <v>34</v>
      </c>
      <c r="B237" s="2" t="s">
        <v>210</v>
      </c>
      <c r="C237" s="2">
        <f>IF(Tabelle728[[#This Row],[score_0_3]]=0,"",IFERROR(_xlfn.MINIFS(Tabelle7[doc_id],Tabelle7[company_id],Tabelle728[[#This Row],[company_id]],Tabelle7[gov_id],Tabelle728[[#This Row],[gov_crit_id]],Tabelle7[score_0_3],Tabelle728[[#This Row],[score_0_3]]),""))</f>
        <v>201</v>
      </c>
      <c r="D237" s="3">
        <f>IFERROR(_xlfn.MAXIFS(Tabelle7[score_0_3],Tabelle7[company_id],Tabelle728[[#This Row],[company_id]],Tabelle7[gov_id],Tabelle728[[#This Row],[gov_crit_id]]),0)</f>
        <v>1</v>
      </c>
      <c r="E237" t="str" cm="1">
        <f t="array" ref="E237">IF(Tabelle728[[#This Row],[doc_id_primary_evidence]]="","",IFERROR(INDEX(Tabelle7[evidence_quote],MATCH(1,(Tabelle7[company_id]=Tabelle728[[#This Row],[company_id]])*(Tabelle7[gov_id]=Tabelle728[[#This Row],[gov_crit_id]])*(Tabelle7[doc_id]=Tabelle728[[#This Row],[doc_id_primary_evidence]]),0)),""))</f>
        <v>“offer tailored trainings focused on (Generative) AI”</v>
      </c>
      <c r="F237" s="51" t="str" cm="1">
        <f t="array" ref="F237">IF(Tabelle728[[#This Row],[doc_id_primary_evidence]]="","",IFERROR(INDEX(Tabelle7[evidence_location],MATCH(1,(Tabelle7[company_id]=Tabelle728[[#This Row],[company_id]])*(Tabelle7[gov_id]=Tabelle728[[#This Row],[gov_crit_id]])*(Tabelle7[doc_id]=Tabelle728[[#This Row],[doc_id_primary_evidence]]),0)),""))</f>
        <v>S. 42</v>
      </c>
    </row>
    <row r="238" spans="1:6" x14ac:dyDescent="0.25">
      <c r="A238" s="24">
        <v>34</v>
      </c>
      <c r="B238" s="2" t="s">
        <v>215</v>
      </c>
      <c r="C238" s="2" t="str">
        <f>IF(Tabelle728[[#This Row],[score_0_3]]=0,"",IFERROR(_xlfn.MINIFS(Tabelle7[doc_id],Tabelle7[company_id],Tabelle728[[#This Row],[company_id]],Tabelle7[gov_id],Tabelle728[[#This Row],[gov_crit_id]],Tabelle7[score_0_3],Tabelle728[[#This Row],[score_0_3]]),""))</f>
        <v/>
      </c>
      <c r="D238" s="3">
        <f>IFERROR(_xlfn.MAXIFS(Tabelle7[score_0_3],Tabelle7[company_id],Tabelle728[[#This Row],[company_id]],Tabelle7[gov_id],Tabelle728[[#This Row],[gov_crit_id]]),0)</f>
        <v>0</v>
      </c>
      <c r="E238" t="str" cm="1">
        <f t="array" ref="E238">IF(Tabelle728[[#This Row],[doc_id_primary_evidence]]="","",IFERROR(INDEX(Tabelle7[evidence_quote],MATCH(1,(Tabelle7[company_id]=Tabelle728[[#This Row],[company_id]])*(Tabelle7[gov_id]=Tabelle728[[#This Row],[gov_crit_id]])*(Tabelle7[doc_id]=Tabelle728[[#This Row],[doc_id_primary_evidence]]),0)),""))</f>
        <v/>
      </c>
      <c r="F238" s="51" t="str" cm="1">
        <f t="array" ref="F238">IF(Tabelle728[[#This Row],[doc_id_primary_evidence]]="","",IFERROR(INDEX(Tabelle7[evidence_location],MATCH(1,(Tabelle7[company_id]=Tabelle728[[#This Row],[company_id]])*(Tabelle7[gov_id]=Tabelle728[[#This Row],[gov_crit_id]])*(Tabelle7[doc_id]=Tabelle728[[#This Row],[doc_id_primary_evidence]]),0)),""))</f>
        <v/>
      </c>
    </row>
    <row r="239" spans="1:6" ht="15.75" thickBot="1" x14ac:dyDescent="0.3">
      <c r="A239" s="26">
        <v>34</v>
      </c>
      <c r="B239" s="27" t="s">
        <v>221</v>
      </c>
      <c r="C239" s="27" t="str">
        <f>IF(Tabelle728[[#This Row],[score_0_3]]=0,"",IFERROR(_xlfn.MINIFS(Tabelle7[doc_id],Tabelle7[company_id],Tabelle728[[#This Row],[company_id]],Tabelle7[gov_id],Tabelle728[[#This Row],[gov_crit_id]],Tabelle7[score_0_3],Tabelle728[[#This Row],[score_0_3]]),""))</f>
        <v/>
      </c>
      <c r="D239" s="28">
        <f>IFERROR(_xlfn.MAXIFS(Tabelle7[score_0_3],Tabelle7[company_id],Tabelle728[[#This Row],[company_id]],Tabelle7[gov_id],Tabelle728[[#This Row],[gov_crit_id]]),0)</f>
        <v>0</v>
      </c>
      <c r="E239" s="30" t="str" cm="1">
        <f t="array" ref="E239">IF(Tabelle728[[#This Row],[doc_id_primary_evidence]]="","",IFERROR(INDEX(Tabelle7[evidence_quote],MATCH(1,(Tabelle7[company_id]=Tabelle728[[#This Row],[company_id]])*(Tabelle7[gov_id]=Tabelle728[[#This Row],[gov_crit_id]])*(Tabelle7[doc_id]=Tabelle728[[#This Row],[doc_id_primary_evidence]]),0)),""))</f>
        <v/>
      </c>
      <c r="F239" s="52" t="str" cm="1">
        <f t="array" ref="F239">IF(Tabelle728[[#This Row],[doc_id_primary_evidence]]="","",IFERROR(INDEX(Tabelle7[evidence_location],MATCH(1,(Tabelle7[company_id]=Tabelle728[[#This Row],[company_id]])*(Tabelle7[gov_id]=Tabelle728[[#This Row],[gov_crit_id]])*(Tabelle7[doc_id]=Tabelle728[[#This Row],[doc_id_primary_evidence]]),0)),""))</f>
        <v/>
      </c>
    </row>
    <row r="240" spans="1:6" x14ac:dyDescent="0.25">
      <c r="A240" s="18">
        <v>35</v>
      </c>
      <c r="B240" s="19" t="s">
        <v>186</v>
      </c>
      <c r="C240" s="19" t="str">
        <f>IF(Tabelle728[[#This Row],[score_0_3]]=0,"",IFERROR(_xlfn.MINIFS(Tabelle7[doc_id],Tabelle7[company_id],Tabelle728[[#This Row],[company_id]],Tabelle7[gov_id],Tabelle728[[#This Row],[gov_crit_id]],Tabelle7[score_0_3],Tabelle728[[#This Row],[score_0_3]]),""))</f>
        <v/>
      </c>
      <c r="D240" s="20">
        <f>IFERROR(_xlfn.MAXIFS(Tabelle7[score_0_3],Tabelle7[company_id],Tabelle728[[#This Row],[company_id]],Tabelle7[gov_id],Tabelle728[[#This Row],[gov_crit_id]]),0)</f>
        <v>0</v>
      </c>
      <c r="E240" s="22" t="str" cm="1">
        <f t="array" ref="E240">IF(Tabelle728[[#This Row],[doc_id_primary_evidence]]="","",IFERROR(INDEX(Tabelle7[evidence_quote],MATCH(1,(Tabelle7[company_id]=Tabelle728[[#This Row],[company_id]])*(Tabelle7[gov_id]=Tabelle728[[#This Row],[gov_crit_id]])*(Tabelle7[doc_id]=Tabelle728[[#This Row],[doc_id_primary_evidence]]),0)),""))</f>
        <v/>
      </c>
      <c r="F240" s="50" t="str" cm="1">
        <f t="array" ref="F240">IF(Tabelle728[[#This Row],[doc_id_primary_evidence]]="","",IFERROR(INDEX(Tabelle7[evidence_location],MATCH(1,(Tabelle7[company_id]=Tabelle728[[#This Row],[company_id]])*(Tabelle7[gov_id]=Tabelle728[[#This Row],[gov_crit_id]])*(Tabelle7[doc_id]=Tabelle728[[#This Row],[doc_id_primary_evidence]]),0)),""))</f>
        <v/>
      </c>
    </row>
    <row r="241" spans="1:6" x14ac:dyDescent="0.25">
      <c r="A241" s="24">
        <v>35</v>
      </c>
      <c r="B241" s="2" t="s">
        <v>192</v>
      </c>
      <c r="C241" s="2" t="str">
        <f>IF(Tabelle728[[#This Row],[score_0_3]]=0,"",IFERROR(_xlfn.MINIFS(Tabelle7[doc_id],Tabelle7[company_id],Tabelle728[[#This Row],[company_id]],Tabelle7[gov_id],Tabelle728[[#This Row],[gov_crit_id]],Tabelle7[score_0_3],Tabelle728[[#This Row],[score_0_3]]),""))</f>
        <v/>
      </c>
      <c r="D241" s="3">
        <f>IFERROR(_xlfn.MAXIFS(Tabelle7[score_0_3],Tabelle7[company_id],Tabelle728[[#This Row],[company_id]],Tabelle7[gov_id],Tabelle728[[#This Row],[gov_crit_id]]),0)</f>
        <v>0</v>
      </c>
      <c r="E241" t="str" cm="1">
        <f t="array" ref="E241">IF(Tabelle728[[#This Row],[doc_id_primary_evidence]]="","",IFERROR(INDEX(Tabelle7[evidence_quote],MATCH(1,(Tabelle7[company_id]=Tabelle728[[#This Row],[company_id]])*(Tabelle7[gov_id]=Tabelle728[[#This Row],[gov_crit_id]])*(Tabelle7[doc_id]=Tabelle728[[#This Row],[doc_id_primary_evidence]]),0)),""))</f>
        <v/>
      </c>
      <c r="F241" s="51" t="str" cm="1">
        <f t="array" ref="F241">IF(Tabelle728[[#This Row],[doc_id_primary_evidence]]="","",IFERROR(INDEX(Tabelle7[evidence_location],MATCH(1,(Tabelle7[company_id]=Tabelle728[[#This Row],[company_id]])*(Tabelle7[gov_id]=Tabelle728[[#This Row],[gov_crit_id]])*(Tabelle7[doc_id]=Tabelle728[[#This Row],[doc_id_primary_evidence]]),0)),""))</f>
        <v/>
      </c>
    </row>
    <row r="242" spans="1:6" x14ac:dyDescent="0.25">
      <c r="A242" s="24">
        <v>35</v>
      </c>
      <c r="B242" s="2" t="s">
        <v>198</v>
      </c>
      <c r="C242" s="2" t="str">
        <f>IF(Tabelle728[[#This Row],[score_0_3]]=0,"",IFERROR(_xlfn.MINIFS(Tabelle7[doc_id],Tabelle7[company_id],Tabelle728[[#This Row],[company_id]],Tabelle7[gov_id],Tabelle728[[#This Row],[gov_crit_id]],Tabelle7[score_0_3],Tabelle728[[#This Row],[score_0_3]]),""))</f>
        <v/>
      </c>
      <c r="D242" s="3">
        <f>IFERROR(_xlfn.MAXIFS(Tabelle7[score_0_3],Tabelle7[company_id],Tabelle728[[#This Row],[company_id]],Tabelle7[gov_id],Tabelle728[[#This Row],[gov_crit_id]]),0)</f>
        <v>0</v>
      </c>
      <c r="E242" t="str" cm="1">
        <f t="array" ref="E242">IF(Tabelle728[[#This Row],[doc_id_primary_evidence]]="","",IFERROR(INDEX(Tabelle7[evidence_quote],MATCH(1,(Tabelle7[company_id]=Tabelle728[[#This Row],[company_id]])*(Tabelle7[gov_id]=Tabelle728[[#This Row],[gov_crit_id]])*(Tabelle7[doc_id]=Tabelle728[[#This Row],[doc_id_primary_evidence]]),0)),""))</f>
        <v/>
      </c>
      <c r="F242" s="51" t="str" cm="1">
        <f t="array" ref="F242">IF(Tabelle728[[#This Row],[doc_id_primary_evidence]]="","",IFERROR(INDEX(Tabelle7[evidence_location],MATCH(1,(Tabelle7[company_id]=Tabelle728[[#This Row],[company_id]])*(Tabelle7[gov_id]=Tabelle728[[#This Row],[gov_crit_id]])*(Tabelle7[doc_id]=Tabelle728[[#This Row],[doc_id_primary_evidence]]),0)),""))</f>
        <v/>
      </c>
    </row>
    <row r="243" spans="1:6" x14ac:dyDescent="0.25">
      <c r="A243" s="24">
        <v>35</v>
      </c>
      <c r="B243" s="2" t="s">
        <v>204</v>
      </c>
      <c r="C243" s="2" t="str">
        <f>IF(Tabelle728[[#This Row],[score_0_3]]=0,"",IFERROR(_xlfn.MINIFS(Tabelle7[doc_id],Tabelle7[company_id],Tabelle728[[#This Row],[company_id]],Tabelle7[gov_id],Tabelle728[[#This Row],[gov_crit_id]],Tabelle7[score_0_3],Tabelle728[[#This Row],[score_0_3]]),""))</f>
        <v/>
      </c>
      <c r="D243" s="3">
        <f>IFERROR(_xlfn.MAXIFS(Tabelle7[score_0_3],Tabelle7[company_id],Tabelle728[[#This Row],[company_id]],Tabelle7[gov_id],Tabelle728[[#This Row],[gov_crit_id]]),0)</f>
        <v>0</v>
      </c>
      <c r="E243" t="str" cm="1">
        <f t="array" ref="E243">IF(Tabelle728[[#This Row],[doc_id_primary_evidence]]="","",IFERROR(INDEX(Tabelle7[evidence_quote],MATCH(1,(Tabelle7[company_id]=Tabelle728[[#This Row],[company_id]])*(Tabelle7[gov_id]=Tabelle728[[#This Row],[gov_crit_id]])*(Tabelle7[doc_id]=Tabelle728[[#This Row],[doc_id_primary_evidence]]),0)),""))</f>
        <v/>
      </c>
      <c r="F243" s="51" t="str" cm="1">
        <f t="array" ref="F243">IF(Tabelle728[[#This Row],[doc_id_primary_evidence]]="","",IFERROR(INDEX(Tabelle7[evidence_location],MATCH(1,(Tabelle7[company_id]=Tabelle728[[#This Row],[company_id]])*(Tabelle7[gov_id]=Tabelle728[[#This Row],[gov_crit_id]])*(Tabelle7[doc_id]=Tabelle728[[#This Row],[doc_id_primary_evidence]]),0)),""))</f>
        <v/>
      </c>
    </row>
    <row r="244" spans="1:6" x14ac:dyDescent="0.25">
      <c r="A244" s="24">
        <v>35</v>
      </c>
      <c r="B244" s="2" t="s">
        <v>210</v>
      </c>
      <c r="C244" s="2" t="str">
        <f>IF(Tabelle728[[#This Row],[score_0_3]]=0,"",IFERROR(_xlfn.MINIFS(Tabelle7[doc_id],Tabelle7[company_id],Tabelle728[[#This Row],[company_id]],Tabelle7[gov_id],Tabelle728[[#This Row],[gov_crit_id]],Tabelle7[score_0_3],Tabelle728[[#This Row],[score_0_3]]),""))</f>
        <v/>
      </c>
      <c r="D244" s="3">
        <f>IFERROR(_xlfn.MAXIFS(Tabelle7[score_0_3],Tabelle7[company_id],Tabelle728[[#This Row],[company_id]],Tabelle7[gov_id],Tabelle728[[#This Row],[gov_crit_id]]),0)</f>
        <v>0</v>
      </c>
      <c r="E244" t="str" cm="1">
        <f t="array" ref="E244">IF(Tabelle728[[#This Row],[doc_id_primary_evidence]]="","",IFERROR(INDEX(Tabelle7[evidence_quote],MATCH(1,(Tabelle7[company_id]=Tabelle728[[#This Row],[company_id]])*(Tabelle7[gov_id]=Tabelle728[[#This Row],[gov_crit_id]])*(Tabelle7[doc_id]=Tabelle728[[#This Row],[doc_id_primary_evidence]]),0)),""))</f>
        <v/>
      </c>
      <c r="F244" s="51" t="str" cm="1">
        <f t="array" ref="F244">IF(Tabelle728[[#This Row],[doc_id_primary_evidence]]="","",IFERROR(INDEX(Tabelle7[evidence_location],MATCH(1,(Tabelle7[company_id]=Tabelle728[[#This Row],[company_id]])*(Tabelle7[gov_id]=Tabelle728[[#This Row],[gov_crit_id]])*(Tabelle7[doc_id]=Tabelle728[[#This Row],[doc_id_primary_evidence]]),0)),""))</f>
        <v/>
      </c>
    </row>
    <row r="245" spans="1:6" x14ac:dyDescent="0.25">
      <c r="A245" s="24">
        <v>35</v>
      </c>
      <c r="B245" s="2" t="s">
        <v>215</v>
      </c>
      <c r="C245" s="2" t="str">
        <f>IF(Tabelle728[[#This Row],[score_0_3]]=0,"",IFERROR(_xlfn.MINIFS(Tabelle7[doc_id],Tabelle7[company_id],Tabelle728[[#This Row],[company_id]],Tabelle7[gov_id],Tabelle728[[#This Row],[gov_crit_id]],Tabelle7[score_0_3],Tabelle728[[#This Row],[score_0_3]]),""))</f>
        <v/>
      </c>
      <c r="D245" s="3">
        <f>IFERROR(_xlfn.MAXIFS(Tabelle7[score_0_3],Tabelle7[company_id],Tabelle728[[#This Row],[company_id]],Tabelle7[gov_id],Tabelle728[[#This Row],[gov_crit_id]]),0)</f>
        <v>0</v>
      </c>
      <c r="E245" t="str" cm="1">
        <f t="array" ref="E245">IF(Tabelle728[[#This Row],[doc_id_primary_evidence]]="","",IFERROR(INDEX(Tabelle7[evidence_quote],MATCH(1,(Tabelle7[company_id]=Tabelle728[[#This Row],[company_id]])*(Tabelle7[gov_id]=Tabelle728[[#This Row],[gov_crit_id]])*(Tabelle7[doc_id]=Tabelle728[[#This Row],[doc_id_primary_evidence]]),0)),""))</f>
        <v/>
      </c>
      <c r="F245" s="51" t="str" cm="1">
        <f t="array" ref="F245">IF(Tabelle728[[#This Row],[doc_id_primary_evidence]]="","",IFERROR(INDEX(Tabelle7[evidence_location],MATCH(1,(Tabelle7[company_id]=Tabelle728[[#This Row],[company_id]])*(Tabelle7[gov_id]=Tabelle728[[#This Row],[gov_crit_id]])*(Tabelle7[doc_id]=Tabelle728[[#This Row],[doc_id_primary_evidence]]),0)),""))</f>
        <v/>
      </c>
    </row>
    <row r="246" spans="1:6" ht="15.75" thickBot="1" x14ac:dyDescent="0.3">
      <c r="A246" s="26">
        <v>35</v>
      </c>
      <c r="B246" s="27" t="s">
        <v>221</v>
      </c>
      <c r="C246" s="27" t="str">
        <f>IF(Tabelle728[[#This Row],[score_0_3]]=0,"",IFERROR(_xlfn.MINIFS(Tabelle7[doc_id],Tabelle7[company_id],Tabelle728[[#This Row],[company_id]],Tabelle7[gov_id],Tabelle728[[#This Row],[gov_crit_id]],Tabelle7[score_0_3],Tabelle728[[#This Row],[score_0_3]]),""))</f>
        <v/>
      </c>
      <c r="D246" s="28">
        <f>IFERROR(_xlfn.MAXIFS(Tabelle7[score_0_3],Tabelle7[company_id],Tabelle728[[#This Row],[company_id]],Tabelle7[gov_id],Tabelle728[[#This Row],[gov_crit_id]]),0)</f>
        <v>0</v>
      </c>
      <c r="E246" s="30" t="str" cm="1">
        <f t="array" ref="E246">IF(Tabelle728[[#This Row],[doc_id_primary_evidence]]="","",IFERROR(INDEX(Tabelle7[evidence_quote],MATCH(1,(Tabelle7[company_id]=Tabelle728[[#This Row],[company_id]])*(Tabelle7[gov_id]=Tabelle728[[#This Row],[gov_crit_id]])*(Tabelle7[doc_id]=Tabelle728[[#This Row],[doc_id_primary_evidence]]),0)),""))</f>
        <v/>
      </c>
      <c r="F246" s="52" t="str" cm="1">
        <f t="array" ref="F246">IF(Tabelle728[[#This Row],[doc_id_primary_evidence]]="","",IFERROR(INDEX(Tabelle7[evidence_location],MATCH(1,(Tabelle7[company_id]=Tabelle728[[#This Row],[company_id]])*(Tabelle7[gov_id]=Tabelle728[[#This Row],[gov_crit_id]])*(Tabelle7[doc_id]=Tabelle728[[#This Row],[doc_id_primary_evidence]]),0)),""))</f>
        <v/>
      </c>
    </row>
    <row r="247" spans="1:6" x14ac:dyDescent="0.25">
      <c r="A247" s="18">
        <v>36</v>
      </c>
      <c r="B247" s="19" t="s">
        <v>186</v>
      </c>
      <c r="C247" s="19" t="str">
        <f>IF(Tabelle728[[#This Row],[score_0_3]]=0,"",IFERROR(_xlfn.MINIFS(Tabelle7[doc_id],Tabelle7[company_id],Tabelle728[[#This Row],[company_id]],Tabelle7[gov_id],Tabelle728[[#This Row],[gov_crit_id]],Tabelle7[score_0_3],Tabelle728[[#This Row],[score_0_3]]),""))</f>
        <v/>
      </c>
      <c r="D247" s="20">
        <f>IFERROR(_xlfn.MAXIFS(Tabelle7[score_0_3],Tabelle7[company_id],Tabelle728[[#This Row],[company_id]],Tabelle7[gov_id],Tabelle728[[#This Row],[gov_crit_id]]),0)</f>
        <v>0</v>
      </c>
      <c r="E247" s="22" t="str" cm="1">
        <f t="array" ref="E247">IF(Tabelle728[[#This Row],[doc_id_primary_evidence]]="","",IFERROR(INDEX(Tabelle7[evidence_quote],MATCH(1,(Tabelle7[company_id]=Tabelle728[[#This Row],[company_id]])*(Tabelle7[gov_id]=Tabelle728[[#This Row],[gov_crit_id]])*(Tabelle7[doc_id]=Tabelle728[[#This Row],[doc_id_primary_evidence]]),0)),""))</f>
        <v/>
      </c>
      <c r="F247" s="50" t="str" cm="1">
        <f t="array" ref="F247">IF(Tabelle728[[#This Row],[doc_id_primary_evidence]]="","",IFERROR(INDEX(Tabelle7[evidence_location],MATCH(1,(Tabelle7[company_id]=Tabelle728[[#This Row],[company_id]])*(Tabelle7[gov_id]=Tabelle728[[#This Row],[gov_crit_id]])*(Tabelle7[doc_id]=Tabelle728[[#This Row],[doc_id_primary_evidence]]),0)),""))</f>
        <v/>
      </c>
    </row>
    <row r="248" spans="1:6" x14ac:dyDescent="0.25">
      <c r="A248" s="24">
        <v>36</v>
      </c>
      <c r="B248" s="2" t="s">
        <v>192</v>
      </c>
      <c r="C248" s="2">
        <f>IF(Tabelle728[[#This Row],[score_0_3]]=0,"",IFERROR(_xlfn.MINIFS(Tabelle7[doc_id],Tabelle7[company_id],Tabelle728[[#This Row],[company_id]],Tabelle7[gov_id],Tabelle728[[#This Row],[gov_crit_id]],Tabelle7[score_0_3],Tabelle728[[#This Row],[score_0_3]]),""))</f>
        <v>221</v>
      </c>
      <c r="D248" s="3">
        <f>IFERROR(_xlfn.MAXIFS(Tabelle7[score_0_3],Tabelle7[company_id],Tabelle728[[#This Row],[company_id]],Tabelle7[gov_id],Tabelle728[[#This Row],[gov_crit_id]]),0)</f>
        <v>2</v>
      </c>
      <c r="E248" t="str" cm="1">
        <f t="array" ref="E248">IF(Tabelle728[[#This Row],[doc_id_primary_evidence]]="","",IFERROR(INDEX(Tabelle7[evidence_quote],MATCH(1,(Tabelle7[company_id]=Tabelle728[[#This Row],[company_id]])*(Tabelle7[gov_id]=Tabelle728[[#This Row],[gov_crit_id]])*(Tabelle7[doc_id]=Tabelle728[[#This Row],[doc_id_primary_evidence]]),0)),""))</f>
        <v>“Validate data”; “seven key steps”; “secure development lifecycle (SDL)”</v>
      </c>
      <c r="F248" s="51" t="str" cm="1">
        <f t="array" ref="F248">IF(Tabelle728[[#This Row],[doc_id_primary_evidence]]="","",IFERROR(INDEX(Tabelle7[evidence_location],MATCH(1,(Tabelle7[company_id]=Tabelle728[[#This Row],[company_id]])*(Tabelle7[gov_id]=Tabelle728[[#This Row],[gov_crit_id]])*(Tabelle7[doc_id]=Tabelle728[[#This Row],[doc_id_primary_evidence]]),0)),""))</f>
        <v>S. 5; S. 6; S. 10</v>
      </c>
    </row>
    <row r="249" spans="1:6" x14ac:dyDescent="0.25">
      <c r="A249" s="24">
        <v>36</v>
      </c>
      <c r="B249" s="2" t="s">
        <v>198</v>
      </c>
      <c r="C249" s="2">
        <f>IF(Tabelle728[[#This Row],[score_0_3]]=0,"",IFERROR(_xlfn.MINIFS(Tabelle7[doc_id],Tabelle7[company_id],Tabelle728[[#This Row],[company_id]],Tabelle7[gov_id],Tabelle728[[#This Row],[gov_crit_id]],Tabelle7[score_0_3],Tabelle728[[#This Row],[score_0_3]]),""))</f>
        <v>221</v>
      </c>
      <c r="D249" s="3">
        <f>IFERROR(_xlfn.MAXIFS(Tabelle7[score_0_3],Tabelle7[company_id],Tabelle728[[#This Row],[company_id]],Tabelle7[gov_id],Tabelle728[[#This Row],[gov_crit_id]]),0)</f>
        <v>2</v>
      </c>
      <c r="E249" t="str" cm="1">
        <f t="array" ref="E249">IF(Tabelle728[[#This Row],[doc_id_primary_evidence]]="","",IFERROR(INDEX(Tabelle7[evidence_quote],MATCH(1,(Tabelle7[company_id]=Tabelle728[[#This Row],[company_id]])*(Tabelle7[gov_id]=Tabelle728[[#This Row],[gov_crit_id]])*(Tabelle7[doc_id]=Tabelle728[[#This Row],[doc_id_primary_evidence]]),0)),""))</f>
        <v>“rigorous, standardized procedure”; “Validate data”; “secure development lifecycle (SDL)”</v>
      </c>
      <c r="F249" s="51" t="str" cm="1">
        <f t="array" ref="F249">IF(Tabelle728[[#This Row],[doc_id_primary_evidence]]="","",IFERROR(INDEX(Tabelle7[evidence_location],MATCH(1,(Tabelle7[company_id]=Tabelle728[[#This Row],[company_id]])*(Tabelle7[gov_id]=Tabelle728[[#This Row],[gov_crit_id]])*(Tabelle7[doc_id]=Tabelle728[[#This Row],[doc_id_primary_evidence]]),0)),""))</f>
        <v>S. 4-5; S. 10</v>
      </c>
    </row>
    <row r="250" spans="1:6" x14ac:dyDescent="0.25">
      <c r="A250" s="24">
        <v>36</v>
      </c>
      <c r="B250" s="2" t="s">
        <v>204</v>
      </c>
      <c r="C250" s="2">
        <f>IF(Tabelle728[[#This Row],[score_0_3]]=0,"",IFERROR(_xlfn.MINIFS(Tabelle7[doc_id],Tabelle7[company_id],Tabelle728[[#This Row],[company_id]],Tabelle7[gov_id],Tabelle728[[#This Row],[gov_crit_id]],Tabelle7[score_0_3],Tabelle728[[#This Row],[score_0_3]]),""))</f>
        <v>221</v>
      </c>
      <c r="D250" s="3">
        <f>IFERROR(_xlfn.MAXIFS(Tabelle7[score_0_3],Tabelle7[company_id],Tabelle728[[#This Row],[company_id]],Tabelle7[gov_id],Tabelle728[[#This Row],[gov_crit_id]]),0)</f>
        <v>1</v>
      </c>
      <c r="E250" t="str" cm="1">
        <f t="array" ref="E250">IF(Tabelle728[[#This Row],[doc_id_primary_evidence]]="","",IFERROR(INDEX(Tabelle7[evidence_quote],MATCH(1,(Tabelle7[company_id]=Tabelle728[[#This Row],[company_id]])*(Tabelle7[gov_id]=Tabelle728[[#This Row],[gov_crit_id]])*(Tabelle7[doc_id]=Tabelle728[[#This Row],[doc_id_primary_evidence]]),0)),""))</f>
        <v>“government-regulated testing and approval process”</v>
      </c>
      <c r="F250" s="51" t="str" cm="1">
        <f t="array" ref="F250">IF(Tabelle728[[#This Row],[doc_id_primary_evidence]]="","",IFERROR(INDEX(Tabelle7[evidence_location],MATCH(1,(Tabelle7[company_id]=Tabelle728[[#This Row],[company_id]])*(Tabelle7[gov_id]=Tabelle728[[#This Row],[gov_crit_id]])*(Tabelle7[doc_id]=Tabelle728[[#This Row],[doc_id_primary_evidence]]),0)),""))</f>
        <v>S. 6</v>
      </c>
    </row>
    <row r="251" spans="1:6" x14ac:dyDescent="0.25">
      <c r="A251" s="24">
        <v>36</v>
      </c>
      <c r="B251" s="2" t="s">
        <v>210</v>
      </c>
      <c r="C251" s="2" t="str">
        <f>IF(Tabelle728[[#This Row],[score_0_3]]=0,"",IFERROR(_xlfn.MINIFS(Tabelle7[doc_id],Tabelle7[company_id],Tabelle728[[#This Row],[company_id]],Tabelle7[gov_id],Tabelle728[[#This Row],[gov_crit_id]],Tabelle7[score_0_3],Tabelle728[[#This Row],[score_0_3]]),""))</f>
        <v/>
      </c>
      <c r="D251" s="3">
        <f>IFERROR(_xlfn.MAXIFS(Tabelle7[score_0_3],Tabelle7[company_id],Tabelle728[[#This Row],[company_id]],Tabelle7[gov_id],Tabelle728[[#This Row],[gov_crit_id]]),0)</f>
        <v>0</v>
      </c>
      <c r="E251" t="str" cm="1">
        <f t="array" ref="E251">IF(Tabelle728[[#This Row],[doc_id_primary_evidence]]="","",IFERROR(INDEX(Tabelle7[evidence_quote],MATCH(1,(Tabelle7[company_id]=Tabelle728[[#This Row],[company_id]])*(Tabelle7[gov_id]=Tabelle728[[#This Row],[gov_crit_id]])*(Tabelle7[doc_id]=Tabelle728[[#This Row],[doc_id_primary_evidence]]),0)),""))</f>
        <v/>
      </c>
      <c r="F251" s="51" t="str" cm="1">
        <f t="array" ref="F251">IF(Tabelle728[[#This Row],[doc_id_primary_evidence]]="","",IFERROR(INDEX(Tabelle7[evidence_location],MATCH(1,(Tabelle7[company_id]=Tabelle728[[#This Row],[company_id]])*(Tabelle7[gov_id]=Tabelle728[[#This Row],[gov_crit_id]])*(Tabelle7[doc_id]=Tabelle728[[#This Row],[doc_id_primary_evidence]]),0)),""))</f>
        <v/>
      </c>
    </row>
    <row r="252" spans="1:6" x14ac:dyDescent="0.25">
      <c r="A252" s="24">
        <v>36</v>
      </c>
      <c r="B252" s="2" t="s">
        <v>215</v>
      </c>
      <c r="C252" s="2" t="str">
        <f>IF(Tabelle728[[#This Row],[score_0_3]]=0,"",IFERROR(_xlfn.MINIFS(Tabelle7[doc_id],Tabelle7[company_id],Tabelle728[[#This Row],[company_id]],Tabelle7[gov_id],Tabelle728[[#This Row],[gov_crit_id]],Tabelle7[score_0_3],Tabelle728[[#This Row],[score_0_3]]),""))</f>
        <v/>
      </c>
      <c r="D252" s="3">
        <f>IFERROR(_xlfn.MAXIFS(Tabelle7[score_0_3],Tabelle7[company_id],Tabelle728[[#This Row],[company_id]],Tabelle7[gov_id],Tabelle728[[#This Row],[gov_crit_id]]),0)</f>
        <v>0</v>
      </c>
      <c r="E252" t="str" cm="1">
        <f t="array" ref="E252">IF(Tabelle728[[#This Row],[doc_id_primary_evidence]]="","",IFERROR(INDEX(Tabelle7[evidence_quote],MATCH(1,(Tabelle7[company_id]=Tabelle728[[#This Row],[company_id]])*(Tabelle7[gov_id]=Tabelle728[[#This Row],[gov_crit_id]])*(Tabelle7[doc_id]=Tabelle728[[#This Row],[doc_id_primary_evidence]]),0)),""))</f>
        <v/>
      </c>
      <c r="F252" s="51" t="str" cm="1">
        <f t="array" ref="F252">IF(Tabelle728[[#This Row],[doc_id_primary_evidence]]="","",IFERROR(INDEX(Tabelle7[evidence_location],MATCH(1,(Tabelle7[company_id]=Tabelle728[[#This Row],[company_id]])*(Tabelle7[gov_id]=Tabelle728[[#This Row],[gov_crit_id]])*(Tabelle7[doc_id]=Tabelle728[[#This Row],[doc_id_primary_evidence]]),0)),""))</f>
        <v/>
      </c>
    </row>
    <row r="253" spans="1:6" ht="15.75" thickBot="1" x14ac:dyDescent="0.3">
      <c r="A253" s="26">
        <v>36</v>
      </c>
      <c r="B253" s="27" t="s">
        <v>221</v>
      </c>
      <c r="C253" s="27" t="str">
        <f>IF(Tabelle728[[#This Row],[score_0_3]]=0,"",IFERROR(_xlfn.MINIFS(Tabelle7[doc_id],Tabelle7[company_id],Tabelle728[[#This Row],[company_id]],Tabelle7[gov_id],Tabelle728[[#This Row],[gov_crit_id]],Tabelle7[score_0_3],Tabelle728[[#This Row],[score_0_3]]),""))</f>
        <v/>
      </c>
      <c r="D253" s="28">
        <f>IFERROR(_xlfn.MAXIFS(Tabelle7[score_0_3],Tabelle7[company_id],Tabelle728[[#This Row],[company_id]],Tabelle7[gov_id],Tabelle728[[#This Row],[gov_crit_id]]),0)</f>
        <v>0</v>
      </c>
      <c r="E253" s="30" t="str" cm="1">
        <f t="array" ref="E253">IF(Tabelle728[[#This Row],[doc_id_primary_evidence]]="","",IFERROR(INDEX(Tabelle7[evidence_quote],MATCH(1,(Tabelle7[company_id]=Tabelle728[[#This Row],[company_id]])*(Tabelle7[gov_id]=Tabelle728[[#This Row],[gov_crit_id]])*(Tabelle7[doc_id]=Tabelle728[[#This Row],[doc_id_primary_evidence]]),0)),""))</f>
        <v/>
      </c>
      <c r="F253" s="52" t="str" cm="1">
        <f t="array" ref="F253">IF(Tabelle728[[#This Row],[doc_id_primary_evidence]]="","",IFERROR(INDEX(Tabelle7[evidence_location],MATCH(1,(Tabelle7[company_id]=Tabelle728[[#This Row],[company_id]])*(Tabelle7[gov_id]=Tabelle728[[#This Row],[gov_crit_id]])*(Tabelle7[doc_id]=Tabelle728[[#This Row],[doc_id_primary_evidence]]),0)),""))</f>
        <v/>
      </c>
    </row>
    <row r="254" spans="1:6" x14ac:dyDescent="0.25">
      <c r="A254" s="18">
        <v>37</v>
      </c>
      <c r="B254" s="19" t="s">
        <v>186</v>
      </c>
      <c r="C254" s="19" t="str">
        <f>IF(Tabelle728[[#This Row],[score_0_3]]=0,"",IFERROR(_xlfn.MINIFS(Tabelle7[doc_id],Tabelle7[company_id],Tabelle728[[#This Row],[company_id]],Tabelle7[gov_id],Tabelle728[[#This Row],[gov_crit_id]],Tabelle7[score_0_3],Tabelle728[[#This Row],[score_0_3]]),""))</f>
        <v/>
      </c>
      <c r="D254" s="20">
        <f>IFERROR(_xlfn.MAXIFS(Tabelle7[score_0_3],Tabelle7[company_id],Tabelle728[[#This Row],[company_id]],Tabelle7[gov_id],Tabelle728[[#This Row],[gov_crit_id]]),0)</f>
        <v>0</v>
      </c>
      <c r="E254" s="22" t="str" cm="1">
        <f t="array" ref="E254">IF(Tabelle728[[#This Row],[doc_id_primary_evidence]]="","",IFERROR(INDEX(Tabelle7[evidence_quote],MATCH(1,(Tabelle7[company_id]=Tabelle728[[#This Row],[company_id]])*(Tabelle7[gov_id]=Tabelle728[[#This Row],[gov_crit_id]])*(Tabelle7[doc_id]=Tabelle728[[#This Row],[doc_id_primary_evidence]]),0)),""))</f>
        <v/>
      </c>
      <c r="F254" s="50" t="str" cm="1">
        <f t="array" ref="F254">IF(Tabelle728[[#This Row],[doc_id_primary_evidence]]="","",IFERROR(INDEX(Tabelle7[evidence_location],MATCH(1,(Tabelle7[company_id]=Tabelle728[[#This Row],[company_id]])*(Tabelle7[gov_id]=Tabelle728[[#This Row],[gov_crit_id]])*(Tabelle7[doc_id]=Tabelle728[[#This Row],[doc_id_primary_evidence]]),0)),""))</f>
        <v/>
      </c>
    </row>
    <row r="255" spans="1:6" x14ac:dyDescent="0.25">
      <c r="A255" s="24">
        <v>37</v>
      </c>
      <c r="B255" s="2" t="s">
        <v>192</v>
      </c>
      <c r="C255" s="2" t="str">
        <f>IF(Tabelle728[[#This Row],[score_0_3]]=0,"",IFERROR(_xlfn.MINIFS(Tabelle7[doc_id],Tabelle7[company_id],Tabelle728[[#This Row],[company_id]],Tabelle7[gov_id],Tabelle728[[#This Row],[gov_crit_id]],Tabelle7[score_0_3],Tabelle728[[#This Row],[score_0_3]]),""))</f>
        <v/>
      </c>
      <c r="D255" s="3">
        <f>IFERROR(_xlfn.MAXIFS(Tabelle7[score_0_3],Tabelle7[company_id],Tabelle728[[#This Row],[company_id]],Tabelle7[gov_id],Tabelle728[[#This Row],[gov_crit_id]]),0)</f>
        <v>0</v>
      </c>
      <c r="E255" t="str" cm="1">
        <f t="array" ref="E255">IF(Tabelle728[[#This Row],[doc_id_primary_evidence]]="","",IFERROR(INDEX(Tabelle7[evidence_quote],MATCH(1,(Tabelle7[company_id]=Tabelle728[[#This Row],[company_id]])*(Tabelle7[gov_id]=Tabelle728[[#This Row],[gov_crit_id]])*(Tabelle7[doc_id]=Tabelle728[[#This Row],[doc_id_primary_evidence]]),0)),""))</f>
        <v/>
      </c>
      <c r="F255" s="51" t="str" cm="1">
        <f t="array" ref="F255">IF(Tabelle728[[#This Row],[doc_id_primary_evidence]]="","",IFERROR(INDEX(Tabelle7[evidence_location],MATCH(1,(Tabelle7[company_id]=Tabelle728[[#This Row],[company_id]])*(Tabelle7[gov_id]=Tabelle728[[#This Row],[gov_crit_id]])*(Tabelle7[doc_id]=Tabelle728[[#This Row],[doc_id_primary_evidence]]),0)),""))</f>
        <v/>
      </c>
    </row>
    <row r="256" spans="1:6" x14ac:dyDescent="0.25">
      <c r="A256" s="24">
        <v>37</v>
      </c>
      <c r="B256" s="2" t="s">
        <v>198</v>
      </c>
      <c r="C256" s="2" t="str">
        <f>IF(Tabelle728[[#This Row],[score_0_3]]=0,"",IFERROR(_xlfn.MINIFS(Tabelle7[doc_id],Tabelle7[company_id],Tabelle728[[#This Row],[company_id]],Tabelle7[gov_id],Tabelle728[[#This Row],[gov_crit_id]],Tabelle7[score_0_3],Tabelle728[[#This Row],[score_0_3]]),""))</f>
        <v/>
      </c>
      <c r="D256" s="3">
        <f>IFERROR(_xlfn.MAXIFS(Tabelle7[score_0_3],Tabelle7[company_id],Tabelle728[[#This Row],[company_id]],Tabelle7[gov_id],Tabelle728[[#This Row],[gov_crit_id]]),0)</f>
        <v>0</v>
      </c>
      <c r="E256" t="str" cm="1">
        <f t="array" ref="E256">IF(Tabelle728[[#This Row],[doc_id_primary_evidence]]="","",IFERROR(INDEX(Tabelle7[evidence_quote],MATCH(1,(Tabelle7[company_id]=Tabelle728[[#This Row],[company_id]])*(Tabelle7[gov_id]=Tabelle728[[#This Row],[gov_crit_id]])*(Tabelle7[doc_id]=Tabelle728[[#This Row],[doc_id_primary_evidence]]),0)),""))</f>
        <v/>
      </c>
      <c r="F256" s="51" t="str" cm="1">
        <f t="array" ref="F256">IF(Tabelle728[[#This Row],[doc_id_primary_evidence]]="","",IFERROR(INDEX(Tabelle7[evidence_location],MATCH(1,(Tabelle7[company_id]=Tabelle728[[#This Row],[company_id]])*(Tabelle7[gov_id]=Tabelle728[[#This Row],[gov_crit_id]])*(Tabelle7[doc_id]=Tabelle728[[#This Row],[doc_id_primary_evidence]]),0)),""))</f>
        <v/>
      </c>
    </row>
    <row r="257" spans="1:6" x14ac:dyDescent="0.25">
      <c r="A257" s="24">
        <v>37</v>
      </c>
      <c r="B257" s="2" t="s">
        <v>204</v>
      </c>
      <c r="C257" s="2" t="str">
        <f>IF(Tabelle728[[#This Row],[score_0_3]]=0,"",IFERROR(_xlfn.MINIFS(Tabelle7[doc_id],Tabelle7[company_id],Tabelle728[[#This Row],[company_id]],Tabelle7[gov_id],Tabelle728[[#This Row],[gov_crit_id]],Tabelle7[score_0_3],Tabelle728[[#This Row],[score_0_3]]),""))</f>
        <v/>
      </c>
      <c r="D257" s="3">
        <f>IFERROR(_xlfn.MAXIFS(Tabelle7[score_0_3],Tabelle7[company_id],Tabelle728[[#This Row],[company_id]],Tabelle7[gov_id],Tabelle728[[#This Row],[gov_crit_id]]),0)</f>
        <v>0</v>
      </c>
      <c r="E257" t="str" cm="1">
        <f t="array" ref="E257">IF(Tabelle728[[#This Row],[doc_id_primary_evidence]]="","",IFERROR(INDEX(Tabelle7[evidence_quote],MATCH(1,(Tabelle7[company_id]=Tabelle728[[#This Row],[company_id]])*(Tabelle7[gov_id]=Tabelle728[[#This Row],[gov_crit_id]])*(Tabelle7[doc_id]=Tabelle728[[#This Row],[doc_id_primary_evidence]]),0)),""))</f>
        <v/>
      </c>
      <c r="F257" s="51" t="str" cm="1">
        <f t="array" ref="F257">IF(Tabelle728[[#This Row],[doc_id_primary_evidence]]="","",IFERROR(INDEX(Tabelle7[evidence_location],MATCH(1,(Tabelle7[company_id]=Tabelle728[[#This Row],[company_id]])*(Tabelle7[gov_id]=Tabelle728[[#This Row],[gov_crit_id]])*(Tabelle7[doc_id]=Tabelle728[[#This Row],[doc_id_primary_evidence]]),0)),""))</f>
        <v/>
      </c>
    </row>
    <row r="258" spans="1:6" x14ac:dyDescent="0.25">
      <c r="A258" s="24">
        <v>37</v>
      </c>
      <c r="B258" s="2" t="s">
        <v>210</v>
      </c>
      <c r="C258" s="2" t="str">
        <f>IF(Tabelle728[[#This Row],[score_0_3]]=0,"",IFERROR(_xlfn.MINIFS(Tabelle7[doc_id],Tabelle7[company_id],Tabelle728[[#This Row],[company_id]],Tabelle7[gov_id],Tabelle728[[#This Row],[gov_crit_id]],Tabelle7[score_0_3],Tabelle728[[#This Row],[score_0_3]]),""))</f>
        <v/>
      </c>
      <c r="D258" s="3">
        <f>IFERROR(_xlfn.MAXIFS(Tabelle7[score_0_3],Tabelle7[company_id],Tabelle728[[#This Row],[company_id]],Tabelle7[gov_id],Tabelle728[[#This Row],[gov_crit_id]]),0)</f>
        <v>0</v>
      </c>
      <c r="E258" t="str" cm="1">
        <f t="array" ref="E258">IF(Tabelle728[[#This Row],[doc_id_primary_evidence]]="","",IFERROR(INDEX(Tabelle7[evidence_quote],MATCH(1,(Tabelle7[company_id]=Tabelle728[[#This Row],[company_id]])*(Tabelle7[gov_id]=Tabelle728[[#This Row],[gov_crit_id]])*(Tabelle7[doc_id]=Tabelle728[[#This Row],[doc_id_primary_evidence]]),0)),""))</f>
        <v/>
      </c>
      <c r="F258" s="51" t="str" cm="1">
        <f t="array" ref="F258">IF(Tabelle728[[#This Row],[doc_id_primary_evidence]]="","",IFERROR(INDEX(Tabelle7[evidence_location],MATCH(1,(Tabelle7[company_id]=Tabelle728[[#This Row],[company_id]])*(Tabelle7[gov_id]=Tabelle728[[#This Row],[gov_crit_id]])*(Tabelle7[doc_id]=Tabelle728[[#This Row],[doc_id_primary_evidence]]),0)),""))</f>
        <v/>
      </c>
    </row>
    <row r="259" spans="1:6" x14ac:dyDescent="0.25">
      <c r="A259" s="24">
        <v>37</v>
      </c>
      <c r="B259" s="2" t="s">
        <v>215</v>
      </c>
      <c r="C259" s="2" t="str">
        <f>IF(Tabelle728[[#This Row],[score_0_3]]=0,"",IFERROR(_xlfn.MINIFS(Tabelle7[doc_id],Tabelle7[company_id],Tabelle728[[#This Row],[company_id]],Tabelle7[gov_id],Tabelle728[[#This Row],[gov_crit_id]],Tabelle7[score_0_3],Tabelle728[[#This Row],[score_0_3]]),""))</f>
        <v/>
      </c>
      <c r="D259" s="3">
        <f>IFERROR(_xlfn.MAXIFS(Tabelle7[score_0_3],Tabelle7[company_id],Tabelle728[[#This Row],[company_id]],Tabelle7[gov_id],Tabelle728[[#This Row],[gov_crit_id]]),0)</f>
        <v>0</v>
      </c>
      <c r="E259" t="str" cm="1">
        <f t="array" ref="E259">IF(Tabelle728[[#This Row],[doc_id_primary_evidence]]="","",IFERROR(INDEX(Tabelle7[evidence_quote],MATCH(1,(Tabelle7[company_id]=Tabelle728[[#This Row],[company_id]])*(Tabelle7[gov_id]=Tabelle728[[#This Row],[gov_crit_id]])*(Tabelle7[doc_id]=Tabelle728[[#This Row],[doc_id_primary_evidence]]),0)),""))</f>
        <v/>
      </c>
      <c r="F259" s="51" t="str" cm="1">
        <f t="array" ref="F259">IF(Tabelle728[[#This Row],[doc_id_primary_evidence]]="","",IFERROR(INDEX(Tabelle7[evidence_location],MATCH(1,(Tabelle7[company_id]=Tabelle728[[#This Row],[company_id]])*(Tabelle7[gov_id]=Tabelle728[[#This Row],[gov_crit_id]])*(Tabelle7[doc_id]=Tabelle728[[#This Row],[doc_id_primary_evidence]]),0)),""))</f>
        <v/>
      </c>
    </row>
    <row r="260" spans="1:6" ht="15.75" thickBot="1" x14ac:dyDescent="0.3">
      <c r="A260" s="26">
        <v>37</v>
      </c>
      <c r="B260" s="27" t="s">
        <v>221</v>
      </c>
      <c r="C260" s="27" t="str">
        <f>IF(Tabelle728[[#This Row],[score_0_3]]=0,"",IFERROR(_xlfn.MINIFS(Tabelle7[doc_id],Tabelle7[company_id],Tabelle728[[#This Row],[company_id]],Tabelle7[gov_id],Tabelle728[[#This Row],[gov_crit_id]],Tabelle7[score_0_3],Tabelle728[[#This Row],[score_0_3]]),""))</f>
        <v/>
      </c>
      <c r="D260" s="28">
        <f>IFERROR(_xlfn.MAXIFS(Tabelle7[score_0_3],Tabelle7[company_id],Tabelle728[[#This Row],[company_id]],Tabelle7[gov_id],Tabelle728[[#This Row],[gov_crit_id]]),0)</f>
        <v>0</v>
      </c>
      <c r="E260" s="30" t="str" cm="1">
        <f t="array" ref="E260">IF(Tabelle728[[#This Row],[doc_id_primary_evidence]]="","",IFERROR(INDEX(Tabelle7[evidence_quote],MATCH(1,(Tabelle7[company_id]=Tabelle728[[#This Row],[company_id]])*(Tabelle7[gov_id]=Tabelle728[[#This Row],[gov_crit_id]])*(Tabelle7[doc_id]=Tabelle728[[#This Row],[doc_id_primary_evidence]]),0)),""))</f>
        <v/>
      </c>
      <c r="F260" s="52" t="str" cm="1">
        <f t="array" ref="F260">IF(Tabelle728[[#This Row],[doc_id_primary_evidence]]="","",IFERROR(INDEX(Tabelle7[evidence_location],MATCH(1,(Tabelle7[company_id]=Tabelle728[[#This Row],[company_id]])*(Tabelle7[gov_id]=Tabelle728[[#This Row],[gov_crit_id]])*(Tabelle7[doc_id]=Tabelle728[[#This Row],[doc_id_primary_evidence]]),0)),""))</f>
        <v/>
      </c>
    </row>
    <row r="261" spans="1:6" x14ac:dyDescent="0.25">
      <c r="A261" s="18">
        <v>38</v>
      </c>
      <c r="B261" s="19" t="s">
        <v>186</v>
      </c>
      <c r="C261" s="19" t="str">
        <f>IF(Tabelle728[[#This Row],[score_0_3]]=0,"",IFERROR(_xlfn.MINIFS(Tabelle7[doc_id],Tabelle7[company_id],Tabelle728[[#This Row],[company_id]],Tabelle7[gov_id],Tabelle728[[#This Row],[gov_crit_id]],Tabelle7[score_0_3],Tabelle728[[#This Row],[score_0_3]]),""))</f>
        <v/>
      </c>
      <c r="D261" s="20">
        <f>IFERROR(_xlfn.MAXIFS(Tabelle7[score_0_3],Tabelle7[company_id],Tabelle728[[#This Row],[company_id]],Tabelle7[gov_id],Tabelle728[[#This Row],[gov_crit_id]]),0)</f>
        <v>0</v>
      </c>
      <c r="E261" s="22" t="str" cm="1">
        <f t="array" ref="E261">IF(Tabelle728[[#This Row],[doc_id_primary_evidence]]="","",IFERROR(INDEX(Tabelle7[evidence_quote],MATCH(1,(Tabelle7[company_id]=Tabelle728[[#This Row],[company_id]])*(Tabelle7[gov_id]=Tabelle728[[#This Row],[gov_crit_id]])*(Tabelle7[doc_id]=Tabelle728[[#This Row],[doc_id_primary_evidence]]),0)),""))</f>
        <v/>
      </c>
      <c r="F261" s="50" t="str" cm="1">
        <f t="array" ref="F261">IF(Tabelle728[[#This Row],[doc_id_primary_evidence]]="","",IFERROR(INDEX(Tabelle7[evidence_location],MATCH(1,(Tabelle7[company_id]=Tabelle728[[#This Row],[company_id]])*(Tabelle7[gov_id]=Tabelle728[[#This Row],[gov_crit_id]])*(Tabelle7[doc_id]=Tabelle728[[#This Row],[doc_id_primary_evidence]]),0)),""))</f>
        <v/>
      </c>
    </row>
    <row r="262" spans="1:6" x14ac:dyDescent="0.25">
      <c r="A262" s="24">
        <v>38</v>
      </c>
      <c r="B262" s="2" t="s">
        <v>192</v>
      </c>
      <c r="C262" s="2" t="str">
        <f>IF(Tabelle728[[#This Row],[score_0_3]]=0,"",IFERROR(_xlfn.MINIFS(Tabelle7[doc_id],Tabelle7[company_id],Tabelle728[[#This Row],[company_id]],Tabelle7[gov_id],Tabelle728[[#This Row],[gov_crit_id]],Tabelle7[score_0_3],Tabelle728[[#This Row],[score_0_3]]),""))</f>
        <v/>
      </c>
      <c r="D262" s="3">
        <f>IFERROR(_xlfn.MAXIFS(Tabelle7[score_0_3],Tabelle7[company_id],Tabelle728[[#This Row],[company_id]],Tabelle7[gov_id],Tabelle728[[#This Row],[gov_crit_id]]),0)</f>
        <v>0</v>
      </c>
      <c r="E262" t="str" cm="1">
        <f t="array" ref="E262">IF(Tabelle728[[#This Row],[doc_id_primary_evidence]]="","",IFERROR(INDEX(Tabelle7[evidence_quote],MATCH(1,(Tabelle7[company_id]=Tabelle728[[#This Row],[company_id]])*(Tabelle7[gov_id]=Tabelle728[[#This Row],[gov_crit_id]])*(Tabelle7[doc_id]=Tabelle728[[#This Row],[doc_id_primary_evidence]]),0)),""))</f>
        <v/>
      </c>
      <c r="F262" s="51" t="str" cm="1">
        <f t="array" ref="F262">IF(Tabelle728[[#This Row],[doc_id_primary_evidence]]="","",IFERROR(INDEX(Tabelle7[evidence_location],MATCH(1,(Tabelle7[company_id]=Tabelle728[[#This Row],[company_id]])*(Tabelle7[gov_id]=Tabelle728[[#This Row],[gov_crit_id]])*(Tabelle7[doc_id]=Tabelle728[[#This Row],[doc_id_primary_evidence]]),0)),""))</f>
        <v/>
      </c>
    </row>
    <row r="263" spans="1:6" x14ac:dyDescent="0.25">
      <c r="A263" s="24">
        <v>38</v>
      </c>
      <c r="B263" s="2" t="s">
        <v>198</v>
      </c>
      <c r="C263" s="2" t="str">
        <f>IF(Tabelle728[[#This Row],[score_0_3]]=0,"",IFERROR(_xlfn.MINIFS(Tabelle7[doc_id],Tabelle7[company_id],Tabelle728[[#This Row],[company_id]],Tabelle7[gov_id],Tabelle728[[#This Row],[gov_crit_id]],Tabelle7[score_0_3],Tabelle728[[#This Row],[score_0_3]]),""))</f>
        <v/>
      </c>
      <c r="D263" s="3">
        <f>IFERROR(_xlfn.MAXIFS(Tabelle7[score_0_3],Tabelle7[company_id],Tabelle728[[#This Row],[company_id]],Tabelle7[gov_id],Tabelle728[[#This Row],[gov_crit_id]]),0)</f>
        <v>0</v>
      </c>
      <c r="E263" t="str" cm="1">
        <f t="array" ref="E263">IF(Tabelle728[[#This Row],[doc_id_primary_evidence]]="","",IFERROR(INDEX(Tabelle7[evidence_quote],MATCH(1,(Tabelle7[company_id]=Tabelle728[[#This Row],[company_id]])*(Tabelle7[gov_id]=Tabelle728[[#This Row],[gov_crit_id]])*(Tabelle7[doc_id]=Tabelle728[[#This Row],[doc_id_primary_evidence]]),0)),""))</f>
        <v/>
      </c>
      <c r="F263" s="51" t="str" cm="1">
        <f t="array" ref="F263">IF(Tabelle728[[#This Row],[doc_id_primary_evidence]]="","",IFERROR(INDEX(Tabelle7[evidence_location],MATCH(1,(Tabelle7[company_id]=Tabelle728[[#This Row],[company_id]])*(Tabelle7[gov_id]=Tabelle728[[#This Row],[gov_crit_id]])*(Tabelle7[doc_id]=Tabelle728[[#This Row],[doc_id_primary_evidence]]),0)),""))</f>
        <v/>
      </c>
    </row>
    <row r="264" spans="1:6" x14ac:dyDescent="0.25">
      <c r="A264" s="24">
        <v>38</v>
      </c>
      <c r="B264" s="2" t="s">
        <v>204</v>
      </c>
      <c r="C264" s="2" t="str">
        <f>IF(Tabelle728[[#This Row],[score_0_3]]=0,"",IFERROR(_xlfn.MINIFS(Tabelle7[doc_id],Tabelle7[company_id],Tabelle728[[#This Row],[company_id]],Tabelle7[gov_id],Tabelle728[[#This Row],[gov_crit_id]],Tabelle7[score_0_3],Tabelle728[[#This Row],[score_0_3]]),""))</f>
        <v/>
      </c>
      <c r="D264" s="3">
        <f>IFERROR(_xlfn.MAXIFS(Tabelle7[score_0_3],Tabelle7[company_id],Tabelle728[[#This Row],[company_id]],Tabelle7[gov_id],Tabelle728[[#This Row],[gov_crit_id]]),0)</f>
        <v>0</v>
      </c>
      <c r="E264" t="str" cm="1">
        <f t="array" ref="E264">IF(Tabelle728[[#This Row],[doc_id_primary_evidence]]="","",IFERROR(INDEX(Tabelle7[evidence_quote],MATCH(1,(Tabelle7[company_id]=Tabelle728[[#This Row],[company_id]])*(Tabelle7[gov_id]=Tabelle728[[#This Row],[gov_crit_id]])*(Tabelle7[doc_id]=Tabelle728[[#This Row],[doc_id_primary_evidence]]),0)),""))</f>
        <v/>
      </c>
      <c r="F264" s="51" t="str" cm="1">
        <f t="array" ref="F264">IF(Tabelle728[[#This Row],[doc_id_primary_evidence]]="","",IFERROR(INDEX(Tabelle7[evidence_location],MATCH(1,(Tabelle7[company_id]=Tabelle728[[#This Row],[company_id]])*(Tabelle7[gov_id]=Tabelle728[[#This Row],[gov_crit_id]])*(Tabelle7[doc_id]=Tabelle728[[#This Row],[doc_id_primary_evidence]]),0)),""))</f>
        <v/>
      </c>
    </row>
    <row r="265" spans="1:6" x14ac:dyDescent="0.25">
      <c r="A265" s="24">
        <v>38</v>
      </c>
      <c r="B265" s="2" t="s">
        <v>210</v>
      </c>
      <c r="C265" s="2" t="str">
        <f>IF(Tabelle728[[#This Row],[score_0_3]]=0,"",IFERROR(_xlfn.MINIFS(Tabelle7[doc_id],Tabelle7[company_id],Tabelle728[[#This Row],[company_id]],Tabelle7[gov_id],Tabelle728[[#This Row],[gov_crit_id]],Tabelle7[score_0_3],Tabelle728[[#This Row],[score_0_3]]),""))</f>
        <v/>
      </c>
      <c r="D265" s="3">
        <f>IFERROR(_xlfn.MAXIFS(Tabelle7[score_0_3],Tabelle7[company_id],Tabelle728[[#This Row],[company_id]],Tabelle7[gov_id],Tabelle728[[#This Row],[gov_crit_id]]),0)</f>
        <v>0</v>
      </c>
      <c r="E265" t="str" cm="1">
        <f t="array" ref="E265">IF(Tabelle728[[#This Row],[doc_id_primary_evidence]]="","",IFERROR(INDEX(Tabelle7[evidence_quote],MATCH(1,(Tabelle7[company_id]=Tabelle728[[#This Row],[company_id]])*(Tabelle7[gov_id]=Tabelle728[[#This Row],[gov_crit_id]])*(Tabelle7[doc_id]=Tabelle728[[#This Row],[doc_id_primary_evidence]]),0)),""))</f>
        <v/>
      </c>
      <c r="F265" s="51" t="str" cm="1">
        <f t="array" ref="F265">IF(Tabelle728[[#This Row],[doc_id_primary_evidence]]="","",IFERROR(INDEX(Tabelle7[evidence_location],MATCH(1,(Tabelle7[company_id]=Tabelle728[[#This Row],[company_id]])*(Tabelle7[gov_id]=Tabelle728[[#This Row],[gov_crit_id]])*(Tabelle7[doc_id]=Tabelle728[[#This Row],[doc_id_primary_evidence]]),0)),""))</f>
        <v/>
      </c>
    </row>
    <row r="266" spans="1:6" x14ac:dyDescent="0.25">
      <c r="A266" s="24">
        <v>38</v>
      </c>
      <c r="B266" s="2" t="s">
        <v>215</v>
      </c>
      <c r="C266" s="2" t="str">
        <f>IF(Tabelle728[[#This Row],[score_0_3]]=0,"",IFERROR(_xlfn.MINIFS(Tabelle7[doc_id],Tabelle7[company_id],Tabelle728[[#This Row],[company_id]],Tabelle7[gov_id],Tabelle728[[#This Row],[gov_crit_id]],Tabelle7[score_0_3],Tabelle728[[#This Row],[score_0_3]]),""))</f>
        <v/>
      </c>
      <c r="D266" s="3">
        <f>IFERROR(_xlfn.MAXIFS(Tabelle7[score_0_3],Tabelle7[company_id],Tabelle728[[#This Row],[company_id]],Tabelle7[gov_id],Tabelle728[[#This Row],[gov_crit_id]]),0)</f>
        <v>0</v>
      </c>
      <c r="E266" t="str" cm="1">
        <f t="array" ref="E266">IF(Tabelle728[[#This Row],[doc_id_primary_evidence]]="","",IFERROR(INDEX(Tabelle7[evidence_quote],MATCH(1,(Tabelle7[company_id]=Tabelle728[[#This Row],[company_id]])*(Tabelle7[gov_id]=Tabelle728[[#This Row],[gov_crit_id]])*(Tabelle7[doc_id]=Tabelle728[[#This Row],[doc_id_primary_evidence]]),0)),""))</f>
        <v/>
      </c>
      <c r="F266" s="51" t="str" cm="1">
        <f t="array" ref="F266">IF(Tabelle728[[#This Row],[doc_id_primary_evidence]]="","",IFERROR(INDEX(Tabelle7[evidence_location],MATCH(1,(Tabelle7[company_id]=Tabelle728[[#This Row],[company_id]])*(Tabelle7[gov_id]=Tabelle728[[#This Row],[gov_crit_id]])*(Tabelle7[doc_id]=Tabelle728[[#This Row],[doc_id_primary_evidence]]),0)),""))</f>
        <v/>
      </c>
    </row>
    <row r="267" spans="1:6" ht="15.75" thickBot="1" x14ac:dyDescent="0.3">
      <c r="A267" s="26">
        <v>38</v>
      </c>
      <c r="B267" s="27" t="s">
        <v>221</v>
      </c>
      <c r="C267" s="27" t="str">
        <f>IF(Tabelle728[[#This Row],[score_0_3]]=0,"",IFERROR(_xlfn.MINIFS(Tabelle7[doc_id],Tabelle7[company_id],Tabelle728[[#This Row],[company_id]],Tabelle7[gov_id],Tabelle728[[#This Row],[gov_crit_id]],Tabelle7[score_0_3],Tabelle728[[#This Row],[score_0_3]]),""))</f>
        <v/>
      </c>
      <c r="D267" s="28">
        <f>IFERROR(_xlfn.MAXIFS(Tabelle7[score_0_3],Tabelle7[company_id],Tabelle728[[#This Row],[company_id]],Tabelle7[gov_id],Tabelle728[[#This Row],[gov_crit_id]]),0)</f>
        <v>0</v>
      </c>
      <c r="E267" s="30" t="str" cm="1">
        <f t="array" ref="E267">IF(Tabelle728[[#This Row],[doc_id_primary_evidence]]="","",IFERROR(INDEX(Tabelle7[evidence_quote],MATCH(1,(Tabelle7[company_id]=Tabelle728[[#This Row],[company_id]])*(Tabelle7[gov_id]=Tabelle728[[#This Row],[gov_crit_id]])*(Tabelle7[doc_id]=Tabelle728[[#This Row],[doc_id_primary_evidence]]),0)),""))</f>
        <v/>
      </c>
      <c r="F267" s="52" t="str" cm="1">
        <f t="array" ref="F267">IF(Tabelle728[[#This Row],[doc_id_primary_evidence]]="","",IFERROR(INDEX(Tabelle7[evidence_location],MATCH(1,(Tabelle7[company_id]=Tabelle728[[#This Row],[company_id]])*(Tabelle7[gov_id]=Tabelle728[[#This Row],[gov_crit_id]])*(Tabelle7[doc_id]=Tabelle728[[#This Row],[doc_id_primary_evidence]]),0)),""))</f>
        <v/>
      </c>
    </row>
    <row r="268" spans="1:6" x14ac:dyDescent="0.25">
      <c r="A268" s="18">
        <v>39</v>
      </c>
      <c r="B268" s="19" t="s">
        <v>186</v>
      </c>
      <c r="C268" s="19" t="str">
        <f>IF(Tabelle728[[#This Row],[score_0_3]]=0,"",IFERROR(_xlfn.MINIFS(Tabelle7[doc_id],Tabelle7[company_id],Tabelle728[[#This Row],[company_id]],Tabelle7[gov_id],Tabelle728[[#This Row],[gov_crit_id]],Tabelle7[score_0_3],Tabelle728[[#This Row],[score_0_3]]),""))</f>
        <v/>
      </c>
      <c r="D268" s="20">
        <f>IFERROR(_xlfn.MAXIFS(Tabelle7[score_0_3],Tabelle7[company_id],Tabelle728[[#This Row],[company_id]],Tabelle7[gov_id],Tabelle728[[#This Row],[gov_crit_id]]),0)</f>
        <v>0</v>
      </c>
      <c r="E268" s="22" t="str" cm="1">
        <f t="array" ref="E268">IF(Tabelle728[[#This Row],[doc_id_primary_evidence]]="","",IFERROR(INDEX(Tabelle7[evidence_quote],MATCH(1,(Tabelle7[company_id]=Tabelle728[[#This Row],[company_id]])*(Tabelle7[gov_id]=Tabelle728[[#This Row],[gov_crit_id]])*(Tabelle7[doc_id]=Tabelle728[[#This Row],[doc_id_primary_evidence]]),0)),""))</f>
        <v/>
      </c>
      <c r="F268" s="50" t="str" cm="1">
        <f t="array" ref="F268">IF(Tabelle728[[#This Row],[doc_id_primary_evidence]]="","",IFERROR(INDEX(Tabelle7[evidence_location],MATCH(1,(Tabelle7[company_id]=Tabelle728[[#This Row],[company_id]])*(Tabelle7[gov_id]=Tabelle728[[#This Row],[gov_crit_id]])*(Tabelle7[doc_id]=Tabelle728[[#This Row],[doc_id_primary_evidence]]),0)),""))</f>
        <v/>
      </c>
    </row>
    <row r="269" spans="1:6" x14ac:dyDescent="0.25">
      <c r="A269" s="24">
        <v>39</v>
      </c>
      <c r="B269" s="2" t="s">
        <v>192</v>
      </c>
      <c r="C269" s="2" t="str">
        <f>IF(Tabelle728[[#This Row],[score_0_3]]=0,"",IFERROR(_xlfn.MINIFS(Tabelle7[doc_id],Tabelle7[company_id],Tabelle728[[#This Row],[company_id]],Tabelle7[gov_id],Tabelle728[[#This Row],[gov_crit_id]],Tabelle7[score_0_3],Tabelle728[[#This Row],[score_0_3]]),""))</f>
        <v/>
      </c>
      <c r="D269" s="3">
        <f>IFERROR(_xlfn.MAXIFS(Tabelle7[score_0_3],Tabelle7[company_id],Tabelle728[[#This Row],[company_id]],Tabelle7[gov_id],Tabelle728[[#This Row],[gov_crit_id]]),0)</f>
        <v>0</v>
      </c>
      <c r="E269" t="str" cm="1">
        <f t="array" ref="E269">IF(Tabelle728[[#This Row],[doc_id_primary_evidence]]="","",IFERROR(INDEX(Tabelle7[evidence_quote],MATCH(1,(Tabelle7[company_id]=Tabelle728[[#This Row],[company_id]])*(Tabelle7[gov_id]=Tabelle728[[#This Row],[gov_crit_id]])*(Tabelle7[doc_id]=Tabelle728[[#This Row],[doc_id_primary_evidence]]),0)),""))</f>
        <v/>
      </c>
      <c r="F269" s="51" t="str" cm="1">
        <f t="array" ref="F269">IF(Tabelle728[[#This Row],[doc_id_primary_evidence]]="","",IFERROR(INDEX(Tabelle7[evidence_location],MATCH(1,(Tabelle7[company_id]=Tabelle728[[#This Row],[company_id]])*(Tabelle7[gov_id]=Tabelle728[[#This Row],[gov_crit_id]])*(Tabelle7[doc_id]=Tabelle728[[#This Row],[doc_id_primary_evidence]]),0)),""))</f>
        <v/>
      </c>
    </row>
    <row r="270" spans="1:6" x14ac:dyDescent="0.25">
      <c r="A270" s="24">
        <v>39</v>
      </c>
      <c r="B270" s="2" t="s">
        <v>198</v>
      </c>
      <c r="C270" s="2" t="str">
        <f>IF(Tabelle728[[#This Row],[score_0_3]]=0,"",IFERROR(_xlfn.MINIFS(Tabelle7[doc_id],Tabelle7[company_id],Tabelle728[[#This Row],[company_id]],Tabelle7[gov_id],Tabelle728[[#This Row],[gov_crit_id]],Tabelle7[score_0_3],Tabelle728[[#This Row],[score_0_3]]),""))</f>
        <v/>
      </c>
      <c r="D270" s="3">
        <f>IFERROR(_xlfn.MAXIFS(Tabelle7[score_0_3],Tabelle7[company_id],Tabelle728[[#This Row],[company_id]],Tabelle7[gov_id],Tabelle728[[#This Row],[gov_crit_id]]),0)</f>
        <v>0</v>
      </c>
      <c r="E270" t="str" cm="1">
        <f t="array" ref="E270">IF(Tabelle728[[#This Row],[doc_id_primary_evidence]]="","",IFERROR(INDEX(Tabelle7[evidence_quote],MATCH(1,(Tabelle7[company_id]=Tabelle728[[#This Row],[company_id]])*(Tabelle7[gov_id]=Tabelle728[[#This Row],[gov_crit_id]])*(Tabelle7[doc_id]=Tabelle728[[#This Row],[doc_id_primary_evidence]]),0)),""))</f>
        <v/>
      </c>
      <c r="F270" s="51" t="str" cm="1">
        <f t="array" ref="F270">IF(Tabelle728[[#This Row],[doc_id_primary_evidence]]="","",IFERROR(INDEX(Tabelle7[evidence_location],MATCH(1,(Tabelle7[company_id]=Tabelle728[[#This Row],[company_id]])*(Tabelle7[gov_id]=Tabelle728[[#This Row],[gov_crit_id]])*(Tabelle7[doc_id]=Tabelle728[[#This Row],[doc_id_primary_evidence]]),0)),""))</f>
        <v/>
      </c>
    </row>
    <row r="271" spans="1:6" x14ac:dyDescent="0.25">
      <c r="A271" s="24">
        <v>39</v>
      </c>
      <c r="B271" s="2" t="s">
        <v>204</v>
      </c>
      <c r="C271" s="2" t="str">
        <f>IF(Tabelle728[[#This Row],[score_0_3]]=0,"",IFERROR(_xlfn.MINIFS(Tabelle7[doc_id],Tabelle7[company_id],Tabelle728[[#This Row],[company_id]],Tabelle7[gov_id],Tabelle728[[#This Row],[gov_crit_id]],Tabelle7[score_0_3],Tabelle728[[#This Row],[score_0_3]]),""))</f>
        <v/>
      </c>
      <c r="D271" s="3">
        <f>IFERROR(_xlfn.MAXIFS(Tabelle7[score_0_3],Tabelle7[company_id],Tabelle728[[#This Row],[company_id]],Tabelle7[gov_id],Tabelle728[[#This Row],[gov_crit_id]]),0)</f>
        <v>0</v>
      </c>
      <c r="E271" t="str" cm="1">
        <f t="array" ref="E271">IF(Tabelle728[[#This Row],[doc_id_primary_evidence]]="","",IFERROR(INDEX(Tabelle7[evidence_quote],MATCH(1,(Tabelle7[company_id]=Tabelle728[[#This Row],[company_id]])*(Tabelle7[gov_id]=Tabelle728[[#This Row],[gov_crit_id]])*(Tabelle7[doc_id]=Tabelle728[[#This Row],[doc_id_primary_evidence]]),0)),""))</f>
        <v/>
      </c>
      <c r="F271" s="51" t="str" cm="1">
        <f t="array" ref="F271">IF(Tabelle728[[#This Row],[doc_id_primary_evidence]]="","",IFERROR(INDEX(Tabelle7[evidence_location],MATCH(1,(Tabelle7[company_id]=Tabelle728[[#This Row],[company_id]])*(Tabelle7[gov_id]=Tabelle728[[#This Row],[gov_crit_id]])*(Tabelle7[doc_id]=Tabelle728[[#This Row],[doc_id_primary_evidence]]),0)),""))</f>
        <v/>
      </c>
    </row>
    <row r="272" spans="1:6" x14ac:dyDescent="0.25">
      <c r="A272" s="24">
        <v>39</v>
      </c>
      <c r="B272" s="2" t="s">
        <v>210</v>
      </c>
      <c r="C272" s="2" t="str">
        <f>IF(Tabelle728[[#This Row],[score_0_3]]=0,"",IFERROR(_xlfn.MINIFS(Tabelle7[doc_id],Tabelle7[company_id],Tabelle728[[#This Row],[company_id]],Tabelle7[gov_id],Tabelle728[[#This Row],[gov_crit_id]],Tabelle7[score_0_3],Tabelle728[[#This Row],[score_0_3]]),""))</f>
        <v/>
      </c>
      <c r="D272" s="3">
        <f>IFERROR(_xlfn.MAXIFS(Tabelle7[score_0_3],Tabelle7[company_id],Tabelle728[[#This Row],[company_id]],Tabelle7[gov_id],Tabelle728[[#This Row],[gov_crit_id]]),0)</f>
        <v>0</v>
      </c>
      <c r="E272" t="str" cm="1">
        <f t="array" ref="E272">IF(Tabelle728[[#This Row],[doc_id_primary_evidence]]="","",IFERROR(INDEX(Tabelle7[evidence_quote],MATCH(1,(Tabelle7[company_id]=Tabelle728[[#This Row],[company_id]])*(Tabelle7[gov_id]=Tabelle728[[#This Row],[gov_crit_id]])*(Tabelle7[doc_id]=Tabelle728[[#This Row],[doc_id_primary_evidence]]),0)),""))</f>
        <v/>
      </c>
      <c r="F272" s="51" t="str" cm="1">
        <f t="array" ref="F272">IF(Tabelle728[[#This Row],[doc_id_primary_evidence]]="","",IFERROR(INDEX(Tabelle7[evidence_location],MATCH(1,(Tabelle7[company_id]=Tabelle728[[#This Row],[company_id]])*(Tabelle7[gov_id]=Tabelle728[[#This Row],[gov_crit_id]])*(Tabelle7[doc_id]=Tabelle728[[#This Row],[doc_id_primary_evidence]]),0)),""))</f>
        <v/>
      </c>
    </row>
    <row r="273" spans="1:6" x14ac:dyDescent="0.25">
      <c r="A273" s="24">
        <v>39</v>
      </c>
      <c r="B273" s="2" t="s">
        <v>215</v>
      </c>
      <c r="C273" s="2" t="str">
        <f>IF(Tabelle728[[#This Row],[score_0_3]]=0,"",IFERROR(_xlfn.MINIFS(Tabelle7[doc_id],Tabelle7[company_id],Tabelle728[[#This Row],[company_id]],Tabelle7[gov_id],Tabelle728[[#This Row],[gov_crit_id]],Tabelle7[score_0_3],Tabelle728[[#This Row],[score_0_3]]),""))</f>
        <v/>
      </c>
      <c r="D273" s="3">
        <f>IFERROR(_xlfn.MAXIFS(Tabelle7[score_0_3],Tabelle7[company_id],Tabelle728[[#This Row],[company_id]],Tabelle7[gov_id],Tabelle728[[#This Row],[gov_crit_id]]),0)</f>
        <v>0</v>
      </c>
      <c r="E273" t="str" cm="1">
        <f t="array" ref="E273">IF(Tabelle728[[#This Row],[doc_id_primary_evidence]]="","",IFERROR(INDEX(Tabelle7[evidence_quote],MATCH(1,(Tabelle7[company_id]=Tabelle728[[#This Row],[company_id]])*(Tabelle7[gov_id]=Tabelle728[[#This Row],[gov_crit_id]])*(Tabelle7[doc_id]=Tabelle728[[#This Row],[doc_id_primary_evidence]]),0)),""))</f>
        <v/>
      </c>
      <c r="F273" s="51" t="str" cm="1">
        <f t="array" ref="F273">IF(Tabelle728[[#This Row],[doc_id_primary_evidence]]="","",IFERROR(INDEX(Tabelle7[evidence_location],MATCH(1,(Tabelle7[company_id]=Tabelle728[[#This Row],[company_id]])*(Tabelle7[gov_id]=Tabelle728[[#This Row],[gov_crit_id]])*(Tabelle7[doc_id]=Tabelle728[[#This Row],[doc_id_primary_evidence]]),0)),""))</f>
        <v/>
      </c>
    </row>
    <row r="274" spans="1:6" ht="15.75" thickBot="1" x14ac:dyDescent="0.3">
      <c r="A274" s="26">
        <v>39</v>
      </c>
      <c r="B274" s="27" t="s">
        <v>221</v>
      </c>
      <c r="C274" s="27" t="str">
        <f>IF(Tabelle728[[#This Row],[score_0_3]]=0,"",IFERROR(_xlfn.MINIFS(Tabelle7[doc_id],Tabelle7[company_id],Tabelle728[[#This Row],[company_id]],Tabelle7[gov_id],Tabelle728[[#This Row],[gov_crit_id]],Tabelle7[score_0_3],Tabelle728[[#This Row],[score_0_3]]),""))</f>
        <v/>
      </c>
      <c r="D274" s="28">
        <f>IFERROR(_xlfn.MAXIFS(Tabelle7[score_0_3],Tabelle7[company_id],Tabelle728[[#This Row],[company_id]],Tabelle7[gov_id],Tabelle728[[#This Row],[gov_crit_id]]),0)</f>
        <v>0</v>
      </c>
      <c r="E274" s="30" t="str" cm="1">
        <f t="array" ref="E274">IF(Tabelle728[[#This Row],[doc_id_primary_evidence]]="","",IFERROR(INDEX(Tabelle7[evidence_quote],MATCH(1,(Tabelle7[company_id]=Tabelle728[[#This Row],[company_id]])*(Tabelle7[gov_id]=Tabelle728[[#This Row],[gov_crit_id]])*(Tabelle7[doc_id]=Tabelle728[[#This Row],[doc_id_primary_evidence]]),0)),""))</f>
        <v/>
      </c>
      <c r="F274" s="52" t="str" cm="1">
        <f t="array" ref="F274">IF(Tabelle728[[#This Row],[doc_id_primary_evidence]]="","",IFERROR(INDEX(Tabelle7[evidence_location],MATCH(1,(Tabelle7[company_id]=Tabelle728[[#This Row],[company_id]])*(Tabelle7[gov_id]=Tabelle728[[#This Row],[gov_crit_id]])*(Tabelle7[doc_id]=Tabelle728[[#This Row],[doc_id_primary_evidence]]),0)),""))</f>
        <v/>
      </c>
    </row>
    <row r="275" spans="1:6" x14ac:dyDescent="0.25">
      <c r="A275" s="18">
        <v>40</v>
      </c>
      <c r="B275" s="19" t="s">
        <v>186</v>
      </c>
      <c r="C275" s="19">
        <f>IF(Tabelle728[[#This Row],[score_0_3]]=0,"",IFERROR(_xlfn.MINIFS(Tabelle7[doc_id],Tabelle7[company_id],Tabelle728[[#This Row],[company_id]],Tabelle7[gov_id],Tabelle728[[#This Row],[gov_crit_id]],Tabelle7[score_0_3],Tabelle728[[#This Row],[score_0_3]]),""))</f>
        <v>239</v>
      </c>
      <c r="D275" s="20">
        <f>IFERROR(_xlfn.MAXIFS(Tabelle7[score_0_3],Tabelle7[company_id],Tabelle728[[#This Row],[company_id]],Tabelle7[gov_id],Tabelle728[[#This Row],[gov_crit_id]]),0)</f>
        <v>2</v>
      </c>
      <c r="E275" s="22" t="str" cm="1">
        <f t="array" ref="E275">IF(Tabelle728[[#This Row],[doc_id_primary_evidence]]="","",IFERROR(INDEX(Tabelle7[evidence_quote],MATCH(1,(Tabelle7[company_id]=Tabelle728[[#This Row],[company_id]])*(Tabelle7[gov_id]=Tabelle728[[#This Row],[gov_crit_id]])*(Tabelle7[doc_id]=Tabelle728[[#This Row],[doc_id_primary_evidence]]),0)),""))</f>
        <v>“während des gesamten Produktentwicklungszyklus”; “Informationen und Verantwortliche für unsere Machine-Learning-Modelle”; “zentrale Team ‘Algorithmic Privacy &amp; Fairness’”; “eingebettete Datenschutzkoordinator*innen”</v>
      </c>
      <c r="F275" s="50" t="str" cm="1">
        <f t="array" ref="F275">IF(Tabelle728[[#This Row],[doc_id_primary_evidence]]="","",IFERROR(INDEX(Tabelle7[evidence_location],MATCH(1,(Tabelle7[company_id]=Tabelle728[[#This Row],[company_id]])*(Tabelle7[gov_id]=Tabelle728[[#This Row],[gov_crit_id]])*(Tabelle7[doc_id]=Tabelle728[[#This Row],[doc_id_primary_evidence]]),0)),""))</f>
        <v>S. 11; S. 14; S. 22</v>
      </c>
    </row>
    <row r="276" spans="1:6" x14ac:dyDescent="0.25">
      <c r="A276" s="24">
        <v>40</v>
      </c>
      <c r="B276" s="2" t="s">
        <v>192</v>
      </c>
      <c r="C276" s="2">
        <f>IF(Tabelle728[[#This Row],[score_0_3]]=0,"",IFERROR(_xlfn.MINIFS(Tabelle7[doc_id],Tabelle7[company_id],Tabelle728[[#This Row],[company_id]],Tabelle7[gov_id],Tabelle728[[#This Row],[gov_crit_id]],Tabelle7[score_0_3],Tabelle728[[#This Row],[score_0_3]]),""))</f>
        <v>239</v>
      </c>
      <c r="D276" s="3">
        <f>IFERROR(_xlfn.MAXIFS(Tabelle7[score_0_3],Tabelle7[company_id],Tabelle728[[#This Row],[company_id]],Tabelle7[gov_id],Tabelle728[[#This Row],[gov_crit_id]]),0)</f>
        <v>2</v>
      </c>
      <c r="E276" t="str" cm="1">
        <f t="array" ref="E276">IF(Tabelle728[[#This Row],[doc_id_primary_evidence]]="","",IFERROR(INDEX(Tabelle7[evidence_quote],MATCH(1,(Tabelle7[company_id]=Tabelle728[[#This Row],[company_id]])*(Tabelle7[gov_id]=Tabelle728[[#This Row],[gov_crit_id]])*(Tabelle7[doc_id]=Tabelle728[[#This Row],[doc_id_primary_evidence]]),0)),""))</f>
        <v>“während des gesamten Produktentwicklungszyklus”; “potenzieller Schäden und der Sensibilität von Daten priorisieren”; “kontinuierliches Monitoring und frühzeitiges Eingreifen”; “zusätzliche AI-Governance-Maßnahmen”</v>
      </c>
      <c r="F276" s="51" t="str" cm="1">
        <f t="array" ref="F276">IF(Tabelle728[[#This Row],[doc_id_primary_evidence]]="","",IFERROR(INDEX(Tabelle7[evidence_location],MATCH(1,(Tabelle7[company_id]=Tabelle728[[#This Row],[company_id]])*(Tabelle7[gov_id]=Tabelle728[[#This Row],[gov_crit_id]])*(Tabelle7[doc_id]=Tabelle728[[#This Row],[doc_id_primary_evidence]]),0)),""))</f>
        <v>S. 11113; S. 43</v>
      </c>
    </row>
    <row r="277" spans="1:6" x14ac:dyDescent="0.25">
      <c r="A277" s="24">
        <v>40</v>
      </c>
      <c r="B277" s="2" t="s">
        <v>198</v>
      </c>
      <c r="C277" s="2">
        <f>IF(Tabelle728[[#This Row],[score_0_3]]=0,"",IFERROR(_xlfn.MINIFS(Tabelle7[doc_id],Tabelle7[company_id],Tabelle728[[#This Row],[company_id]],Tabelle7[gov_id],Tabelle728[[#This Row],[gov_crit_id]],Tabelle7[score_0_3],Tabelle728[[#This Row],[score_0_3]]),""))</f>
        <v>239</v>
      </c>
      <c r="D277" s="3">
        <f>IFERROR(_xlfn.MAXIFS(Tabelle7[score_0_3],Tabelle7[company_id],Tabelle728[[#This Row],[company_id]],Tabelle7[gov_id],Tabelle728[[#This Row],[gov_crit_id]]),0)</f>
        <v>2</v>
      </c>
      <c r="E277" t="str" cm="1">
        <f t="array" ref="E277">IF(Tabelle728[[#This Row],[doc_id_primary_evidence]]="","",IFERROR(INDEX(Tabelle7[evidence_quote],MATCH(1,(Tabelle7[company_id]=Tabelle728[[#This Row],[company_id]])*(Tabelle7[gov_id]=Tabelle728[[#This Row],[gov_crit_id]])*(Tabelle7[doc_id]=Tabelle728[[#This Row],[doc_id_primary_evidence]]),0)),""))</f>
        <v>“mögliche Bias, dokumentieren die Ergebnisse intern transparent”; “Informationen und Verantwortliche für unsere Machine-Learning-Modelle”; “identifiziert, misst und korrigiert”; “Pipeline zur Bewertung von Fairness und Datenschutz”; “Datenschutz-Schwachstellen von Machine-Learning-Modellen zu testen”</v>
      </c>
      <c r="F277" s="51" t="str" cm="1">
        <f t="array" ref="F277">IF(Tabelle728[[#This Row],[doc_id_primary_evidence]]="","",IFERROR(INDEX(Tabelle7[evidence_location],MATCH(1,(Tabelle7[company_id]=Tabelle728[[#This Row],[company_id]])*(Tabelle7[gov_id]=Tabelle728[[#This Row],[gov_crit_id]])*(Tabelle7[doc_id]=Tabelle728[[#This Row],[doc_id_primary_evidence]]),0)),""))</f>
        <v>S. 11; S. 14; S. 17; S. 31</v>
      </c>
    </row>
    <row r="278" spans="1:6" x14ac:dyDescent="0.25">
      <c r="A278" s="24">
        <v>40</v>
      </c>
      <c r="B278" s="2" t="s">
        <v>204</v>
      </c>
      <c r="C278" s="2">
        <f>IF(Tabelle728[[#This Row],[score_0_3]]=0,"",IFERROR(_xlfn.MINIFS(Tabelle7[doc_id],Tabelle7[company_id],Tabelle728[[#This Row],[company_id]],Tabelle7[gov_id],Tabelle728[[#This Row],[gov_crit_id]],Tabelle7[score_0_3],Tabelle728[[#This Row],[score_0_3]]),""))</f>
        <v>239</v>
      </c>
      <c r="D278" s="3">
        <f>IFERROR(_xlfn.MAXIFS(Tabelle7[score_0_3],Tabelle7[company_id],Tabelle728[[#This Row],[company_id]],Tabelle7[gov_id],Tabelle728[[#This Row],[gov_crit_id]]),0)</f>
        <v>2</v>
      </c>
      <c r="E278" t="str" cm="1">
        <f t="array" ref="E278">IF(Tabelle728[[#This Row],[doc_id_primary_evidence]]="","",IFERROR(INDEX(Tabelle7[evidence_quote],MATCH(1,(Tabelle7[company_id]=Tabelle728[[#This Row],[company_id]])*(Tabelle7[gov_id]=Tabelle728[[#This Row],[gov_crit_id]])*(Tabelle7[doc_id]=Tabelle728[[#This Row],[doc_id_primary_evidence]]),0)),""))</f>
        <v>“interne und externe Auditoren, die regelmäßig”</v>
      </c>
      <c r="F278" s="51" t="str" cm="1">
        <f t="array" ref="F278">IF(Tabelle728[[#This Row],[doc_id_primary_evidence]]="","",IFERROR(INDEX(Tabelle7[evidence_location],MATCH(1,(Tabelle7[company_id]=Tabelle728[[#This Row],[company_id]])*(Tabelle7[gov_id]=Tabelle728[[#This Row],[gov_crit_id]])*(Tabelle7[doc_id]=Tabelle728[[#This Row],[doc_id_primary_evidence]]),0)),""))</f>
        <v>S. 39</v>
      </c>
    </row>
    <row r="279" spans="1:6" x14ac:dyDescent="0.25">
      <c r="A279" s="24">
        <v>40</v>
      </c>
      <c r="B279" s="2" t="s">
        <v>210</v>
      </c>
      <c r="C279" s="2">
        <f>IF(Tabelle728[[#This Row],[score_0_3]]=0,"",IFERROR(_xlfn.MINIFS(Tabelle7[doc_id],Tabelle7[company_id],Tabelle728[[#This Row],[company_id]],Tabelle7[gov_id],Tabelle728[[#This Row],[gov_crit_id]],Tabelle7[score_0_3],Tabelle728[[#This Row],[score_0_3]]),""))</f>
        <v>239</v>
      </c>
      <c r="D279" s="3">
        <f>IFERROR(_xlfn.MAXIFS(Tabelle7[score_0_3],Tabelle7[company_id],Tabelle728[[#This Row],[company_id]],Tabelle7[gov_id],Tabelle728[[#This Row],[gov_crit_id]]),0)</f>
        <v>2</v>
      </c>
      <c r="E279" t="str" cm="1">
        <f t="array" ref="E279">IF(Tabelle728[[#This Row],[doc_id_primary_evidence]]="","",IFERROR(INDEX(Tabelle7[evidence_quote],MATCH(1,(Tabelle7[company_id]=Tabelle728[[#This Row],[company_id]])*(Tabelle7[gov_id]=Tabelle728[[#This Row],[gov_crit_id]])*(Tabelle7[doc_id]=Tabelle728[[#This Row],[doc_id_primary_evidence]]),0)),""))</f>
        <v>“jährlich eine Befragung zum Bewusstsein für die ethischen Risiken des maschinellen Lernens”; “identifiziert, misst und korrigiert”; “Schadensquellen und Quellen von Verzerrungen”; “Weiterbildung ‘Verantwortungsvolle KI’”</v>
      </c>
      <c r="F279" s="51" t="str" cm="1">
        <f t="array" ref="F279">IF(Tabelle728[[#This Row],[doc_id_primary_evidence]]="","",IFERROR(INDEX(Tabelle7[evidence_location],MATCH(1,(Tabelle7[company_id]=Tabelle728[[#This Row],[company_id]])*(Tabelle7[gov_id]=Tabelle728[[#This Row],[gov_crit_id]])*(Tabelle7[doc_id]=Tabelle728[[#This Row],[doc_id_primary_evidence]]),0)),""))</f>
        <v>S. 10; S. 14; S. 40; S. 56</v>
      </c>
    </row>
    <row r="280" spans="1:6" x14ac:dyDescent="0.25">
      <c r="A280" s="24">
        <v>40</v>
      </c>
      <c r="B280" s="2" t="s">
        <v>215</v>
      </c>
      <c r="C280" s="2" t="str">
        <f>IF(Tabelle728[[#This Row],[score_0_3]]=0,"",IFERROR(_xlfn.MINIFS(Tabelle7[doc_id],Tabelle7[company_id],Tabelle728[[#This Row],[company_id]],Tabelle7[gov_id],Tabelle728[[#This Row],[gov_crit_id]],Tabelle7[score_0_3],Tabelle728[[#This Row],[score_0_3]]),""))</f>
        <v/>
      </c>
      <c r="D280" s="3">
        <f>IFERROR(_xlfn.MAXIFS(Tabelle7[score_0_3],Tabelle7[company_id],Tabelle728[[#This Row],[company_id]],Tabelle7[gov_id],Tabelle728[[#This Row],[gov_crit_id]]),0)</f>
        <v>0</v>
      </c>
      <c r="E280" t="str" cm="1">
        <f t="array" ref="E280">IF(Tabelle728[[#This Row],[doc_id_primary_evidence]]="","",IFERROR(INDEX(Tabelle7[evidence_quote],MATCH(1,(Tabelle7[company_id]=Tabelle728[[#This Row],[company_id]])*(Tabelle7[gov_id]=Tabelle728[[#This Row],[gov_crit_id]])*(Tabelle7[doc_id]=Tabelle728[[#This Row],[doc_id_primary_evidence]]),0)),""))</f>
        <v/>
      </c>
      <c r="F280" s="51" t="str" cm="1">
        <f t="array" ref="F280">IF(Tabelle728[[#This Row],[doc_id_primary_evidence]]="","",IFERROR(INDEX(Tabelle7[evidence_location],MATCH(1,(Tabelle7[company_id]=Tabelle728[[#This Row],[company_id]])*(Tabelle7[gov_id]=Tabelle728[[#This Row],[gov_crit_id]])*(Tabelle7[doc_id]=Tabelle728[[#This Row],[doc_id_primary_evidence]]),0)),""))</f>
        <v/>
      </c>
    </row>
    <row r="281" spans="1:6" ht="15.75" thickBot="1" x14ac:dyDescent="0.3">
      <c r="A281" s="26">
        <v>40</v>
      </c>
      <c r="B281" s="27" t="s">
        <v>221</v>
      </c>
      <c r="C281" s="27" t="str">
        <f>IF(Tabelle728[[#This Row],[score_0_3]]=0,"",IFERROR(_xlfn.MINIFS(Tabelle7[doc_id],Tabelle7[company_id],Tabelle728[[#This Row],[company_id]],Tabelle7[gov_id],Tabelle728[[#This Row],[gov_crit_id]],Tabelle7[score_0_3],Tabelle728[[#This Row],[score_0_3]]),""))</f>
        <v/>
      </c>
      <c r="D281" s="28">
        <f>IFERROR(_xlfn.MAXIFS(Tabelle7[score_0_3],Tabelle7[company_id],Tabelle728[[#This Row],[company_id]],Tabelle7[gov_id],Tabelle728[[#This Row],[gov_crit_id]]),0)</f>
        <v>0</v>
      </c>
      <c r="E281" s="30" t="str" cm="1">
        <f t="array" ref="E281">IF(Tabelle728[[#This Row],[doc_id_primary_evidence]]="","",IFERROR(INDEX(Tabelle7[evidence_quote],MATCH(1,(Tabelle7[company_id]=Tabelle728[[#This Row],[company_id]])*(Tabelle7[gov_id]=Tabelle728[[#This Row],[gov_crit_id]])*(Tabelle7[doc_id]=Tabelle728[[#This Row],[doc_id_primary_evidence]]),0)),""))</f>
        <v/>
      </c>
      <c r="F281" s="52" t="str" cm="1">
        <f t="array" ref="F281">IF(Tabelle728[[#This Row],[doc_id_primary_evidence]]="","",IFERROR(INDEX(Tabelle7[evidence_location],MATCH(1,(Tabelle7[company_id]=Tabelle728[[#This Row],[company_id]])*(Tabelle7[gov_id]=Tabelle728[[#This Row],[gov_crit_id]])*(Tabelle7[doc_id]=Tabelle728[[#This Row],[doc_id_primary_evidence]]),0)),""))</f>
        <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98E3AD21-2C6E-40A4-A7F1-35592A013B91}">
          <x14:formula1>
            <xm:f>'99_Lookups'!$Q$2:$Q$5</xm:f>
          </x14:formula1>
          <xm:sqref>D2:D281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8086-3DE8-4CA0-B49E-AA8E638C5565}">
  <sheetPr>
    <tabColor theme="8"/>
  </sheetPr>
  <dimension ref="A1:H41"/>
  <sheetViews>
    <sheetView topLeftCell="A33" workbookViewId="0">
      <selection sqref="A1:H41"/>
    </sheetView>
  </sheetViews>
  <sheetFormatPr baseColWidth="10" defaultRowHeight="15" x14ac:dyDescent="0.25"/>
  <cols>
    <col min="1" max="1" width="8.7109375" customWidth="1"/>
    <col min="2" max="2" width="13.85546875" customWidth="1"/>
    <col min="3" max="3" width="17" customWidth="1"/>
    <col min="4" max="4" width="15.42578125" customWidth="1"/>
    <col min="5" max="5" width="16.140625" customWidth="1"/>
    <col min="6" max="6" width="11" style="53" customWidth="1"/>
    <col min="7" max="7" width="9.28515625" customWidth="1"/>
    <col min="8" max="8" width="9.5703125" style="53" customWidth="1"/>
    <col min="11" max="11" width="20" customWidth="1"/>
  </cols>
  <sheetData>
    <row r="1" spans="1:8" x14ac:dyDescent="0.25">
      <c r="A1" t="s">
        <v>0</v>
      </c>
      <c r="B1" t="s">
        <v>6353</v>
      </c>
      <c r="C1" t="s">
        <v>3</v>
      </c>
      <c r="D1" t="s">
        <v>48</v>
      </c>
      <c r="E1" t="s">
        <v>49</v>
      </c>
      <c r="F1" s="53" t="s">
        <v>50</v>
      </c>
      <c r="G1" t="s">
        <v>51</v>
      </c>
      <c r="H1" s="53" t="s">
        <v>52</v>
      </c>
    </row>
    <row r="2" spans="1:8" x14ac:dyDescent="0.25">
      <c r="A2">
        <v>1</v>
      </c>
      <c r="B2" t="str">
        <f>_xlfn.XLOOKUP(Tabelle8[[#This Row],[company_id]],'00_DAX_Master'!A:A,'00_DAX_Master'!B:B)</f>
        <v>Adidas</v>
      </c>
      <c r="C2" t="str">
        <f>_xlfn.XLOOKUP(Tabelle8[[#This Row],[company_id]],'00_DAX_Master'!A:A,'00_DAX_Master'!D:D)</f>
        <v>Consumer</v>
      </c>
      <c r="D2">
        <f>IFERROR(SUMIFS(Tabelle18[value_points_company],Tabelle18[company_id],Tabelle8[[#This Row],[company_id]]),0)</f>
        <v>0</v>
      </c>
      <c r="E2">
        <f>COUNTA(Tabelle4[value_id])*3</f>
        <v>54</v>
      </c>
      <c r="F2" s="53">
        <f>IFERROR(Tabelle8[[#This Row],[values_raw_points]]/Tabelle8[[#This Row],[values_max_points]],0)</f>
        <v>0</v>
      </c>
      <c r="G2">
        <f>IFERROR(SUMIFS(Tabelle728[score_0_3],Tabelle728[company_id],Tabelle8[[#This Row],[company_id]]),0)</f>
        <v>0</v>
      </c>
      <c r="H2" s="53">
        <f>IFERROR((Tabelle8[[#This Row],[gov_points_sum]]/(COUNTA(Tabelle6[gov_crit_id])*3))*100,0)</f>
        <v>0</v>
      </c>
    </row>
    <row r="3" spans="1:8" x14ac:dyDescent="0.25">
      <c r="A3">
        <v>2</v>
      </c>
      <c r="B3" t="str">
        <f>_xlfn.XLOOKUP(Tabelle8[[#This Row],[company_id]],'00_DAX_Master'!A:A,'00_DAX_Master'!B:B)</f>
        <v>Airbus</v>
      </c>
      <c r="C3" t="str">
        <f>_xlfn.XLOOKUP(Tabelle8[[#This Row],[company_id]],'00_DAX_Master'!A:A,'00_DAX_Master'!D:D)</f>
        <v>Industrie</v>
      </c>
      <c r="D3">
        <f>IFERROR(SUMIFS(Tabelle18[value_points_company],Tabelle18[company_id],Tabelle8[[#This Row],[company_id]]),0)</f>
        <v>22</v>
      </c>
      <c r="E3">
        <f>COUNTA(Tabelle4[value_id])*3</f>
        <v>54</v>
      </c>
      <c r="F3" s="53">
        <f>IFERROR(Tabelle8[[#This Row],[values_raw_points]]/Tabelle8[[#This Row],[values_max_points]],0)</f>
        <v>0.40740740740740738</v>
      </c>
      <c r="G3">
        <f>IFERROR(SUMIFS(Tabelle728[score_0_3],Tabelle728[company_id],Tabelle8[[#This Row],[company_id]]),0)</f>
        <v>4</v>
      </c>
      <c r="H3" s="53">
        <f>IFERROR((Tabelle8[[#This Row],[gov_points_sum]]/(COUNTA(Tabelle6[gov_crit_id])*3))*100,0)</f>
        <v>19.047619047619047</v>
      </c>
    </row>
    <row r="4" spans="1:8" x14ac:dyDescent="0.25">
      <c r="A4">
        <v>3</v>
      </c>
      <c r="B4" t="str">
        <f>_xlfn.XLOOKUP(Tabelle8[[#This Row],[company_id]],'00_DAX_Master'!A:A,'00_DAX_Master'!B:B)</f>
        <v>Allianz</v>
      </c>
      <c r="C4" t="str">
        <f>_xlfn.XLOOKUP(Tabelle8[[#This Row],[company_id]],'00_DAX_Master'!A:A,'00_DAX_Master'!D:D)</f>
        <v>Finance</v>
      </c>
      <c r="D4">
        <f>IFERROR(SUMIFS(Tabelle18[value_points_company],Tabelle18[company_id],Tabelle8[[#This Row],[company_id]]),0)</f>
        <v>33</v>
      </c>
      <c r="E4">
        <f>COUNTA(Tabelle4[value_id])*3</f>
        <v>54</v>
      </c>
      <c r="F4" s="53">
        <f>IFERROR(Tabelle8[[#This Row],[values_raw_points]]/Tabelle8[[#This Row],[values_max_points]],0)</f>
        <v>0.61111111111111116</v>
      </c>
      <c r="G4">
        <f>IFERROR(SUMIFS(Tabelle728[score_0_3],Tabelle728[company_id],Tabelle8[[#This Row],[company_id]]),0)</f>
        <v>11</v>
      </c>
      <c r="H4" s="53">
        <f>IFERROR((Tabelle8[[#This Row],[gov_points_sum]]/(COUNTA(Tabelle6[gov_crit_id])*3))*100,0)</f>
        <v>52.380952380952387</v>
      </c>
    </row>
    <row r="5" spans="1:8" x14ac:dyDescent="0.25">
      <c r="A5">
        <v>4</v>
      </c>
      <c r="B5" t="str">
        <f>_xlfn.XLOOKUP(Tabelle8[[#This Row],[company_id]],'00_DAX_Master'!A:A,'00_DAX_Master'!B:B)</f>
        <v>BASF</v>
      </c>
      <c r="C5" t="str">
        <f>_xlfn.XLOOKUP(Tabelle8[[#This Row],[company_id]],'00_DAX_Master'!A:A,'00_DAX_Master'!D:D)</f>
        <v>Materials/Chemicals</v>
      </c>
      <c r="D5">
        <f>IFERROR(SUMIFS(Tabelle18[value_points_company],Tabelle18[company_id],Tabelle8[[#This Row],[company_id]]),0)</f>
        <v>26</v>
      </c>
      <c r="E5">
        <f>COUNTA(Tabelle4[value_id])*3</f>
        <v>54</v>
      </c>
      <c r="F5" s="53">
        <f>IFERROR(Tabelle8[[#This Row],[values_raw_points]]/Tabelle8[[#This Row],[values_max_points]],0)</f>
        <v>0.48148148148148145</v>
      </c>
      <c r="G5">
        <f>IFERROR(SUMIFS(Tabelle728[score_0_3],Tabelle728[company_id],Tabelle8[[#This Row],[company_id]]),0)</f>
        <v>6</v>
      </c>
      <c r="H5" s="53">
        <f>IFERROR((Tabelle8[[#This Row],[gov_points_sum]]/(COUNTA(Tabelle6[gov_crit_id])*3))*100,0)</f>
        <v>28.571428571428569</v>
      </c>
    </row>
    <row r="6" spans="1:8" x14ac:dyDescent="0.25">
      <c r="A6">
        <v>5</v>
      </c>
      <c r="B6" t="str">
        <f>_xlfn.XLOOKUP(Tabelle8[[#This Row],[company_id]],'00_DAX_Master'!A:A,'00_DAX_Master'!B:B)</f>
        <v>Bayer</v>
      </c>
      <c r="C6" t="str">
        <f>_xlfn.XLOOKUP(Tabelle8[[#This Row],[company_id]],'00_DAX_Master'!A:A,'00_DAX_Master'!D:D)</f>
        <v>Materials/Chemicals</v>
      </c>
      <c r="D6">
        <f>IFERROR(SUMIFS(Tabelle18[value_points_company],Tabelle18[company_id],Tabelle8[[#This Row],[company_id]]),0)</f>
        <v>31</v>
      </c>
      <c r="E6">
        <f>COUNTA(Tabelle4[value_id])*3</f>
        <v>54</v>
      </c>
      <c r="F6" s="53">
        <f>IFERROR(Tabelle8[[#This Row],[values_raw_points]]/Tabelle8[[#This Row],[values_max_points]],0)</f>
        <v>0.57407407407407407</v>
      </c>
      <c r="G6">
        <f>IFERROR(SUMIFS(Tabelle728[score_0_3],Tabelle728[company_id],Tabelle8[[#This Row],[company_id]]),0)</f>
        <v>9</v>
      </c>
      <c r="H6" s="53">
        <f>IFERROR((Tabelle8[[#This Row],[gov_points_sum]]/(COUNTA(Tabelle6[gov_crit_id])*3))*100,0)</f>
        <v>42.857142857142854</v>
      </c>
    </row>
    <row r="7" spans="1:8" x14ac:dyDescent="0.25">
      <c r="A7">
        <v>6</v>
      </c>
      <c r="B7" t="str">
        <f>_xlfn.XLOOKUP(Tabelle8[[#This Row],[company_id]],'00_DAX_Master'!A:A,'00_DAX_Master'!B:B)</f>
        <v>Beiersdorf</v>
      </c>
      <c r="C7" t="str">
        <f>_xlfn.XLOOKUP(Tabelle8[[#This Row],[company_id]],'00_DAX_Master'!A:A,'00_DAX_Master'!D:D)</f>
        <v>Consumer</v>
      </c>
      <c r="D7">
        <f>IFERROR(SUMIFS(Tabelle18[value_points_company],Tabelle18[company_id],Tabelle8[[#This Row],[company_id]]),0)</f>
        <v>22</v>
      </c>
      <c r="E7">
        <f>COUNTA(Tabelle4[value_id])*3</f>
        <v>54</v>
      </c>
      <c r="F7" s="53">
        <f>IFERROR(Tabelle8[[#This Row],[values_raw_points]]/Tabelle8[[#This Row],[values_max_points]],0)</f>
        <v>0.40740740740740738</v>
      </c>
      <c r="G7">
        <f>IFERROR(SUMIFS(Tabelle728[score_0_3],Tabelle728[company_id],Tabelle8[[#This Row],[company_id]]),0)</f>
        <v>7</v>
      </c>
      <c r="H7" s="53">
        <f>IFERROR((Tabelle8[[#This Row],[gov_points_sum]]/(COUNTA(Tabelle6[gov_crit_id])*3))*100,0)</f>
        <v>33.333333333333329</v>
      </c>
    </row>
    <row r="8" spans="1:8" x14ac:dyDescent="0.25">
      <c r="A8">
        <v>7</v>
      </c>
      <c r="B8" t="str">
        <f>_xlfn.XLOOKUP(Tabelle8[[#This Row],[company_id]],'00_DAX_Master'!A:A,'00_DAX_Master'!B:B)</f>
        <v>BMW</v>
      </c>
      <c r="C8" t="str">
        <f>_xlfn.XLOOKUP(Tabelle8[[#This Row],[company_id]],'00_DAX_Master'!A:A,'00_DAX_Master'!D:D)</f>
        <v>Industrie</v>
      </c>
      <c r="D8">
        <f>IFERROR(SUMIFS(Tabelle18[value_points_company],Tabelle18[company_id],Tabelle8[[#This Row],[company_id]]),0)</f>
        <v>24</v>
      </c>
      <c r="E8">
        <f>COUNTA(Tabelle4[value_id])*3</f>
        <v>54</v>
      </c>
      <c r="F8" s="53">
        <f>IFERROR(Tabelle8[[#This Row],[values_raw_points]]/Tabelle8[[#This Row],[values_max_points]],0)</f>
        <v>0.44444444444444442</v>
      </c>
      <c r="G8">
        <f>IFERROR(SUMIFS(Tabelle728[score_0_3],Tabelle728[company_id],Tabelle8[[#This Row],[company_id]]),0)</f>
        <v>8</v>
      </c>
      <c r="H8" s="53">
        <f>IFERROR((Tabelle8[[#This Row],[gov_points_sum]]/(COUNTA(Tabelle6[gov_crit_id])*3))*100,0)</f>
        <v>38.095238095238095</v>
      </c>
    </row>
    <row r="9" spans="1:8" x14ac:dyDescent="0.25">
      <c r="A9">
        <v>8</v>
      </c>
      <c r="B9" t="str">
        <f>_xlfn.XLOOKUP(Tabelle8[[#This Row],[company_id]],'00_DAX_Master'!A:A,'00_DAX_Master'!B:B)</f>
        <v>Brenntag</v>
      </c>
      <c r="C9" t="str">
        <f>_xlfn.XLOOKUP(Tabelle8[[#This Row],[company_id]],'00_DAX_Master'!A:A,'00_DAX_Master'!D:D)</f>
        <v>Materials/Chemicals</v>
      </c>
      <c r="D9">
        <f>IFERROR(SUMIFS(Tabelle18[value_points_company],Tabelle18[company_id],Tabelle8[[#This Row],[company_id]]),0)</f>
        <v>0</v>
      </c>
      <c r="E9">
        <f>COUNTA(Tabelle4[value_id])*3</f>
        <v>54</v>
      </c>
      <c r="F9" s="53">
        <f>IFERROR(Tabelle8[[#This Row],[values_raw_points]]/Tabelle8[[#This Row],[values_max_points]],0)</f>
        <v>0</v>
      </c>
      <c r="G9">
        <f>IFERROR(SUMIFS(Tabelle728[score_0_3],Tabelle728[company_id],Tabelle8[[#This Row],[company_id]]),0)</f>
        <v>0</v>
      </c>
      <c r="H9" s="53">
        <f>IFERROR((Tabelle8[[#This Row],[gov_points_sum]]/(COUNTA(Tabelle6[gov_crit_id])*3))*100,0)</f>
        <v>0</v>
      </c>
    </row>
    <row r="10" spans="1:8" x14ac:dyDescent="0.25">
      <c r="A10">
        <v>9</v>
      </c>
      <c r="B10" t="str">
        <f>_xlfn.XLOOKUP(Tabelle8[[#This Row],[company_id]],'00_DAX_Master'!A:A,'00_DAX_Master'!B:B)</f>
        <v>Commerzbank</v>
      </c>
      <c r="C10" t="str">
        <f>_xlfn.XLOOKUP(Tabelle8[[#This Row],[company_id]],'00_DAX_Master'!A:A,'00_DAX_Master'!D:D)</f>
        <v>Finance</v>
      </c>
      <c r="D10">
        <f>IFERROR(SUMIFS(Tabelle18[value_points_company],Tabelle18[company_id],Tabelle8[[#This Row],[company_id]]),0)</f>
        <v>28</v>
      </c>
      <c r="E10">
        <f>COUNTA(Tabelle4[value_id])*3</f>
        <v>54</v>
      </c>
      <c r="F10" s="53">
        <f>IFERROR(Tabelle8[[#This Row],[values_raw_points]]/Tabelle8[[#This Row],[values_max_points]],0)</f>
        <v>0.51851851851851849</v>
      </c>
      <c r="G10">
        <f>IFERROR(SUMIFS(Tabelle728[score_0_3],Tabelle728[company_id],Tabelle8[[#This Row],[company_id]]),0)</f>
        <v>9</v>
      </c>
      <c r="H10" s="53">
        <f>IFERROR((Tabelle8[[#This Row],[gov_points_sum]]/(COUNTA(Tabelle6[gov_crit_id])*3))*100,0)</f>
        <v>42.857142857142854</v>
      </c>
    </row>
    <row r="11" spans="1:8" x14ac:dyDescent="0.25">
      <c r="A11">
        <v>10</v>
      </c>
      <c r="B11" t="str">
        <f>_xlfn.XLOOKUP(Tabelle8[[#This Row],[company_id]],'00_DAX_Master'!A:A,'00_DAX_Master'!B:B)</f>
        <v>Continental</v>
      </c>
      <c r="C11" t="str">
        <f>_xlfn.XLOOKUP(Tabelle8[[#This Row],[company_id]],'00_DAX_Master'!A:A,'00_DAX_Master'!D:D)</f>
        <v>Industrie</v>
      </c>
      <c r="D11">
        <f>IFERROR(SUMIFS(Tabelle18[value_points_company],Tabelle18[company_id],Tabelle8[[#This Row],[company_id]]),0)</f>
        <v>13</v>
      </c>
      <c r="E11">
        <f>COUNTA(Tabelle4[value_id])*3</f>
        <v>54</v>
      </c>
      <c r="F11" s="53">
        <f>IFERROR(Tabelle8[[#This Row],[values_raw_points]]/Tabelle8[[#This Row],[values_max_points]],0)</f>
        <v>0.24074074074074073</v>
      </c>
      <c r="G11">
        <f>IFERROR(SUMIFS(Tabelle728[score_0_3],Tabelle728[company_id],Tabelle8[[#This Row],[company_id]]),0)</f>
        <v>2</v>
      </c>
      <c r="H11" s="53">
        <f>IFERROR((Tabelle8[[#This Row],[gov_points_sum]]/(COUNTA(Tabelle6[gov_crit_id])*3))*100,0)</f>
        <v>9.5238095238095237</v>
      </c>
    </row>
    <row r="12" spans="1:8" x14ac:dyDescent="0.25">
      <c r="A12">
        <v>11</v>
      </c>
      <c r="B12" t="str">
        <f>_xlfn.XLOOKUP(Tabelle8[[#This Row],[company_id]],'00_DAX_Master'!A:A,'00_DAX_Master'!B:B)</f>
        <v>Daimler Truck</v>
      </c>
      <c r="C12" t="str">
        <f>_xlfn.XLOOKUP(Tabelle8[[#This Row],[company_id]],'00_DAX_Master'!A:A,'00_DAX_Master'!D:D)</f>
        <v>Industrie</v>
      </c>
      <c r="D12">
        <f>IFERROR(SUMIFS(Tabelle18[value_points_company],Tabelle18[company_id],Tabelle8[[#This Row],[company_id]]),0)</f>
        <v>6</v>
      </c>
      <c r="E12">
        <f>COUNTA(Tabelle4[value_id])*3</f>
        <v>54</v>
      </c>
      <c r="F12" s="53">
        <f>IFERROR(Tabelle8[[#This Row],[values_raw_points]]/Tabelle8[[#This Row],[values_max_points]],0)</f>
        <v>0.1111111111111111</v>
      </c>
      <c r="G12">
        <f>IFERROR(SUMIFS(Tabelle728[score_0_3],Tabelle728[company_id],Tabelle8[[#This Row],[company_id]]),0)</f>
        <v>1</v>
      </c>
      <c r="H12" s="53">
        <f>IFERROR((Tabelle8[[#This Row],[gov_points_sum]]/(COUNTA(Tabelle6[gov_crit_id])*3))*100,0)</f>
        <v>4.7619047619047619</v>
      </c>
    </row>
    <row r="13" spans="1:8" x14ac:dyDescent="0.25">
      <c r="A13">
        <v>12</v>
      </c>
      <c r="B13" t="str">
        <f>_xlfn.XLOOKUP(Tabelle8[[#This Row],[company_id]],'00_DAX_Master'!A:A,'00_DAX_Master'!B:B)</f>
        <v>Deutsche Bank</v>
      </c>
      <c r="C13" t="str">
        <f>_xlfn.XLOOKUP(Tabelle8[[#This Row],[company_id]],'00_DAX_Master'!A:A,'00_DAX_Master'!D:D)</f>
        <v>Finance</v>
      </c>
      <c r="D13">
        <f>IFERROR(SUMIFS(Tabelle18[value_points_company],Tabelle18[company_id],Tabelle8[[#This Row],[company_id]]),0)</f>
        <v>16</v>
      </c>
      <c r="E13">
        <f>COUNTA(Tabelle4[value_id])*3</f>
        <v>54</v>
      </c>
      <c r="F13" s="53">
        <f>IFERROR(Tabelle8[[#This Row],[values_raw_points]]/Tabelle8[[#This Row],[values_max_points]],0)</f>
        <v>0.29629629629629628</v>
      </c>
      <c r="G13">
        <f>IFERROR(SUMIFS(Tabelle728[score_0_3],Tabelle728[company_id],Tabelle8[[#This Row],[company_id]]),0)</f>
        <v>8</v>
      </c>
      <c r="H13" s="53">
        <f>IFERROR((Tabelle8[[#This Row],[gov_points_sum]]/(COUNTA(Tabelle6[gov_crit_id])*3))*100,0)</f>
        <v>38.095238095238095</v>
      </c>
    </row>
    <row r="14" spans="1:8" x14ac:dyDescent="0.25">
      <c r="A14">
        <v>13</v>
      </c>
      <c r="B14" t="str">
        <f>_xlfn.XLOOKUP(Tabelle8[[#This Row],[company_id]],'00_DAX_Master'!A:A,'00_DAX_Master'!B:B)</f>
        <v>Deutsche Börse</v>
      </c>
      <c r="C14" t="str">
        <f>_xlfn.XLOOKUP(Tabelle8[[#This Row],[company_id]],'00_DAX_Master'!A:A,'00_DAX_Master'!D:D)</f>
        <v>Finance</v>
      </c>
      <c r="D14">
        <f>IFERROR(SUMIFS(Tabelle18[value_points_company],Tabelle18[company_id],Tabelle8[[#This Row],[company_id]]),0)</f>
        <v>7</v>
      </c>
      <c r="E14">
        <f>COUNTA(Tabelle4[value_id])*3</f>
        <v>54</v>
      </c>
      <c r="F14" s="53">
        <f>IFERROR(Tabelle8[[#This Row],[values_raw_points]]/Tabelle8[[#This Row],[values_max_points]],0)</f>
        <v>0.12962962962962962</v>
      </c>
      <c r="G14">
        <f>IFERROR(SUMIFS(Tabelle728[score_0_3],Tabelle728[company_id],Tabelle8[[#This Row],[company_id]]),0)</f>
        <v>4</v>
      </c>
      <c r="H14" s="53">
        <f>IFERROR((Tabelle8[[#This Row],[gov_points_sum]]/(COUNTA(Tabelle6[gov_crit_id])*3))*100,0)</f>
        <v>19.047619047619047</v>
      </c>
    </row>
    <row r="15" spans="1:8" x14ac:dyDescent="0.25">
      <c r="A15">
        <v>14</v>
      </c>
      <c r="B15" t="str">
        <f>_xlfn.XLOOKUP(Tabelle8[[#This Row],[company_id]],'00_DAX_Master'!A:A,'00_DAX_Master'!B:B)</f>
        <v>Deutsche Post</v>
      </c>
      <c r="C15" t="str">
        <f>_xlfn.XLOOKUP(Tabelle8[[#This Row],[company_id]],'00_DAX_Master'!A:A,'00_DAX_Master'!D:D)</f>
        <v>Other/Hybrid</v>
      </c>
      <c r="D15">
        <f>IFERROR(SUMIFS(Tabelle18[value_points_company],Tabelle18[company_id],Tabelle8[[#This Row],[company_id]]),0)</f>
        <v>0</v>
      </c>
      <c r="E15">
        <f>COUNTA(Tabelle4[value_id])*3</f>
        <v>54</v>
      </c>
      <c r="F15" s="53">
        <f>IFERROR(Tabelle8[[#This Row],[values_raw_points]]/Tabelle8[[#This Row],[values_max_points]],0)</f>
        <v>0</v>
      </c>
      <c r="G15">
        <f>IFERROR(SUMIFS(Tabelle728[score_0_3],Tabelle728[company_id],Tabelle8[[#This Row],[company_id]]),0)</f>
        <v>0</v>
      </c>
      <c r="H15" s="53">
        <f>IFERROR((Tabelle8[[#This Row],[gov_points_sum]]/(COUNTA(Tabelle6[gov_crit_id])*3))*100,0)</f>
        <v>0</v>
      </c>
    </row>
    <row r="16" spans="1:8" x14ac:dyDescent="0.25">
      <c r="A16">
        <v>15</v>
      </c>
      <c r="B16" t="str">
        <f>_xlfn.XLOOKUP(Tabelle8[[#This Row],[company_id]],'00_DAX_Master'!A:A,'00_DAX_Master'!B:B)</f>
        <v>Deutsche Telekom</v>
      </c>
      <c r="C16" t="str">
        <f>_xlfn.XLOOKUP(Tabelle8[[#This Row],[company_id]],'00_DAX_Master'!A:A,'00_DAX_Master'!D:D)</f>
        <v>Utilities</v>
      </c>
      <c r="D16">
        <f>IFERROR(SUMIFS(Tabelle18[value_points_company],Tabelle18[company_id],Tabelle8[[#This Row],[company_id]]),0)</f>
        <v>49</v>
      </c>
      <c r="E16">
        <f>COUNTA(Tabelle4[value_id])*3</f>
        <v>54</v>
      </c>
      <c r="F16" s="53">
        <f>IFERROR(Tabelle8[[#This Row],[values_raw_points]]/Tabelle8[[#This Row],[values_max_points]],0)</f>
        <v>0.90740740740740744</v>
      </c>
      <c r="G16">
        <f>IFERROR(SUMIFS(Tabelle728[score_0_3],Tabelle728[company_id],Tabelle8[[#This Row],[company_id]]),0)</f>
        <v>15</v>
      </c>
      <c r="H16" s="53">
        <f>IFERROR((Tabelle8[[#This Row],[gov_points_sum]]/(COUNTA(Tabelle6[gov_crit_id])*3))*100,0)</f>
        <v>71.428571428571431</v>
      </c>
    </row>
    <row r="17" spans="1:8" x14ac:dyDescent="0.25">
      <c r="A17">
        <v>16</v>
      </c>
      <c r="B17" t="str">
        <f>_xlfn.XLOOKUP(Tabelle8[[#This Row],[company_id]],'00_DAX_Master'!A:A,'00_DAX_Master'!B:B)</f>
        <v>E.ON</v>
      </c>
      <c r="C17" t="str">
        <f>_xlfn.XLOOKUP(Tabelle8[[#This Row],[company_id]],'00_DAX_Master'!A:A,'00_DAX_Master'!D:D)</f>
        <v>Utilities</v>
      </c>
      <c r="D17">
        <f>IFERROR(SUMIFS(Tabelle18[value_points_company],Tabelle18[company_id],Tabelle8[[#This Row],[company_id]]),0)</f>
        <v>0</v>
      </c>
      <c r="E17">
        <f>COUNTA(Tabelle4[value_id])*3</f>
        <v>54</v>
      </c>
      <c r="F17" s="53">
        <f>IFERROR(Tabelle8[[#This Row],[values_raw_points]]/Tabelle8[[#This Row],[values_max_points]],0)</f>
        <v>0</v>
      </c>
      <c r="G17">
        <f>IFERROR(SUMIFS(Tabelle728[score_0_3],Tabelle728[company_id],Tabelle8[[#This Row],[company_id]]),0)</f>
        <v>0</v>
      </c>
      <c r="H17" s="53">
        <f>IFERROR((Tabelle8[[#This Row],[gov_points_sum]]/(COUNTA(Tabelle6[gov_crit_id])*3))*100,0)</f>
        <v>0</v>
      </c>
    </row>
    <row r="18" spans="1:8" x14ac:dyDescent="0.25">
      <c r="A18">
        <v>17</v>
      </c>
      <c r="B18" t="str">
        <f>_xlfn.XLOOKUP(Tabelle8[[#This Row],[company_id]],'00_DAX_Master'!A:A,'00_DAX_Master'!B:B)</f>
        <v>Fresenius</v>
      </c>
      <c r="C18" t="str">
        <f>_xlfn.XLOOKUP(Tabelle8[[#This Row],[company_id]],'00_DAX_Master'!A:A,'00_DAX_Master'!D:D)</f>
        <v>Tech</v>
      </c>
      <c r="D18">
        <f>IFERROR(SUMIFS(Tabelle18[value_points_company],Tabelle18[company_id],Tabelle8[[#This Row],[company_id]]),0)</f>
        <v>46</v>
      </c>
      <c r="E18">
        <f>COUNTA(Tabelle4[value_id])*3</f>
        <v>54</v>
      </c>
      <c r="F18" s="53">
        <f>IFERROR(Tabelle8[[#This Row],[values_raw_points]]/Tabelle8[[#This Row],[values_max_points]],0)</f>
        <v>0.85185185185185186</v>
      </c>
      <c r="G18">
        <f>IFERROR(SUMIFS(Tabelle728[score_0_3],Tabelle728[company_id],Tabelle8[[#This Row],[company_id]]),0)</f>
        <v>7</v>
      </c>
      <c r="H18" s="53">
        <f>IFERROR((Tabelle8[[#This Row],[gov_points_sum]]/(COUNTA(Tabelle6[gov_crit_id])*3))*100,0)</f>
        <v>33.333333333333329</v>
      </c>
    </row>
    <row r="19" spans="1:8" x14ac:dyDescent="0.25">
      <c r="A19">
        <v>18</v>
      </c>
      <c r="B19" t="str">
        <f>_xlfn.XLOOKUP(Tabelle8[[#This Row],[company_id]],'00_DAX_Master'!A:A,'00_DAX_Master'!B:B)</f>
        <v>Fresenius Medical Care</v>
      </c>
      <c r="C19" t="str">
        <f>_xlfn.XLOOKUP(Tabelle8[[#This Row],[company_id]],'00_DAX_Master'!A:A,'00_DAX_Master'!D:D)</f>
        <v>Tech</v>
      </c>
      <c r="D19">
        <f>IFERROR(SUMIFS(Tabelle18[value_points_company],Tabelle18[company_id],Tabelle8[[#This Row],[company_id]]),0)</f>
        <v>0</v>
      </c>
      <c r="E19">
        <f>COUNTA(Tabelle4[value_id])*3</f>
        <v>54</v>
      </c>
      <c r="F19" s="53">
        <f>IFERROR(Tabelle8[[#This Row],[values_raw_points]]/Tabelle8[[#This Row],[values_max_points]],0)</f>
        <v>0</v>
      </c>
      <c r="G19">
        <f>IFERROR(SUMIFS(Tabelle728[score_0_3],Tabelle728[company_id],Tabelle8[[#This Row],[company_id]]),0)</f>
        <v>0</v>
      </c>
      <c r="H19" s="53">
        <f>IFERROR((Tabelle8[[#This Row],[gov_points_sum]]/(COUNTA(Tabelle6[gov_crit_id])*3))*100,0)</f>
        <v>0</v>
      </c>
    </row>
    <row r="20" spans="1:8" x14ac:dyDescent="0.25">
      <c r="A20">
        <v>19</v>
      </c>
      <c r="B20" t="str">
        <f>_xlfn.XLOOKUP(Tabelle8[[#This Row],[company_id]],'00_DAX_Master'!A:A,'00_DAX_Master'!B:B)</f>
        <v>GEA Group</v>
      </c>
      <c r="C20" t="str">
        <f>_xlfn.XLOOKUP(Tabelle8[[#This Row],[company_id]],'00_DAX_Master'!A:A,'00_DAX_Master'!D:D)</f>
        <v>Industrie</v>
      </c>
      <c r="D20">
        <f>IFERROR(SUMIFS(Tabelle18[value_points_company],Tabelle18[company_id],Tabelle8[[#This Row],[company_id]]),0)</f>
        <v>30</v>
      </c>
      <c r="E20">
        <f>COUNTA(Tabelle4[value_id])*3</f>
        <v>54</v>
      </c>
      <c r="F20" s="53">
        <f>IFERROR(Tabelle8[[#This Row],[values_raw_points]]/Tabelle8[[#This Row],[values_max_points]],0)</f>
        <v>0.55555555555555558</v>
      </c>
      <c r="G20">
        <f>IFERROR(SUMIFS(Tabelle728[score_0_3],Tabelle728[company_id],Tabelle8[[#This Row],[company_id]]),0)</f>
        <v>9</v>
      </c>
      <c r="H20" s="53">
        <f>IFERROR((Tabelle8[[#This Row],[gov_points_sum]]/(COUNTA(Tabelle6[gov_crit_id])*3))*100,0)</f>
        <v>42.857142857142854</v>
      </c>
    </row>
    <row r="21" spans="1:8" x14ac:dyDescent="0.25">
      <c r="A21">
        <v>20</v>
      </c>
      <c r="B21" t="str">
        <f>_xlfn.XLOOKUP(Tabelle8[[#This Row],[company_id]],'00_DAX_Master'!A:A,'00_DAX_Master'!B:B)</f>
        <v>Hannover Rück</v>
      </c>
      <c r="C21" t="str">
        <f>_xlfn.XLOOKUP(Tabelle8[[#This Row],[company_id]],'00_DAX_Master'!A:A,'00_DAX_Master'!D:D)</f>
        <v>Finance</v>
      </c>
      <c r="D21">
        <f>IFERROR(SUMIFS(Tabelle18[value_points_company],Tabelle18[company_id],Tabelle8[[#This Row],[company_id]]),0)</f>
        <v>5</v>
      </c>
      <c r="E21">
        <f>COUNTA(Tabelle4[value_id])*3</f>
        <v>54</v>
      </c>
      <c r="F21" s="53">
        <f>IFERROR(Tabelle8[[#This Row],[values_raw_points]]/Tabelle8[[#This Row],[values_max_points]],0)</f>
        <v>9.2592592592592587E-2</v>
      </c>
      <c r="G21">
        <f>IFERROR(SUMIFS(Tabelle728[score_0_3],Tabelle728[company_id],Tabelle8[[#This Row],[company_id]]),0)</f>
        <v>1</v>
      </c>
      <c r="H21" s="53">
        <f>IFERROR((Tabelle8[[#This Row],[gov_points_sum]]/(COUNTA(Tabelle6[gov_crit_id])*3))*100,0)</f>
        <v>4.7619047619047619</v>
      </c>
    </row>
    <row r="22" spans="1:8" x14ac:dyDescent="0.25">
      <c r="A22">
        <v>21</v>
      </c>
      <c r="B22" t="str">
        <f>_xlfn.XLOOKUP(Tabelle8[[#This Row],[company_id]],'00_DAX_Master'!A:A,'00_DAX_Master'!B:B)</f>
        <v>Heidelberg Materials</v>
      </c>
      <c r="C22" t="str">
        <f>_xlfn.XLOOKUP(Tabelle8[[#This Row],[company_id]],'00_DAX_Master'!A:A,'00_DAX_Master'!D:D)</f>
        <v>Materials/Chemicals</v>
      </c>
      <c r="D22">
        <f>IFERROR(SUMIFS(Tabelle18[value_points_company],Tabelle18[company_id],Tabelle8[[#This Row],[company_id]]),0)</f>
        <v>0</v>
      </c>
      <c r="E22">
        <f>COUNTA(Tabelle4[value_id])*3</f>
        <v>54</v>
      </c>
      <c r="F22" s="53">
        <f>IFERROR(Tabelle8[[#This Row],[values_raw_points]]/Tabelle8[[#This Row],[values_max_points]],0)</f>
        <v>0</v>
      </c>
      <c r="G22">
        <f>IFERROR(SUMIFS(Tabelle728[score_0_3],Tabelle728[company_id],Tabelle8[[#This Row],[company_id]]),0)</f>
        <v>0</v>
      </c>
      <c r="H22" s="53">
        <f>IFERROR((Tabelle8[[#This Row],[gov_points_sum]]/(COUNTA(Tabelle6[gov_crit_id])*3))*100,0)</f>
        <v>0</v>
      </c>
    </row>
    <row r="23" spans="1:8" x14ac:dyDescent="0.25">
      <c r="A23">
        <v>22</v>
      </c>
      <c r="B23" t="str">
        <f>_xlfn.XLOOKUP(Tabelle8[[#This Row],[company_id]],'00_DAX_Master'!A:A,'00_DAX_Master'!B:B)</f>
        <v>Henkel</v>
      </c>
      <c r="C23" t="str">
        <f>_xlfn.XLOOKUP(Tabelle8[[#This Row],[company_id]],'00_DAX_Master'!A:A,'00_DAX_Master'!D:D)</f>
        <v>Materials/Chemicals</v>
      </c>
      <c r="D23">
        <f>IFERROR(SUMIFS(Tabelle18[value_points_company],Tabelle18[company_id],Tabelle8[[#This Row],[company_id]]),0)</f>
        <v>11</v>
      </c>
      <c r="E23">
        <f>COUNTA(Tabelle4[value_id])*3</f>
        <v>54</v>
      </c>
      <c r="F23" s="53">
        <f>IFERROR(Tabelle8[[#This Row],[values_raw_points]]/Tabelle8[[#This Row],[values_max_points]],0)</f>
        <v>0.20370370370370369</v>
      </c>
      <c r="G23">
        <f>IFERROR(SUMIFS(Tabelle728[score_0_3],Tabelle728[company_id],Tabelle8[[#This Row],[company_id]]),0)</f>
        <v>1</v>
      </c>
      <c r="H23" s="53">
        <f>IFERROR((Tabelle8[[#This Row],[gov_points_sum]]/(COUNTA(Tabelle6[gov_crit_id])*3))*100,0)</f>
        <v>4.7619047619047619</v>
      </c>
    </row>
    <row r="24" spans="1:8" x14ac:dyDescent="0.25">
      <c r="A24">
        <v>23</v>
      </c>
      <c r="B24" t="str">
        <f>_xlfn.XLOOKUP(Tabelle8[[#This Row],[company_id]],'00_DAX_Master'!A:A,'00_DAX_Master'!B:B)</f>
        <v>Infineon</v>
      </c>
      <c r="C24" t="str">
        <f>_xlfn.XLOOKUP(Tabelle8[[#This Row],[company_id]],'00_DAX_Master'!A:A,'00_DAX_Master'!D:D)</f>
        <v>Tech</v>
      </c>
      <c r="D24">
        <f>IFERROR(SUMIFS(Tabelle18[value_points_company],Tabelle18[company_id],Tabelle8[[#This Row],[company_id]]),0)</f>
        <v>23</v>
      </c>
      <c r="E24">
        <f>COUNTA(Tabelle4[value_id])*3</f>
        <v>54</v>
      </c>
      <c r="F24" s="53">
        <f>IFERROR(Tabelle8[[#This Row],[values_raw_points]]/Tabelle8[[#This Row],[values_max_points]],0)</f>
        <v>0.42592592592592593</v>
      </c>
      <c r="G24">
        <f>IFERROR(SUMIFS(Tabelle728[score_0_3],Tabelle728[company_id],Tabelle8[[#This Row],[company_id]]),0)</f>
        <v>10</v>
      </c>
      <c r="H24" s="53">
        <f>IFERROR((Tabelle8[[#This Row],[gov_points_sum]]/(COUNTA(Tabelle6[gov_crit_id])*3))*100,0)</f>
        <v>47.619047619047613</v>
      </c>
    </row>
    <row r="25" spans="1:8" x14ac:dyDescent="0.25">
      <c r="A25">
        <v>24</v>
      </c>
      <c r="B25" t="str">
        <f>_xlfn.XLOOKUP(Tabelle8[[#This Row],[company_id]],'00_DAX_Master'!A:A,'00_DAX_Master'!B:B)</f>
        <v>Mercedes-Benz Group</v>
      </c>
      <c r="C25" t="str">
        <f>_xlfn.XLOOKUP(Tabelle8[[#This Row],[company_id]],'00_DAX_Master'!A:A,'00_DAX_Master'!D:D)</f>
        <v>Industrie</v>
      </c>
      <c r="D25">
        <f>IFERROR(SUMIFS(Tabelle18[value_points_company],Tabelle18[company_id],Tabelle8[[#This Row],[company_id]]),0)</f>
        <v>21</v>
      </c>
      <c r="E25">
        <f>COUNTA(Tabelle4[value_id])*3</f>
        <v>54</v>
      </c>
      <c r="F25" s="53">
        <f>IFERROR(Tabelle8[[#This Row],[values_raw_points]]/Tabelle8[[#This Row],[values_max_points]],0)</f>
        <v>0.3888888888888889</v>
      </c>
      <c r="G25">
        <f>IFERROR(SUMIFS(Tabelle728[score_0_3],Tabelle728[company_id],Tabelle8[[#This Row],[company_id]]),0)</f>
        <v>4</v>
      </c>
      <c r="H25" s="53">
        <f>IFERROR((Tabelle8[[#This Row],[gov_points_sum]]/(COUNTA(Tabelle6[gov_crit_id])*3))*100,0)</f>
        <v>19.047619047619047</v>
      </c>
    </row>
    <row r="26" spans="1:8" x14ac:dyDescent="0.25">
      <c r="A26">
        <v>25</v>
      </c>
      <c r="B26" t="str">
        <f>_xlfn.XLOOKUP(Tabelle8[[#This Row],[company_id]],'00_DAX_Master'!A:A,'00_DAX_Master'!B:B)</f>
        <v>Merck</v>
      </c>
      <c r="C26" t="str">
        <f>_xlfn.XLOOKUP(Tabelle8[[#This Row],[company_id]],'00_DAX_Master'!A:A,'00_DAX_Master'!D:D)</f>
        <v>Materials/Chemicals</v>
      </c>
      <c r="D26">
        <f>IFERROR(SUMIFS(Tabelle18[value_points_company],Tabelle18[company_id],Tabelle8[[#This Row],[company_id]]),0)</f>
        <v>39</v>
      </c>
      <c r="E26">
        <f>COUNTA(Tabelle4[value_id])*3</f>
        <v>54</v>
      </c>
      <c r="F26" s="53">
        <f>IFERROR(Tabelle8[[#This Row],[values_raw_points]]/Tabelle8[[#This Row],[values_max_points]],0)</f>
        <v>0.72222222222222221</v>
      </c>
      <c r="G26">
        <f>IFERROR(SUMIFS(Tabelle728[score_0_3],Tabelle728[company_id],Tabelle8[[#This Row],[company_id]]),0)</f>
        <v>16</v>
      </c>
      <c r="H26" s="53">
        <f>IFERROR((Tabelle8[[#This Row],[gov_points_sum]]/(COUNTA(Tabelle6[gov_crit_id])*3))*100,0)</f>
        <v>76.19047619047619</v>
      </c>
    </row>
    <row r="27" spans="1:8" x14ac:dyDescent="0.25">
      <c r="A27">
        <v>26</v>
      </c>
      <c r="B27" t="str">
        <f>_xlfn.XLOOKUP(Tabelle8[[#This Row],[company_id]],'00_DAX_Master'!A:A,'00_DAX_Master'!B:B)</f>
        <v>MTU Aero Engines</v>
      </c>
      <c r="C27" t="str">
        <f>_xlfn.XLOOKUP(Tabelle8[[#This Row],[company_id]],'00_DAX_Master'!A:A,'00_DAX_Master'!D:D)</f>
        <v>Industrie</v>
      </c>
      <c r="D27">
        <f>IFERROR(SUMIFS(Tabelle18[value_points_company],Tabelle18[company_id],Tabelle8[[#This Row],[company_id]]),0)</f>
        <v>0</v>
      </c>
      <c r="E27">
        <f>COUNTA(Tabelle4[value_id])*3</f>
        <v>54</v>
      </c>
      <c r="F27" s="53">
        <f>IFERROR(Tabelle8[[#This Row],[values_raw_points]]/Tabelle8[[#This Row],[values_max_points]],0)</f>
        <v>0</v>
      </c>
      <c r="G27">
        <f>IFERROR(SUMIFS(Tabelle728[score_0_3],Tabelle728[company_id],Tabelle8[[#This Row],[company_id]]),0)</f>
        <v>0</v>
      </c>
      <c r="H27" s="53">
        <f>IFERROR((Tabelle8[[#This Row],[gov_points_sum]]/(COUNTA(Tabelle6[gov_crit_id])*3))*100,0)</f>
        <v>0</v>
      </c>
    </row>
    <row r="28" spans="1:8" x14ac:dyDescent="0.25">
      <c r="A28">
        <v>27</v>
      </c>
      <c r="B28" t="str">
        <f>_xlfn.XLOOKUP(Tabelle8[[#This Row],[company_id]],'00_DAX_Master'!A:A,'00_DAX_Master'!B:B)</f>
        <v>Münchener Rück</v>
      </c>
      <c r="C28" t="str">
        <f>_xlfn.XLOOKUP(Tabelle8[[#This Row],[company_id]],'00_DAX_Master'!A:A,'00_DAX_Master'!D:D)</f>
        <v>Finance</v>
      </c>
      <c r="D28">
        <f>IFERROR(SUMIFS(Tabelle18[value_points_company],Tabelle18[company_id],Tabelle8[[#This Row],[company_id]]),0)</f>
        <v>15</v>
      </c>
      <c r="E28">
        <f>COUNTA(Tabelle4[value_id])*3</f>
        <v>54</v>
      </c>
      <c r="F28" s="53">
        <f>IFERROR(Tabelle8[[#This Row],[values_raw_points]]/Tabelle8[[#This Row],[values_max_points]],0)</f>
        <v>0.27777777777777779</v>
      </c>
      <c r="G28">
        <f>IFERROR(SUMIFS(Tabelle728[score_0_3],Tabelle728[company_id],Tabelle8[[#This Row],[company_id]]),0)</f>
        <v>11</v>
      </c>
      <c r="H28" s="53">
        <f>IFERROR((Tabelle8[[#This Row],[gov_points_sum]]/(COUNTA(Tabelle6[gov_crit_id])*3))*100,0)</f>
        <v>52.380952380952387</v>
      </c>
    </row>
    <row r="29" spans="1:8" x14ac:dyDescent="0.25">
      <c r="A29">
        <v>28</v>
      </c>
      <c r="B29" t="str">
        <f>_xlfn.XLOOKUP(Tabelle8[[#This Row],[company_id]],'00_DAX_Master'!A:A,'00_DAX_Master'!B:B)</f>
        <v>Porsche Automobil Holding</v>
      </c>
      <c r="C29" t="str">
        <f>_xlfn.XLOOKUP(Tabelle8[[#This Row],[company_id]],'00_DAX_Master'!A:A,'00_DAX_Master'!D:D)</f>
        <v>Industrie</v>
      </c>
      <c r="D29">
        <f>IFERROR(SUMIFS(Tabelle18[value_points_company],Tabelle18[company_id],Tabelle8[[#This Row],[company_id]]),0)</f>
        <v>0</v>
      </c>
      <c r="E29">
        <f>COUNTA(Tabelle4[value_id])*3</f>
        <v>54</v>
      </c>
      <c r="F29" s="53">
        <f>IFERROR(Tabelle8[[#This Row],[values_raw_points]]/Tabelle8[[#This Row],[values_max_points]],0)</f>
        <v>0</v>
      </c>
      <c r="G29">
        <f>IFERROR(SUMIFS(Tabelle728[score_0_3],Tabelle728[company_id],Tabelle8[[#This Row],[company_id]]),0)</f>
        <v>0</v>
      </c>
      <c r="H29" s="53">
        <f>IFERROR((Tabelle8[[#This Row],[gov_points_sum]]/(COUNTA(Tabelle6[gov_crit_id])*3))*100,0)</f>
        <v>0</v>
      </c>
    </row>
    <row r="30" spans="1:8" x14ac:dyDescent="0.25">
      <c r="A30">
        <v>29</v>
      </c>
      <c r="B30" t="str">
        <f>_xlfn.XLOOKUP(Tabelle8[[#This Row],[company_id]],'00_DAX_Master'!A:A,'00_DAX_Master'!B:B)</f>
        <v>Qiagen</v>
      </c>
      <c r="C30" t="str">
        <f>_xlfn.XLOOKUP(Tabelle8[[#This Row],[company_id]],'00_DAX_Master'!A:A,'00_DAX_Master'!D:D)</f>
        <v>Tech</v>
      </c>
      <c r="D30">
        <f>IFERROR(SUMIFS(Tabelle18[value_points_company],Tabelle18[company_id],Tabelle8[[#This Row],[company_id]]),0)</f>
        <v>0</v>
      </c>
      <c r="E30">
        <f>COUNTA(Tabelle4[value_id])*3</f>
        <v>54</v>
      </c>
      <c r="F30" s="53">
        <f>IFERROR(Tabelle8[[#This Row],[values_raw_points]]/Tabelle8[[#This Row],[values_max_points]],0)</f>
        <v>0</v>
      </c>
      <c r="G30">
        <f>IFERROR(SUMIFS(Tabelle728[score_0_3],Tabelle728[company_id],Tabelle8[[#This Row],[company_id]]),0)</f>
        <v>0</v>
      </c>
      <c r="H30" s="53">
        <f>IFERROR((Tabelle8[[#This Row],[gov_points_sum]]/(COUNTA(Tabelle6[gov_crit_id])*3))*100,0)</f>
        <v>0</v>
      </c>
    </row>
    <row r="31" spans="1:8" x14ac:dyDescent="0.25">
      <c r="A31">
        <v>30</v>
      </c>
      <c r="B31" t="str">
        <f>_xlfn.XLOOKUP(Tabelle8[[#This Row],[company_id]],'00_DAX_Master'!A:A,'00_DAX_Master'!B:B)</f>
        <v>Rheinmetall</v>
      </c>
      <c r="C31" t="str">
        <f>_xlfn.XLOOKUP(Tabelle8[[#This Row],[company_id]],'00_DAX_Master'!A:A,'00_DAX_Master'!D:D)</f>
        <v>Industrie</v>
      </c>
      <c r="D31">
        <f>IFERROR(SUMIFS(Tabelle18[value_points_company],Tabelle18[company_id],Tabelle8[[#This Row],[company_id]]),0)</f>
        <v>0</v>
      </c>
      <c r="E31">
        <f>COUNTA(Tabelle4[value_id])*3</f>
        <v>54</v>
      </c>
      <c r="F31" s="53">
        <f>IFERROR(Tabelle8[[#This Row],[values_raw_points]]/Tabelle8[[#This Row],[values_max_points]],0)</f>
        <v>0</v>
      </c>
      <c r="G31">
        <f>IFERROR(SUMIFS(Tabelle728[score_0_3],Tabelle728[company_id],Tabelle8[[#This Row],[company_id]]),0)</f>
        <v>0</v>
      </c>
      <c r="H31" s="53">
        <f>IFERROR((Tabelle8[[#This Row],[gov_points_sum]]/(COUNTA(Tabelle6[gov_crit_id])*3))*100,0)</f>
        <v>0</v>
      </c>
    </row>
    <row r="32" spans="1:8" x14ac:dyDescent="0.25">
      <c r="A32">
        <v>31</v>
      </c>
      <c r="B32" t="str">
        <f>_xlfn.XLOOKUP(Tabelle8[[#This Row],[company_id]],'00_DAX_Master'!A:A,'00_DAX_Master'!B:B)</f>
        <v>RWE</v>
      </c>
      <c r="C32" t="str">
        <f>_xlfn.XLOOKUP(Tabelle8[[#This Row],[company_id]],'00_DAX_Master'!A:A,'00_DAX_Master'!D:D)</f>
        <v>Utilities</v>
      </c>
      <c r="D32">
        <f>IFERROR(SUMIFS(Tabelle18[value_points_company],Tabelle18[company_id],Tabelle8[[#This Row],[company_id]]),0)</f>
        <v>29</v>
      </c>
      <c r="E32">
        <f>COUNTA(Tabelle4[value_id])*3</f>
        <v>54</v>
      </c>
      <c r="F32" s="53">
        <f>IFERROR(Tabelle8[[#This Row],[values_raw_points]]/Tabelle8[[#This Row],[values_max_points]],0)</f>
        <v>0.53703703703703709</v>
      </c>
      <c r="G32">
        <f>IFERROR(SUMIFS(Tabelle728[score_0_3],Tabelle728[company_id],Tabelle8[[#This Row],[company_id]]),0)</f>
        <v>4</v>
      </c>
      <c r="H32" s="53">
        <f>IFERROR((Tabelle8[[#This Row],[gov_points_sum]]/(COUNTA(Tabelle6[gov_crit_id])*3))*100,0)</f>
        <v>19.047619047619047</v>
      </c>
    </row>
    <row r="33" spans="1:8" x14ac:dyDescent="0.25">
      <c r="A33">
        <v>32</v>
      </c>
      <c r="B33" t="str">
        <f>_xlfn.XLOOKUP(Tabelle8[[#This Row],[company_id]],'00_DAX_Master'!A:A,'00_DAX_Master'!B:B)</f>
        <v>SAP</v>
      </c>
      <c r="C33" t="str">
        <f>_xlfn.XLOOKUP(Tabelle8[[#This Row],[company_id]],'00_DAX_Master'!A:A,'00_DAX_Master'!D:D)</f>
        <v>Tech</v>
      </c>
      <c r="D33">
        <f>IFERROR(SUMIFS(Tabelle18[value_points_company],Tabelle18[company_id],Tabelle8[[#This Row],[company_id]]),0)</f>
        <v>47</v>
      </c>
      <c r="E33">
        <f>COUNTA(Tabelle4[value_id])*3</f>
        <v>54</v>
      </c>
      <c r="F33" s="53">
        <f>IFERROR(Tabelle8[[#This Row],[values_raw_points]]/Tabelle8[[#This Row],[values_max_points]],0)</f>
        <v>0.87037037037037035</v>
      </c>
      <c r="G33">
        <f>IFERROR(SUMIFS(Tabelle728[score_0_3],Tabelle728[company_id],Tabelle8[[#This Row],[company_id]]),0)</f>
        <v>14</v>
      </c>
      <c r="H33" s="53">
        <f>IFERROR((Tabelle8[[#This Row],[gov_points_sum]]/(COUNTA(Tabelle6[gov_crit_id])*3))*100,0)</f>
        <v>66.666666666666657</v>
      </c>
    </row>
    <row r="34" spans="1:8" x14ac:dyDescent="0.25">
      <c r="A34">
        <v>33</v>
      </c>
      <c r="B34" t="str">
        <f>_xlfn.XLOOKUP(Tabelle8[[#This Row],[company_id]],'00_DAX_Master'!A:A,'00_DAX_Master'!B:B)</f>
        <v>Scout24</v>
      </c>
      <c r="C34" t="str">
        <f>_xlfn.XLOOKUP(Tabelle8[[#This Row],[company_id]],'00_DAX_Master'!A:A,'00_DAX_Master'!D:D)</f>
        <v>Tech</v>
      </c>
      <c r="D34">
        <f>IFERROR(SUMIFS(Tabelle18[value_points_company],Tabelle18[company_id],Tabelle8[[#This Row],[company_id]]),0)</f>
        <v>0</v>
      </c>
      <c r="E34">
        <f>COUNTA(Tabelle4[value_id])*3</f>
        <v>54</v>
      </c>
      <c r="F34" s="53">
        <f>IFERROR(Tabelle8[[#This Row],[values_raw_points]]/Tabelle8[[#This Row],[values_max_points]],0)</f>
        <v>0</v>
      </c>
      <c r="G34">
        <f>IFERROR(SUMIFS(Tabelle728[score_0_3],Tabelle728[company_id],Tabelle8[[#This Row],[company_id]]),0)</f>
        <v>0</v>
      </c>
      <c r="H34" s="53">
        <f>IFERROR((Tabelle8[[#This Row],[gov_points_sum]]/(COUNTA(Tabelle6[gov_crit_id])*3))*100,0)</f>
        <v>0</v>
      </c>
    </row>
    <row r="35" spans="1:8" x14ac:dyDescent="0.25">
      <c r="A35">
        <v>34</v>
      </c>
      <c r="B35" t="str">
        <f>_xlfn.XLOOKUP(Tabelle8[[#This Row],[company_id]],'00_DAX_Master'!A:A,'00_DAX_Master'!B:B)</f>
        <v>Siemens</v>
      </c>
      <c r="C35" t="str">
        <f>_xlfn.XLOOKUP(Tabelle8[[#This Row],[company_id]],'00_DAX_Master'!A:A,'00_DAX_Master'!D:D)</f>
        <v>Industrie</v>
      </c>
      <c r="D35">
        <f>IFERROR(SUMIFS(Tabelle18[value_points_company],Tabelle18[company_id],Tabelle8[[#This Row],[company_id]]),0)</f>
        <v>23</v>
      </c>
      <c r="E35">
        <f>COUNTA(Tabelle4[value_id])*3</f>
        <v>54</v>
      </c>
      <c r="F35" s="53">
        <f>IFERROR(Tabelle8[[#This Row],[values_raw_points]]/Tabelle8[[#This Row],[values_max_points]],0)</f>
        <v>0.42592592592592593</v>
      </c>
      <c r="G35">
        <f>IFERROR(SUMIFS(Tabelle728[score_0_3],Tabelle728[company_id],Tabelle8[[#This Row],[company_id]]),0)</f>
        <v>8</v>
      </c>
      <c r="H35" s="53">
        <f>IFERROR((Tabelle8[[#This Row],[gov_points_sum]]/(COUNTA(Tabelle6[gov_crit_id])*3))*100,0)</f>
        <v>38.095238095238095</v>
      </c>
    </row>
    <row r="36" spans="1:8" x14ac:dyDescent="0.25">
      <c r="A36">
        <v>35</v>
      </c>
      <c r="B36" t="str">
        <f>_xlfn.XLOOKUP(Tabelle8[[#This Row],[company_id]],'00_DAX_Master'!A:A,'00_DAX_Master'!B:B)</f>
        <v>Siemens Energy</v>
      </c>
      <c r="C36" t="str">
        <f>_xlfn.XLOOKUP(Tabelle8[[#This Row],[company_id]],'00_DAX_Master'!A:A,'00_DAX_Master'!D:D)</f>
        <v>Industrie</v>
      </c>
      <c r="D36">
        <f>IFERROR(SUMIFS(Tabelle18[value_points_company],Tabelle18[company_id],Tabelle8[[#This Row],[company_id]]),0)</f>
        <v>0</v>
      </c>
      <c r="E36">
        <f>COUNTA(Tabelle4[value_id])*3</f>
        <v>54</v>
      </c>
      <c r="F36" s="53">
        <f>IFERROR(Tabelle8[[#This Row],[values_raw_points]]/Tabelle8[[#This Row],[values_max_points]],0)</f>
        <v>0</v>
      </c>
      <c r="G36">
        <f>IFERROR(SUMIFS(Tabelle728[score_0_3],Tabelle728[company_id],Tabelle8[[#This Row],[company_id]]),0)</f>
        <v>0</v>
      </c>
      <c r="H36" s="53">
        <f>IFERROR((Tabelle8[[#This Row],[gov_points_sum]]/(COUNTA(Tabelle6[gov_crit_id])*3))*100,0)</f>
        <v>0</v>
      </c>
    </row>
    <row r="37" spans="1:8" x14ac:dyDescent="0.25">
      <c r="A37">
        <v>36</v>
      </c>
      <c r="B37" t="str">
        <f>_xlfn.XLOOKUP(Tabelle8[[#This Row],[company_id]],'00_DAX_Master'!A:A,'00_DAX_Master'!B:B)</f>
        <v>Siemens Healthineers</v>
      </c>
      <c r="C37" t="str">
        <f>_xlfn.XLOOKUP(Tabelle8[[#This Row],[company_id]],'00_DAX_Master'!A:A,'00_DAX_Master'!D:D)</f>
        <v>Tech</v>
      </c>
      <c r="D37">
        <f>IFERROR(SUMIFS(Tabelle18[value_points_company],Tabelle18[company_id],Tabelle8[[#This Row],[company_id]]),0)</f>
        <v>26</v>
      </c>
      <c r="E37">
        <f>COUNTA(Tabelle4[value_id])*3</f>
        <v>54</v>
      </c>
      <c r="F37" s="53">
        <f>IFERROR(Tabelle8[[#This Row],[values_raw_points]]/Tabelle8[[#This Row],[values_max_points]],0)</f>
        <v>0.48148148148148145</v>
      </c>
      <c r="G37">
        <f>IFERROR(SUMIFS(Tabelle728[score_0_3],Tabelle728[company_id],Tabelle8[[#This Row],[company_id]]),0)</f>
        <v>5</v>
      </c>
      <c r="H37" s="53">
        <f>IFERROR((Tabelle8[[#This Row],[gov_points_sum]]/(COUNTA(Tabelle6[gov_crit_id])*3))*100,0)</f>
        <v>23.809523809523807</v>
      </c>
    </row>
    <row r="38" spans="1:8" x14ac:dyDescent="0.25">
      <c r="A38">
        <v>37</v>
      </c>
      <c r="B38" t="str">
        <f>_xlfn.XLOOKUP(Tabelle8[[#This Row],[company_id]],'00_DAX_Master'!A:A,'00_DAX_Master'!B:B)</f>
        <v>Symrise</v>
      </c>
      <c r="C38" t="str">
        <f>_xlfn.XLOOKUP(Tabelle8[[#This Row],[company_id]],'00_DAX_Master'!A:A,'00_DAX_Master'!D:D)</f>
        <v>Consumer</v>
      </c>
      <c r="D38">
        <f>IFERROR(SUMIFS(Tabelle18[value_points_company],Tabelle18[company_id],Tabelle8[[#This Row],[company_id]]),0)</f>
        <v>0</v>
      </c>
      <c r="E38">
        <f>COUNTA(Tabelle4[value_id])*3</f>
        <v>54</v>
      </c>
      <c r="F38" s="53">
        <f>IFERROR(Tabelle8[[#This Row],[values_raw_points]]/Tabelle8[[#This Row],[values_max_points]],0)</f>
        <v>0</v>
      </c>
      <c r="G38">
        <f>IFERROR(SUMIFS(Tabelle728[score_0_3],Tabelle728[company_id],Tabelle8[[#This Row],[company_id]]),0)</f>
        <v>0</v>
      </c>
      <c r="H38" s="53">
        <f>IFERROR((Tabelle8[[#This Row],[gov_points_sum]]/(COUNTA(Tabelle6[gov_crit_id])*3))*100,0)</f>
        <v>0</v>
      </c>
    </row>
    <row r="39" spans="1:8" x14ac:dyDescent="0.25">
      <c r="A39">
        <v>38</v>
      </c>
      <c r="B39" t="str">
        <f>_xlfn.XLOOKUP(Tabelle8[[#This Row],[company_id]],'00_DAX_Master'!A:A,'00_DAX_Master'!B:B)</f>
        <v>Volkswagen</v>
      </c>
      <c r="C39" t="str">
        <f>_xlfn.XLOOKUP(Tabelle8[[#This Row],[company_id]],'00_DAX_Master'!A:A,'00_DAX_Master'!D:D)</f>
        <v>Industrie</v>
      </c>
      <c r="D39">
        <f>IFERROR(SUMIFS(Tabelle18[value_points_company],Tabelle18[company_id],Tabelle8[[#This Row],[company_id]]),0)</f>
        <v>10</v>
      </c>
      <c r="E39">
        <f>COUNTA(Tabelle4[value_id])*3</f>
        <v>54</v>
      </c>
      <c r="F39" s="53">
        <f>IFERROR(Tabelle8[[#This Row],[values_raw_points]]/Tabelle8[[#This Row],[values_max_points]],0)</f>
        <v>0.18518518518518517</v>
      </c>
      <c r="G39">
        <f>IFERROR(SUMIFS(Tabelle728[score_0_3],Tabelle728[company_id],Tabelle8[[#This Row],[company_id]]),0)</f>
        <v>0</v>
      </c>
      <c r="H39" s="53">
        <f>IFERROR((Tabelle8[[#This Row],[gov_points_sum]]/(COUNTA(Tabelle6[gov_crit_id])*3))*100,0)</f>
        <v>0</v>
      </c>
    </row>
    <row r="40" spans="1:8" x14ac:dyDescent="0.25">
      <c r="A40">
        <v>39</v>
      </c>
      <c r="B40" t="str">
        <f>_xlfn.XLOOKUP(Tabelle8[[#This Row],[company_id]],'00_DAX_Master'!A:A,'00_DAX_Master'!B:B)</f>
        <v>Vonovia</v>
      </c>
      <c r="C40" t="str">
        <f>_xlfn.XLOOKUP(Tabelle8[[#This Row],[company_id]],'00_DAX_Master'!A:A,'00_DAX_Master'!D:D)</f>
        <v>Consumer</v>
      </c>
      <c r="D40">
        <f>IFERROR(SUMIFS(Tabelle18[value_points_company],Tabelle18[company_id],Tabelle8[[#This Row],[company_id]]),0)</f>
        <v>0</v>
      </c>
      <c r="E40">
        <f>COUNTA(Tabelle4[value_id])*3</f>
        <v>54</v>
      </c>
      <c r="F40" s="53">
        <f>IFERROR(Tabelle8[[#This Row],[values_raw_points]]/Tabelle8[[#This Row],[values_max_points]],0)</f>
        <v>0</v>
      </c>
      <c r="G40">
        <f>IFERROR(SUMIFS(Tabelle728[score_0_3],Tabelle728[company_id],Tabelle8[[#This Row],[company_id]]),0)</f>
        <v>0</v>
      </c>
      <c r="H40" s="53">
        <f>IFERROR((Tabelle8[[#This Row],[gov_points_sum]]/(COUNTA(Tabelle6[gov_crit_id])*3))*100,0)</f>
        <v>0</v>
      </c>
    </row>
    <row r="41" spans="1:8" x14ac:dyDescent="0.25">
      <c r="A41">
        <v>40</v>
      </c>
      <c r="B41" t="str">
        <f>_xlfn.XLOOKUP(Tabelle8[[#This Row],[company_id]],'00_DAX_Master'!A:A,'00_DAX_Master'!B:B)</f>
        <v>Zalando</v>
      </c>
      <c r="C41" t="str">
        <f>_xlfn.XLOOKUP(Tabelle8[[#This Row],[company_id]],'00_DAX_Master'!A:A,'00_DAX_Master'!D:D)</f>
        <v>Consumer</v>
      </c>
      <c r="D41">
        <f>IFERROR(SUMIFS(Tabelle18[value_points_company],Tabelle18[company_id],Tabelle8[[#This Row],[company_id]]),0)</f>
        <v>32</v>
      </c>
      <c r="E41">
        <f>COUNTA(Tabelle4[value_id])*3</f>
        <v>54</v>
      </c>
      <c r="F41" s="53">
        <f>IFERROR(Tabelle8[[#This Row],[values_raw_points]]/Tabelle8[[#This Row],[values_max_points]],0)</f>
        <v>0.59259259259259256</v>
      </c>
      <c r="G41">
        <f>IFERROR(SUMIFS(Tabelle728[score_0_3],Tabelle728[company_id],Tabelle8[[#This Row],[company_id]]),0)</f>
        <v>10</v>
      </c>
      <c r="H41" s="53">
        <f>IFERROR((Tabelle8[[#This Row],[gov_points_sum]]/(COUNTA(Tabelle6[gov_crit_id])*3))*100,0)</f>
        <v>47.619047619047613</v>
      </c>
    </row>
  </sheetData>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32BE0-079B-466F-9C8D-683E4F4FD2FD}">
  <sheetPr>
    <tabColor rgb="FF7030A0"/>
  </sheetPr>
  <dimension ref="A1:AW4061"/>
  <sheetViews>
    <sheetView topLeftCell="W49" workbookViewId="0">
      <selection activeCell="AR1" sqref="AR1:AW781"/>
    </sheetView>
  </sheetViews>
  <sheetFormatPr baseColWidth="10" defaultRowHeight="15" x14ac:dyDescent="0.25"/>
  <cols>
    <col min="1" max="1" width="15.140625" style="57" customWidth="1"/>
    <col min="2" max="10" width="6.5703125" bestFit="1" customWidth="1"/>
    <col min="11" max="41" width="7.5703125" bestFit="1" customWidth="1"/>
    <col min="44" max="45" width="12.7109375" customWidth="1"/>
    <col min="46" max="46" width="19" customWidth="1"/>
    <col min="47" max="47" width="18.28515625" customWidth="1"/>
    <col min="48" max="48" width="17.85546875" customWidth="1"/>
    <col min="49" max="49" width="12.5703125" customWidth="1"/>
  </cols>
  <sheetData>
    <row r="1" spans="1:49" s="60" customFormat="1" x14ac:dyDescent="0.25">
      <c r="A1" s="61" t="s">
        <v>0</v>
      </c>
      <c r="B1" s="60" t="s">
        <v>6354</v>
      </c>
      <c r="C1" s="60" t="s">
        <v>6355</v>
      </c>
      <c r="D1" s="60" t="s">
        <v>6356</v>
      </c>
      <c r="E1" s="60" t="s">
        <v>6357</v>
      </c>
      <c r="F1" s="60" t="s">
        <v>6358</v>
      </c>
      <c r="G1" s="60" t="s">
        <v>6359</v>
      </c>
      <c r="H1" s="60" t="s">
        <v>6360</v>
      </c>
      <c r="I1" s="60" t="s">
        <v>6361</v>
      </c>
      <c r="J1" s="60" t="s">
        <v>6362</v>
      </c>
      <c r="K1" s="60" t="s">
        <v>6363</v>
      </c>
      <c r="L1" s="60" t="s">
        <v>6364</v>
      </c>
      <c r="M1" s="60" t="s">
        <v>6365</v>
      </c>
      <c r="N1" s="60" t="s">
        <v>6366</v>
      </c>
      <c r="O1" s="60" t="s">
        <v>6367</v>
      </c>
      <c r="P1" s="60" t="s">
        <v>6368</v>
      </c>
      <c r="Q1" s="60" t="s">
        <v>6369</v>
      </c>
      <c r="R1" s="60" t="s">
        <v>6370</v>
      </c>
      <c r="S1" s="60" t="s">
        <v>6371</v>
      </c>
      <c r="T1" s="60" t="s">
        <v>6372</v>
      </c>
      <c r="U1" s="60" t="s">
        <v>6373</v>
      </c>
      <c r="V1" s="60" t="s">
        <v>6374</v>
      </c>
      <c r="W1" s="60" t="s">
        <v>6375</v>
      </c>
      <c r="X1" s="60" t="s">
        <v>6376</v>
      </c>
      <c r="Y1" s="60" t="s">
        <v>6377</v>
      </c>
      <c r="Z1" s="60" t="s">
        <v>6378</v>
      </c>
      <c r="AA1" s="60" t="s">
        <v>6379</v>
      </c>
      <c r="AB1" s="60" t="s">
        <v>6380</v>
      </c>
      <c r="AC1" s="60" t="s">
        <v>6381</v>
      </c>
      <c r="AD1" s="60" t="s">
        <v>6382</v>
      </c>
      <c r="AE1" s="60" t="s">
        <v>6383</v>
      </c>
      <c r="AF1" s="60" t="s">
        <v>6384</v>
      </c>
      <c r="AG1" s="60" t="s">
        <v>6385</v>
      </c>
      <c r="AH1" s="60" t="s">
        <v>6386</v>
      </c>
      <c r="AI1" s="60" t="s">
        <v>6387</v>
      </c>
      <c r="AJ1" s="60" t="s">
        <v>6388</v>
      </c>
      <c r="AK1" s="60" t="s">
        <v>6389</v>
      </c>
      <c r="AL1" s="60" t="s">
        <v>6390</v>
      </c>
      <c r="AM1" s="60" t="s">
        <v>6391</v>
      </c>
      <c r="AN1" s="60" t="s">
        <v>6392</v>
      </c>
      <c r="AO1" s="60" t="s">
        <v>6393</v>
      </c>
      <c r="AR1" s="60" t="s">
        <v>6398</v>
      </c>
      <c r="AS1" s="60" t="s">
        <v>6399</v>
      </c>
      <c r="AT1" s="60" t="s">
        <v>6400</v>
      </c>
      <c r="AU1" s="60" t="s">
        <v>6401</v>
      </c>
      <c r="AV1" s="60" t="s">
        <v>6402</v>
      </c>
      <c r="AW1" s="60" t="s">
        <v>6403</v>
      </c>
    </row>
    <row r="2" spans="1:49" x14ac:dyDescent="0.25">
      <c r="A2" s="58">
        <v>1</v>
      </c>
      <c r="B2" s="63">
        <v>1</v>
      </c>
      <c r="C2" s="62">
        <v>0</v>
      </c>
      <c r="D2" s="62">
        <v>0</v>
      </c>
      <c r="E2" s="62">
        <v>0</v>
      </c>
      <c r="F2" s="62">
        <v>0</v>
      </c>
      <c r="G2" s="62">
        <v>0</v>
      </c>
      <c r="H2" s="62">
        <v>0</v>
      </c>
      <c r="I2" s="62">
        <v>0</v>
      </c>
      <c r="J2" s="62">
        <v>0</v>
      </c>
      <c r="K2" s="62">
        <v>0</v>
      </c>
      <c r="L2" s="62">
        <v>0</v>
      </c>
      <c r="M2" s="62">
        <v>0</v>
      </c>
      <c r="N2" s="62">
        <v>0</v>
      </c>
      <c r="O2" s="62">
        <v>0</v>
      </c>
      <c r="P2" s="62">
        <v>0</v>
      </c>
      <c r="Q2" s="62">
        <v>0</v>
      </c>
      <c r="R2" s="62">
        <v>0</v>
      </c>
      <c r="S2" s="62">
        <v>0</v>
      </c>
      <c r="T2" s="62">
        <v>0</v>
      </c>
      <c r="U2" s="62">
        <v>0</v>
      </c>
      <c r="V2" s="62">
        <v>0</v>
      </c>
      <c r="W2" s="62">
        <v>0</v>
      </c>
      <c r="X2" s="62">
        <v>0</v>
      </c>
      <c r="Y2" s="62">
        <v>0</v>
      </c>
      <c r="Z2" s="62">
        <v>0</v>
      </c>
      <c r="AA2" s="62">
        <v>0</v>
      </c>
      <c r="AB2" s="62">
        <v>0</v>
      </c>
      <c r="AC2" s="62">
        <v>0</v>
      </c>
      <c r="AD2" s="62">
        <v>0</v>
      </c>
      <c r="AE2" s="62">
        <v>0</v>
      </c>
      <c r="AF2" s="62">
        <v>0</v>
      </c>
      <c r="AG2" s="62">
        <v>0</v>
      </c>
      <c r="AH2" s="62">
        <v>0</v>
      </c>
      <c r="AI2" s="62">
        <v>0</v>
      </c>
      <c r="AJ2" s="62">
        <v>0</v>
      </c>
      <c r="AK2" s="62">
        <v>0</v>
      </c>
      <c r="AL2" s="62">
        <v>0</v>
      </c>
      <c r="AM2" s="62">
        <v>0</v>
      </c>
      <c r="AN2" s="62">
        <v>0</v>
      </c>
      <c r="AO2" s="62">
        <v>0</v>
      </c>
      <c r="AR2" t="s">
        <v>303</v>
      </c>
      <c r="AS2" t="s">
        <v>306</v>
      </c>
      <c r="AT2">
        <v>0</v>
      </c>
      <c r="AU2">
        <v>1</v>
      </c>
      <c r="AV2">
        <v>0</v>
      </c>
      <c r="AW2">
        <v>13</v>
      </c>
    </row>
    <row r="3" spans="1:49" x14ac:dyDescent="0.25">
      <c r="A3" s="58">
        <v>2</v>
      </c>
      <c r="B3" s="62">
        <v>0</v>
      </c>
      <c r="C3" s="62">
        <v>1</v>
      </c>
      <c r="D3" s="62">
        <v>0.8125</v>
      </c>
      <c r="E3" s="62">
        <v>0.6875</v>
      </c>
      <c r="F3" s="62">
        <v>0.64705900000000005</v>
      </c>
      <c r="G3" s="62">
        <v>0.466667</v>
      </c>
      <c r="H3" s="62">
        <v>0.75</v>
      </c>
      <c r="I3" s="62">
        <v>0</v>
      </c>
      <c r="J3" s="62">
        <v>0.6875</v>
      </c>
      <c r="K3" s="62">
        <v>0.61538499999999996</v>
      </c>
      <c r="L3" s="62">
        <v>0.35714299999999999</v>
      </c>
      <c r="M3" s="62">
        <v>0.58823499999999995</v>
      </c>
      <c r="N3" s="62">
        <v>0.35714299999999999</v>
      </c>
      <c r="O3" s="62">
        <v>0</v>
      </c>
      <c r="P3" s="62">
        <v>0.72222200000000003</v>
      </c>
      <c r="Q3" s="62">
        <v>0</v>
      </c>
      <c r="R3" s="62">
        <v>0.66666700000000001</v>
      </c>
      <c r="S3" s="62">
        <v>0</v>
      </c>
      <c r="T3" s="62">
        <v>0.625</v>
      </c>
      <c r="U3" s="62">
        <v>0.28571400000000002</v>
      </c>
      <c r="V3" s="62">
        <v>0</v>
      </c>
      <c r="W3" s="62">
        <v>0.461538</v>
      </c>
      <c r="X3" s="62">
        <v>0.85714299999999999</v>
      </c>
      <c r="Y3" s="62">
        <v>0.66666700000000001</v>
      </c>
      <c r="Z3" s="62">
        <v>0.8125</v>
      </c>
      <c r="AA3" s="62">
        <v>0</v>
      </c>
      <c r="AB3" s="62">
        <v>0.5</v>
      </c>
      <c r="AC3" s="62">
        <v>0</v>
      </c>
      <c r="AD3" s="62">
        <v>0</v>
      </c>
      <c r="AE3" s="62">
        <v>0</v>
      </c>
      <c r="AF3" s="62">
        <v>0.8</v>
      </c>
      <c r="AG3" s="62">
        <v>0.764706</v>
      </c>
      <c r="AH3" s="62">
        <v>0</v>
      </c>
      <c r="AI3" s="62">
        <v>0.75</v>
      </c>
      <c r="AJ3" s="62">
        <v>0</v>
      </c>
      <c r="AK3" s="62">
        <v>0.5625</v>
      </c>
      <c r="AL3" s="62">
        <v>0</v>
      </c>
      <c r="AM3" s="62">
        <v>0.769231</v>
      </c>
      <c r="AN3" s="62">
        <v>0</v>
      </c>
      <c r="AO3" s="62">
        <v>0.71428599999999998</v>
      </c>
      <c r="AR3" t="s">
        <v>303</v>
      </c>
      <c r="AS3" t="s">
        <v>311</v>
      </c>
      <c r="AT3">
        <v>0</v>
      </c>
      <c r="AU3">
        <v>1</v>
      </c>
      <c r="AV3">
        <v>0</v>
      </c>
      <c r="AW3">
        <v>16</v>
      </c>
    </row>
    <row r="4" spans="1:49" x14ac:dyDescent="0.25">
      <c r="A4" s="58">
        <v>3</v>
      </c>
      <c r="B4" s="62">
        <v>0</v>
      </c>
      <c r="C4" s="62">
        <v>0.8125</v>
      </c>
      <c r="D4" s="62">
        <v>1</v>
      </c>
      <c r="E4" s="62">
        <v>0.875</v>
      </c>
      <c r="F4" s="62">
        <v>0.82352899999999996</v>
      </c>
      <c r="G4" s="62">
        <v>0.5625</v>
      </c>
      <c r="H4" s="62">
        <v>0.82352899999999996</v>
      </c>
      <c r="I4" s="62">
        <v>0</v>
      </c>
      <c r="J4" s="62">
        <v>0.764706</v>
      </c>
      <c r="K4" s="62">
        <v>0.5</v>
      </c>
      <c r="L4" s="62">
        <v>0.375</v>
      </c>
      <c r="M4" s="62">
        <v>0.764706</v>
      </c>
      <c r="N4" s="62">
        <v>0.375</v>
      </c>
      <c r="O4" s="62">
        <v>0</v>
      </c>
      <c r="P4" s="62">
        <v>0.88888900000000004</v>
      </c>
      <c r="Q4" s="62">
        <v>0</v>
      </c>
      <c r="R4" s="62">
        <v>0.83333299999999999</v>
      </c>
      <c r="S4" s="62">
        <v>0</v>
      </c>
      <c r="T4" s="62">
        <v>0.70588200000000001</v>
      </c>
      <c r="U4" s="62">
        <v>0.3125</v>
      </c>
      <c r="V4" s="62">
        <v>0</v>
      </c>
      <c r="W4" s="62">
        <v>0.375</v>
      </c>
      <c r="X4" s="62">
        <v>0.8125</v>
      </c>
      <c r="Y4" s="62">
        <v>0.75</v>
      </c>
      <c r="Z4" s="62">
        <v>1</v>
      </c>
      <c r="AA4" s="62">
        <v>0</v>
      </c>
      <c r="AB4" s="62">
        <v>0.5</v>
      </c>
      <c r="AC4" s="62">
        <v>0</v>
      </c>
      <c r="AD4" s="62">
        <v>0</v>
      </c>
      <c r="AE4" s="62">
        <v>0</v>
      </c>
      <c r="AF4" s="62">
        <v>0.875</v>
      </c>
      <c r="AG4" s="62">
        <v>0.94117600000000001</v>
      </c>
      <c r="AH4" s="62">
        <v>0</v>
      </c>
      <c r="AI4" s="62">
        <v>0.9375</v>
      </c>
      <c r="AJ4" s="62">
        <v>0</v>
      </c>
      <c r="AK4" s="62">
        <v>0.75</v>
      </c>
      <c r="AL4" s="62">
        <v>0</v>
      </c>
      <c r="AM4" s="62">
        <v>0.625</v>
      </c>
      <c r="AN4" s="62">
        <v>0</v>
      </c>
      <c r="AO4" s="62">
        <v>0.6875</v>
      </c>
      <c r="AR4" t="s">
        <v>303</v>
      </c>
      <c r="AS4" t="s">
        <v>315</v>
      </c>
      <c r="AT4">
        <v>0</v>
      </c>
      <c r="AU4">
        <v>1</v>
      </c>
      <c r="AV4">
        <v>0</v>
      </c>
      <c r="AW4">
        <v>14</v>
      </c>
    </row>
    <row r="5" spans="1:49" x14ac:dyDescent="0.25">
      <c r="A5" s="58">
        <v>4</v>
      </c>
      <c r="B5" s="62">
        <v>0</v>
      </c>
      <c r="C5" s="62">
        <v>0.6875</v>
      </c>
      <c r="D5" s="62">
        <v>0.875</v>
      </c>
      <c r="E5" s="62">
        <v>1</v>
      </c>
      <c r="F5" s="62">
        <v>0.8125</v>
      </c>
      <c r="G5" s="62">
        <v>0.53333299999999995</v>
      </c>
      <c r="H5" s="62">
        <v>0.70588200000000001</v>
      </c>
      <c r="I5" s="62">
        <v>0</v>
      </c>
      <c r="J5" s="62">
        <v>0.75</v>
      </c>
      <c r="K5" s="62">
        <v>0.466667</v>
      </c>
      <c r="L5" s="62">
        <v>0.33333299999999999</v>
      </c>
      <c r="M5" s="62">
        <v>0.75</v>
      </c>
      <c r="N5" s="62">
        <v>0.33333299999999999</v>
      </c>
      <c r="O5" s="62">
        <v>0</v>
      </c>
      <c r="P5" s="62">
        <v>0.77777799999999997</v>
      </c>
      <c r="Q5" s="62">
        <v>0</v>
      </c>
      <c r="R5" s="62">
        <v>0.82352899999999996</v>
      </c>
      <c r="S5" s="62">
        <v>0</v>
      </c>
      <c r="T5" s="62">
        <v>0.6875</v>
      </c>
      <c r="U5" s="62">
        <v>0.35714299999999999</v>
      </c>
      <c r="V5" s="62">
        <v>0</v>
      </c>
      <c r="W5" s="62">
        <v>0.42857099999999998</v>
      </c>
      <c r="X5" s="62">
        <v>0.6875</v>
      </c>
      <c r="Y5" s="62">
        <v>0.73333300000000001</v>
      </c>
      <c r="Z5" s="62">
        <v>0.875</v>
      </c>
      <c r="AA5" s="62">
        <v>0</v>
      </c>
      <c r="AB5" s="62">
        <v>0.466667</v>
      </c>
      <c r="AC5" s="62">
        <v>0</v>
      </c>
      <c r="AD5" s="62">
        <v>0</v>
      </c>
      <c r="AE5" s="62">
        <v>0</v>
      </c>
      <c r="AF5" s="62">
        <v>0.75</v>
      </c>
      <c r="AG5" s="62">
        <v>0.82352899999999996</v>
      </c>
      <c r="AH5" s="62">
        <v>0</v>
      </c>
      <c r="AI5" s="62">
        <v>0.8125</v>
      </c>
      <c r="AJ5" s="62">
        <v>0</v>
      </c>
      <c r="AK5" s="62">
        <v>0.85714299999999999</v>
      </c>
      <c r="AL5" s="62">
        <v>0</v>
      </c>
      <c r="AM5" s="62">
        <v>0.6</v>
      </c>
      <c r="AN5" s="62">
        <v>0</v>
      </c>
      <c r="AO5" s="62">
        <v>0.66666700000000001</v>
      </c>
      <c r="AR5" t="s">
        <v>303</v>
      </c>
      <c r="AS5" t="s">
        <v>318</v>
      </c>
      <c r="AT5">
        <v>0</v>
      </c>
      <c r="AU5">
        <v>1</v>
      </c>
      <c r="AV5">
        <v>0</v>
      </c>
      <c r="AW5">
        <v>15</v>
      </c>
    </row>
    <row r="6" spans="1:49" x14ac:dyDescent="0.25">
      <c r="A6" s="58">
        <v>5</v>
      </c>
      <c r="B6" s="62">
        <v>0</v>
      </c>
      <c r="C6" s="62">
        <v>0.64705900000000005</v>
      </c>
      <c r="D6" s="62">
        <v>0.82352899999999996</v>
      </c>
      <c r="E6" s="62">
        <v>0.8125</v>
      </c>
      <c r="F6" s="62">
        <v>1</v>
      </c>
      <c r="G6" s="62">
        <v>0.6</v>
      </c>
      <c r="H6" s="62">
        <v>0.764706</v>
      </c>
      <c r="I6" s="62">
        <v>0</v>
      </c>
      <c r="J6" s="62">
        <v>0.70588200000000001</v>
      </c>
      <c r="K6" s="62">
        <v>0.4375</v>
      </c>
      <c r="L6" s="62">
        <v>0.3125</v>
      </c>
      <c r="M6" s="62">
        <v>0.8125</v>
      </c>
      <c r="N6" s="62">
        <v>0.3125</v>
      </c>
      <c r="O6" s="62">
        <v>0</v>
      </c>
      <c r="P6" s="62">
        <v>0.83333299999999999</v>
      </c>
      <c r="Q6" s="62">
        <v>0</v>
      </c>
      <c r="R6" s="62">
        <v>0.77777799999999997</v>
      </c>
      <c r="S6" s="62">
        <v>0</v>
      </c>
      <c r="T6" s="62">
        <v>0.86666699999999997</v>
      </c>
      <c r="U6" s="62">
        <v>0.33333299999999999</v>
      </c>
      <c r="V6" s="62">
        <v>0</v>
      </c>
      <c r="W6" s="62">
        <v>0.4</v>
      </c>
      <c r="X6" s="62">
        <v>0.64705900000000005</v>
      </c>
      <c r="Y6" s="62">
        <v>0.6875</v>
      </c>
      <c r="Z6" s="62">
        <v>0.82352899999999996</v>
      </c>
      <c r="AA6" s="62">
        <v>0</v>
      </c>
      <c r="AB6" s="62">
        <v>0.352941</v>
      </c>
      <c r="AC6" s="62">
        <v>0</v>
      </c>
      <c r="AD6" s="62">
        <v>0</v>
      </c>
      <c r="AE6" s="62">
        <v>0</v>
      </c>
      <c r="AF6" s="62">
        <v>0.70588200000000001</v>
      </c>
      <c r="AG6" s="62">
        <v>0.77777799999999997</v>
      </c>
      <c r="AH6" s="62">
        <v>0</v>
      </c>
      <c r="AI6" s="62">
        <v>0.875</v>
      </c>
      <c r="AJ6" s="62">
        <v>0</v>
      </c>
      <c r="AK6" s="62">
        <v>0.8</v>
      </c>
      <c r="AL6" s="62">
        <v>0</v>
      </c>
      <c r="AM6" s="62">
        <v>0.5625</v>
      </c>
      <c r="AN6" s="62">
        <v>0</v>
      </c>
      <c r="AO6" s="62">
        <v>0.625</v>
      </c>
      <c r="AR6" t="s">
        <v>303</v>
      </c>
      <c r="AS6" t="s">
        <v>321</v>
      </c>
      <c r="AT6">
        <v>0</v>
      </c>
      <c r="AU6">
        <v>1</v>
      </c>
      <c r="AV6">
        <v>0</v>
      </c>
      <c r="AW6">
        <v>9</v>
      </c>
    </row>
    <row r="7" spans="1:49" x14ac:dyDescent="0.25">
      <c r="A7" s="58">
        <v>6</v>
      </c>
      <c r="B7" s="62">
        <v>0</v>
      </c>
      <c r="C7" s="62">
        <v>0.466667</v>
      </c>
      <c r="D7" s="62">
        <v>0.5625</v>
      </c>
      <c r="E7" s="62">
        <v>0.53333299999999995</v>
      </c>
      <c r="F7" s="62">
        <v>0.6</v>
      </c>
      <c r="G7" s="62">
        <v>1</v>
      </c>
      <c r="H7" s="62">
        <v>0.5</v>
      </c>
      <c r="I7" s="62">
        <v>0</v>
      </c>
      <c r="J7" s="62">
        <v>0.4375</v>
      </c>
      <c r="K7" s="62">
        <v>0.30769200000000002</v>
      </c>
      <c r="L7" s="62">
        <v>0.5</v>
      </c>
      <c r="M7" s="62">
        <v>0.4375</v>
      </c>
      <c r="N7" s="62">
        <v>0.36363600000000001</v>
      </c>
      <c r="O7" s="62">
        <v>0</v>
      </c>
      <c r="P7" s="62">
        <v>0.5</v>
      </c>
      <c r="Q7" s="62">
        <v>0</v>
      </c>
      <c r="R7" s="62">
        <v>0.44444400000000001</v>
      </c>
      <c r="S7" s="62">
        <v>0</v>
      </c>
      <c r="T7" s="62">
        <v>0.466667</v>
      </c>
      <c r="U7" s="62">
        <v>0.4</v>
      </c>
      <c r="V7" s="62">
        <v>0</v>
      </c>
      <c r="W7" s="62">
        <v>0.25</v>
      </c>
      <c r="X7" s="62">
        <v>0.466667</v>
      </c>
      <c r="Y7" s="62">
        <v>0.61538499999999996</v>
      </c>
      <c r="Z7" s="62">
        <v>0.5625</v>
      </c>
      <c r="AA7" s="62">
        <v>0</v>
      </c>
      <c r="AB7" s="62">
        <v>0.41666700000000001</v>
      </c>
      <c r="AC7" s="62">
        <v>0</v>
      </c>
      <c r="AD7" s="62">
        <v>0</v>
      </c>
      <c r="AE7" s="62">
        <v>0</v>
      </c>
      <c r="AF7" s="62">
        <v>0.64285700000000001</v>
      </c>
      <c r="AG7" s="62">
        <v>0.52941199999999999</v>
      </c>
      <c r="AH7" s="62">
        <v>0</v>
      </c>
      <c r="AI7" s="62">
        <v>0.6</v>
      </c>
      <c r="AJ7" s="62">
        <v>0</v>
      </c>
      <c r="AK7" s="62">
        <v>0.5</v>
      </c>
      <c r="AL7" s="62">
        <v>0</v>
      </c>
      <c r="AM7" s="62">
        <v>0.461538</v>
      </c>
      <c r="AN7" s="62">
        <v>0</v>
      </c>
      <c r="AO7" s="62">
        <v>0.42857099999999998</v>
      </c>
      <c r="AR7" t="s">
        <v>303</v>
      </c>
      <c r="AS7" t="s">
        <v>325</v>
      </c>
      <c r="AT7">
        <v>0</v>
      </c>
      <c r="AU7">
        <v>1</v>
      </c>
      <c r="AV7">
        <v>0</v>
      </c>
      <c r="AW7">
        <v>15</v>
      </c>
    </row>
    <row r="8" spans="1:49" x14ac:dyDescent="0.25">
      <c r="A8" s="58">
        <v>7</v>
      </c>
      <c r="B8" s="62">
        <v>0</v>
      </c>
      <c r="C8" s="62">
        <v>0.75</v>
      </c>
      <c r="D8" s="62">
        <v>0.82352899999999996</v>
      </c>
      <c r="E8" s="62">
        <v>0.70588200000000001</v>
      </c>
      <c r="F8" s="62">
        <v>0.764706</v>
      </c>
      <c r="G8" s="62">
        <v>0.5</v>
      </c>
      <c r="H8" s="62">
        <v>1</v>
      </c>
      <c r="I8" s="62">
        <v>0</v>
      </c>
      <c r="J8" s="62">
        <v>0.8125</v>
      </c>
      <c r="K8" s="62">
        <v>0.4375</v>
      </c>
      <c r="L8" s="62">
        <v>0.3125</v>
      </c>
      <c r="M8" s="62">
        <v>0.70588200000000001</v>
      </c>
      <c r="N8" s="62">
        <v>0.4</v>
      </c>
      <c r="O8" s="62">
        <v>0</v>
      </c>
      <c r="P8" s="62">
        <v>0.83333299999999999</v>
      </c>
      <c r="Q8" s="62">
        <v>0</v>
      </c>
      <c r="R8" s="62">
        <v>0.77777799999999997</v>
      </c>
      <c r="S8" s="62">
        <v>0</v>
      </c>
      <c r="T8" s="62">
        <v>0.64705900000000005</v>
      </c>
      <c r="U8" s="62">
        <v>0.25</v>
      </c>
      <c r="V8" s="62">
        <v>0</v>
      </c>
      <c r="W8" s="62">
        <v>0.3125</v>
      </c>
      <c r="X8" s="62">
        <v>0.75</v>
      </c>
      <c r="Y8" s="62">
        <v>0.6875</v>
      </c>
      <c r="Z8" s="62">
        <v>0.82352899999999996</v>
      </c>
      <c r="AA8" s="62">
        <v>0</v>
      </c>
      <c r="AB8" s="62">
        <v>0.4375</v>
      </c>
      <c r="AC8" s="62">
        <v>0</v>
      </c>
      <c r="AD8" s="62">
        <v>0</v>
      </c>
      <c r="AE8" s="62">
        <v>0</v>
      </c>
      <c r="AF8" s="62">
        <v>0.8125</v>
      </c>
      <c r="AG8" s="62">
        <v>0.77777799999999997</v>
      </c>
      <c r="AH8" s="62">
        <v>0</v>
      </c>
      <c r="AI8" s="62">
        <v>0.764706</v>
      </c>
      <c r="AJ8" s="62">
        <v>0</v>
      </c>
      <c r="AK8" s="62">
        <v>0.58823499999999995</v>
      </c>
      <c r="AL8" s="62">
        <v>0</v>
      </c>
      <c r="AM8" s="62">
        <v>0.5625</v>
      </c>
      <c r="AN8" s="62">
        <v>0</v>
      </c>
      <c r="AO8" s="62">
        <v>0.625</v>
      </c>
      <c r="AR8" t="s">
        <v>303</v>
      </c>
      <c r="AS8" t="s">
        <v>327</v>
      </c>
      <c r="AV8">
        <v>0</v>
      </c>
      <c r="AW8">
        <v>0</v>
      </c>
    </row>
    <row r="9" spans="1:49" x14ac:dyDescent="0.25">
      <c r="A9" s="58">
        <v>8</v>
      </c>
      <c r="B9" s="62">
        <v>0</v>
      </c>
      <c r="C9" s="62">
        <v>0</v>
      </c>
      <c r="D9" s="62">
        <v>0</v>
      </c>
      <c r="E9" s="62">
        <v>0</v>
      </c>
      <c r="F9" s="62">
        <v>0</v>
      </c>
      <c r="G9" s="62">
        <v>0</v>
      </c>
      <c r="H9" s="62">
        <v>0</v>
      </c>
      <c r="I9" s="62">
        <v>1</v>
      </c>
      <c r="J9" s="62">
        <v>0</v>
      </c>
      <c r="K9" s="62">
        <v>0</v>
      </c>
      <c r="L9" s="62">
        <v>0</v>
      </c>
      <c r="M9" s="62">
        <v>0</v>
      </c>
      <c r="N9" s="62">
        <v>0</v>
      </c>
      <c r="O9" s="62">
        <v>0</v>
      </c>
      <c r="P9" s="62">
        <v>0</v>
      </c>
      <c r="Q9" s="62">
        <v>0</v>
      </c>
      <c r="R9" s="62">
        <v>0</v>
      </c>
      <c r="S9" s="62">
        <v>0</v>
      </c>
      <c r="T9" s="62">
        <v>0</v>
      </c>
      <c r="U9" s="62">
        <v>0</v>
      </c>
      <c r="V9" s="62">
        <v>0</v>
      </c>
      <c r="W9" s="62">
        <v>0</v>
      </c>
      <c r="X9" s="62">
        <v>0</v>
      </c>
      <c r="Y9" s="62">
        <v>0</v>
      </c>
      <c r="Z9" s="62">
        <v>0</v>
      </c>
      <c r="AA9" s="62">
        <v>0</v>
      </c>
      <c r="AB9" s="62">
        <v>0</v>
      </c>
      <c r="AC9" s="62">
        <v>0</v>
      </c>
      <c r="AD9" s="62">
        <v>0</v>
      </c>
      <c r="AE9" s="62">
        <v>0</v>
      </c>
      <c r="AF9" s="62">
        <v>0</v>
      </c>
      <c r="AG9" s="62">
        <v>0</v>
      </c>
      <c r="AH9" s="62">
        <v>0</v>
      </c>
      <c r="AI9" s="62">
        <v>0</v>
      </c>
      <c r="AJ9" s="62">
        <v>0</v>
      </c>
      <c r="AK9" s="62">
        <v>0</v>
      </c>
      <c r="AL9" s="62">
        <v>0</v>
      </c>
      <c r="AM9" s="62">
        <v>0</v>
      </c>
      <c r="AN9" s="62">
        <v>0</v>
      </c>
      <c r="AO9" s="62">
        <v>0</v>
      </c>
      <c r="AR9" t="s">
        <v>303</v>
      </c>
      <c r="AS9" t="s">
        <v>330</v>
      </c>
      <c r="AT9">
        <v>0</v>
      </c>
      <c r="AU9">
        <v>1</v>
      </c>
      <c r="AV9">
        <v>0</v>
      </c>
      <c r="AW9">
        <v>14</v>
      </c>
    </row>
    <row r="10" spans="1:49" x14ac:dyDescent="0.25">
      <c r="A10" s="58">
        <v>9</v>
      </c>
      <c r="B10" s="62">
        <v>0</v>
      </c>
      <c r="C10" s="62">
        <v>0.6875</v>
      </c>
      <c r="D10" s="62">
        <v>0.764706</v>
      </c>
      <c r="E10" s="62">
        <v>0.75</v>
      </c>
      <c r="F10" s="62">
        <v>0.70588200000000001</v>
      </c>
      <c r="G10" s="62">
        <v>0.4375</v>
      </c>
      <c r="H10" s="62">
        <v>0.8125</v>
      </c>
      <c r="I10" s="62">
        <v>0</v>
      </c>
      <c r="J10" s="62">
        <v>1</v>
      </c>
      <c r="K10" s="62">
        <v>0.466667</v>
      </c>
      <c r="L10" s="62">
        <v>0.42857099999999998</v>
      </c>
      <c r="M10" s="62">
        <v>0.86666699999999997</v>
      </c>
      <c r="N10" s="62">
        <v>0.42857099999999998</v>
      </c>
      <c r="O10" s="62">
        <v>0</v>
      </c>
      <c r="P10" s="62">
        <v>0.77777799999999997</v>
      </c>
      <c r="Q10" s="62">
        <v>0</v>
      </c>
      <c r="R10" s="62">
        <v>0.82352899999999996</v>
      </c>
      <c r="S10" s="62">
        <v>0</v>
      </c>
      <c r="T10" s="62">
        <v>0.58823499999999995</v>
      </c>
      <c r="U10" s="62">
        <v>0.35714299999999999</v>
      </c>
      <c r="V10" s="62">
        <v>0</v>
      </c>
      <c r="W10" s="62">
        <v>0.42857099999999998</v>
      </c>
      <c r="X10" s="62">
        <v>0.6875</v>
      </c>
      <c r="Y10" s="62">
        <v>0.73333300000000001</v>
      </c>
      <c r="Z10" s="62">
        <v>0.764706</v>
      </c>
      <c r="AA10" s="62">
        <v>0</v>
      </c>
      <c r="AB10" s="62">
        <v>0.466667</v>
      </c>
      <c r="AC10" s="62">
        <v>0</v>
      </c>
      <c r="AD10" s="62">
        <v>0</v>
      </c>
      <c r="AE10" s="62">
        <v>0</v>
      </c>
      <c r="AF10" s="62">
        <v>0.75</v>
      </c>
      <c r="AG10" s="62">
        <v>0.72222200000000003</v>
      </c>
      <c r="AH10" s="62">
        <v>0</v>
      </c>
      <c r="AI10" s="62">
        <v>0.70588200000000001</v>
      </c>
      <c r="AJ10" s="62">
        <v>0</v>
      </c>
      <c r="AK10" s="62">
        <v>0.625</v>
      </c>
      <c r="AL10" s="62">
        <v>0</v>
      </c>
      <c r="AM10" s="62">
        <v>0.6</v>
      </c>
      <c r="AN10" s="62">
        <v>0</v>
      </c>
      <c r="AO10" s="62">
        <v>0.78571400000000002</v>
      </c>
      <c r="AR10" t="s">
        <v>303</v>
      </c>
      <c r="AS10" t="s">
        <v>334</v>
      </c>
      <c r="AT10">
        <v>0</v>
      </c>
      <c r="AU10">
        <v>1</v>
      </c>
      <c r="AV10">
        <v>0</v>
      </c>
      <c r="AW10">
        <v>8</v>
      </c>
    </row>
    <row r="11" spans="1:49" x14ac:dyDescent="0.25">
      <c r="A11" s="58">
        <v>10</v>
      </c>
      <c r="B11" s="62">
        <v>0</v>
      </c>
      <c r="C11" s="62">
        <v>0.61538499999999996</v>
      </c>
      <c r="D11" s="62">
        <v>0.5</v>
      </c>
      <c r="E11" s="62">
        <v>0.466667</v>
      </c>
      <c r="F11" s="62">
        <v>0.4375</v>
      </c>
      <c r="G11" s="62">
        <v>0.30769200000000002</v>
      </c>
      <c r="H11" s="62">
        <v>0.4375</v>
      </c>
      <c r="I11" s="62">
        <v>0</v>
      </c>
      <c r="J11" s="62">
        <v>0.466667</v>
      </c>
      <c r="K11" s="62">
        <v>1</v>
      </c>
      <c r="L11" s="62">
        <v>0.272727</v>
      </c>
      <c r="M11" s="62">
        <v>0.466667</v>
      </c>
      <c r="N11" s="62">
        <v>0.4</v>
      </c>
      <c r="O11" s="62">
        <v>0</v>
      </c>
      <c r="P11" s="62">
        <v>0.44444400000000001</v>
      </c>
      <c r="Q11" s="62">
        <v>0</v>
      </c>
      <c r="R11" s="62">
        <v>0.47058800000000001</v>
      </c>
      <c r="S11" s="62">
        <v>0</v>
      </c>
      <c r="T11" s="62">
        <v>0.5</v>
      </c>
      <c r="U11" s="62">
        <v>0.3</v>
      </c>
      <c r="V11" s="62">
        <v>0</v>
      </c>
      <c r="W11" s="62">
        <v>0.4</v>
      </c>
      <c r="X11" s="62">
        <v>0.61538499999999996</v>
      </c>
      <c r="Y11" s="62">
        <v>0.538462</v>
      </c>
      <c r="Z11" s="62">
        <v>0.5</v>
      </c>
      <c r="AA11" s="62">
        <v>0</v>
      </c>
      <c r="AB11" s="62">
        <v>0.6</v>
      </c>
      <c r="AC11" s="62">
        <v>0</v>
      </c>
      <c r="AD11" s="62">
        <v>0</v>
      </c>
      <c r="AE11" s="62">
        <v>0</v>
      </c>
      <c r="AF11" s="62">
        <v>0.466667</v>
      </c>
      <c r="AG11" s="62">
        <v>0.47058800000000001</v>
      </c>
      <c r="AH11" s="62">
        <v>0</v>
      </c>
      <c r="AI11" s="62">
        <v>0.53333299999999995</v>
      </c>
      <c r="AJ11" s="62">
        <v>0</v>
      </c>
      <c r="AK11" s="62">
        <v>0.42857099999999998</v>
      </c>
      <c r="AL11" s="62">
        <v>0</v>
      </c>
      <c r="AM11" s="62">
        <v>0.38461499999999998</v>
      </c>
      <c r="AN11" s="62">
        <v>0</v>
      </c>
      <c r="AO11" s="62">
        <v>0.58333299999999999</v>
      </c>
      <c r="AR11" t="s">
        <v>303</v>
      </c>
      <c r="AS11" t="s">
        <v>338</v>
      </c>
      <c r="AT11">
        <v>0</v>
      </c>
      <c r="AU11">
        <v>1</v>
      </c>
      <c r="AV11">
        <v>0</v>
      </c>
      <c r="AW11">
        <v>6</v>
      </c>
    </row>
    <row r="12" spans="1:49" x14ac:dyDescent="0.25">
      <c r="A12" s="58">
        <v>11</v>
      </c>
      <c r="B12" s="62">
        <v>0</v>
      </c>
      <c r="C12" s="62">
        <v>0.35714299999999999</v>
      </c>
      <c r="D12" s="62">
        <v>0.375</v>
      </c>
      <c r="E12" s="62">
        <v>0.33333299999999999</v>
      </c>
      <c r="F12" s="62">
        <v>0.3125</v>
      </c>
      <c r="G12" s="62">
        <v>0.5</v>
      </c>
      <c r="H12" s="62">
        <v>0.3125</v>
      </c>
      <c r="I12" s="62">
        <v>0</v>
      </c>
      <c r="J12" s="62">
        <v>0.42857099999999998</v>
      </c>
      <c r="K12" s="62">
        <v>0.272727</v>
      </c>
      <c r="L12" s="62">
        <v>1</v>
      </c>
      <c r="M12" s="62">
        <v>0.42857099999999998</v>
      </c>
      <c r="N12" s="62">
        <v>0.33333299999999999</v>
      </c>
      <c r="O12" s="62">
        <v>0</v>
      </c>
      <c r="P12" s="62">
        <v>0.33333299999999999</v>
      </c>
      <c r="Q12" s="62">
        <v>0</v>
      </c>
      <c r="R12" s="62">
        <v>0.352941</v>
      </c>
      <c r="S12" s="62">
        <v>0</v>
      </c>
      <c r="T12" s="62">
        <v>0.26666699999999999</v>
      </c>
      <c r="U12" s="62">
        <v>0.375</v>
      </c>
      <c r="V12" s="62">
        <v>0</v>
      </c>
      <c r="W12" s="62">
        <v>0.2</v>
      </c>
      <c r="X12" s="62">
        <v>0.35714299999999999</v>
      </c>
      <c r="Y12" s="62">
        <v>0.5</v>
      </c>
      <c r="Z12" s="62">
        <v>0.375</v>
      </c>
      <c r="AA12" s="62">
        <v>0</v>
      </c>
      <c r="AB12" s="62">
        <v>0.272727</v>
      </c>
      <c r="AC12" s="62">
        <v>0</v>
      </c>
      <c r="AD12" s="62">
        <v>0</v>
      </c>
      <c r="AE12" s="62">
        <v>0</v>
      </c>
      <c r="AF12" s="62">
        <v>0.42857099999999998</v>
      </c>
      <c r="AG12" s="62">
        <v>0.352941</v>
      </c>
      <c r="AH12" s="62">
        <v>0</v>
      </c>
      <c r="AI12" s="62">
        <v>0.4</v>
      </c>
      <c r="AJ12" s="62">
        <v>0</v>
      </c>
      <c r="AK12" s="62">
        <v>0.28571400000000002</v>
      </c>
      <c r="AL12" s="62">
        <v>0</v>
      </c>
      <c r="AM12" s="62">
        <v>0.33333299999999999</v>
      </c>
      <c r="AN12" s="62">
        <v>0</v>
      </c>
      <c r="AO12" s="62">
        <v>0.41666700000000001</v>
      </c>
      <c r="AR12" t="s">
        <v>303</v>
      </c>
      <c r="AS12" t="s">
        <v>342</v>
      </c>
      <c r="AT12">
        <v>0</v>
      </c>
      <c r="AU12">
        <v>1</v>
      </c>
      <c r="AV12">
        <v>0</v>
      </c>
      <c r="AW12">
        <v>14</v>
      </c>
    </row>
    <row r="13" spans="1:49" x14ac:dyDescent="0.25">
      <c r="A13" s="58">
        <v>12</v>
      </c>
      <c r="B13" s="62">
        <v>0</v>
      </c>
      <c r="C13" s="62">
        <v>0.58823499999999995</v>
      </c>
      <c r="D13" s="62">
        <v>0.764706</v>
      </c>
      <c r="E13" s="62">
        <v>0.75</v>
      </c>
      <c r="F13" s="62">
        <v>0.8125</v>
      </c>
      <c r="G13" s="62">
        <v>0.4375</v>
      </c>
      <c r="H13" s="62">
        <v>0.70588200000000001</v>
      </c>
      <c r="I13" s="62">
        <v>0</v>
      </c>
      <c r="J13" s="62">
        <v>0.86666699999999997</v>
      </c>
      <c r="K13" s="62">
        <v>0.466667</v>
      </c>
      <c r="L13" s="62">
        <v>0.42857099999999998</v>
      </c>
      <c r="M13" s="62">
        <v>1</v>
      </c>
      <c r="N13" s="62">
        <v>0.42857099999999998</v>
      </c>
      <c r="O13" s="62">
        <v>0</v>
      </c>
      <c r="P13" s="62">
        <v>0.77777799999999997</v>
      </c>
      <c r="Q13" s="62">
        <v>0</v>
      </c>
      <c r="R13" s="62">
        <v>0.82352899999999996</v>
      </c>
      <c r="S13" s="62">
        <v>0</v>
      </c>
      <c r="T13" s="62">
        <v>0.6875</v>
      </c>
      <c r="U13" s="62">
        <v>0.35714299999999999</v>
      </c>
      <c r="V13" s="62">
        <v>0</v>
      </c>
      <c r="W13" s="62">
        <v>0.42857099999999998</v>
      </c>
      <c r="X13" s="62">
        <v>0.58823499999999995</v>
      </c>
      <c r="Y13" s="62">
        <v>0.73333300000000001</v>
      </c>
      <c r="Z13" s="62">
        <v>0.764706</v>
      </c>
      <c r="AA13" s="62">
        <v>0</v>
      </c>
      <c r="AB13" s="62">
        <v>0.375</v>
      </c>
      <c r="AC13" s="62">
        <v>0</v>
      </c>
      <c r="AD13" s="62">
        <v>0</v>
      </c>
      <c r="AE13" s="62">
        <v>0</v>
      </c>
      <c r="AF13" s="62">
        <v>0.64705900000000005</v>
      </c>
      <c r="AG13" s="62">
        <v>0.72222200000000003</v>
      </c>
      <c r="AH13" s="62">
        <v>0</v>
      </c>
      <c r="AI13" s="62">
        <v>0.8125</v>
      </c>
      <c r="AJ13" s="62">
        <v>0</v>
      </c>
      <c r="AK13" s="62">
        <v>0.73333300000000001</v>
      </c>
      <c r="AL13" s="62">
        <v>0</v>
      </c>
      <c r="AM13" s="62">
        <v>0.5</v>
      </c>
      <c r="AN13" s="62">
        <v>0</v>
      </c>
      <c r="AO13" s="62">
        <v>0.78571400000000002</v>
      </c>
      <c r="AR13" t="s">
        <v>303</v>
      </c>
      <c r="AS13" t="s">
        <v>344</v>
      </c>
      <c r="AT13">
        <v>0</v>
      </c>
      <c r="AU13">
        <v>1</v>
      </c>
      <c r="AV13">
        <v>0</v>
      </c>
      <c r="AW13">
        <v>6</v>
      </c>
    </row>
    <row r="14" spans="1:49" x14ac:dyDescent="0.25">
      <c r="A14" s="58">
        <v>13</v>
      </c>
      <c r="B14" s="62">
        <v>0</v>
      </c>
      <c r="C14" s="62">
        <v>0.35714299999999999</v>
      </c>
      <c r="D14" s="62">
        <v>0.375</v>
      </c>
      <c r="E14" s="62">
        <v>0.33333299999999999</v>
      </c>
      <c r="F14" s="62">
        <v>0.3125</v>
      </c>
      <c r="G14" s="62">
        <v>0.36363600000000001</v>
      </c>
      <c r="H14" s="62">
        <v>0.4</v>
      </c>
      <c r="I14" s="62">
        <v>0</v>
      </c>
      <c r="J14" s="62">
        <v>0.42857099999999998</v>
      </c>
      <c r="K14" s="62">
        <v>0.4</v>
      </c>
      <c r="L14" s="62">
        <v>0.33333299999999999</v>
      </c>
      <c r="M14" s="62">
        <v>0.42857099999999998</v>
      </c>
      <c r="N14" s="62">
        <v>1</v>
      </c>
      <c r="O14" s="62">
        <v>0</v>
      </c>
      <c r="P14" s="62">
        <v>0.33333299999999999</v>
      </c>
      <c r="Q14" s="62">
        <v>0</v>
      </c>
      <c r="R14" s="62">
        <v>0.352941</v>
      </c>
      <c r="S14" s="62">
        <v>0</v>
      </c>
      <c r="T14" s="62">
        <v>0.1875</v>
      </c>
      <c r="U14" s="62">
        <v>0.222222</v>
      </c>
      <c r="V14" s="62">
        <v>0</v>
      </c>
      <c r="W14" s="62">
        <v>0.2</v>
      </c>
      <c r="X14" s="62">
        <v>0.26666699999999999</v>
      </c>
      <c r="Y14" s="62">
        <v>0.5</v>
      </c>
      <c r="Z14" s="62">
        <v>0.375</v>
      </c>
      <c r="AA14" s="62">
        <v>0</v>
      </c>
      <c r="AB14" s="62">
        <v>0.55555600000000005</v>
      </c>
      <c r="AC14" s="62">
        <v>0</v>
      </c>
      <c r="AD14" s="62">
        <v>0</v>
      </c>
      <c r="AE14" s="62">
        <v>0</v>
      </c>
      <c r="AF14" s="62">
        <v>0.42857099999999998</v>
      </c>
      <c r="AG14" s="62">
        <v>0.352941</v>
      </c>
      <c r="AH14" s="62">
        <v>0</v>
      </c>
      <c r="AI14" s="62">
        <v>0.4</v>
      </c>
      <c r="AJ14" s="62">
        <v>0</v>
      </c>
      <c r="AK14" s="62">
        <v>0.28571400000000002</v>
      </c>
      <c r="AL14" s="62">
        <v>0</v>
      </c>
      <c r="AM14" s="62">
        <v>0.230769</v>
      </c>
      <c r="AN14" s="62">
        <v>0</v>
      </c>
      <c r="AO14" s="62">
        <v>0.54545500000000002</v>
      </c>
      <c r="AR14" t="s">
        <v>303</v>
      </c>
      <c r="AS14" t="s">
        <v>348</v>
      </c>
      <c r="AV14">
        <v>0</v>
      </c>
      <c r="AW14">
        <v>0</v>
      </c>
    </row>
    <row r="15" spans="1:49" x14ac:dyDescent="0.25">
      <c r="A15" s="58">
        <v>14</v>
      </c>
      <c r="B15" s="62">
        <v>0</v>
      </c>
      <c r="C15" s="62">
        <v>0</v>
      </c>
      <c r="D15" s="62">
        <v>0</v>
      </c>
      <c r="E15" s="62">
        <v>0</v>
      </c>
      <c r="F15" s="62">
        <v>0</v>
      </c>
      <c r="G15" s="62">
        <v>0</v>
      </c>
      <c r="H15" s="62">
        <v>0</v>
      </c>
      <c r="I15" s="62">
        <v>0</v>
      </c>
      <c r="J15" s="62">
        <v>0</v>
      </c>
      <c r="K15" s="62">
        <v>0</v>
      </c>
      <c r="L15" s="62">
        <v>0</v>
      </c>
      <c r="M15" s="62">
        <v>0</v>
      </c>
      <c r="N15" s="62">
        <v>0</v>
      </c>
      <c r="O15" s="62">
        <v>1</v>
      </c>
      <c r="P15" s="62">
        <v>0</v>
      </c>
      <c r="Q15" s="62">
        <v>0</v>
      </c>
      <c r="R15" s="62">
        <v>0</v>
      </c>
      <c r="S15" s="62">
        <v>0</v>
      </c>
      <c r="T15" s="62">
        <v>0</v>
      </c>
      <c r="U15" s="62">
        <v>0</v>
      </c>
      <c r="V15" s="62">
        <v>0</v>
      </c>
      <c r="W15" s="62">
        <v>0</v>
      </c>
      <c r="X15" s="62">
        <v>0</v>
      </c>
      <c r="Y15" s="62">
        <v>0</v>
      </c>
      <c r="Z15" s="62">
        <v>0</v>
      </c>
      <c r="AA15" s="62">
        <v>0</v>
      </c>
      <c r="AB15" s="62">
        <v>0</v>
      </c>
      <c r="AC15" s="62">
        <v>0</v>
      </c>
      <c r="AD15" s="62">
        <v>0</v>
      </c>
      <c r="AE15" s="62">
        <v>0</v>
      </c>
      <c r="AF15" s="62">
        <v>0</v>
      </c>
      <c r="AG15" s="62">
        <v>0</v>
      </c>
      <c r="AH15" s="62">
        <v>0</v>
      </c>
      <c r="AI15" s="62">
        <v>0</v>
      </c>
      <c r="AJ15" s="62">
        <v>0</v>
      </c>
      <c r="AK15" s="62">
        <v>0</v>
      </c>
      <c r="AL15" s="62">
        <v>0</v>
      </c>
      <c r="AM15" s="62">
        <v>0</v>
      </c>
      <c r="AN15" s="62">
        <v>0</v>
      </c>
      <c r="AO15" s="62">
        <v>0</v>
      </c>
      <c r="AR15" t="s">
        <v>303</v>
      </c>
      <c r="AS15" t="s">
        <v>352</v>
      </c>
      <c r="AT15">
        <v>0</v>
      </c>
      <c r="AU15">
        <v>1</v>
      </c>
      <c r="AV15">
        <v>0</v>
      </c>
      <c r="AW15">
        <v>18</v>
      </c>
    </row>
    <row r="16" spans="1:49" x14ac:dyDescent="0.25">
      <c r="A16" s="58">
        <v>15</v>
      </c>
      <c r="B16" s="62">
        <v>0</v>
      </c>
      <c r="C16" s="62">
        <v>0.72222200000000003</v>
      </c>
      <c r="D16" s="62">
        <v>0.88888900000000004</v>
      </c>
      <c r="E16" s="62">
        <v>0.77777799999999997</v>
      </c>
      <c r="F16" s="62">
        <v>0.83333299999999999</v>
      </c>
      <c r="G16" s="62">
        <v>0.5</v>
      </c>
      <c r="H16" s="62">
        <v>0.83333299999999999</v>
      </c>
      <c r="I16" s="62">
        <v>0</v>
      </c>
      <c r="J16" s="62">
        <v>0.77777799999999997</v>
      </c>
      <c r="K16" s="62">
        <v>0.44444400000000001</v>
      </c>
      <c r="L16" s="62">
        <v>0.33333299999999999</v>
      </c>
      <c r="M16" s="62">
        <v>0.77777799999999997</v>
      </c>
      <c r="N16" s="62">
        <v>0.33333299999999999</v>
      </c>
      <c r="O16" s="62">
        <v>0</v>
      </c>
      <c r="P16" s="62">
        <v>1</v>
      </c>
      <c r="Q16" s="62">
        <v>0</v>
      </c>
      <c r="R16" s="62">
        <v>0.94444399999999995</v>
      </c>
      <c r="S16" s="62">
        <v>0</v>
      </c>
      <c r="T16" s="62">
        <v>0.72222200000000003</v>
      </c>
      <c r="U16" s="62">
        <v>0.27777800000000002</v>
      </c>
      <c r="V16" s="62">
        <v>0</v>
      </c>
      <c r="W16" s="62">
        <v>0.33333299999999999</v>
      </c>
      <c r="X16" s="62">
        <v>0.72222200000000003</v>
      </c>
      <c r="Y16" s="62">
        <v>0.66666700000000001</v>
      </c>
      <c r="Z16" s="62">
        <v>0.88888900000000004</v>
      </c>
      <c r="AA16" s="62">
        <v>0</v>
      </c>
      <c r="AB16" s="62">
        <v>0.44444400000000001</v>
      </c>
      <c r="AC16" s="62">
        <v>0</v>
      </c>
      <c r="AD16" s="62">
        <v>0</v>
      </c>
      <c r="AE16" s="62">
        <v>0</v>
      </c>
      <c r="AF16" s="62">
        <v>0.77777799999999997</v>
      </c>
      <c r="AG16" s="62">
        <v>0.94444399999999995</v>
      </c>
      <c r="AH16" s="62">
        <v>0</v>
      </c>
      <c r="AI16" s="62">
        <v>0.83333299999999999</v>
      </c>
      <c r="AJ16" s="62">
        <v>0</v>
      </c>
      <c r="AK16" s="62">
        <v>0.66666700000000001</v>
      </c>
      <c r="AL16" s="62">
        <v>0</v>
      </c>
      <c r="AM16" s="62">
        <v>0.55555600000000005</v>
      </c>
      <c r="AN16" s="62">
        <v>0</v>
      </c>
      <c r="AO16" s="62">
        <v>0.61111099999999996</v>
      </c>
      <c r="AR16" t="s">
        <v>303</v>
      </c>
      <c r="AS16" t="s">
        <v>356</v>
      </c>
      <c r="AV16">
        <v>0</v>
      </c>
      <c r="AW16">
        <v>0</v>
      </c>
    </row>
    <row r="17" spans="1:49" x14ac:dyDescent="0.25">
      <c r="A17" s="58">
        <v>16</v>
      </c>
      <c r="B17" s="62">
        <v>0</v>
      </c>
      <c r="C17" s="62">
        <v>0</v>
      </c>
      <c r="D17" s="62">
        <v>0</v>
      </c>
      <c r="E17" s="62">
        <v>0</v>
      </c>
      <c r="F17" s="62">
        <v>0</v>
      </c>
      <c r="G17" s="62">
        <v>0</v>
      </c>
      <c r="H17" s="62">
        <v>0</v>
      </c>
      <c r="I17" s="62">
        <v>0</v>
      </c>
      <c r="J17" s="62">
        <v>0</v>
      </c>
      <c r="K17" s="62">
        <v>0</v>
      </c>
      <c r="L17" s="62">
        <v>0</v>
      </c>
      <c r="M17" s="62">
        <v>0</v>
      </c>
      <c r="N17" s="62">
        <v>0</v>
      </c>
      <c r="O17" s="62">
        <v>0</v>
      </c>
      <c r="P17" s="62">
        <v>0</v>
      </c>
      <c r="Q17" s="62">
        <v>1</v>
      </c>
      <c r="R17" s="62">
        <v>0</v>
      </c>
      <c r="S17" s="62">
        <v>0</v>
      </c>
      <c r="T17" s="62">
        <v>0</v>
      </c>
      <c r="U17" s="62">
        <v>0</v>
      </c>
      <c r="V17" s="62">
        <v>0</v>
      </c>
      <c r="W17" s="62">
        <v>0</v>
      </c>
      <c r="X17" s="62">
        <v>0</v>
      </c>
      <c r="Y17" s="62">
        <v>0</v>
      </c>
      <c r="Z17" s="62">
        <v>0</v>
      </c>
      <c r="AA17" s="62">
        <v>0</v>
      </c>
      <c r="AB17" s="62">
        <v>0</v>
      </c>
      <c r="AC17" s="62">
        <v>0</v>
      </c>
      <c r="AD17" s="62">
        <v>0</v>
      </c>
      <c r="AE17" s="62">
        <v>0</v>
      </c>
      <c r="AF17" s="62">
        <v>0</v>
      </c>
      <c r="AG17" s="62">
        <v>0</v>
      </c>
      <c r="AH17" s="62">
        <v>0</v>
      </c>
      <c r="AI17" s="62">
        <v>0</v>
      </c>
      <c r="AJ17" s="62">
        <v>0</v>
      </c>
      <c r="AK17" s="62">
        <v>0</v>
      </c>
      <c r="AL17" s="62">
        <v>0</v>
      </c>
      <c r="AM17" s="62">
        <v>0</v>
      </c>
      <c r="AN17" s="62">
        <v>0</v>
      </c>
      <c r="AO17" s="62">
        <v>0</v>
      </c>
      <c r="AR17" t="s">
        <v>303</v>
      </c>
      <c r="AS17" t="s">
        <v>359</v>
      </c>
      <c r="AT17">
        <v>0</v>
      </c>
      <c r="AU17">
        <v>1</v>
      </c>
      <c r="AV17">
        <v>0</v>
      </c>
      <c r="AW17">
        <v>17</v>
      </c>
    </row>
    <row r="18" spans="1:49" x14ac:dyDescent="0.25">
      <c r="A18" s="58">
        <v>17</v>
      </c>
      <c r="B18" s="62">
        <v>0</v>
      </c>
      <c r="C18" s="62">
        <v>0.66666700000000001</v>
      </c>
      <c r="D18" s="62">
        <v>0.83333299999999999</v>
      </c>
      <c r="E18" s="62">
        <v>0.82352899999999996</v>
      </c>
      <c r="F18" s="62">
        <v>0.77777799999999997</v>
      </c>
      <c r="G18" s="62">
        <v>0.44444400000000001</v>
      </c>
      <c r="H18" s="62">
        <v>0.77777799999999997</v>
      </c>
      <c r="I18" s="62">
        <v>0</v>
      </c>
      <c r="J18" s="62">
        <v>0.82352899999999996</v>
      </c>
      <c r="K18" s="62">
        <v>0.47058800000000001</v>
      </c>
      <c r="L18" s="62">
        <v>0.352941</v>
      </c>
      <c r="M18" s="62">
        <v>0.82352899999999996</v>
      </c>
      <c r="N18" s="62">
        <v>0.352941</v>
      </c>
      <c r="O18" s="62">
        <v>0</v>
      </c>
      <c r="P18" s="62">
        <v>0.94444399999999995</v>
      </c>
      <c r="Q18" s="62">
        <v>0</v>
      </c>
      <c r="R18" s="62">
        <v>1</v>
      </c>
      <c r="S18" s="62">
        <v>0</v>
      </c>
      <c r="T18" s="62">
        <v>0.66666700000000001</v>
      </c>
      <c r="U18" s="62">
        <v>0.29411799999999999</v>
      </c>
      <c r="V18" s="62">
        <v>0</v>
      </c>
      <c r="W18" s="62">
        <v>0.352941</v>
      </c>
      <c r="X18" s="62">
        <v>0.66666700000000001</v>
      </c>
      <c r="Y18" s="62">
        <v>0.70588200000000001</v>
      </c>
      <c r="Z18" s="62">
        <v>0.83333299999999999</v>
      </c>
      <c r="AA18" s="62">
        <v>0</v>
      </c>
      <c r="AB18" s="62">
        <v>0.47058800000000001</v>
      </c>
      <c r="AC18" s="62">
        <v>0</v>
      </c>
      <c r="AD18" s="62">
        <v>0</v>
      </c>
      <c r="AE18" s="62">
        <v>0</v>
      </c>
      <c r="AF18" s="62">
        <v>0.72222200000000003</v>
      </c>
      <c r="AG18" s="62">
        <v>0.88888900000000004</v>
      </c>
      <c r="AH18" s="62">
        <v>0</v>
      </c>
      <c r="AI18" s="62">
        <v>0.77777799999999997</v>
      </c>
      <c r="AJ18" s="62">
        <v>0</v>
      </c>
      <c r="AK18" s="62">
        <v>0.70588200000000001</v>
      </c>
      <c r="AL18" s="62">
        <v>0</v>
      </c>
      <c r="AM18" s="62">
        <v>0.5</v>
      </c>
      <c r="AN18" s="62">
        <v>0</v>
      </c>
      <c r="AO18" s="62">
        <v>0.64705900000000005</v>
      </c>
      <c r="AR18" t="s">
        <v>303</v>
      </c>
      <c r="AS18" t="s">
        <v>363</v>
      </c>
      <c r="AV18">
        <v>0</v>
      </c>
      <c r="AW18">
        <v>0</v>
      </c>
    </row>
    <row r="19" spans="1:49" x14ac:dyDescent="0.25">
      <c r="A19" s="58">
        <v>18</v>
      </c>
      <c r="B19" s="62">
        <v>0</v>
      </c>
      <c r="C19" s="62">
        <v>0</v>
      </c>
      <c r="D19" s="62">
        <v>0</v>
      </c>
      <c r="E19" s="62">
        <v>0</v>
      </c>
      <c r="F19" s="62">
        <v>0</v>
      </c>
      <c r="G19" s="62">
        <v>0</v>
      </c>
      <c r="H19" s="62">
        <v>0</v>
      </c>
      <c r="I19" s="62">
        <v>0</v>
      </c>
      <c r="J19" s="62">
        <v>0</v>
      </c>
      <c r="K19" s="62">
        <v>0</v>
      </c>
      <c r="L19" s="62">
        <v>0</v>
      </c>
      <c r="M19" s="62">
        <v>0</v>
      </c>
      <c r="N19" s="62">
        <v>0</v>
      </c>
      <c r="O19" s="62">
        <v>0</v>
      </c>
      <c r="P19" s="62">
        <v>0</v>
      </c>
      <c r="Q19" s="62">
        <v>0</v>
      </c>
      <c r="R19" s="62">
        <v>0</v>
      </c>
      <c r="S19" s="62">
        <v>1</v>
      </c>
      <c r="T19" s="62">
        <v>0</v>
      </c>
      <c r="U19" s="62">
        <v>0</v>
      </c>
      <c r="V19" s="62">
        <v>0</v>
      </c>
      <c r="W19" s="62">
        <v>0</v>
      </c>
      <c r="X19" s="62">
        <v>0</v>
      </c>
      <c r="Y19" s="62">
        <v>0</v>
      </c>
      <c r="Z19" s="62">
        <v>0</v>
      </c>
      <c r="AA19" s="62">
        <v>0</v>
      </c>
      <c r="AB19" s="62">
        <v>0</v>
      </c>
      <c r="AC19" s="62">
        <v>0</v>
      </c>
      <c r="AD19" s="62">
        <v>0</v>
      </c>
      <c r="AE19" s="62">
        <v>0</v>
      </c>
      <c r="AF19" s="62">
        <v>0</v>
      </c>
      <c r="AG19" s="62">
        <v>0</v>
      </c>
      <c r="AH19" s="62">
        <v>0</v>
      </c>
      <c r="AI19" s="62">
        <v>0</v>
      </c>
      <c r="AJ19" s="62">
        <v>0</v>
      </c>
      <c r="AK19" s="62">
        <v>0</v>
      </c>
      <c r="AL19" s="62">
        <v>0</v>
      </c>
      <c r="AM19" s="62">
        <v>0</v>
      </c>
      <c r="AN19" s="62">
        <v>0</v>
      </c>
      <c r="AO19" s="62">
        <v>0</v>
      </c>
      <c r="AR19" t="s">
        <v>303</v>
      </c>
      <c r="AS19" t="s">
        <v>367</v>
      </c>
      <c r="AT19">
        <v>0</v>
      </c>
      <c r="AU19">
        <v>1</v>
      </c>
      <c r="AV19">
        <v>0</v>
      </c>
      <c r="AW19">
        <v>13</v>
      </c>
    </row>
    <row r="20" spans="1:49" x14ac:dyDescent="0.25">
      <c r="A20" s="58">
        <v>19</v>
      </c>
      <c r="B20" s="62">
        <v>0</v>
      </c>
      <c r="C20" s="62">
        <v>0.625</v>
      </c>
      <c r="D20" s="62">
        <v>0.70588200000000001</v>
      </c>
      <c r="E20" s="62">
        <v>0.6875</v>
      </c>
      <c r="F20" s="62">
        <v>0.86666699999999997</v>
      </c>
      <c r="G20" s="62">
        <v>0.466667</v>
      </c>
      <c r="H20" s="62">
        <v>0.64705900000000005</v>
      </c>
      <c r="I20" s="62">
        <v>0</v>
      </c>
      <c r="J20" s="62">
        <v>0.58823499999999995</v>
      </c>
      <c r="K20" s="62">
        <v>0.5</v>
      </c>
      <c r="L20" s="62">
        <v>0.26666699999999999</v>
      </c>
      <c r="M20" s="62">
        <v>0.6875</v>
      </c>
      <c r="N20" s="62">
        <v>0.1875</v>
      </c>
      <c r="O20" s="62">
        <v>0</v>
      </c>
      <c r="P20" s="62">
        <v>0.72222200000000003</v>
      </c>
      <c r="Q20" s="62">
        <v>0</v>
      </c>
      <c r="R20" s="62">
        <v>0.66666700000000001</v>
      </c>
      <c r="S20" s="62">
        <v>0</v>
      </c>
      <c r="T20" s="62">
        <v>1</v>
      </c>
      <c r="U20" s="62">
        <v>0.38461499999999998</v>
      </c>
      <c r="V20" s="62">
        <v>0</v>
      </c>
      <c r="W20" s="62">
        <v>0.35714299999999999</v>
      </c>
      <c r="X20" s="62">
        <v>0.73333300000000001</v>
      </c>
      <c r="Y20" s="62">
        <v>0.5625</v>
      </c>
      <c r="Z20" s="62">
        <v>0.70588200000000001</v>
      </c>
      <c r="AA20" s="62">
        <v>0</v>
      </c>
      <c r="AB20" s="62">
        <v>0.3125</v>
      </c>
      <c r="AC20" s="62">
        <v>0</v>
      </c>
      <c r="AD20" s="62">
        <v>0</v>
      </c>
      <c r="AE20" s="62">
        <v>0</v>
      </c>
      <c r="AF20" s="62">
        <v>0.58823499999999995</v>
      </c>
      <c r="AG20" s="62">
        <v>0.66666700000000001</v>
      </c>
      <c r="AH20" s="62">
        <v>0</v>
      </c>
      <c r="AI20" s="62">
        <v>0.75</v>
      </c>
      <c r="AJ20" s="62">
        <v>0</v>
      </c>
      <c r="AK20" s="62">
        <v>0.66666700000000001</v>
      </c>
      <c r="AL20" s="62">
        <v>0</v>
      </c>
      <c r="AM20" s="62">
        <v>0.53333299999999995</v>
      </c>
      <c r="AN20" s="62">
        <v>0</v>
      </c>
      <c r="AO20" s="62">
        <v>0.5</v>
      </c>
      <c r="AR20" t="s">
        <v>303</v>
      </c>
      <c r="AS20" t="s">
        <v>371</v>
      </c>
      <c r="AT20">
        <v>0</v>
      </c>
      <c r="AU20">
        <v>1</v>
      </c>
      <c r="AV20">
        <v>0</v>
      </c>
      <c r="AW20">
        <v>5</v>
      </c>
    </row>
    <row r="21" spans="1:49" x14ac:dyDescent="0.25">
      <c r="A21" s="58">
        <v>20</v>
      </c>
      <c r="B21" s="62">
        <v>0</v>
      </c>
      <c r="C21" s="62">
        <v>0.28571400000000002</v>
      </c>
      <c r="D21" s="62">
        <v>0.3125</v>
      </c>
      <c r="E21" s="62">
        <v>0.35714299999999999</v>
      </c>
      <c r="F21" s="62">
        <v>0.33333299999999999</v>
      </c>
      <c r="G21" s="62">
        <v>0.4</v>
      </c>
      <c r="H21" s="62">
        <v>0.25</v>
      </c>
      <c r="I21" s="62">
        <v>0</v>
      </c>
      <c r="J21" s="62">
        <v>0.35714299999999999</v>
      </c>
      <c r="K21" s="62">
        <v>0.3</v>
      </c>
      <c r="L21" s="62">
        <v>0.375</v>
      </c>
      <c r="M21" s="62">
        <v>0.35714299999999999</v>
      </c>
      <c r="N21" s="62">
        <v>0.222222</v>
      </c>
      <c r="O21" s="62">
        <v>0</v>
      </c>
      <c r="P21" s="62">
        <v>0.27777800000000002</v>
      </c>
      <c r="Q21" s="62">
        <v>0</v>
      </c>
      <c r="R21" s="62">
        <v>0.29411799999999999</v>
      </c>
      <c r="S21" s="62">
        <v>0</v>
      </c>
      <c r="T21" s="62">
        <v>0.38461499999999998</v>
      </c>
      <c r="U21" s="62">
        <v>1</v>
      </c>
      <c r="V21" s="62">
        <v>0</v>
      </c>
      <c r="W21" s="62">
        <v>0.222222</v>
      </c>
      <c r="X21" s="62">
        <v>0.38461499999999998</v>
      </c>
      <c r="Y21" s="62">
        <v>0.41666700000000001</v>
      </c>
      <c r="Z21" s="62">
        <v>0.3125</v>
      </c>
      <c r="AA21" s="62">
        <v>0</v>
      </c>
      <c r="AB21" s="62">
        <v>0.3</v>
      </c>
      <c r="AC21" s="62">
        <v>0</v>
      </c>
      <c r="AD21" s="62">
        <v>0</v>
      </c>
      <c r="AE21" s="62">
        <v>0</v>
      </c>
      <c r="AF21" s="62">
        <v>0.35714299999999999</v>
      </c>
      <c r="AG21" s="62">
        <v>0.29411799999999999</v>
      </c>
      <c r="AH21" s="62">
        <v>0</v>
      </c>
      <c r="AI21" s="62">
        <v>0.33333299999999999</v>
      </c>
      <c r="AJ21" s="62">
        <v>0</v>
      </c>
      <c r="AK21" s="62">
        <v>0.41666700000000001</v>
      </c>
      <c r="AL21" s="62">
        <v>0</v>
      </c>
      <c r="AM21" s="62">
        <v>0.25</v>
      </c>
      <c r="AN21" s="62">
        <v>0</v>
      </c>
      <c r="AO21" s="62">
        <v>0.33333299999999999</v>
      </c>
      <c r="AR21" t="s">
        <v>303</v>
      </c>
      <c r="AS21" t="s">
        <v>373</v>
      </c>
      <c r="AV21">
        <v>0</v>
      </c>
      <c r="AW21">
        <v>0</v>
      </c>
    </row>
    <row r="22" spans="1:49" x14ac:dyDescent="0.25">
      <c r="A22" s="58">
        <v>21</v>
      </c>
      <c r="B22" s="62">
        <v>0</v>
      </c>
      <c r="C22" s="62">
        <v>0</v>
      </c>
      <c r="D22" s="62">
        <v>0</v>
      </c>
      <c r="E22" s="62">
        <v>0</v>
      </c>
      <c r="F22" s="62">
        <v>0</v>
      </c>
      <c r="G22" s="62">
        <v>0</v>
      </c>
      <c r="H22" s="62">
        <v>0</v>
      </c>
      <c r="I22" s="62">
        <v>0</v>
      </c>
      <c r="J22" s="62">
        <v>0</v>
      </c>
      <c r="K22" s="62">
        <v>0</v>
      </c>
      <c r="L22" s="62">
        <v>0</v>
      </c>
      <c r="M22" s="62">
        <v>0</v>
      </c>
      <c r="N22" s="62">
        <v>0</v>
      </c>
      <c r="O22" s="62">
        <v>0</v>
      </c>
      <c r="P22" s="62">
        <v>0</v>
      </c>
      <c r="Q22" s="62">
        <v>0</v>
      </c>
      <c r="R22" s="62">
        <v>0</v>
      </c>
      <c r="S22" s="62">
        <v>0</v>
      </c>
      <c r="T22" s="62">
        <v>0</v>
      </c>
      <c r="U22" s="62">
        <v>0</v>
      </c>
      <c r="V22" s="62">
        <v>1</v>
      </c>
      <c r="W22" s="62">
        <v>0</v>
      </c>
      <c r="X22" s="62">
        <v>0</v>
      </c>
      <c r="Y22" s="62">
        <v>0</v>
      </c>
      <c r="Z22" s="62">
        <v>0</v>
      </c>
      <c r="AA22" s="62">
        <v>0</v>
      </c>
      <c r="AB22" s="62">
        <v>0</v>
      </c>
      <c r="AC22" s="62">
        <v>0</v>
      </c>
      <c r="AD22" s="62">
        <v>0</v>
      </c>
      <c r="AE22" s="62">
        <v>0</v>
      </c>
      <c r="AF22" s="62">
        <v>0</v>
      </c>
      <c r="AG22" s="62">
        <v>0</v>
      </c>
      <c r="AH22" s="62">
        <v>0</v>
      </c>
      <c r="AI22" s="62">
        <v>0</v>
      </c>
      <c r="AJ22" s="62">
        <v>0</v>
      </c>
      <c r="AK22" s="62">
        <v>0</v>
      </c>
      <c r="AL22" s="62">
        <v>0</v>
      </c>
      <c r="AM22" s="62">
        <v>0</v>
      </c>
      <c r="AN22" s="62">
        <v>0</v>
      </c>
      <c r="AO22" s="62">
        <v>0</v>
      </c>
      <c r="AR22" t="s">
        <v>303</v>
      </c>
      <c r="AS22" t="s">
        <v>377</v>
      </c>
      <c r="AT22">
        <v>0</v>
      </c>
      <c r="AU22">
        <v>1</v>
      </c>
      <c r="AV22">
        <v>0</v>
      </c>
      <c r="AW22">
        <v>6</v>
      </c>
    </row>
    <row r="23" spans="1:49" x14ac:dyDescent="0.25">
      <c r="A23" s="58">
        <v>22</v>
      </c>
      <c r="B23" s="62">
        <v>0</v>
      </c>
      <c r="C23" s="62">
        <v>0.461538</v>
      </c>
      <c r="D23" s="62">
        <v>0.375</v>
      </c>
      <c r="E23" s="62">
        <v>0.42857099999999998</v>
      </c>
      <c r="F23" s="62">
        <v>0.4</v>
      </c>
      <c r="G23" s="62">
        <v>0.25</v>
      </c>
      <c r="H23" s="62">
        <v>0.3125</v>
      </c>
      <c r="I23" s="62">
        <v>0</v>
      </c>
      <c r="J23" s="62">
        <v>0.42857099999999998</v>
      </c>
      <c r="K23" s="62">
        <v>0.4</v>
      </c>
      <c r="L23" s="62">
        <v>0.2</v>
      </c>
      <c r="M23" s="62">
        <v>0.42857099999999998</v>
      </c>
      <c r="N23" s="62">
        <v>0.2</v>
      </c>
      <c r="O23" s="62">
        <v>0</v>
      </c>
      <c r="P23" s="62">
        <v>0.33333299999999999</v>
      </c>
      <c r="Q23" s="62">
        <v>0</v>
      </c>
      <c r="R23" s="62">
        <v>0.352941</v>
      </c>
      <c r="S23" s="62">
        <v>0</v>
      </c>
      <c r="T23" s="62">
        <v>0.35714299999999999</v>
      </c>
      <c r="U23" s="62">
        <v>0.222222</v>
      </c>
      <c r="V23" s="62">
        <v>0</v>
      </c>
      <c r="W23" s="62">
        <v>1</v>
      </c>
      <c r="X23" s="62">
        <v>0.35714299999999999</v>
      </c>
      <c r="Y23" s="62">
        <v>0.38461499999999998</v>
      </c>
      <c r="Z23" s="62">
        <v>0.375</v>
      </c>
      <c r="AA23" s="62">
        <v>0</v>
      </c>
      <c r="AB23" s="62">
        <v>0.16666700000000001</v>
      </c>
      <c r="AC23" s="62">
        <v>0</v>
      </c>
      <c r="AD23" s="62">
        <v>0</v>
      </c>
      <c r="AE23" s="62">
        <v>0</v>
      </c>
      <c r="AF23" s="62">
        <v>0.33333299999999999</v>
      </c>
      <c r="AG23" s="62">
        <v>0.352941</v>
      </c>
      <c r="AH23" s="62">
        <v>0</v>
      </c>
      <c r="AI23" s="62">
        <v>0.4</v>
      </c>
      <c r="AJ23" s="62">
        <v>0</v>
      </c>
      <c r="AK23" s="62">
        <v>0.5</v>
      </c>
      <c r="AL23" s="62">
        <v>0</v>
      </c>
      <c r="AM23" s="62">
        <v>0.6</v>
      </c>
      <c r="AN23" s="62">
        <v>0</v>
      </c>
      <c r="AO23" s="62">
        <v>0.54545500000000002</v>
      </c>
      <c r="AR23" t="s">
        <v>303</v>
      </c>
      <c r="AS23" t="s">
        <v>380</v>
      </c>
      <c r="AT23">
        <v>0</v>
      </c>
      <c r="AU23">
        <v>1</v>
      </c>
      <c r="AV23">
        <v>0</v>
      </c>
      <c r="AW23">
        <v>13</v>
      </c>
    </row>
    <row r="24" spans="1:49" x14ac:dyDescent="0.25">
      <c r="A24" s="58">
        <v>23</v>
      </c>
      <c r="B24" s="62">
        <v>0</v>
      </c>
      <c r="C24" s="62">
        <v>0.85714299999999999</v>
      </c>
      <c r="D24" s="62">
        <v>0.8125</v>
      </c>
      <c r="E24" s="62">
        <v>0.6875</v>
      </c>
      <c r="F24" s="62">
        <v>0.64705900000000005</v>
      </c>
      <c r="G24" s="62">
        <v>0.466667</v>
      </c>
      <c r="H24" s="62">
        <v>0.75</v>
      </c>
      <c r="I24" s="62">
        <v>0</v>
      </c>
      <c r="J24" s="62">
        <v>0.6875</v>
      </c>
      <c r="K24" s="62">
        <v>0.61538499999999996</v>
      </c>
      <c r="L24" s="62">
        <v>0.35714299999999999</v>
      </c>
      <c r="M24" s="62">
        <v>0.58823499999999995</v>
      </c>
      <c r="N24" s="62">
        <v>0.26666699999999999</v>
      </c>
      <c r="O24" s="62">
        <v>0</v>
      </c>
      <c r="P24" s="62">
        <v>0.72222200000000003</v>
      </c>
      <c r="Q24" s="62">
        <v>0</v>
      </c>
      <c r="R24" s="62">
        <v>0.66666700000000001</v>
      </c>
      <c r="S24" s="62">
        <v>0</v>
      </c>
      <c r="T24" s="62">
        <v>0.73333300000000001</v>
      </c>
      <c r="U24" s="62">
        <v>0.38461499999999998</v>
      </c>
      <c r="V24" s="62">
        <v>0</v>
      </c>
      <c r="W24" s="62">
        <v>0.35714299999999999</v>
      </c>
      <c r="X24" s="62">
        <v>1</v>
      </c>
      <c r="Y24" s="62">
        <v>0.66666700000000001</v>
      </c>
      <c r="Z24" s="62">
        <v>0.8125</v>
      </c>
      <c r="AA24" s="62">
        <v>0</v>
      </c>
      <c r="AB24" s="62">
        <v>0.5</v>
      </c>
      <c r="AC24" s="62">
        <v>0</v>
      </c>
      <c r="AD24" s="62">
        <v>0</v>
      </c>
      <c r="AE24" s="62">
        <v>0</v>
      </c>
      <c r="AF24" s="62">
        <v>0.8</v>
      </c>
      <c r="AG24" s="62">
        <v>0.764706</v>
      </c>
      <c r="AH24" s="62">
        <v>0</v>
      </c>
      <c r="AI24" s="62">
        <v>0.75</v>
      </c>
      <c r="AJ24" s="62">
        <v>0</v>
      </c>
      <c r="AK24" s="62">
        <v>0.5625</v>
      </c>
      <c r="AL24" s="62">
        <v>0</v>
      </c>
      <c r="AM24" s="62">
        <v>0.64285700000000001</v>
      </c>
      <c r="AN24" s="62">
        <v>0</v>
      </c>
      <c r="AO24" s="62">
        <v>0.6</v>
      </c>
      <c r="AR24" t="s">
        <v>303</v>
      </c>
      <c r="AS24" t="s">
        <v>384</v>
      </c>
      <c r="AT24">
        <v>0</v>
      </c>
      <c r="AU24">
        <v>1</v>
      </c>
      <c r="AV24">
        <v>0</v>
      </c>
      <c r="AW24">
        <v>12</v>
      </c>
    </row>
    <row r="25" spans="1:49" x14ac:dyDescent="0.25">
      <c r="A25" s="58">
        <v>24</v>
      </c>
      <c r="B25" s="62">
        <v>0</v>
      </c>
      <c r="C25" s="62">
        <v>0.66666700000000001</v>
      </c>
      <c r="D25" s="62">
        <v>0.75</v>
      </c>
      <c r="E25" s="62">
        <v>0.73333300000000001</v>
      </c>
      <c r="F25" s="62">
        <v>0.6875</v>
      </c>
      <c r="G25" s="62">
        <v>0.61538499999999996</v>
      </c>
      <c r="H25" s="62">
        <v>0.6875</v>
      </c>
      <c r="I25" s="62">
        <v>0</v>
      </c>
      <c r="J25" s="62">
        <v>0.73333300000000001</v>
      </c>
      <c r="K25" s="62">
        <v>0.538462</v>
      </c>
      <c r="L25" s="62">
        <v>0.5</v>
      </c>
      <c r="M25" s="62">
        <v>0.73333300000000001</v>
      </c>
      <c r="N25" s="62">
        <v>0.5</v>
      </c>
      <c r="O25" s="62">
        <v>0</v>
      </c>
      <c r="P25" s="62">
        <v>0.66666700000000001</v>
      </c>
      <c r="Q25" s="62">
        <v>0</v>
      </c>
      <c r="R25" s="62">
        <v>0.70588200000000001</v>
      </c>
      <c r="S25" s="62">
        <v>0</v>
      </c>
      <c r="T25" s="62">
        <v>0.5625</v>
      </c>
      <c r="U25" s="62">
        <v>0.41666700000000001</v>
      </c>
      <c r="V25" s="62">
        <v>0</v>
      </c>
      <c r="W25" s="62">
        <v>0.38461499999999998</v>
      </c>
      <c r="X25" s="62">
        <v>0.66666700000000001</v>
      </c>
      <c r="Y25" s="62">
        <v>1</v>
      </c>
      <c r="Z25" s="62">
        <v>0.75</v>
      </c>
      <c r="AA25" s="62">
        <v>0</v>
      </c>
      <c r="AB25" s="62">
        <v>0.538462</v>
      </c>
      <c r="AC25" s="62">
        <v>0</v>
      </c>
      <c r="AD25" s="62">
        <v>0</v>
      </c>
      <c r="AE25" s="62">
        <v>0</v>
      </c>
      <c r="AF25" s="62">
        <v>0.85714299999999999</v>
      </c>
      <c r="AG25" s="62">
        <v>0.70588200000000001</v>
      </c>
      <c r="AH25" s="62">
        <v>0</v>
      </c>
      <c r="AI25" s="62">
        <v>0.8</v>
      </c>
      <c r="AJ25" s="62">
        <v>0</v>
      </c>
      <c r="AK25" s="62">
        <v>0.71428599999999998</v>
      </c>
      <c r="AL25" s="62">
        <v>0</v>
      </c>
      <c r="AM25" s="62">
        <v>0.466667</v>
      </c>
      <c r="AN25" s="62">
        <v>0</v>
      </c>
      <c r="AO25" s="62">
        <v>0.769231</v>
      </c>
      <c r="AR25" t="s">
        <v>303</v>
      </c>
      <c r="AS25" t="s">
        <v>386</v>
      </c>
      <c r="AT25">
        <v>0</v>
      </c>
      <c r="AU25">
        <v>1</v>
      </c>
      <c r="AV25">
        <v>0</v>
      </c>
      <c r="AW25">
        <v>16</v>
      </c>
    </row>
    <row r="26" spans="1:49" x14ac:dyDescent="0.25">
      <c r="A26" s="58">
        <v>25</v>
      </c>
      <c r="B26" s="62">
        <v>0</v>
      </c>
      <c r="C26" s="62">
        <v>0.8125</v>
      </c>
      <c r="D26" s="62">
        <v>1</v>
      </c>
      <c r="E26" s="62">
        <v>0.875</v>
      </c>
      <c r="F26" s="62">
        <v>0.82352899999999996</v>
      </c>
      <c r="G26" s="62">
        <v>0.5625</v>
      </c>
      <c r="H26" s="62">
        <v>0.82352899999999996</v>
      </c>
      <c r="I26" s="62">
        <v>0</v>
      </c>
      <c r="J26" s="62">
        <v>0.764706</v>
      </c>
      <c r="K26" s="62">
        <v>0.5</v>
      </c>
      <c r="L26" s="62">
        <v>0.375</v>
      </c>
      <c r="M26" s="62">
        <v>0.764706</v>
      </c>
      <c r="N26" s="62">
        <v>0.375</v>
      </c>
      <c r="O26" s="62">
        <v>0</v>
      </c>
      <c r="P26" s="62">
        <v>0.88888900000000004</v>
      </c>
      <c r="Q26" s="62">
        <v>0</v>
      </c>
      <c r="R26" s="62">
        <v>0.83333299999999999</v>
      </c>
      <c r="S26" s="62">
        <v>0</v>
      </c>
      <c r="T26" s="62">
        <v>0.70588200000000001</v>
      </c>
      <c r="U26" s="62">
        <v>0.3125</v>
      </c>
      <c r="V26" s="62">
        <v>0</v>
      </c>
      <c r="W26" s="62">
        <v>0.375</v>
      </c>
      <c r="X26" s="62">
        <v>0.8125</v>
      </c>
      <c r="Y26" s="62">
        <v>0.75</v>
      </c>
      <c r="Z26" s="62">
        <v>1</v>
      </c>
      <c r="AA26" s="62">
        <v>0</v>
      </c>
      <c r="AB26" s="62">
        <v>0.5</v>
      </c>
      <c r="AC26" s="62">
        <v>0</v>
      </c>
      <c r="AD26" s="62">
        <v>0</v>
      </c>
      <c r="AE26" s="62">
        <v>0</v>
      </c>
      <c r="AF26" s="62">
        <v>0.875</v>
      </c>
      <c r="AG26" s="62">
        <v>0.94117600000000001</v>
      </c>
      <c r="AH26" s="62">
        <v>0</v>
      </c>
      <c r="AI26" s="62">
        <v>0.9375</v>
      </c>
      <c r="AJ26" s="62">
        <v>0</v>
      </c>
      <c r="AK26" s="62">
        <v>0.75</v>
      </c>
      <c r="AL26" s="62">
        <v>0</v>
      </c>
      <c r="AM26" s="62">
        <v>0.625</v>
      </c>
      <c r="AN26" s="62">
        <v>0</v>
      </c>
      <c r="AO26" s="62">
        <v>0.6875</v>
      </c>
      <c r="AR26" t="s">
        <v>303</v>
      </c>
      <c r="AS26" t="s">
        <v>389</v>
      </c>
      <c r="AV26">
        <v>0</v>
      </c>
      <c r="AW26">
        <v>0</v>
      </c>
    </row>
    <row r="27" spans="1:49" x14ac:dyDescent="0.25">
      <c r="A27" s="58">
        <v>26</v>
      </c>
      <c r="B27" s="62">
        <v>0</v>
      </c>
      <c r="C27" s="62">
        <v>0</v>
      </c>
      <c r="D27" s="62">
        <v>0</v>
      </c>
      <c r="E27" s="62">
        <v>0</v>
      </c>
      <c r="F27" s="62">
        <v>0</v>
      </c>
      <c r="G27" s="62">
        <v>0</v>
      </c>
      <c r="H27" s="62">
        <v>0</v>
      </c>
      <c r="I27" s="62">
        <v>0</v>
      </c>
      <c r="J27" s="62">
        <v>0</v>
      </c>
      <c r="K27" s="62">
        <v>0</v>
      </c>
      <c r="L27" s="62">
        <v>0</v>
      </c>
      <c r="M27" s="62">
        <v>0</v>
      </c>
      <c r="N27" s="62">
        <v>0</v>
      </c>
      <c r="O27" s="62">
        <v>0</v>
      </c>
      <c r="P27" s="62">
        <v>0</v>
      </c>
      <c r="Q27" s="62">
        <v>0</v>
      </c>
      <c r="R27" s="62">
        <v>0</v>
      </c>
      <c r="S27" s="62">
        <v>0</v>
      </c>
      <c r="T27" s="62">
        <v>0</v>
      </c>
      <c r="U27" s="62">
        <v>0</v>
      </c>
      <c r="V27" s="62">
        <v>0</v>
      </c>
      <c r="W27" s="62">
        <v>0</v>
      </c>
      <c r="X27" s="62">
        <v>0</v>
      </c>
      <c r="Y27" s="62">
        <v>0</v>
      </c>
      <c r="Z27" s="62">
        <v>0</v>
      </c>
      <c r="AA27" s="62">
        <v>1</v>
      </c>
      <c r="AB27" s="62">
        <v>0</v>
      </c>
      <c r="AC27" s="62">
        <v>0</v>
      </c>
      <c r="AD27" s="62">
        <v>0</v>
      </c>
      <c r="AE27" s="62">
        <v>0</v>
      </c>
      <c r="AF27" s="62">
        <v>0</v>
      </c>
      <c r="AG27" s="62">
        <v>0</v>
      </c>
      <c r="AH27" s="62">
        <v>0</v>
      </c>
      <c r="AI27" s="62">
        <v>0</v>
      </c>
      <c r="AJ27" s="62">
        <v>0</v>
      </c>
      <c r="AK27" s="62">
        <v>0</v>
      </c>
      <c r="AL27" s="62">
        <v>0</v>
      </c>
      <c r="AM27" s="62">
        <v>0</v>
      </c>
      <c r="AN27" s="62">
        <v>0</v>
      </c>
      <c r="AO27" s="62">
        <v>0</v>
      </c>
      <c r="AR27" t="s">
        <v>303</v>
      </c>
      <c r="AS27" t="s">
        <v>393</v>
      </c>
      <c r="AT27">
        <v>0</v>
      </c>
      <c r="AU27">
        <v>1</v>
      </c>
      <c r="AV27">
        <v>0</v>
      </c>
      <c r="AW27">
        <v>8</v>
      </c>
    </row>
    <row r="28" spans="1:49" x14ac:dyDescent="0.25">
      <c r="A28" s="58">
        <v>27</v>
      </c>
      <c r="B28" s="62">
        <v>0</v>
      </c>
      <c r="C28" s="62">
        <v>0.5</v>
      </c>
      <c r="D28" s="62">
        <v>0.5</v>
      </c>
      <c r="E28" s="62">
        <v>0.466667</v>
      </c>
      <c r="F28" s="62">
        <v>0.352941</v>
      </c>
      <c r="G28" s="62">
        <v>0.41666700000000001</v>
      </c>
      <c r="H28" s="62">
        <v>0.4375</v>
      </c>
      <c r="I28" s="62">
        <v>0</v>
      </c>
      <c r="J28" s="62">
        <v>0.466667</v>
      </c>
      <c r="K28" s="62">
        <v>0.6</v>
      </c>
      <c r="L28" s="62">
        <v>0.272727</v>
      </c>
      <c r="M28" s="62">
        <v>0.375</v>
      </c>
      <c r="N28" s="62">
        <v>0.55555600000000005</v>
      </c>
      <c r="O28" s="62">
        <v>0</v>
      </c>
      <c r="P28" s="62">
        <v>0.44444400000000001</v>
      </c>
      <c r="Q28" s="62">
        <v>0</v>
      </c>
      <c r="R28" s="62">
        <v>0.47058800000000001</v>
      </c>
      <c r="S28" s="62">
        <v>0</v>
      </c>
      <c r="T28" s="62">
        <v>0.3125</v>
      </c>
      <c r="U28" s="62">
        <v>0.3</v>
      </c>
      <c r="V28" s="62">
        <v>0</v>
      </c>
      <c r="W28" s="62">
        <v>0.16666700000000001</v>
      </c>
      <c r="X28" s="62">
        <v>0.5</v>
      </c>
      <c r="Y28" s="62">
        <v>0.538462</v>
      </c>
      <c r="Z28" s="62">
        <v>0.5</v>
      </c>
      <c r="AA28" s="62">
        <v>0</v>
      </c>
      <c r="AB28" s="62">
        <v>1</v>
      </c>
      <c r="AC28" s="62">
        <v>0</v>
      </c>
      <c r="AD28" s="62">
        <v>0</v>
      </c>
      <c r="AE28" s="62">
        <v>0</v>
      </c>
      <c r="AF28" s="62">
        <v>0.57142899999999996</v>
      </c>
      <c r="AG28" s="62">
        <v>0.47058800000000001</v>
      </c>
      <c r="AH28" s="62">
        <v>0</v>
      </c>
      <c r="AI28" s="62">
        <v>0.4375</v>
      </c>
      <c r="AJ28" s="62">
        <v>0</v>
      </c>
      <c r="AK28" s="62">
        <v>0.33333299999999999</v>
      </c>
      <c r="AL28" s="62">
        <v>0</v>
      </c>
      <c r="AM28" s="62">
        <v>0.28571400000000002</v>
      </c>
      <c r="AN28" s="62">
        <v>0</v>
      </c>
      <c r="AO28" s="62">
        <v>0.461538</v>
      </c>
      <c r="AR28" t="s">
        <v>303</v>
      </c>
      <c r="AS28" t="s">
        <v>396</v>
      </c>
      <c r="AV28">
        <v>0</v>
      </c>
      <c r="AW28">
        <v>0</v>
      </c>
    </row>
    <row r="29" spans="1:49" x14ac:dyDescent="0.25">
      <c r="A29" s="58">
        <v>28</v>
      </c>
      <c r="B29" s="62">
        <v>0</v>
      </c>
      <c r="C29" s="62">
        <v>0</v>
      </c>
      <c r="D29" s="62">
        <v>0</v>
      </c>
      <c r="E29" s="62">
        <v>0</v>
      </c>
      <c r="F29" s="62">
        <v>0</v>
      </c>
      <c r="G29" s="62">
        <v>0</v>
      </c>
      <c r="H29" s="62">
        <v>0</v>
      </c>
      <c r="I29" s="62">
        <v>0</v>
      </c>
      <c r="J29" s="62">
        <v>0</v>
      </c>
      <c r="K29" s="62">
        <v>0</v>
      </c>
      <c r="L29" s="62">
        <v>0</v>
      </c>
      <c r="M29" s="62">
        <v>0</v>
      </c>
      <c r="N29" s="62">
        <v>0</v>
      </c>
      <c r="O29" s="62">
        <v>0</v>
      </c>
      <c r="P29" s="62">
        <v>0</v>
      </c>
      <c r="Q29" s="62">
        <v>0</v>
      </c>
      <c r="R29" s="62">
        <v>0</v>
      </c>
      <c r="S29" s="62">
        <v>0</v>
      </c>
      <c r="T29" s="62">
        <v>0</v>
      </c>
      <c r="U29" s="62">
        <v>0</v>
      </c>
      <c r="V29" s="62">
        <v>0</v>
      </c>
      <c r="W29" s="62">
        <v>0</v>
      </c>
      <c r="X29" s="62">
        <v>0</v>
      </c>
      <c r="Y29" s="62">
        <v>0</v>
      </c>
      <c r="Z29" s="62">
        <v>0</v>
      </c>
      <c r="AA29" s="62">
        <v>0</v>
      </c>
      <c r="AB29" s="62">
        <v>0</v>
      </c>
      <c r="AC29" s="62">
        <v>1</v>
      </c>
      <c r="AD29" s="62">
        <v>0</v>
      </c>
      <c r="AE29" s="62">
        <v>0</v>
      </c>
      <c r="AF29" s="62">
        <v>0</v>
      </c>
      <c r="AG29" s="62">
        <v>0</v>
      </c>
      <c r="AH29" s="62">
        <v>0</v>
      </c>
      <c r="AI29" s="62">
        <v>0</v>
      </c>
      <c r="AJ29" s="62">
        <v>0</v>
      </c>
      <c r="AK29" s="62">
        <v>0</v>
      </c>
      <c r="AL29" s="62">
        <v>0</v>
      </c>
      <c r="AM29" s="62">
        <v>0</v>
      </c>
      <c r="AN29" s="62">
        <v>0</v>
      </c>
      <c r="AO29" s="62">
        <v>0</v>
      </c>
      <c r="AR29" t="s">
        <v>303</v>
      </c>
      <c r="AS29" t="s">
        <v>399</v>
      </c>
      <c r="AV29">
        <v>0</v>
      </c>
      <c r="AW29">
        <v>0</v>
      </c>
    </row>
    <row r="30" spans="1:49" x14ac:dyDescent="0.25">
      <c r="A30" s="58">
        <v>29</v>
      </c>
      <c r="B30" s="62">
        <v>0</v>
      </c>
      <c r="C30" s="62">
        <v>0</v>
      </c>
      <c r="D30" s="62">
        <v>0</v>
      </c>
      <c r="E30" s="62">
        <v>0</v>
      </c>
      <c r="F30" s="62">
        <v>0</v>
      </c>
      <c r="G30" s="62">
        <v>0</v>
      </c>
      <c r="H30" s="62">
        <v>0</v>
      </c>
      <c r="I30" s="62">
        <v>0</v>
      </c>
      <c r="J30" s="62">
        <v>0</v>
      </c>
      <c r="K30" s="62">
        <v>0</v>
      </c>
      <c r="L30" s="62">
        <v>0</v>
      </c>
      <c r="M30" s="62">
        <v>0</v>
      </c>
      <c r="N30" s="62">
        <v>0</v>
      </c>
      <c r="O30" s="62">
        <v>0</v>
      </c>
      <c r="P30" s="62">
        <v>0</v>
      </c>
      <c r="Q30" s="62">
        <v>0</v>
      </c>
      <c r="R30" s="62">
        <v>0</v>
      </c>
      <c r="S30" s="62">
        <v>0</v>
      </c>
      <c r="T30" s="62">
        <v>0</v>
      </c>
      <c r="U30" s="62">
        <v>0</v>
      </c>
      <c r="V30" s="62">
        <v>0</v>
      </c>
      <c r="W30" s="62">
        <v>0</v>
      </c>
      <c r="X30" s="62">
        <v>0</v>
      </c>
      <c r="Y30" s="62">
        <v>0</v>
      </c>
      <c r="Z30" s="62">
        <v>0</v>
      </c>
      <c r="AA30" s="62">
        <v>0</v>
      </c>
      <c r="AB30" s="62">
        <v>0</v>
      </c>
      <c r="AC30" s="62">
        <v>0</v>
      </c>
      <c r="AD30" s="62">
        <v>1</v>
      </c>
      <c r="AE30" s="62">
        <v>0</v>
      </c>
      <c r="AF30" s="62">
        <v>0</v>
      </c>
      <c r="AG30" s="62">
        <v>0</v>
      </c>
      <c r="AH30" s="62">
        <v>0</v>
      </c>
      <c r="AI30" s="62">
        <v>0</v>
      </c>
      <c r="AJ30" s="62">
        <v>0</v>
      </c>
      <c r="AK30" s="62">
        <v>0</v>
      </c>
      <c r="AL30" s="62">
        <v>0</v>
      </c>
      <c r="AM30" s="62">
        <v>0</v>
      </c>
      <c r="AN30" s="62">
        <v>0</v>
      </c>
      <c r="AO30" s="62">
        <v>0</v>
      </c>
      <c r="AR30" t="s">
        <v>303</v>
      </c>
      <c r="AS30" t="s">
        <v>402</v>
      </c>
      <c r="AV30">
        <v>0</v>
      </c>
      <c r="AW30">
        <v>0</v>
      </c>
    </row>
    <row r="31" spans="1:49" x14ac:dyDescent="0.25">
      <c r="A31" s="58">
        <v>30</v>
      </c>
      <c r="B31" s="62">
        <v>0</v>
      </c>
      <c r="C31" s="62">
        <v>0</v>
      </c>
      <c r="D31" s="62">
        <v>0</v>
      </c>
      <c r="E31" s="62">
        <v>0</v>
      </c>
      <c r="F31" s="62">
        <v>0</v>
      </c>
      <c r="G31" s="62">
        <v>0</v>
      </c>
      <c r="H31" s="62">
        <v>0</v>
      </c>
      <c r="I31" s="62">
        <v>0</v>
      </c>
      <c r="J31" s="62">
        <v>0</v>
      </c>
      <c r="K31" s="62">
        <v>0</v>
      </c>
      <c r="L31" s="62">
        <v>0</v>
      </c>
      <c r="M31" s="62">
        <v>0</v>
      </c>
      <c r="N31" s="62">
        <v>0</v>
      </c>
      <c r="O31" s="62">
        <v>0</v>
      </c>
      <c r="P31" s="62">
        <v>0</v>
      </c>
      <c r="Q31" s="62">
        <v>0</v>
      </c>
      <c r="R31" s="62">
        <v>0</v>
      </c>
      <c r="S31" s="62">
        <v>0</v>
      </c>
      <c r="T31" s="62">
        <v>0</v>
      </c>
      <c r="U31" s="62">
        <v>0</v>
      </c>
      <c r="V31" s="62">
        <v>0</v>
      </c>
      <c r="W31" s="62">
        <v>0</v>
      </c>
      <c r="X31" s="62">
        <v>0</v>
      </c>
      <c r="Y31" s="62">
        <v>0</v>
      </c>
      <c r="Z31" s="62">
        <v>0</v>
      </c>
      <c r="AA31" s="62">
        <v>0</v>
      </c>
      <c r="AB31" s="62">
        <v>0</v>
      </c>
      <c r="AC31" s="62">
        <v>0</v>
      </c>
      <c r="AD31" s="62">
        <v>0</v>
      </c>
      <c r="AE31" s="62">
        <v>1</v>
      </c>
      <c r="AF31" s="62">
        <v>0</v>
      </c>
      <c r="AG31" s="62">
        <v>0</v>
      </c>
      <c r="AH31" s="62">
        <v>0</v>
      </c>
      <c r="AI31" s="62">
        <v>0</v>
      </c>
      <c r="AJ31" s="62">
        <v>0</v>
      </c>
      <c r="AK31" s="62">
        <v>0</v>
      </c>
      <c r="AL31" s="62">
        <v>0</v>
      </c>
      <c r="AM31" s="62">
        <v>0</v>
      </c>
      <c r="AN31" s="62">
        <v>0</v>
      </c>
      <c r="AO31" s="62">
        <v>0</v>
      </c>
      <c r="AR31" t="s">
        <v>303</v>
      </c>
      <c r="AS31" t="s">
        <v>406</v>
      </c>
      <c r="AT31">
        <v>0</v>
      </c>
      <c r="AU31">
        <v>1</v>
      </c>
      <c r="AV31">
        <v>0</v>
      </c>
      <c r="AW31">
        <v>14</v>
      </c>
    </row>
    <row r="32" spans="1:49" x14ac:dyDescent="0.25">
      <c r="A32" s="58">
        <v>31</v>
      </c>
      <c r="B32" s="62">
        <v>0</v>
      </c>
      <c r="C32" s="62">
        <v>0.8</v>
      </c>
      <c r="D32" s="62">
        <v>0.875</v>
      </c>
      <c r="E32" s="62">
        <v>0.75</v>
      </c>
      <c r="F32" s="62">
        <v>0.70588200000000001</v>
      </c>
      <c r="G32" s="62">
        <v>0.64285700000000001</v>
      </c>
      <c r="H32" s="62">
        <v>0.8125</v>
      </c>
      <c r="I32" s="62">
        <v>0</v>
      </c>
      <c r="J32" s="62">
        <v>0.75</v>
      </c>
      <c r="K32" s="62">
        <v>0.466667</v>
      </c>
      <c r="L32" s="62">
        <v>0.42857099999999998</v>
      </c>
      <c r="M32" s="62">
        <v>0.64705900000000005</v>
      </c>
      <c r="N32" s="62">
        <v>0.42857099999999998</v>
      </c>
      <c r="O32" s="62">
        <v>0</v>
      </c>
      <c r="P32" s="62">
        <v>0.77777799999999997</v>
      </c>
      <c r="Q32" s="62">
        <v>0</v>
      </c>
      <c r="R32" s="62">
        <v>0.72222200000000003</v>
      </c>
      <c r="S32" s="62">
        <v>0</v>
      </c>
      <c r="T32" s="62">
        <v>0.58823499999999995</v>
      </c>
      <c r="U32" s="62">
        <v>0.35714299999999999</v>
      </c>
      <c r="V32" s="62">
        <v>0</v>
      </c>
      <c r="W32" s="62">
        <v>0.33333299999999999</v>
      </c>
      <c r="X32" s="62">
        <v>0.8</v>
      </c>
      <c r="Y32" s="62">
        <v>0.85714299999999999</v>
      </c>
      <c r="Z32" s="62">
        <v>0.875</v>
      </c>
      <c r="AA32" s="62">
        <v>0</v>
      </c>
      <c r="AB32" s="62">
        <v>0.57142899999999996</v>
      </c>
      <c r="AC32" s="62">
        <v>0</v>
      </c>
      <c r="AD32" s="62">
        <v>0</v>
      </c>
      <c r="AE32" s="62">
        <v>0</v>
      </c>
      <c r="AF32" s="62">
        <v>1</v>
      </c>
      <c r="AG32" s="62">
        <v>0.82352899999999996</v>
      </c>
      <c r="AH32" s="62">
        <v>0</v>
      </c>
      <c r="AI32" s="62">
        <v>0.8125</v>
      </c>
      <c r="AJ32" s="62">
        <v>0</v>
      </c>
      <c r="AK32" s="62">
        <v>0.625</v>
      </c>
      <c r="AL32" s="62">
        <v>0</v>
      </c>
      <c r="AM32" s="62">
        <v>0.6</v>
      </c>
      <c r="AN32" s="62">
        <v>0</v>
      </c>
      <c r="AO32" s="62">
        <v>0.66666700000000001</v>
      </c>
      <c r="AR32" t="s">
        <v>303</v>
      </c>
      <c r="AS32" t="s">
        <v>407</v>
      </c>
      <c r="AT32">
        <v>0</v>
      </c>
      <c r="AU32">
        <v>1</v>
      </c>
      <c r="AV32">
        <v>0</v>
      </c>
      <c r="AW32">
        <v>17</v>
      </c>
    </row>
    <row r="33" spans="1:49" x14ac:dyDescent="0.25">
      <c r="A33" s="58">
        <v>32</v>
      </c>
      <c r="B33" s="62">
        <v>0</v>
      </c>
      <c r="C33" s="62">
        <v>0.764706</v>
      </c>
      <c r="D33" s="62">
        <v>0.94117600000000001</v>
      </c>
      <c r="E33" s="62">
        <v>0.82352899999999996</v>
      </c>
      <c r="F33" s="62">
        <v>0.77777799999999997</v>
      </c>
      <c r="G33" s="62">
        <v>0.52941199999999999</v>
      </c>
      <c r="H33" s="62">
        <v>0.77777799999999997</v>
      </c>
      <c r="I33" s="62">
        <v>0</v>
      </c>
      <c r="J33" s="62">
        <v>0.72222200000000003</v>
      </c>
      <c r="K33" s="62">
        <v>0.47058800000000001</v>
      </c>
      <c r="L33" s="62">
        <v>0.352941</v>
      </c>
      <c r="M33" s="62">
        <v>0.72222200000000003</v>
      </c>
      <c r="N33" s="62">
        <v>0.352941</v>
      </c>
      <c r="O33" s="62">
        <v>0</v>
      </c>
      <c r="P33" s="62">
        <v>0.94444399999999995</v>
      </c>
      <c r="Q33" s="62">
        <v>0</v>
      </c>
      <c r="R33" s="62">
        <v>0.88888900000000004</v>
      </c>
      <c r="S33" s="62">
        <v>0</v>
      </c>
      <c r="T33" s="62">
        <v>0.66666700000000001</v>
      </c>
      <c r="U33" s="62">
        <v>0.29411799999999999</v>
      </c>
      <c r="V33" s="62">
        <v>0</v>
      </c>
      <c r="W33" s="62">
        <v>0.352941</v>
      </c>
      <c r="X33" s="62">
        <v>0.764706</v>
      </c>
      <c r="Y33" s="62">
        <v>0.70588200000000001</v>
      </c>
      <c r="Z33" s="62">
        <v>0.94117600000000001</v>
      </c>
      <c r="AA33" s="62">
        <v>0</v>
      </c>
      <c r="AB33" s="62">
        <v>0.47058800000000001</v>
      </c>
      <c r="AC33" s="62">
        <v>0</v>
      </c>
      <c r="AD33" s="62">
        <v>0</v>
      </c>
      <c r="AE33" s="62">
        <v>0</v>
      </c>
      <c r="AF33" s="62">
        <v>0.82352899999999996</v>
      </c>
      <c r="AG33" s="62">
        <v>1</v>
      </c>
      <c r="AH33" s="62">
        <v>0</v>
      </c>
      <c r="AI33" s="62">
        <v>0.88235300000000005</v>
      </c>
      <c r="AJ33" s="62">
        <v>0</v>
      </c>
      <c r="AK33" s="62">
        <v>0.70588200000000001</v>
      </c>
      <c r="AL33" s="62">
        <v>0</v>
      </c>
      <c r="AM33" s="62">
        <v>0.58823499999999995</v>
      </c>
      <c r="AN33" s="62">
        <v>0</v>
      </c>
      <c r="AO33" s="62">
        <v>0.64705900000000005</v>
      </c>
      <c r="AR33" t="s">
        <v>303</v>
      </c>
      <c r="AS33" t="s">
        <v>410</v>
      </c>
      <c r="AV33">
        <v>0</v>
      </c>
      <c r="AW33">
        <v>0</v>
      </c>
    </row>
    <row r="34" spans="1:49" x14ac:dyDescent="0.25">
      <c r="A34" s="58">
        <v>33</v>
      </c>
      <c r="B34" s="62">
        <v>0</v>
      </c>
      <c r="C34" s="62">
        <v>0</v>
      </c>
      <c r="D34" s="62">
        <v>0</v>
      </c>
      <c r="E34" s="62">
        <v>0</v>
      </c>
      <c r="F34" s="62">
        <v>0</v>
      </c>
      <c r="G34" s="62">
        <v>0</v>
      </c>
      <c r="H34" s="62">
        <v>0</v>
      </c>
      <c r="I34" s="62">
        <v>0</v>
      </c>
      <c r="J34" s="62">
        <v>0</v>
      </c>
      <c r="K34" s="62">
        <v>0</v>
      </c>
      <c r="L34" s="62">
        <v>0</v>
      </c>
      <c r="M34" s="62">
        <v>0</v>
      </c>
      <c r="N34" s="62">
        <v>0</v>
      </c>
      <c r="O34" s="62">
        <v>0</v>
      </c>
      <c r="P34" s="62">
        <v>0</v>
      </c>
      <c r="Q34" s="62">
        <v>0</v>
      </c>
      <c r="R34" s="62">
        <v>0</v>
      </c>
      <c r="S34" s="62">
        <v>0</v>
      </c>
      <c r="T34" s="62">
        <v>0</v>
      </c>
      <c r="U34" s="62">
        <v>0</v>
      </c>
      <c r="V34" s="62">
        <v>0</v>
      </c>
      <c r="W34" s="62">
        <v>0</v>
      </c>
      <c r="X34" s="62">
        <v>0</v>
      </c>
      <c r="Y34" s="62">
        <v>0</v>
      </c>
      <c r="Z34" s="62">
        <v>0</v>
      </c>
      <c r="AA34" s="62">
        <v>0</v>
      </c>
      <c r="AB34" s="62">
        <v>0</v>
      </c>
      <c r="AC34" s="62">
        <v>0</v>
      </c>
      <c r="AD34" s="62">
        <v>0</v>
      </c>
      <c r="AE34" s="62">
        <v>0</v>
      </c>
      <c r="AF34" s="62">
        <v>0</v>
      </c>
      <c r="AG34" s="62">
        <v>0</v>
      </c>
      <c r="AH34" s="62">
        <v>1</v>
      </c>
      <c r="AI34" s="62">
        <v>0</v>
      </c>
      <c r="AJ34" s="62">
        <v>0</v>
      </c>
      <c r="AK34" s="62">
        <v>0</v>
      </c>
      <c r="AL34" s="62">
        <v>0</v>
      </c>
      <c r="AM34" s="62">
        <v>0</v>
      </c>
      <c r="AN34" s="62">
        <v>0</v>
      </c>
      <c r="AO34" s="62">
        <v>0</v>
      </c>
      <c r="AR34" t="s">
        <v>303</v>
      </c>
      <c r="AS34" t="s">
        <v>413</v>
      </c>
      <c r="AT34">
        <v>0</v>
      </c>
      <c r="AU34">
        <v>1</v>
      </c>
      <c r="AV34">
        <v>0</v>
      </c>
      <c r="AW34">
        <v>15</v>
      </c>
    </row>
    <row r="35" spans="1:49" x14ac:dyDescent="0.25">
      <c r="A35" s="58">
        <v>34</v>
      </c>
      <c r="B35" s="62">
        <v>0</v>
      </c>
      <c r="C35" s="62">
        <v>0.75</v>
      </c>
      <c r="D35" s="62">
        <v>0.9375</v>
      </c>
      <c r="E35" s="62">
        <v>0.8125</v>
      </c>
      <c r="F35" s="62">
        <v>0.875</v>
      </c>
      <c r="G35" s="62">
        <v>0.6</v>
      </c>
      <c r="H35" s="62">
        <v>0.764706</v>
      </c>
      <c r="I35" s="62">
        <v>0</v>
      </c>
      <c r="J35" s="62">
        <v>0.70588200000000001</v>
      </c>
      <c r="K35" s="62">
        <v>0.53333299999999995</v>
      </c>
      <c r="L35" s="62">
        <v>0.4</v>
      </c>
      <c r="M35" s="62">
        <v>0.8125</v>
      </c>
      <c r="N35" s="62">
        <v>0.4</v>
      </c>
      <c r="O35" s="62">
        <v>0</v>
      </c>
      <c r="P35" s="62">
        <v>0.83333299999999999</v>
      </c>
      <c r="Q35" s="62">
        <v>0</v>
      </c>
      <c r="R35" s="62">
        <v>0.77777799999999997</v>
      </c>
      <c r="S35" s="62">
        <v>0</v>
      </c>
      <c r="T35" s="62">
        <v>0.75</v>
      </c>
      <c r="U35" s="62">
        <v>0.33333299999999999</v>
      </c>
      <c r="V35" s="62">
        <v>0</v>
      </c>
      <c r="W35" s="62">
        <v>0.4</v>
      </c>
      <c r="X35" s="62">
        <v>0.75</v>
      </c>
      <c r="Y35" s="62">
        <v>0.8</v>
      </c>
      <c r="Z35" s="62">
        <v>0.9375</v>
      </c>
      <c r="AA35" s="62">
        <v>0</v>
      </c>
      <c r="AB35" s="62">
        <v>0.4375</v>
      </c>
      <c r="AC35" s="62">
        <v>0</v>
      </c>
      <c r="AD35" s="62">
        <v>0</v>
      </c>
      <c r="AE35" s="62">
        <v>0</v>
      </c>
      <c r="AF35" s="62">
        <v>0.8125</v>
      </c>
      <c r="AG35" s="62">
        <v>0.88235300000000005</v>
      </c>
      <c r="AH35" s="62">
        <v>0</v>
      </c>
      <c r="AI35" s="62">
        <v>1</v>
      </c>
      <c r="AJ35" s="62">
        <v>0</v>
      </c>
      <c r="AK35" s="62">
        <v>0.8</v>
      </c>
      <c r="AL35" s="62">
        <v>0</v>
      </c>
      <c r="AM35" s="62">
        <v>0.5625</v>
      </c>
      <c r="AN35" s="62">
        <v>0</v>
      </c>
      <c r="AO35" s="62">
        <v>0.73333300000000001</v>
      </c>
      <c r="AR35" t="s">
        <v>303</v>
      </c>
      <c r="AS35" t="s">
        <v>416</v>
      </c>
      <c r="AV35">
        <v>0</v>
      </c>
      <c r="AW35">
        <v>0</v>
      </c>
    </row>
    <row r="36" spans="1:49" x14ac:dyDescent="0.25">
      <c r="A36" s="58">
        <v>35</v>
      </c>
      <c r="B36" s="62">
        <v>0</v>
      </c>
      <c r="C36" s="62">
        <v>0</v>
      </c>
      <c r="D36" s="62">
        <v>0</v>
      </c>
      <c r="E36" s="62">
        <v>0</v>
      </c>
      <c r="F36" s="62">
        <v>0</v>
      </c>
      <c r="G36" s="62">
        <v>0</v>
      </c>
      <c r="H36" s="62">
        <v>0</v>
      </c>
      <c r="I36" s="62">
        <v>0</v>
      </c>
      <c r="J36" s="62">
        <v>0</v>
      </c>
      <c r="K36" s="62">
        <v>0</v>
      </c>
      <c r="L36" s="62">
        <v>0</v>
      </c>
      <c r="M36" s="62">
        <v>0</v>
      </c>
      <c r="N36" s="62">
        <v>0</v>
      </c>
      <c r="O36" s="62">
        <v>0</v>
      </c>
      <c r="P36" s="62">
        <v>0</v>
      </c>
      <c r="Q36" s="62">
        <v>0</v>
      </c>
      <c r="R36" s="62">
        <v>0</v>
      </c>
      <c r="S36" s="62">
        <v>0</v>
      </c>
      <c r="T36" s="62">
        <v>0</v>
      </c>
      <c r="U36" s="62">
        <v>0</v>
      </c>
      <c r="V36" s="62">
        <v>0</v>
      </c>
      <c r="W36" s="62">
        <v>0</v>
      </c>
      <c r="X36" s="62">
        <v>0</v>
      </c>
      <c r="Y36" s="62">
        <v>0</v>
      </c>
      <c r="Z36" s="62">
        <v>0</v>
      </c>
      <c r="AA36" s="62">
        <v>0</v>
      </c>
      <c r="AB36" s="62">
        <v>0</v>
      </c>
      <c r="AC36" s="62">
        <v>0</v>
      </c>
      <c r="AD36" s="62">
        <v>0</v>
      </c>
      <c r="AE36" s="62">
        <v>0</v>
      </c>
      <c r="AF36" s="62">
        <v>0</v>
      </c>
      <c r="AG36" s="62">
        <v>0</v>
      </c>
      <c r="AH36" s="62">
        <v>0</v>
      </c>
      <c r="AI36" s="62">
        <v>0</v>
      </c>
      <c r="AJ36" s="62">
        <v>1</v>
      </c>
      <c r="AK36" s="62">
        <v>0</v>
      </c>
      <c r="AL36" s="62">
        <v>0</v>
      </c>
      <c r="AM36" s="62">
        <v>0</v>
      </c>
      <c r="AN36" s="62">
        <v>0</v>
      </c>
      <c r="AO36" s="62">
        <v>0</v>
      </c>
      <c r="AR36" t="s">
        <v>303</v>
      </c>
      <c r="AS36" t="s">
        <v>420</v>
      </c>
      <c r="AT36">
        <v>0</v>
      </c>
      <c r="AU36">
        <v>1</v>
      </c>
      <c r="AV36">
        <v>0</v>
      </c>
      <c r="AW36">
        <v>12</v>
      </c>
    </row>
    <row r="37" spans="1:49" x14ac:dyDescent="0.25">
      <c r="A37" s="58">
        <v>36</v>
      </c>
      <c r="B37" s="62">
        <v>0</v>
      </c>
      <c r="C37" s="62">
        <v>0.5625</v>
      </c>
      <c r="D37" s="62">
        <v>0.75</v>
      </c>
      <c r="E37" s="62">
        <v>0.85714299999999999</v>
      </c>
      <c r="F37" s="62">
        <v>0.8</v>
      </c>
      <c r="G37" s="62">
        <v>0.5</v>
      </c>
      <c r="H37" s="62">
        <v>0.58823499999999995</v>
      </c>
      <c r="I37" s="62">
        <v>0</v>
      </c>
      <c r="J37" s="62">
        <v>0.625</v>
      </c>
      <c r="K37" s="62">
        <v>0.42857099999999998</v>
      </c>
      <c r="L37" s="62">
        <v>0.28571400000000002</v>
      </c>
      <c r="M37" s="62">
        <v>0.73333300000000001</v>
      </c>
      <c r="N37" s="62">
        <v>0.28571400000000002</v>
      </c>
      <c r="O37" s="62">
        <v>0</v>
      </c>
      <c r="P37" s="62">
        <v>0.66666700000000001</v>
      </c>
      <c r="Q37" s="62">
        <v>0</v>
      </c>
      <c r="R37" s="62">
        <v>0.70588200000000001</v>
      </c>
      <c r="S37" s="62">
        <v>0</v>
      </c>
      <c r="T37" s="62">
        <v>0.66666700000000001</v>
      </c>
      <c r="U37" s="62">
        <v>0.41666700000000001</v>
      </c>
      <c r="V37" s="62">
        <v>0</v>
      </c>
      <c r="W37" s="62">
        <v>0.5</v>
      </c>
      <c r="X37" s="62">
        <v>0.5625</v>
      </c>
      <c r="Y37" s="62">
        <v>0.71428599999999998</v>
      </c>
      <c r="Z37" s="62">
        <v>0.75</v>
      </c>
      <c r="AA37" s="62">
        <v>0</v>
      </c>
      <c r="AB37" s="62">
        <v>0.33333299999999999</v>
      </c>
      <c r="AC37" s="62">
        <v>0</v>
      </c>
      <c r="AD37" s="62">
        <v>0</v>
      </c>
      <c r="AE37" s="62">
        <v>0</v>
      </c>
      <c r="AF37" s="62">
        <v>0.625</v>
      </c>
      <c r="AG37" s="62">
        <v>0.70588200000000001</v>
      </c>
      <c r="AH37" s="62">
        <v>0</v>
      </c>
      <c r="AI37" s="62">
        <v>0.8</v>
      </c>
      <c r="AJ37" s="62">
        <v>0</v>
      </c>
      <c r="AK37" s="62">
        <v>1</v>
      </c>
      <c r="AL37" s="62">
        <v>0</v>
      </c>
      <c r="AM37" s="62">
        <v>0.466667</v>
      </c>
      <c r="AN37" s="62">
        <v>0</v>
      </c>
      <c r="AO37" s="62">
        <v>0.64285700000000001</v>
      </c>
      <c r="AR37" t="s">
        <v>303</v>
      </c>
      <c r="AS37" t="s">
        <v>422</v>
      </c>
      <c r="AV37">
        <v>0</v>
      </c>
      <c r="AW37">
        <v>0</v>
      </c>
    </row>
    <row r="38" spans="1:49" x14ac:dyDescent="0.25">
      <c r="A38" s="58">
        <v>37</v>
      </c>
      <c r="B38" s="62">
        <v>0</v>
      </c>
      <c r="C38" s="62">
        <v>0</v>
      </c>
      <c r="D38" s="62">
        <v>0</v>
      </c>
      <c r="E38" s="62">
        <v>0</v>
      </c>
      <c r="F38" s="62">
        <v>0</v>
      </c>
      <c r="G38" s="62">
        <v>0</v>
      </c>
      <c r="H38" s="62">
        <v>0</v>
      </c>
      <c r="I38" s="62">
        <v>0</v>
      </c>
      <c r="J38" s="62">
        <v>0</v>
      </c>
      <c r="K38" s="62">
        <v>0</v>
      </c>
      <c r="L38" s="62">
        <v>0</v>
      </c>
      <c r="M38" s="62">
        <v>0</v>
      </c>
      <c r="N38" s="62">
        <v>0</v>
      </c>
      <c r="O38" s="62">
        <v>0</v>
      </c>
      <c r="P38" s="62">
        <v>0</v>
      </c>
      <c r="Q38" s="62">
        <v>0</v>
      </c>
      <c r="R38" s="62">
        <v>0</v>
      </c>
      <c r="S38" s="62">
        <v>0</v>
      </c>
      <c r="T38" s="62">
        <v>0</v>
      </c>
      <c r="U38" s="62">
        <v>0</v>
      </c>
      <c r="V38" s="62">
        <v>0</v>
      </c>
      <c r="W38" s="62">
        <v>0</v>
      </c>
      <c r="X38" s="62">
        <v>0</v>
      </c>
      <c r="Y38" s="62">
        <v>0</v>
      </c>
      <c r="Z38" s="62">
        <v>0</v>
      </c>
      <c r="AA38" s="62">
        <v>0</v>
      </c>
      <c r="AB38" s="62">
        <v>0</v>
      </c>
      <c r="AC38" s="62">
        <v>0</v>
      </c>
      <c r="AD38" s="62">
        <v>0</v>
      </c>
      <c r="AE38" s="62">
        <v>0</v>
      </c>
      <c r="AF38" s="62">
        <v>0</v>
      </c>
      <c r="AG38" s="62">
        <v>0</v>
      </c>
      <c r="AH38" s="62">
        <v>0</v>
      </c>
      <c r="AI38" s="62">
        <v>0</v>
      </c>
      <c r="AJ38" s="62">
        <v>0</v>
      </c>
      <c r="AK38" s="62">
        <v>0</v>
      </c>
      <c r="AL38" s="62">
        <v>1</v>
      </c>
      <c r="AM38" s="62">
        <v>0</v>
      </c>
      <c r="AN38" s="62">
        <v>0</v>
      </c>
      <c r="AO38" s="62">
        <v>0</v>
      </c>
      <c r="AR38" t="s">
        <v>303</v>
      </c>
      <c r="AS38" t="s">
        <v>425</v>
      </c>
      <c r="AT38">
        <v>0</v>
      </c>
      <c r="AU38">
        <v>1</v>
      </c>
      <c r="AV38">
        <v>0</v>
      </c>
      <c r="AW38">
        <v>10</v>
      </c>
    </row>
    <row r="39" spans="1:49" x14ac:dyDescent="0.25">
      <c r="A39" s="58">
        <v>38</v>
      </c>
      <c r="B39" s="62">
        <v>0</v>
      </c>
      <c r="C39" s="62">
        <v>0.769231</v>
      </c>
      <c r="D39" s="62">
        <v>0.625</v>
      </c>
      <c r="E39" s="62">
        <v>0.6</v>
      </c>
      <c r="F39" s="62">
        <v>0.5625</v>
      </c>
      <c r="G39" s="62">
        <v>0.461538</v>
      </c>
      <c r="H39" s="62">
        <v>0.5625</v>
      </c>
      <c r="I39" s="62">
        <v>0</v>
      </c>
      <c r="J39" s="62">
        <v>0.6</v>
      </c>
      <c r="K39" s="62">
        <v>0.38461499999999998</v>
      </c>
      <c r="L39" s="62">
        <v>0.33333299999999999</v>
      </c>
      <c r="M39" s="62">
        <v>0.5</v>
      </c>
      <c r="N39" s="62">
        <v>0.230769</v>
      </c>
      <c r="O39" s="62">
        <v>0</v>
      </c>
      <c r="P39" s="62">
        <v>0.55555600000000005</v>
      </c>
      <c r="Q39" s="62">
        <v>0</v>
      </c>
      <c r="R39" s="62">
        <v>0.5</v>
      </c>
      <c r="S39" s="62">
        <v>0</v>
      </c>
      <c r="T39" s="62">
        <v>0.53333299999999995</v>
      </c>
      <c r="U39" s="62">
        <v>0.25</v>
      </c>
      <c r="V39" s="62">
        <v>0</v>
      </c>
      <c r="W39" s="62">
        <v>0.6</v>
      </c>
      <c r="X39" s="62">
        <v>0.64285700000000001</v>
      </c>
      <c r="Y39" s="62">
        <v>0.466667</v>
      </c>
      <c r="Z39" s="62">
        <v>0.625</v>
      </c>
      <c r="AA39" s="62">
        <v>0</v>
      </c>
      <c r="AB39" s="62">
        <v>0.28571400000000002</v>
      </c>
      <c r="AC39" s="62">
        <v>0</v>
      </c>
      <c r="AD39" s="62">
        <v>0</v>
      </c>
      <c r="AE39" s="62">
        <v>0</v>
      </c>
      <c r="AF39" s="62">
        <v>0.6</v>
      </c>
      <c r="AG39" s="62">
        <v>0.58823499999999995</v>
      </c>
      <c r="AH39" s="62">
        <v>0</v>
      </c>
      <c r="AI39" s="62">
        <v>0.5625</v>
      </c>
      <c r="AJ39" s="62">
        <v>0</v>
      </c>
      <c r="AK39" s="62">
        <v>0.466667</v>
      </c>
      <c r="AL39" s="62">
        <v>0</v>
      </c>
      <c r="AM39" s="62">
        <v>1</v>
      </c>
      <c r="AN39" s="62">
        <v>0</v>
      </c>
      <c r="AO39" s="62">
        <v>0.61538499999999996</v>
      </c>
      <c r="AR39" t="s">
        <v>303</v>
      </c>
      <c r="AS39" t="s">
        <v>427</v>
      </c>
      <c r="AV39">
        <v>0</v>
      </c>
      <c r="AW39">
        <v>0</v>
      </c>
    </row>
    <row r="40" spans="1:49" x14ac:dyDescent="0.25">
      <c r="A40" s="58">
        <v>39</v>
      </c>
      <c r="B40" s="62">
        <v>0</v>
      </c>
      <c r="C40" s="62">
        <v>0</v>
      </c>
      <c r="D40" s="62">
        <v>0</v>
      </c>
      <c r="E40" s="62">
        <v>0</v>
      </c>
      <c r="F40" s="62">
        <v>0</v>
      </c>
      <c r="G40" s="62">
        <v>0</v>
      </c>
      <c r="H40" s="62">
        <v>0</v>
      </c>
      <c r="I40" s="62">
        <v>0</v>
      </c>
      <c r="J40" s="62">
        <v>0</v>
      </c>
      <c r="K40" s="62">
        <v>0</v>
      </c>
      <c r="L40" s="62">
        <v>0</v>
      </c>
      <c r="M40" s="62">
        <v>0</v>
      </c>
      <c r="N40" s="62">
        <v>0</v>
      </c>
      <c r="O40" s="62">
        <v>0</v>
      </c>
      <c r="P40" s="62">
        <v>0</v>
      </c>
      <c r="Q40" s="62">
        <v>0</v>
      </c>
      <c r="R40" s="62">
        <v>0</v>
      </c>
      <c r="S40" s="62">
        <v>0</v>
      </c>
      <c r="T40" s="62">
        <v>0</v>
      </c>
      <c r="U40" s="62">
        <v>0</v>
      </c>
      <c r="V40" s="62">
        <v>0</v>
      </c>
      <c r="W40" s="62">
        <v>0</v>
      </c>
      <c r="X40" s="62">
        <v>0</v>
      </c>
      <c r="Y40" s="62">
        <v>0</v>
      </c>
      <c r="Z40" s="62">
        <v>0</v>
      </c>
      <c r="AA40" s="62">
        <v>0</v>
      </c>
      <c r="AB40" s="62">
        <v>0</v>
      </c>
      <c r="AC40" s="62">
        <v>0</v>
      </c>
      <c r="AD40" s="62">
        <v>0</v>
      </c>
      <c r="AE40" s="62">
        <v>0</v>
      </c>
      <c r="AF40" s="62">
        <v>0</v>
      </c>
      <c r="AG40" s="62">
        <v>0</v>
      </c>
      <c r="AH40" s="62">
        <v>0</v>
      </c>
      <c r="AI40" s="62">
        <v>0</v>
      </c>
      <c r="AJ40" s="62">
        <v>0</v>
      </c>
      <c r="AK40" s="62">
        <v>0</v>
      </c>
      <c r="AL40" s="62">
        <v>0</v>
      </c>
      <c r="AM40" s="62">
        <v>0</v>
      </c>
      <c r="AN40" s="62">
        <v>1</v>
      </c>
      <c r="AO40" s="62">
        <v>0</v>
      </c>
      <c r="AR40" t="s">
        <v>303</v>
      </c>
      <c r="AS40" t="s">
        <v>431</v>
      </c>
      <c r="AT40">
        <v>0</v>
      </c>
      <c r="AU40">
        <v>1</v>
      </c>
      <c r="AV40">
        <v>0</v>
      </c>
      <c r="AW40">
        <v>11</v>
      </c>
    </row>
    <row r="41" spans="1:49" x14ac:dyDescent="0.25">
      <c r="A41" s="59">
        <v>40</v>
      </c>
      <c r="B41" s="62">
        <v>0</v>
      </c>
      <c r="C41" s="62">
        <v>0.71428599999999998</v>
      </c>
      <c r="D41" s="62">
        <v>0.6875</v>
      </c>
      <c r="E41" s="62">
        <v>0.66666700000000001</v>
      </c>
      <c r="F41" s="62">
        <v>0.625</v>
      </c>
      <c r="G41" s="62">
        <v>0.42857099999999998</v>
      </c>
      <c r="H41" s="62">
        <v>0.625</v>
      </c>
      <c r="I41" s="62">
        <v>0</v>
      </c>
      <c r="J41" s="62">
        <v>0.78571400000000002</v>
      </c>
      <c r="K41" s="62">
        <v>0.58333299999999999</v>
      </c>
      <c r="L41" s="62">
        <v>0.41666700000000001</v>
      </c>
      <c r="M41" s="62">
        <v>0.78571400000000002</v>
      </c>
      <c r="N41" s="62">
        <v>0.54545500000000002</v>
      </c>
      <c r="O41" s="62">
        <v>0</v>
      </c>
      <c r="P41" s="62">
        <v>0.61111099999999996</v>
      </c>
      <c r="Q41" s="62">
        <v>0</v>
      </c>
      <c r="R41" s="62">
        <v>0.64705900000000005</v>
      </c>
      <c r="S41" s="62">
        <v>0</v>
      </c>
      <c r="T41" s="62">
        <v>0.5</v>
      </c>
      <c r="U41" s="62">
        <v>0.33333299999999999</v>
      </c>
      <c r="V41" s="62">
        <v>0</v>
      </c>
      <c r="W41" s="62">
        <v>0.54545500000000002</v>
      </c>
      <c r="X41" s="62">
        <v>0.6</v>
      </c>
      <c r="Y41" s="62">
        <v>0.769231</v>
      </c>
      <c r="Z41" s="62">
        <v>0.6875</v>
      </c>
      <c r="AA41" s="62">
        <v>0</v>
      </c>
      <c r="AB41" s="62">
        <v>0.461538</v>
      </c>
      <c r="AC41" s="62">
        <v>0</v>
      </c>
      <c r="AD41" s="62">
        <v>0</v>
      </c>
      <c r="AE41" s="62">
        <v>0</v>
      </c>
      <c r="AF41" s="62">
        <v>0.66666700000000001</v>
      </c>
      <c r="AG41" s="62">
        <v>0.64705900000000005</v>
      </c>
      <c r="AH41" s="62">
        <v>0</v>
      </c>
      <c r="AI41" s="62">
        <v>0.73333300000000001</v>
      </c>
      <c r="AJ41" s="62">
        <v>0</v>
      </c>
      <c r="AK41" s="62">
        <v>0.64285700000000001</v>
      </c>
      <c r="AL41" s="62">
        <v>0</v>
      </c>
      <c r="AM41" s="62">
        <v>0.61538499999999996</v>
      </c>
      <c r="AN41" s="62">
        <v>0</v>
      </c>
      <c r="AO41" s="62">
        <v>1</v>
      </c>
      <c r="AR41" t="s">
        <v>306</v>
      </c>
      <c r="AS41" t="s">
        <v>311</v>
      </c>
      <c r="AT41">
        <v>0.8125</v>
      </c>
      <c r="AU41">
        <v>0.1875</v>
      </c>
      <c r="AV41">
        <v>13</v>
      </c>
      <c r="AW41">
        <v>16</v>
      </c>
    </row>
    <row r="42" spans="1:49" x14ac:dyDescent="0.25">
      <c r="A42"/>
      <c r="AR42" t="s">
        <v>306</v>
      </c>
      <c r="AS42" t="s">
        <v>315</v>
      </c>
      <c r="AT42">
        <v>0.6875</v>
      </c>
      <c r="AU42">
        <v>0.3125</v>
      </c>
      <c r="AV42">
        <v>11</v>
      </c>
      <c r="AW42">
        <v>16</v>
      </c>
    </row>
    <row r="43" spans="1:49" x14ac:dyDescent="0.25">
      <c r="A43"/>
      <c r="AR43" t="s">
        <v>306</v>
      </c>
      <c r="AS43" t="s">
        <v>318</v>
      </c>
      <c r="AT43">
        <v>0.64705900000000005</v>
      </c>
      <c r="AU43">
        <v>0.352941</v>
      </c>
      <c r="AV43">
        <v>11</v>
      </c>
      <c r="AW43">
        <v>17</v>
      </c>
    </row>
    <row r="44" spans="1:49" x14ac:dyDescent="0.25">
      <c r="A44" s="56" t="s">
        <v>6396</v>
      </c>
      <c r="AR44" t="s">
        <v>306</v>
      </c>
      <c r="AS44" t="s">
        <v>321</v>
      </c>
      <c r="AT44">
        <v>0.466667</v>
      </c>
      <c r="AU44">
        <v>0.53333299999999995</v>
      </c>
      <c r="AV44">
        <v>7</v>
      </c>
      <c r="AW44">
        <v>15</v>
      </c>
    </row>
    <row r="45" spans="1:49" x14ac:dyDescent="0.25">
      <c r="A45" s="54" t="s">
        <v>6394</v>
      </c>
      <c r="AR45" t="s">
        <v>306</v>
      </c>
      <c r="AS45" t="s">
        <v>325</v>
      </c>
      <c r="AT45">
        <v>0.75</v>
      </c>
      <c r="AU45">
        <v>0.25</v>
      </c>
      <c r="AV45">
        <v>12</v>
      </c>
      <c r="AW45">
        <v>16</v>
      </c>
    </row>
    <row r="46" spans="1:49" x14ac:dyDescent="0.25">
      <c r="A46" s="55" t="s">
        <v>6395</v>
      </c>
      <c r="AR46" t="s">
        <v>306</v>
      </c>
      <c r="AS46" t="s">
        <v>327</v>
      </c>
      <c r="AT46">
        <v>0</v>
      </c>
      <c r="AU46">
        <v>1</v>
      </c>
      <c r="AV46">
        <v>0</v>
      </c>
      <c r="AW46">
        <v>13</v>
      </c>
    </row>
    <row r="47" spans="1:49" x14ac:dyDescent="0.25">
      <c r="A47"/>
      <c r="AR47" t="s">
        <v>306</v>
      </c>
      <c r="AS47" t="s">
        <v>330</v>
      </c>
      <c r="AT47">
        <v>0.6875</v>
      </c>
      <c r="AU47">
        <v>0.3125</v>
      </c>
      <c r="AV47">
        <v>11</v>
      </c>
      <c r="AW47">
        <v>16</v>
      </c>
    </row>
    <row r="48" spans="1:49" x14ac:dyDescent="0.25">
      <c r="A48"/>
      <c r="AR48" t="s">
        <v>306</v>
      </c>
      <c r="AS48" t="s">
        <v>334</v>
      </c>
      <c r="AT48">
        <v>0.61538499999999996</v>
      </c>
      <c r="AU48">
        <v>0.38461499999999998</v>
      </c>
      <c r="AV48">
        <v>8</v>
      </c>
      <c r="AW48">
        <v>13</v>
      </c>
    </row>
    <row r="49" spans="1:49" x14ac:dyDescent="0.25">
      <c r="A49" t="s">
        <v>6397</v>
      </c>
      <c r="AR49" t="s">
        <v>306</v>
      </c>
      <c r="AS49" t="s">
        <v>338</v>
      </c>
      <c r="AT49">
        <v>0.35714299999999999</v>
      </c>
      <c r="AU49">
        <v>0.64285700000000001</v>
      </c>
      <c r="AV49">
        <v>5</v>
      </c>
      <c r="AW49">
        <v>14</v>
      </c>
    </row>
    <row r="50" spans="1:49" x14ac:dyDescent="0.25">
      <c r="A50"/>
      <c r="AR50" t="s">
        <v>306</v>
      </c>
      <c r="AS50" t="s">
        <v>342</v>
      </c>
      <c r="AT50">
        <v>0.58823499999999995</v>
      </c>
      <c r="AU50">
        <v>0.41176499999999999</v>
      </c>
      <c r="AV50">
        <v>10</v>
      </c>
      <c r="AW50">
        <v>17</v>
      </c>
    </row>
    <row r="51" spans="1:49" x14ac:dyDescent="0.25">
      <c r="A51"/>
      <c r="AR51" t="s">
        <v>306</v>
      </c>
      <c r="AS51" t="s">
        <v>344</v>
      </c>
      <c r="AT51">
        <v>0.35714299999999999</v>
      </c>
      <c r="AU51">
        <v>0.64285700000000001</v>
      </c>
      <c r="AV51">
        <v>5</v>
      </c>
      <c r="AW51">
        <v>14</v>
      </c>
    </row>
    <row r="52" spans="1:49" x14ac:dyDescent="0.25">
      <c r="A52"/>
      <c r="AR52" t="s">
        <v>306</v>
      </c>
      <c r="AS52" t="s">
        <v>348</v>
      </c>
      <c r="AT52">
        <v>0</v>
      </c>
      <c r="AU52">
        <v>1</v>
      </c>
      <c r="AV52">
        <v>0</v>
      </c>
      <c r="AW52">
        <v>13</v>
      </c>
    </row>
    <row r="53" spans="1:49" x14ac:dyDescent="0.25">
      <c r="A53"/>
      <c r="AR53" t="s">
        <v>306</v>
      </c>
      <c r="AS53" t="s">
        <v>352</v>
      </c>
      <c r="AT53">
        <v>0.72222200000000003</v>
      </c>
      <c r="AU53">
        <v>0.27777800000000002</v>
      </c>
      <c r="AV53">
        <v>13</v>
      </c>
      <c r="AW53">
        <v>18</v>
      </c>
    </row>
    <row r="54" spans="1:49" x14ac:dyDescent="0.25">
      <c r="A54"/>
      <c r="AR54" t="s">
        <v>306</v>
      </c>
      <c r="AS54" t="s">
        <v>356</v>
      </c>
      <c r="AT54">
        <v>0</v>
      </c>
      <c r="AU54">
        <v>1</v>
      </c>
      <c r="AV54">
        <v>0</v>
      </c>
      <c r="AW54">
        <v>13</v>
      </c>
    </row>
    <row r="55" spans="1:49" x14ac:dyDescent="0.25">
      <c r="A55"/>
      <c r="AR55" t="s">
        <v>306</v>
      </c>
      <c r="AS55" t="s">
        <v>359</v>
      </c>
      <c r="AT55">
        <v>0.66666700000000001</v>
      </c>
      <c r="AU55">
        <v>0.33333299999999999</v>
      </c>
      <c r="AV55">
        <v>12</v>
      </c>
      <c r="AW55">
        <v>18</v>
      </c>
    </row>
    <row r="56" spans="1:49" x14ac:dyDescent="0.25">
      <c r="A56"/>
      <c r="AR56" t="s">
        <v>306</v>
      </c>
      <c r="AS56" t="s">
        <v>363</v>
      </c>
      <c r="AT56">
        <v>0</v>
      </c>
      <c r="AU56">
        <v>1</v>
      </c>
      <c r="AV56">
        <v>0</v>
      </c>
      <c r="AW56">
        <v>13</v>
      </c>
    </row>
    <row r="57" spans="1:49" x14ac:dyDescent="0.25">
      <c r="A57"/>
      <c r="AR57" t="s">
        <v>306</v>
      </c>
      <c r="AS57" t="s">
        <v>367</v>
      </c>
      <c r="AT57">
        <v>0.625</v>
      </c>
      <c r="AU57">
        <v>0.375</v>
      </c>
      <c r="AV57">
        <v>10</v>
      </c>
      <c r="AW57">
        <v>16</v>
      </c>
    </row>
    <row r="58" spans="1:49" x14ac:dyDescent="0.25">
      <c r="A58"/>
      <c r="AR58" t="s">
        <v>306</v>
      </c>
      <c r="AS58" t="s">
        <v>371</v>
      </c>
      <c r="AT58">
        <v>0.28571400000000002</v>
      </c>
      <c r="AU58">
        <v>0.71428599999999998</v>
      </c>
      <c r="AV58">
        <v>4</v>
      </c>
      <c r="AW58">
        <v>14</v>
      </c>
    </row>
    <row r="59" spans="1:49" x14ac:dyDescent="0.25">
      <c r="A59"/>
      <c r="AR59" t="s">
        <v>306</v>
      </c>
      <c r="AS59" t="s">
        <v>373</v>
      </c>
      <c r="AT59">
        <v>0</v>
      </c>
      <c r="AU59">
        <v>1</v>
      </c>
      <c r="AV59">
        <v>0</v>
      </c>
      <c r="AW59">
        <v>13</v>
      </c>
    </row>
    <row r="60" spans="1:49" x14ac:dyDescent="0.25">
      <c r="A60"/>
      <c r="AR60" t="s">
        <v>306</v>
      </c>
      <c r="AS60" t="s">
        <v>377</v>
      </c>
      <c r="AT60">
        <v>0.461538</v>
      </c>
      <c r="AU60">
        <v>0.538462</v>
      </c>
      <c r="AV60">
        <v>6</v>
      </c>
      <c r="AW60">
        <v>13</v>
      </c>
    </row>
    <row r="61" spans="1:49" x14ac:dyDescent="0.25">
      <c r="A61"/>
      <c r="AR61" t="s">
        <v>306</v>
      </c>
      <c r="AS61" t="s">
        <v>380</v>
      </c>
      <c r="AT61">
        <v>0.85714299999999999</v>
      </c>
      <c r="AU61">
        <v>0.14285700000000001</v>
      </c>
      <c r="AV61">
        <v>12</v>
      </c>
      <c r="AW61">
        <v>14</v>
      </c>
    </row>
    <row r="62" spans="1:49" x14ac:dyDescent="0.25">
      <c r="A62"/>
      <c r="AR62" t="s">
        <v>306</v>
      </c>
      <c r="AS62" t="s">
        <v>384</v>
      </c>
      <c r="AT62">
        <v>0.66666700000000001</v>
      </c>
      <c r="AU62">
        <v>0.33333299999999999</v>
      </c>
      <c r="AV62">
        <v>10</v>
      </c>
      <c r="AW62">
        <v>15</v>
      </c>
    </row>
    <row r="63" spans="1:49" x14ac:dyDescent="0.25">
      <c r="A63"/>
      <c r="AR63" t="s">
        <v>306</v>
      </c>
      <c r="AS63" t="s">
        <v>386</v>
      </c>
      <c r="AT63">
        <v>0.8125</v>
      </c>
      <c r="AU63">
        <v>0.1875</v>
      </c>
      <c r="AV63">
        <v>13</v>
      </c>
      <c r="AW63">
        <v>16</v>
      </c>
    </row>
    <row r="64" spans="1:49" x14ac:dyDescent="0.25">
      <c r="A64"/>
      <c r="AR64" t="s">
        <v>306</v>
      </c>
      <c r="AS64" t="s">
        <v>389</v>
      </c>
      <c r="AT64">
        <v>0</v>
      </c>
      <c r="AU64">
        <v>1</v>
      </c>
      <c r="AV64">
        <v>0</v>
      </c>
      <c r="AW64">
        <v>13</v>
      </c>
    </row>
    <row r="65" spans="1:49" x14ac:dyDescent="0.25">
      <c r="A65"/>
      <c r="AR65" t="s">
        <v>306</v>
      </c>
      <c r="AS65" t="s">
        <v>393</v>
      </c>
      <c r="AT65">
        <v>0.5</v>
      </c>
      <c r="AU65">
        <v>0.5</v>
      </c>
      <c r="AV65">
        <v>7</v>
      </c>
      <c r="AW65">
        <v>14</v>
      </c>
    </row>
    <row r="66" spans="1:49" x14ac:dyDescent="0.25">
      <c r="A66"/>
      <c r="AR66" t="s">
        <v>306</v>
      </c>
      <c r="AS66" t="s">
        <v>396</v>
      </c>
      <c r="AT66">
        <v>0</v>
      </c>
      <c r="AU66">
        <v>1</v>
      </c>
      <c r="AV66">
        <v>0</v>
      </c>
      <c r="AW66">
        <v>13</v>
      </c>
    </row>
    <row r="67" spans="1:49" x14ac:dyDescent="0.25">
      <c r="A67"/>
      <c r="AR67" t="s">
        <v>306</v>
      </c>
      <c r="AS67" t="s">
        <v>399</v>
      </c>
      <c r="AT67">
        <v>0</v>
      </c>
      <c r="AU67">
        <v>1</v>
      </c>
      <c r="AV67">
        <v>0</v>
      </c>
      <c r="AW67">
        <v>13</v>
      </c>
    </row>
    <row r="68" spans="1:49" x14ac:dyDescent="0.25">
      <c r="A68"/>
      <c r="AR68" t="s">
        <v>306</v>
      </c>
      <c r="AS68" t="s">
        <v>402</v>
      </c>
      <c r="AT68">
        <v>0</v>
      </c>
      <c r="AU68">
        <v>1</v>
      </c>
      <c r="AV68">
        <v>0</v>
      </c>
      <c r="AW68">
        <v>13</v>
      </c>
    </row>
    <row r="69" spans="1:49" x14ac:dyDescent="0.25">
      <c r="A69"/>
      <c r="AR69" t="s">
        <v>306</v>
      </c>
      <c r="AS69" t="s">
        <v>406</v>
      </c>
      <c r="AT69">
        <v>0.8</v>
      </c>
      <c r="AU69">
        <v>0.2</v>
      </c>
      <c r="AV69">
        <v>12</v>
      </c>
      <c r="AW69">
        <v>15</v>
      </c>
    </row>
    <row r="70" spans="1:49" x14ac:dyDescent="0.25">
      <c r="A70"/>
      <c r="AR70" t="s">
        <v>306</v>
      </c>
      <c r="AS70" t="s">
        <v>407</v>
      </c>
      <c r="AT70">
        <v>0.764706</v>
      </c>
      <c r="AU70">
        <v>0.235294</v>
      </c>
      <c r="AV70">
        <v>13</v>
      </c>
      <c r="AW70">
        <v>17</v>
      </c>
    </row>
    <row r="71" spans="1:49" x14ac:dyDescent="0.25">
      <c r="A71"/>
      <c r="AR71" t="s">
        <v>306</v>
      </c>
      <c r="AS71" t="s">
        <v>410</v>
      </c>
      <c r="AT71">
        <v>0</v>
      </c>
      <c r="AU71">
        <v>1</v>
      </c>
      <c r="AV71">
        <v>0</v>
      </c>
      <c r="AW71">
        <v>13</v>
      </c>
    </row>
    <row r="72" spans="1:49" x14ac:dyDescent="0.25">
      <c r="A72"/>
      <c r="AR72" t="s">
        <v>306</v>
      </c>
      <c r="AS72" t="s">
        <v>413</v>
      </c>
      <c r="AT72">
        <v>0.75</v>
      </c>
      <c r="AU72">
        <v>0.25</v>
      </c>
      <c r="AV72">
        <v>12</v>
      </c>
      <c r="AW72">
        <v>16</v>
      </c>
    </row>
    <row r="73" spans="1:49" x14ac:dyDescent="0.25">
      <c r="A73"/>
      <c r="AR73" t="s">
        <v>306</v>
      </c>
      <c r="AS73" t="s">
        <v>416</v>
      </c>
      <c r="AT73">
        <v>0</v>
      </c>
      <c r="AU73">
        <v>1</v>
      </c>
      <c r="AV73">
        <v>0</v>
      </c>
      <c r="AW73">
        <v>13</v>
      </c>
    </row>
    <row r="74" spans="1:49" x14ac:dyDescent="0.25">
      <c r="A74"/>
      <c r="AR74" t="s">
        <v>306</v>
      </c>
      <c r="AS74" t="s">
        <v>420</v>
      </c>
      <c r="AT74">
        <v>0.5625</v>
      </c>
      <c r="AU74">
        <v>0.4375</v>
      </c>
      <c r="AV74">
        <v>9</v>
      </c>
      <c r="AW74">
        <v>16</v>
      </c>
    </row>
    <row r="75" spans="1:49" x14ac:dyDescent="0.25">
      <c r="A75"/>
      <c r="AR75" t="s">
        <v>306</v>
      </c>
      <c r="AS75" t="s">
        <v>422</v>
      </c>
      <c r="AT75">
        <v>0</v>
      </c>
      <c r="AU75">
        <v>1</v>
      </c>
      <c r="AV75">
        <v>0</v>
      </c>
      <c r="AW75">
        <v>13</v>
      </c>
    </row>
    <row r="76" spans="1:49" x14ac:dyDescent="0.25">
      <c r="A76"/>
      <c r="AR76" t="s">
        <v>306</v>
      </c>
      <c r="AS76" t="s">
        <v>425</v>
      </c>
      <c r="AT76">
        <v>0.769231</v>
      </c>
      <c r="AU76">
        <v>0.230769</v>
      </c>
      <c r="AV76">
        <v>10</v>
      </c>
      <c r="AW76">
        <v>13</v>
      </c>
    </row>
    <row r="77" spans="1:49" x14ac:dyDescent="0.25">
      <c r="A77"/>
      <c r="AR77" t="s">
        <v>306</v>
      </c>
      <c r="AS77" t="s">
        <v>427</v>
      </c>
      <c r="AT77">
        <v>0</v>
      </c>
      <c r="AU77">
        <v>1</v>
      </c>
      <c r="AV77">
        <v>0</v>
      </c>
      <c r="AW77">
        <v>13</v>
      </c>
    </row>
    <row r="78" spans="1:49" x14ac:dyDescent="0.25">
      <c r="A78"/>
      <c r="AR78" t="s">
        <v>306</v>
      </c>
      <c r="AS78" t="s">
        <v>431</v>
      </c>
      <c r="AT78">
        <v>0.71428599999999998</v>
      </c>
      <c r="AU78">
        <v>0.28571400000000002</v>
      </c>
      <c r="AV78">
        <v>10</v>
      </c>
      <c r="AW78">
        <v>14</v>
      </c>
    </row>
    <row r="79" spans="1:49" x14ac:dyDescent="0.25">
      <c r="A79"/>
      <c r="AR79" t="s">
        <v>311</v>
      </c>
      <c r="AS79" t="s">
        <v>315</v>
      </c>
      <c r="AT79">
        <v>0.875</v>
      </c>
      <c r="AU79">
        <v>0.125</v>
      </c>
      <c r="AV79">
        <v>14</v>
      </c>
      <c r="AW79">
        <v>16</v>
      </c>
    </row>
    <row r="80" spans="1:49" x14ac:dyDescent="0.25">
      <c r="A80"/>
      <c r="AR80" t="s">
        <v>311</v>
      </c>
      <c r="AS80" t="s">
        <v>318</v>
      </c>
      <c r="AT80">
        <v>0.82352899999999996</v>
      </c>
      <c r="AU80">
        <v>0.17647099999999999</v>
      </c>
      <c r="AV80">
        <v>14</v>
      </c>
      <c r="AW80">
        <v>17</v>
      </c>
    </row>
    <row r="81" spans="1:49" x14ac:dyDescent="0.25">
      <c r="A81"/>
      <c r="AR81" t="s">
        <v>311</v>
      </c>
      <c r="AS81" t="s">
        <v>321</v>
      </c>
      <c r="AT81">
        <v>0.5625</v>
      </c>
      <c r="AU81">
        <v>0.4375</v>
      </c>
      <c r="AV81">
        <v>9</v>
      </c>
      <c r="AW81">
        <v>16</v>
      </c>
    </row>
    <row r="82" spans="1:49" x14ac:dyDescent="0.25">
      <c r="A82"/>
      <c r="AR82" t="s">
        <v>311</v>
      </c>
      <c r="AS82" t="s">
        <v>325</v>
      </c>
      <c r="AT82">
        <v>0.82352899999999996</v>
      </c>
      <c r="AU82">
        <v>0.17647099999999999</v>
      </c>
      <c r="AV82">
        <v>14</v>
      </c>
      <c r="AW82">
        <v>17</v>
      </c>
    </row>
    <row r="83" spans="1:49" x14ac:dyDescent="0.25">
      <c r="A83"/>
      <c r="AR83" t="s">
        <v>311</v>
      </c>
      <c r="AS83" t="s">
        <v>327</v>
      </c>
      <c r="AT83">
        <v>0</v>
      </c>
      <c r="AU83">
        <v>1</v>
      </c>
      <c r="AV83">
        <v>0</v>
      </c>
      <c r="AW83">
        <v>16</v>
      </c>
    </row>
    <row r="84" spans="1:49" x14ac:dyDescent="0.25">
      <c r="A84"/>
      <c r="AR84" t="s">
        <v>311</v>
      </c>
      <c r="AS84" t="s">
        <v>330</v>
      </c>
      <c r="AT84">
        <v>0.764706</v>
      </c>
      <c r="AU84">
        <v>0.235294</v>
      </c>
      <c r="AV84">
        <v>13</v>
      </c>
      <c r="AW84">
        <v>17</v>
      </c>
    </row>
    <row r="85" spans="1:49" x14ac:dyDescent="0.25">
      <c r="A85"/>
      <c r="AR85" t="s">
        <v>311</v>
      </c>
      <c r="AS85" t="s">
        <v>334</v>
      </c>
      <c r="AT85">
        <v>0.5</v>
      </c>
      <c r="AU85">
        <v>0.5</v>
      </c>
      <c r="AV85">
        <v>8</v>
      </c>
      <c r="AW85">
        <v>16</v>
      </c>
    </row>
    <row r="86" spans="1:49" x14ac:dyDescent="0.25">
      <c r="A86"/>
      <c r="AR86" t="s">
        <v>311</v>
      </c>
      <c r="AS86" t="s">
        <v>338</v>
      </c>
      <c r="AT86">
        <v>0.375</v>
      </c>
      <c r="AU86">
        <v>0.625</v>
      </c>
      <c r="AV86">
        <v>6</v>
      </c>
      <c r="AW86">
        <v>16</v>
      </c>
    </row>
    <row r="87" spans="1:49" x14ac:dyDescent="0.25">
      <c r="A87"/>
      <c r="AR87" t="s">
        <v>311</v>
      </c>
      <c r="AS87" t="s">
        <v>342</v>
      </c>
      <c r="AT87">
        <v>0.764706</v>
      </c>
      <c r="AU87">
        <v>0.235294</v>
      </c>
      <c r="AV87">
        <v>13</v>
      </c>
      <c r="AW87">
        <v>17</v>
      </c>
    </row>
    <row r="88" spans="1:49" x14ac:dyDescent="0.25">
      <c r="A88"/>
      <c r="AR88" t="s">
        <v>311</v>
      </c>
      <c r="AS88" t="s">
        <v>344</v>
      </c>
      <c r="AT88">
        <v>0.375</v>
      </c>
      <c r="AU88">
        <v>0.625</v>
      </c>
      <c r="AV88">
        <v>6</v>
      </c>
      <c r="AW88">
        <v>16</v>
      </c>
    </row>
    <row r="89" spans="1:49" x14ac:dyDescent="0.25">
      <c r="A89"/>
      <c r="AR89" t="s">
        <v>311</v>
      </c>
      <c r="AS89" t="s">
        <v>348</v>
      </c>
      <c r="AT89">
        <v>0</v>
      </c>
      <c r="AU89">
        <v>1</v>
      </c>
      <c r="AV89">
        <v>0</v>
      </c>
      <c r="AW89">
        <v>16</v>
      </c>
    </row>
    <row r="90" spans="1:49" x14ac:dyDescent="0.25">
      <c r="A90"/>
      <c r="AR90" t="s">
        <v>311</v>
      </c>
      <c r="AS90" t="s">
        <v>352</v>
      </c>
      <c r="AT90">
        <v>0.88888900000000004</v>
      </c>
      <c r="AU90">
        <v>0.111111</v>
      </c>
      <c r="AV90">
        <v>16</v>
      </c>
      <c r="AW90">
        <v>18</v>
      </c>
    </row>
    <row r="91" spans="1:49" x14ac:dyDescent="0.25">
      <c r="A91"/>
      <c r="AR91" t="s">
        <v>311</v>
      </c>
      <c r="AS91" t="s">
        <v>356</v>
      </c>
      <c r="AT91">
        <v>0</v>
      </c>
      <c r="AU91">
        <v>1</v>
      </c>
      <c r="AV91">
        <v>0</v>
      </c>
      <c r="AW91">
        <v>16</v>
      </c>
    </row>
    <row r="92" spans="1:49" x14ac:dyDescent="0.25">
      <c r="A92"/>
      <c r="AR92" t="s">
        <v>311</v>
      </c>
      <c r="AS92" t="s">
        <v>359</v>
      </c>
      <c r="AT92">
        <v>0.83333299999999999</v>
      </c>
      <c r="AU92">
        <v>0.16666700000000001</v>
      </c>
      <c r="AV92">
        <v>15</v>
      </c>
      <c r="AW92">
        <v>18</v>
      </c>
    </row>
    <row r="93" spans="1:49" x14ac:dyDescent="0.25">
      <c r="A93"/>
      <c r="AR93" t="s">
        <v>311</v>
      </c>
      <c r="AS93" t="s">
        <v>363</v>
      </c>
      <c r="AT93">
        <v>0</v>
      </c>
      <c r="AU93">
        <v>1</v>
      </c>
      <c r="AV93">
        <v>0</v>
      </c>
      <c r="AW93">
        <v>16</v>
      </c>
    </row>
    <row r="94" spans="1:49" x14ac:dyDescent="0.25">
      <c r="A94"/>
      <c r="AR94" t="s">
        <v>311</v>
      </c>
      <c r="AS94" t="s">
        <v>367</v>
      </c>
      <c r="AT94">
        <v>0.70588200000000001</v>
      </c>
      <c r="AU94">
        <v>0.29411799999999999</v>
      </c>
      <c r="AV94">
        <v>12</v>
      </c>
      <c r="AW94">
        <v>17</v>
      </c>
    </row>
    <row r="95" spans="1:49" x14ac:dyDescent="0.25">
      <c r="A95"/>
      <c r="AR95" t="s">
        <v>311</v>
      </c>
      <c r="AS95" t="s">
        <v>371</v>
      </c>
      <c r="AT95">
        <v>0.3125</v>
      </c>
      <c r="AU95">
        <v>0.6875</v>
      </c>
      <c r="AV95">
        <v>5</v>
      </c>
      <c r="AW95">
        <v>16</v>
      </c>
    </row>
    <row r="96" spans="1:49" x14ac:dyDescent="0.25">
      <c r="A96"/>
      <c r="AR96" t="s">
        <v>311</v>
      </c>
      <c r="AS96" t="s">
        <v>373</v>
      </c>
      <c r="AT96">
        <v>0</v>
      </c>
      <c r="AU96">
        <v>1</v>
      </c>
      <c r="AV96">
        <v>0</v>
      </c>
      <c r="AW96">
        <v>16</v>
      </c>
    </row>
    <row r="97" spans="1:49" x14ac:dyDescent="0.25">
      <c r="A97"/>
      <c r="AR97" t="s">
        <v>311</v>
      </c>
      <c r="AS97" t="s">
        <v>377</v>
      </c>
      <c r="AT97">
        <v>0.375</v>
      </c>
      <c r="AU97">
        <v>0.625</v>
      </c>
      <c r="AV97">
        <v>6</v>
      </c>
      <c r="AW97">
        <v>16</v>
      </c>
    </row>
    <row r="98" spans="1:49" x14ac:dyDescent="0.25">
      <c r="A98"/>
      <c r="AR98" t="s">
        <v>311</v>
      </c>
      <c r="AS98" t="s">
        <v>380</v>
      </c>
      <c r="AT98">
        <v>0.8125</v>
      </c>
      <c r="AU98">
        <v>0.1875</v>
      </c>
      <c r="AV98">
        <v>13</v>
      </c>
      <c r="AW98">
        <v>16</v>
      </c>
    </row>
    <row r="99" spans="1:49" x14ac:dyDescent="0.25">
      <c r="A99"/>
      <c r="AR99" t="s">
        <v>311</v>
      </c>
      <c r="AS99" t="s">
        <v>384</v>
      </c>
      <c r="AT99">
        <v>0.75</v>
      </c>
      <c r="AU99">
        <v>0.25</v>
      </c>
      <c r="AV99">
        <v>12</v>
      </c>
      <c r="AW99">
        <v>16</v>
      </c>
    </row>
    <row r="100" spans="1:49" x14ac:dyDescent="0.25">
      <c r="A100"/>
      <c r="AR100" t="s">
        <v>311</v>
      </c>
      <c r="AS100" t="s">
        <v>386</v>
      </c>
      <c r="AT100">
        <v>1</v>
      </c>
      <c r="AU100">
        <v>0</v>
      </c>
      <c r="AV100">
        <v>16</v>
      </c>
      <c r="AW100">
        <v>16</v>
      </c>
    </row>
    <row r="101" spans="1:49" x14ac:dyDescent="0.25">
      <c r="A101"/>
      <c r="AR101" t="s">
        <v>311</v>
      </c>
      <c r="AS101" t="s">
        <v>389</v>
      </c>
      <c r="AT101">
        <v>0</v>
      </c>
      <c r="AU101">
        <v>1</v>
      </c>
      <c r="AV101">
        <v>0</v>
      </c>
      <c r="AW101">
        <v>16</v>
      </c>
    </row>
    <row r="102" spans="1:49" x14ac:dyDescent="0.25">
      <c r="A102"/>
      <c r="AR102" t="s">
        <v>311</v>
      </c>
      <c r="AS102" t="s">
        <v>393</v>
      </c>
      <c r="AT102">
        <v>0.5</v>
      </c>
      <c r="AU102">
        <v>0.5</v>
      </c>
      <c r="AV102">
        <v>8</v>
      </c>
      <c r="AW102">
        <v>16</v>
      </c>
    </row>
    <row r="103" spans="1:49" x14ac:dyDescent="0.25">
      <c r="A103"/>
      <c r="AR103" t="s">
        <v>311</v>
      </c>
      <c r="AS103" t="s">
        <v>396</v>
      </c>
      <c r="AT103">
        <v>0</v>
      </c>
      <c r="AU103">
        <v>1</v>
      </c>
      <c r="AV103">
        <v>0</v>
      </c>
      <c r="AW103">
        <v>16</v>
      </c>
    </row>
    <row r="104" spans="1:49" x14ac:dyDescent="0.25">
      <c r="A104"/>
      <c r="AR104" t="s">
        <v>311</v>
      </c>
      <c r="AS104" t="s">
        <v>399</v>
      </c>
      <c r="AT104">
        <v>0</v>
      </c>
      <c r="AU104">
        <v>1</v>
      </c>
      <c r="AV104">
        <v>0</v>
      </c>
      <c r="AW104">
        <v>16</v>
      </c>
    </row>
    <row r="105" spans="1:49" x14ac:dyDescent="0.25">
      <c r="A105"/>
      <c r="AR105" t="s">
        <v>311</v>
      </c>
      <c r="AS105" t="s">
        <v>402</v>
      </c>
      <c r="AT105">
        <v>0</v>
      </c>
      <c r="AU105">
        <v>1</v>
      </c>
      <c r="AV105">
        <v>0</v>
      </c>
      <c r="AW105">
        <v>16</v>
      </c>
    </row>
    <row r="106" spans="1:49" x14ac:dyDescent="0.25">
      <c r="A106"/>
      <c r="AR106" t="s">
        <v>311</v>
      </c>
      <c r="AS106" t="s">
        <v>406</v>
      </c>
      <c r="AT106">
        <v>0.875</v>
      </c>
      <c r="AU106">
        <v>0.125</v>
      </c>
      <c r="AV106">
        <v>14</v>
      </c>
      <c r="AW106">
        <v>16</v>
      </c>
    </row>
    <row r="107" spans="1:49" x14ac:dyDescent="0.25">
      <c r="A107"/>
      <c r="AR107" t="s">
        <v>311</v>
      </c>
      <c r="AS107" t="s">
        <v>407</v>
      </c>
      <c r="AT107">
        <v>0.94117600000000001</v>
      </c>
      <c r="AU107">
        <v>5.8824000000000001E-2</v>
      </c>
      <c r="AV107">
        <v>16</v>
      </c>
      <c r="AW107">
        <v>17</v>
      </c>
    </row>
    <row r="108" spans="1:49" x14ac:dyDescent="0.25">
      <c r="A108"/>
      <c r="AR108" t="s">
        <v>311</v>
      </c>
      <c r="AS108" t="s">
        <v>410</v>
      </c>
      <c r="AT108">
        <v>0</v>
      </c>
      <c r="AU108">
        <v>1</v>
      </c>
      <c r="AV108">
        <v>0</v>
      </c>
      <c r="AW108">
        <v>16</v>
      </c>
    </row>
    <row r="109" spans="1:49" x14ac:dyDescent="0.25">
      <c r="A109"/>
      <c r="AR109" t="s">
        <v>311</v>
      </c>
      <c r="AS109" t="s">
        <v>413</v>
      </c>
      <c r="AT109">
        <v>0.9375</v>
      </c>
      <c r="AU109">
        <v>6.25E-2</v>
      </c>
      <c r="AV109">
        <v>15</v>
      </c>
      <c r="AW109">
        <v>16</v>
      </c>
    </row>
    <row r="110" spans="1:49" x14ac:dyDescent="0.25">
      <c r="A110"/>
      <c r="AR110" t="s">
        <v>311</v>
      </c>
      <c r="AS110" t="s">
        <v>416</v>
      </c>
      <c r="AT110">
        <v>0</v>
      </c>
      <c r="AU110">
        <v>1</v>
      </c>
      <c r="AV110">
        <v>0</v>
      </c>
      <c r="AW110">
        <v>16</v>
      </c>
    </row>
    <row r="111" spans="1:49" x14ac:dyDescent="0.25">
      <c r="A111"/>
      <c r="AR111" t="s">
        <v>311</v>
      </c>
      <c r="AS111" t="s">
        <v>420</v>
      </c>
      <c r="AT111">
        <v>0.75</v>
      </c>
      <c r="AU111">
        <v>0.25</v>
      </c>
      <c r="AV111">
        <v>12</v>
      </c>
      <c r="AW111">
        <v>16</v>
      </c>
    </row>
    <row r="112" spans="1:49" x14ac:dyDescent="0.25">
      <c r="A112"/>
      <c r="AR112" t="s">
        <v>311</v>
      </c>
      <c r="AS112" t="s">
        <v>422</v>
      </c>
      <c r="AT112">
        <v>0</v>
      </c>
      <c r="AU112">
        <v>1</v>
      </c>
      <c r="AV112">
        <v>0</v>
      </c>
      <c r="AW112">
        <v>16</v>
      </c>
    </row>
    <row r="113" spans="1:49" x14ac:dyDescent="0.25">
      <c r="A113"/>
      <c r="AR113" t="s">
        <v>311</v>
      </c>
      <c r="AS113" t="s">
        <v>425</v>
      </c>
      <c r="AT113">
        <v>0.625</v>
      </c>
      <c r="AU113">
        <v>0.375</v>
      </c>
      <c r="AV113">
        <v>10</v>
      </c>
      <c r="AW113">
        <v>16</v>
      </c>
    </row>
    <row r="114" spans="1:49" x14ac:dyDescent="0.25">
      <c r="A114"/>
      <c r="AR114" t="s">
        <v>311</v>
      </c>
      <c r="AS114" t="s">
        <v>427</v>
      </c>
      <c r="AT114">
        <v>0</v>
      </c>
      <c r="AU114">
        <v>1</v>
      </c>
      <c r="AV114">
        <v>0</v>
      </c>
      <c r="AW114">
        <v>16</v>
      </c>
    </row>
    <row r="115" spans="1:49" x14ac:dyDescent="0.25">
      <c r="A115"/>
      <c r="AR115" t="s">
        <v>311</v>
      </c>
      <c r="AS115" t="s">
        <v>431</v>
      </c>
      <c r="AT115">
        <v>0.6875</v>
      </c>
      <c r="AU115">
        <v>0.3125</v>
      </c>
      <c r="AV115">
        <v>11</v>
      </c>
      <c r="AW115">
        <v>16</v>
      </c>
    </row>
    <row r="116" spans="1:49" x14ac:dyDescent="0.25">
      <c r="A116"/>
      <c r="AR116" t="s">
        <v>315</v>
      </c>
      <c r="AS116" t="s">
        <v>318</v>
      </c>
      <c r="AT116">
        <v>0.8125</v>
      </c>
      <c r="AU116">
        <v>0.1875</v>
      </c>
      <c r="AV116">
        <v>13</v>
      </c>
      <c r="AW116">
        <v>16</v>
      </c>
    </row>
    <row r="117" spans="1:49" x14ac:dyDescent="0.25">
      <c r="A117"/>
      <c r="AR117" t="s">
        <v>315</v>
      </c>
      <c r="AS117" t="s">
        <v>321</v>
      </c>
      <c r="AT117">
        <v>0.53333299999999995</v>
      </c>
      <c r="AU117">
        <v>0.466667</v>
      </c>
      <c r="AV117">
        <v>8</v>
      </c>
      <c r="AW117">
        <v>15</v>
      </c>
    </row>
    <row r="118" spans="1:49" x14ac:dyDescent="0.25">
      <c r="A118"/>
      <c r="AR118" t="s">
        <v>315</v>
      </c>
      <c r="AS118" t="s">
        <v>325</v>
      </c>
      <c r="AT118">
        <v>0.70588200000000001</v>
      </c>
      <c r="AU118">
        <v>0.29411799999999999</v>
      </c>
      <c r="AV118">
        <v>12</v>
      </c>
      <c r="AW118">
        <v>17</v>
      </c>
    </row>
    <row r="119" spans="1:49" x14ac:dyDescent="0.25">
      <c r="A119"/>
      <c r="AR119" t="s">
        <v>315</v>
      </c>
      <c r="AS119" t="s">
        <v>327</v>
      </c>
      <c r="AT119">
        <v>0</v>
      </c>
      <c r="AU119">
        <v>1</v>
      </c>
      <c r="AV119">
        <v>0</v>
      </c>
      <c r="AW119">
        <v>14</v>
      </c>
    </row>
    <row r="120" spans="1:49" x14ac:dyDescent="0.25">
      <c r="A120"/>
      <c r="AR120" t="s">
        <v>315</v>
      </c>
      <c r="AS120" t="s">
        <v>330</v>
      </c>
      <c r="AT120">
        <v>0.75</v>
      </c>
      <c r="AU120">
        <v>0.25</v>
      </c>
      <c r="AV120">
        <v>12</v>
      </c>
      <c r="AW120">
        <v>16</v>
      </c>
    </row>
    <row r="121" spans="1:49" x14ac:dyDescent="0.25">
      <c r="A121"/>
      <c r="AR121" t="s">
        <v>315</v>
      </c>
      <c r="AS121" t="s">
        <v>334</v>
      </c>
      <c r="AT121">
        <v>0.466667</v>
      </c>
      <c r="AU121">
        <v>0.53333299999999995</v>
      </c>
      <c r="AV121">
        <v>7</v>
      </c>
      <c r="AW121">
        <v>15</v>
      </c>
    </row>
    <row r="122" spans="1:49" x14ac:dyDescent="0.25">
      <c r="A122"/>
      <c r="AR122" t="s">
        <v>315</v>
      </c>
      <c r="AS122" t="s">
        <v>338</v>
      </c>
      <c r="AT122">
        <v>0.33333299999999999</v>
      </c>
      <c r="AU122">
        <v>0.66666700000000001</v>
      </c>
      <c r="AV122">
        <v>5</v>
      </c>
      <c r="AW122">
        <v>15</v>
      </c>
    </row>
    <row r="123" spans="1:49" x14ac:dyDescent="0.25">
      <c r="A123"/>
      <c r="AR123" t="s">
        <v>315</v>
      </c>
      <c r="AS123" t="s">
        <v>342</v>
      </c>
      <c r="AT123">
        <v>0.75</v>
      </c>
      <c r="AU123">
        <v>0.25</v>
      </c>
      <c r="AV123">
        <v>12</v>
      </c>
      <c r="AW123">
        <v>16</v>
      </c>
    </row>
    <row r="124" spans="1:49" x14ac:dyDescent="0.25">
      <c r="A124"/>
      <c r="AR124" t="s">
        <v>315</v>
      </c>
      <c r="AS124" t="s">
        <v>344</v>
      </c>
      <c r="AT124">
        <v>0.33333299999999999</v>
      </c>
      <c r="AU124">
        <v>0.66666700000000001</v>
      </c>
      <c r="AV124">
        <v>5</v>
      </c>
      <c r="AW124">
        <v>15</v>
      </c>
    </row>
    <row r="125" spans="1:49" x14ac:dyDescent="0.25">
      <c r="A125"/>
      <c r="AR125" t="s">
        <v>315</v>
      </c>
      <c r="AS125" t="s">
        <v>348</v>
      </c>
      <c r="AT125">
        <v>0</v>
      </c>
      <c r="AU125">
        <v>1</v>
      </c>
      <c r="AV125">
        <v>0</v>
      </c>
      <c r="AW125">
        <v>14</v>
      </c>
    </row>
    <row r="126" spans="1:49" x14ac:dyDescent="0.25">
      <c r="A126"/>
      <c r="AR126" t="s">
        <v>315</v>
      </c>
      <c r="AS126" t="s">
        <v>352</v>
      </c>
      <c r="AT126">
        <v>0.77777799999999997</v>
      </c>
      <c r="AU126">
        <v>0.222222</v>
      </c>
      <c r="AV126">
        <v>14</v>
      </c>
      <c r="AW126">
        <v>18</v>
      </c>
    </row>
    <row r="127" spans="1:49" x14ac:dyDescent="0.25">
      <c r="A127"/>
      <c r="AR127" t="s">
        <v>315</v>
      </c>
      <c r="AS127" t="s">
        <v>356</v>
      </c>
      <c r="AT127">
        <v>0</v>
      </c>
      <c r="AU127">
        <v>1</v>
      </c>
      <c r="AV127">
        <v>0</v>
      </c>
      <c r="AW127">
        <v>14</v>
      </c>
    </row>
    <row r="128" spans="1:49" x14ac:dyDescent="0.25">
      <c r="A128"/>
      <c r="AR128" t="s">
        <v>315</v>
      </c>
      <c r="AS128" t="s">
        <v>359</v>
      </c>
      <c r="AT128">
        <v>0.82352899999999996</v>
      </c>
      <c r="AU128">
        <v>0.17647099999999999</v>
      </c>
      <c r="AV128">
        <v>14</v>
      </c>
      <c r="AW128">
        <v>17</v>
      </c>
    </row>
    <row r="129" spans="1:49" x14ac:dyDescent="0.25">
      <c r="A129"/>
      <c r="AR129" t="s">
        <v>315</v>
      </c>
      <c r="AS129" t="s">
        <v>363</v>
      </c>
      <c r="AT129">
        <v>0</v>
      </c>
      <c r="AU129">
        <v>1</v>
      </c>
      <c r="AV129">
        <v>0</v>
      </c>
      <c r="AW129">
        <v>14</v>
      </c>
    </row>
    <row r="130" spans="1:49" x14ac:dyDescent="0.25">
      <c r="A130"/>
      <c r="AR130" t="s">
        <v>315</v>
      </c>
      <c r="AS130" t="s">
        <v>367</v>
      </c>
      <c r="AT130">
        <v>0.6875</v>
      </c>
      <c r="AU130">
        <v>0.3125</v>
      </c>
      <c r="AV130">
        <v>11</v>
      </c>
      <c r="AW130">
        <v>16</v>
      </c>
    </row>
    <row r="131" spans="1:49" x14ac:dyDescent="0.25">
      <c r="A131"/>
      <c r="AR131" t="s">
        <v>315</v>
      </c>
      <c r="AS131" t="s">
        <v>371</v>
      </c>
      <c r="AT131">
        <v>0.35714299999999999</v>
      </c>
      <c r="AU131">
        <v>0.64285700000000001</v>
      </c>
      <c r="AV131">
        <v>5</v>
      </c>
      <c r="AW131">
        <v>14</v>
      </c>
    </row>
    <row r="132" spans="1:49" x14ac:dyDescent="0.25">
      <c r="A132"/>
      <c r="AR132" t="s">
        <v>315</v>
      </c>
      <c r="AS132" t="s">
        <v>373</v>
      </c>
      <c r="AT132">
        <v>0</v>
      </c>
      <c r="AU132">
        <v>1</v>
      </c>
      <c r="AV132">
        <v>0</v>
      </c>
      <c r="AW132">
        <v>14</v>
      </c>
    </row>
    <row r="133" spans="1:49" x14ac:dyDescent="0.25">
      <c r="A133"/>
      <c r="AR133" t="s">
        <v>315</v>
      </c>
      <c r="AS133" t="s">
        <v>377</v>
      </c>
      <c r="AT133">
        <v>0.42857099999999998</v>
      </c>
      <c r="AU133">
        <v>0.57142899999999996</v>
      </c>
      <c r="AV133">
        <v>6</v>
      </c>
      <c r="AW133">
        <v>14</v>
      </c>
    </row>
    <row r="134" spans="1:49" x14ac:dyDescent="0.25">
      <c r="A134"/>
      <c r="AR134" t="s">
        <v>315</v>
      </c>
      <c r="AS134" t="s">
        <v>380</v>
      </c>
      <c r="AT134">
        <v>0.6875</v>
      </c>
      <c r="AU134">
        <v>0.3125</v>
      </c>
      <c r="AV134">
        <v>11</v>
      </c>
      <c r="AW134">
        <v>16</v>
      </c>
    </row>
    <row r="135" spans="1:49" x14ac:dyDescent="0.25">
      <c r="A135"/>
      <c r="AR135" t="s">
        <v>315</v>
      </c>
      <c r="AS135" t="s">
        <v>384</v>
      </c>
      <c r="AT135">
        <v>0.73333300000000001</v>
      </c>
      <c r="AU135">
        <v>0.26666699999999999</v>
      </c>
      <c r="AV135">
        <v>11</v>
      </c>
      <c r="AW135">
        <v>15</v>
      </c>
    </row>
    <row r="136" spans="1:49" x14ac:dyDescent="0.25">
      <c r="A136"/>
      <c r="AR136" t="s">
        <v>315</v>
      </c>
      <c r="AS136" t="s">
        <v>386</v>
      </c>
      <c r="AT136">
        <v>0.875</v>
      </c>
      <c r="AU136">
        <v>0.125</v>
      </c>
      <c r="AV136">
        <v>14</v>
      </c>
      <c r="AW136">
        <v>16</v>
      </c>
    </row>
    <row r="137" spans="1:49" x14ac:dyDescent="0.25">
      <c r="A137"/>
      <c r="AR137" t="s">
        <v>315</v>
      </c>
      <c r="AS137" t="s">
        <v>389</v>
      </c>
      <c r="AT137">
        <v>0</v>
      </c>
      <c r="AU137">
        <v>1</v>
      </c>
      <c r="AV137">
        <v>0</v>
      </c>
      <c r="AW137">
        <v>14</v>
      </c>
    </row>
    <row r="138" spans="1:49" x14ac:dyDescent="0.25">
      <c r="A138"/>
      <c r="AR138" t="s">
        <v>315</v>
      </c>
      <c r="AS138" t="s">
        <v>393</v>
      </c>
      <c r="AT138">
        <v>0.466667</v>
      </c>
      <c r="AU138">
        <v>0.53333299999999995</v>
      </c>
      <c r="AV138">
        <v>7</v>
      </c>
      <c r="AW138">
        <v>15</v>
      </c>
    </row>
    <row r="139" spans="1:49" x14ac:dyDescent="0.25">
      <c r="A139"/>
      <c r="AR139" t="s">
        <v>315</v>
      </c>
      <c r="AS139" t="s">
        <v>396</v>
      </c>
      <c r="AT139">
        <v>0</v>
      </c>
      <c r="AU139">
        <v>1</v>
      </c>
      <c r="AV139">
        <v>0</v>
      </c>
      <c r="AW139">
        <v>14</v>
      </c>
    </row>
    <row r="140" spans="1:49" x14ac:dyDescent="0.25">
      <c r="A140"/>
      <c r="AR140" t="s">
        <v>315</v>
      </c>
      <c r="AS140" t="s">
        <v>399</v>
      </c>
      <c r="AT140">
        <v>0</v>
      </c>
      <c r="AU140">
        <v>1</v>
      </c>
      <c r="AV140">
        <v>0</v>
      </c>
      <c r="AW140">
        <v>14</v>
      </c>
    </row>
    <row r="141" spans="1:49" x14ac:dyDescent="0.25">
      <c r="A141"/>
      <c r="AR141" t="s">
        <v>315</v>
      </c>
      <c r="AS141" t="s">
        <v>402</v>
      </c>
      <c r="AT141">
        <v>0</v>
      </c>
      <c r="AU141">
        <v>1</v>
      </c>
      <c r="AV141">
        <v>0</v>
      </c>
      <c r="AW141">
        <v>14</v>
      </c>
    </row>
    <row r="142" spans="1:49" x14ac:dyDescent="0.25">
      <c r="A142"/>
      <c r="AR142" t="s">
        <v>315</v>
      </c>
      <c r="AS142" t="s">
        <v>406</v>
      </c>
      <c r="AT142">
        <v>0.75</v>
      </c>
      <c r="AU142">
        <v>0.25</v>
      </c>
      <c r="AV142">
        <v>12</v>
      </c>
      <c r="AW142">
        <v>16</v>
      </c>
    </row>
    <row r="143" spans="1:49" x14ac:dyDescent="0.25">
      <c r="A143"/>
      <c r="AR143" t="s">
        <v>315</v>
      </c>
      <c r="AS143" t="s">
        <v>407</v>
      </c>
      <c r="AT143">
        <v>0.82352899999999996</v>
      </c>
      <c r="AU143">
        <v>0.17647099999999999</v>
      </c>
      <c r="AV143">
        <v>14</v>
      </c>
      <c r="AW143">
        <v>17</v>
      </c>
    </row>
    <row r="144" spans="1:49" x14ac:dyDescent="0.25">
      <c r="A144"/>
      <c r="AR144" t="s">
        <v>315</v>
      </c>
      <c r="AS144" t="s">
        <v>410</v>
      </c>
      <c r="AT144">
        <v>0</v>
      </c>
      <c r="AU144">
        <v>1</v>
      </c>
      <c r="AV144">
        <v>0</v>
      </c>
      <c r="AW144">
        <v>14</v>
      </c>
    </row>
    <row r="145" spans="1:49" x14ac:dyDescent="0.25">
      <c r="A145"/>
      <c r="AR145" t="s">
        <v>315</v>
      </c>
      <c r="AS145" t="s">
        <v>413</v>
      </c>
      <c r="AT145">
        <v>0.8125</v>
      </c>
      <c r="AU145">
        <v>0.1875</v>
      </c>
      <c r="AV145">
        <v>13</v>
      </c>
      <c r="AW145">
        <v>16</v>
      </c>
    </row>
    <row r="146" spans="1:49" x14ac:dyDescent="0.25">
      <c r="A146"/>
      <c r="AR146" t="s">
        <v>315</v>
      </c>
      <c r="AS146" t="s">
        <v>416</v>
      </c>
      <c r="AT146">
        <v>0</v>
      </c>
      <c r="AU146">
        <v>1</v>
      </c>
      <c r="AV146">
        <v>0</v>
      </c>
      <c r="AW146">
        <v>14</v>
      </c>
    </row>
    <row r="147" spans="1:49" x14ac:dyDescent="0.25">
      <c r="A147"/>
      <c r="AR147" t="s">
        <v>315</v>
      </c>
      <c r="AS147" t="s">
        <v>420</v>
      </c>
      <c r="AT147">
        <v>0.85714299999999999</v>
      </c>
      <c r="AU147">
        <v>0.14285700000000001</v>
      </c>
      <c r="AV147">
        <v>12</v>
      </c>
      <c r="AW147">
        <v>14</v>
      </c>
    </row>
    <row r="148" spans="1:49" x14ac:dyDescent="0.25">
      <c r="A148"/>
      <c r="AR148" t="s">
        <v>315</v>
      </c>
      <c r="AS148" t="s">
        <v>422</v>
      </c>
      <c r="AT148">
        <v>0</v>
      </c>
      <c r="AU148">
        <v>1</v>
      </c>
      <c r="AV148">
        <v>0</v>
      </c>
      <c r="AW148">
        <v>14</v>
      </c>
    </row>
    <row r="149" spans="1:49" x14ac:dyDescent="0.25">
      <c r="A149"/>
      <c r="AR149" t="s">
        <v>315</v>
      </c>
      <c r="AS149" t="s">
        <v>425</v>
      </c>
      <c r="AT149">
        <v>0.6</v>
      </c>
      <c r="AU149">
        <v>0.4</v>
      </c>
      <c r="AV149">
        <v>9</v>
      </c>
      <c r="AW149">
        <v>15</v>
      </c>
    </row>
    <row r="150" spans="1:49" x14ac:dyDescent="0.25">
      <c r="A150"/>
      <c r="AR150" t="s">
        <v>315</v>
      </c>
      <c r="AS150" t="s">
        <v>427</v>
      </c>
      <c r="AT150">
        <v>0</v>
      </c>
      <c r="AU150">
        <v>1</v>
      </c>
      <c r="AV150">
        <v>0</v>
      </c>
      <c r="AW150">
        <v>14</v>
      </c>
    </row>
    <row r="151" spans="1:49" x14ac:dyDescent="0.25">
      <c r="A151"/>
      <c r="AR151" t="s">
        <v>315</v>
      </c>
      <c r="AS151" t="s">
        <v>431</v>
      </c>
      <c r="AT151">
        <v>0.66666700000000001</v>
      </c>
      <c r="AU151">
        <v>0.33333299999999999</v>
      </c>
      <c r="AV151">
        <v>10</v>
      </c>
      <c r="AW151">
        <v>15</v>
      </c>
    </row>
    <row r="152" spans="1:49" x14ac:dyDescent="0.25">
      <c r="A152"/>
      <c r="AR152" t="s">
        <v>318</v>
      </c>
      <c r="AS152" t="s">
        <v>321</v>
      </c>
      <c r="AT152">
        <v>0.6</v>
      </c>
      <c r="AU152">
        <v>0.4</v>
      </c>
      <c r="AV152">
        <v>9</v>
      </c>
      <c r="AW152">
        <v>15</v>
      </c>
    </row>
    <row r="153" spans="1:49" x14ac:dyDescent="0.25">
      <c r="A153"/>
      <c r="AR153" t="s">
        <v>318</v>
      </c>
      <c r="AS153" t="s">
        <v>325</v>
      </c>
      <c r="AT153">
        <v>0.764706</v>
      </c>
      <c r="AU153">
        <v>0.235294</v>
      </c>
      <c r="AV153">
        <v>13</v>
      </c>
      <c r="AW153">
        <v>17</v>
      </c>
    </row>
    <row r="154" spans="1:49" x14ac:dyDescent="0.25">
      <c r="A154"/>
      <c r="AR154" t="s">
        <v>318</v>
      </c>
      <c r="AS154" t="s">
        <v>327</v>
      </c>
      <c r="AT154">
        <v>0</v>
      </c>
      <c r="AU154">
        <v>1</v>
      </c>
      <c r="AV154">
        <v>0</v>
      </c>
      <c r="AW154">
        <v>15</v>
      </c>
    </row>
    <row r="155" spans="1:49" x14ac:dyDescent="0.25">
      <c r="A155"/>
      <c r="AR155" t="s">
        <v>318</v>
      </c>
      <c r="AS155" t="s">
        <v>330</v>
      </c>
      <c r="AT155">
        <v>0.70588200000000001</v>
      </c>
      <c r="AU155">
        <v>0.29411799999999999</v>
      </c>
      <c r="AV155">
        <v>12</v>
      </c>
      <c r="AW155">
        <v>17</v>
      </c>
    </row>
    <row r="156" spans="1:49" x14ac:dyDescent="0.25">
      <c r="A156"/>
      <c r="AR156" t="s">
        <v>318</v>
      </c>
      <c r="AS156" t="s">
        <v>334</v>
      </c>
      <c r="AT156">
        <v>0.4375</v>
      </c>
      <c r="AU156">
        <v>0.5625</v>
      </c>
      <c r="AV156">
        <v>7</v>
      </c>
      <c r="AW156">
        <v>16</v>
      </c>
    </row>
    <row r="157" spans="1:49" x14ac:dyDescent="0.25">
      <c r="A157"/>
      <c r="AR157" t="s">
        <v>318</v>
      </c>
      <c r="AS157" t="s">
        <v>338</v>
      </c>
      <c r="AT157">
        <v>0.3125</v>
      </c>
      <c r="AU157">
        <v>0.6875</v>
      </c>
      <c r="AV157">
        <v>5</v>
      </c>
      <c r="AW157">
        <v>16</v>
      </c>
    </row>
    <row r="158" spans="1:49" x14ac:dyDescent="0.25">
      <c r="A158"/>
      <c r="AR158" t="s">
        <v>318</v>
      </c>
      <c r="AS158" t="s">
        <v>342</v>
      </c>
      <c r="AT158">
        <v>0.8125</v>
      </c>
      <c r="AU158">
        <v>0.1875</v>
      </c>
      <c r="AV158">
        <v>13</v>
      </c>
      <c r="AW158">
        <v>16</v>
      </c>
    </row>
    <row r="159" spans="1:49" x14ac:dyDescent="0.25">
      <c r="A159"/>
      <c r="AR159" t="s">
        <v>318</v>
      </c>
      <c r="AS159" t="s">
        <v>344</v>
      </c>
      <c r="AT159">
        <v>0.3125</v>
      </c>
      <c r="AU159">
        <v>0.6875</v>
      </c>
      <c r="AV159">
        <v>5</v>
      </c>
      <c r="AW159">
        <v>16</v>
      </c>
    </row>
    <row r="160" spans="1:49" x14ac:dyDescent="0.25">
      <c r="A160"/>
      <c r="AR160" t="s">
        <v>318</v>
      </c>
      <c r="AS160" t="s">
        <v>348</v>
      </c>
      <c r="AT160">
        <v>0</v>
      </c>
      <c r="AU160">
        <v>1</v>
      </c>
      <c r="AV160">
        <v>0</v>
      </c>
      <c r="AW160">
        <v>15</v>
      </c>
    </row>
    <row r="161" spans="1:49" x14ac:dyDescent="0.25">
      <c r="A161"/>
      <c r="AR161" t="s">
        <v>318</v>
      </c>
      <c r="AS161" t="s">
        <v>352</v>
      </c>
      <c r="AT161">
        <v>0.83333299999999999</v>
      </c>
      <c r="AU161">
        <v>0.16666700000000001</v>
      </c>
      <c r="AV161">
        <v>15</v>
      </c>
      <c r="AW161">
        <v>18</v>
      </c>
    </row>
    <row r="162" spans="1:49" x14ac:dyDescent="0.25">
      <c r="A162"/>
      <c r="AR162" t="s">
        <v>318</v>
      </c>
      <c r="AS162" t="s">
        <v>356</v>
      </c>
      <c r="AT162">
        <v>0</v>
      </c>
      <c r="AU162">
        <v>1</v>
      </c>
      <c r="AV162">
        <v>0</v>
      </c>
      <c r="AW162">
        <v>15</v>
      </c>
    </row>
    <row r="163" spans="1:49" x14ac:dyDescent="0.25">
      <c r="A163"/>
      <c r="AR163" t="s">
        <v>318</v>
      </c>
      <c r="AS163" t="s">
        <v>359</v>
      </c>
      <c r="AT163">
        <v>0.77777799999999997</v>
      </c>
      <c r="AU163">
        <v>0.222222</v>
      </c>
      <c r="AV163">
        <v>14</v>
      </c>
      <c r="AW163">
        <v>18</v>
      </c>
    </row>
    <row r="164" spans="1:49" x14ac:dyDescent="0.25">
      <c r="A164"/>
      <c r="AR164" t="s">
        <v>318</v>
      </c>
      <c r="AS164" t="s">
        <v>363</v>
      </c>
      <c r="AT164">
        <v>0</v>
      </c>
      <c r="AU164">
        <v>1</v>
      </c>
      <c r="AV164">
        <v>0</v>
      </c>
      <c r="AW164">
        <v>15</v>
      </c>
    </row>
    <row r="165" spans="1:49" x14ac:dyDescent="0.25">
      <c r="A165"/>
      <c r="AR165" t="s">
        <v>318</v>
      </c>
      <c r="AS165" t="s">
        <v>367</v>
      </c>
      <c r="AT165">
        <v>0.86666699999999997</v>
      </c>
      <c r="AU165">
        <v>0.13333300000000001</v>
      </c>
      <c r="AV165">
        <v>13</v>
      </c>
      <c r="AW165">
        <v>15</v>
      </c>
    </row>
    <row r="166" spans="1:49" x14ac:dyDescent="0.25">
      <c r="A166"/>
      <c r="AR166" t="s">
        <v>318</v>
      </c>
      <c r="AS166" t="s">
        <v>371</v>
      </c>
      <c r="AT166">
        <v>0.33333299999999999</v>
      </c>
      <c r="AU166">
        <v>0.66666700000000001</v>
      </c>
      <c r="AV166">
        <v>5</v>
      </c>
      <c r="AW166">
        <v>15</v>
      </c>
    </row>
    <row r="167" spans="1:49" x14ac:dyDescent="0.25">
      <c r="A167"/>
      <c r="AR167" t="s">
        <v>318</v>
      </c>
      <c r="AS167" t="s">
        <v>373</v>
      </c>
      <c r="AT167">
        <v>0</v>
      </c>
      <c r="AU167">
        <v>1</v>
      </c>
      <c r="AV167">
        <v>0</v>
      </c>
      <c r="AW167">
        <v>15</v>
      </c>
    </row>
    <row r="168" spans="1:49" x14ac:dyDescent="0.25">
      <c r="A168"/>
      <c r="AR168" t="s">
        <v>318</v>
      </c>
      <c r="AS168" t="s">
        <v>377</v>
      </c>
      <c r="AT168">
        <v>0.4</v>
      </c>
      <c r="AU168">
        <v>0.6</v>
      </c>
      <c r="AV168">
        <v>6</v>
      </c>
      <c r="AW168">
        <v>15</v>
      </c>
    </row>
    <row r="169" spans="1:49" x14ac:dyDescent="0.25">
      <c r="A169"/>
      <c r="AR169" t="s">
        <v>318</v>
      </c>
      <c r="AS169" t="s">
        <v>380</v>
      </c>
      <c r="AT169">
        <v>0.64705900000000005</v>
      </c>
      <c r="AU169">
        <v>0.352941</v>
      </c>
      <c r="AV169">
        <v>11</v>
      </c>
      <c r="AW169">
        <v>17</v>
      </c>
    </row>
    <row r="170" spans="1:49" x14ac:dyDescent="0.25">
      <c r="A170"/>
      <c r="AR170" t="s">
        <v>318</v>
      </c>
      <c r="AS170" t="s">
        <v>384</v>
      </c>
      <c r="AT170">
        <v>0.6875</v>
      </c>
      <c r="AU170">
        <v>0.3125</v>
      </c>
      <c r="AV170">
        <v>11</v>
      </c>
      <c r="AW170">
        <v>16</v>
      </c>
    </row>
    <row r="171" spans="1:49" x14ac:dyDescent="0.25">
      <c r="A171"/>
      <c r="AR171" t="s">
        <v>318</v>
      </c>
      <c r="AS171" t="s">
        <v>386</v>
      </c>
      <c r="AT171">
        <v>0.82352899999999996</v>
      </c>
      <c r="AU171">
        <v>0.17647099999999999</v>
      </c>
      <c r="AV171">
        <v>14</v>
      </c>
      <c r="AW171">
        <v>17</v>
      </c>
    </row>
    <row r="172" spans="1:49" x14ac:dyDescent="0.25">
      <c r="A172"/>
      <c r="AR172" t="s">
        <v>318</v>
      </c>
      <c r="AS172" t="s">
        <v>389</v>
      </c>
      <c r="AT172">
        <v>0</v>
      </c>
      <c r="AU172">
        <v>1</v>
      </c>
      <c r="AV172">
        <v>0</v>
      </c>
      <c r="AW172">
        <v>15</v>
      </c>
    </row>
    <row r="173" spans="1:49" x14ac:dyDescent="0.25">
      <c r="A173"/>
      <c r="AR173" t="s">
        <v>318</v>
      </c>
      <c r="AS173" t="s">
        <v>393</v>
      </c>
      <c r="AT173">
        <v>0.352941</v>
      </c>
      <c r="AU173">
        <v>0.64705900000000005</v>
      </c>
      <c r="AV173">
        <v>6</v>
      </c>
      <c r="AW173">
        <v>17</v>
      </c>
    </row>
    <row r="174" spans="1:49" x14ac:dyDescent="0.25">
      <c r="A174"/>
      <c r="AR174" t="s">
        <v>318</v>
      </c>
      <c r="AS174" t="s">
        <v>396</v>
      </c>
      <c r="AT174">
        <v>0</v>
      </c>
      <c r="AU174">
        <v>1</v>
      </c>
      <c r="AV174">
        <v>0</v>
      </c>
      <c r="AW174">
        <v>15</v>
      </c>
    </row>
    <row r="175" spans="1:49" x14ac:dyDescent="0.25">
      <c r="A175"/>
      <c r="AR175" t="s">
        <v>318</v>
      </c>
      <c r="AS175" t="s">
        <v>399</v>
      </c>
      <c r="AT175">
        <v>0</v>
      </c>
      <c r="AU175">
        <v>1</v>
      </c>
      <c r="AV175">
        <v>0</v>
      </c>
      <c r="AW175">
        <v>15</v>
      </c>
    </row>
    <row r="176" spans="1:49" x14ac:dyDescent="0.25">
      <c r="A176"/>
      <c r="AR176" t="s">
        <v>318</v>
      </c>
      <c r="AS176" t="s">
        <v>402</v>
      </c>
      <c r="AT176">
        <v>0</v>
      </c>
      <c r="AU176">
        <v>1</v>
      </c>
      <c r="AV176">
        <v>0</v>
      </c>
      <c r="AW176">
        <v>15</v>
      </c>
    </row>
    <row r="177" spans="1:49" x14ac:dyDescent="0.25">
      <c r="A177"/>
      <c r="AR177" t="s">
        <v>318</v>
      </c>
      <c r="AS177" t="s">
        <v>406</v>
      </c>
      <c r="AT177">
        <v>0.70588200000000001</v>
      </c>
      <c r="AU177">
        <v>0.29411799999999999</v>
      </c>
      <c r="AV177">
        <v>12</v>
      </c>
      <c r="AW177">
        <v>17</v>
      </c>
    </row>
    <row r="178" spans="1:49" x14ac:dyDescent="0.25">
      <c r="A178"/>
      <c r="AR178" t="s">
        <v>318</v>
      </c>
      <c r="AS178" t="s">
        <v>407</v>
      </c>
      <c r="AT178">
        <v>0.77777799999999997</v>
      </c>
      <c r="AU178">
        <v>0.222222</v>
      </c>
      <c r="AV178">
        <v>14</v>
      </c>
      <c r="AW178">
        <v>18</v>
      </c>
    </row>
    <row r="179" spans="1:49" x14ac:dyDescent="0.25">
      <c r="A179"/>
      <c r="AR179" t="s">
        <v>318</v>
      </c>
      <c r="AS179" t="s">
        <v>410</v>
      </c>
      <c r="AT179">
        <v>0</v>
      </c>
      <c r="AU179">
        <v>1</v>
      </c>
      <c r="AV179">
        <v>0</v>
      </c>
      <c r="AW179">
        <v>15</v>
      </c>
    </row>
    <row r="180" spans="1:49" x14ac:dyDescent="0.25">
      <c r="A180"/>
      <c r="AR180" t="s">
        <v>318</v>
      </c>
      <c r="AS180" t="s">
        <v>413</v>
      </c>
      <c r="AT180">
        <v>0.875</v>
      </c>
      <c r="AU180">
        <v>0.125</v>
      </c>
      <c r="AV180">
        <v>14</v>
      </c>
      <c r="AW180">
        <v>16</v>
      </c>
    </row>
    <row r="181" spans="1:49" x14ac:dyDescent="0.25">
      <c r="A181"/>
      <c r="AR181" t="s">
        <v>318</v>
      </c>
      <c r="AS181" t="s">
        <v>416</v>
      </c>
      <c r="AT181">
        <v>0</v>
      </c>
      <c r="AU181">
        <v>1</v>
      </c>
      <c r="AV181">
        <v>0</v>
      </c>
      <c r="AW181">
        <v>15</v>
      </c>
    </row>
    <row r="182" spans="1:49" x14ac:dyDescent="0.25">
      <c r="A182"/>
      <c r="AR182" t="s">
        <v>318</v>
      </c>
      <c r="AS182" t="s">
        <v>420</v>
      </c>
      <c r="AT182">
        <v>0.8</v>
      </c>
      <c r="AU182">
        <v>0.2</v>
      </c>
      <c r="AV182">
        <v>12</v>
      </c>
      <c r="AW182">
        <v>15</v>
      </c>
    </row>
    <row r="183" spans="1:49" x14ac:dyDescent="0.25">
      <c r="A183"/>
      <c r="AR183" t="s">
        <v>318</v>
      </c>
      <c r="AS183" t="s">
        <v>422</v>
      </c>
      <c r="AT183">
        <v>0</v>
      </c>
      <c r="AU183">
        <v>1</v>
      </c>
      <c r="AV183">
        <v>0</v>
      </c>
      <c r="AW183">
        <v>15</v>
      </c>
    </row>
    <row r="184" spans="1:49" x14ac:dyDescent="0.25">
      <c r="A184"/>
      <c r="AR184" t="s">
        <v>318</v>
      </c>
      <c r="AS184" t="s">
        <v>425</v>
      </c>
      <c r="AT184">
        <v>0.5625</v>
      </c>
      <c r="AU184">
        <v>0.4375</v>
      </c>
      <c r="AV184">
        <v>9</v>
      </c>
      <c r="AW184">
        <v>16</v>
      </c>
    </row>
    <row r="185" spans="1:49" x14ac:dyDescent="0.25">
      <c r="A185"/>
      <c r="AR185" t="s">
        <v>318</v>
      </c>
      <c r="AS185" t="s">
        <v>427</v>
      </c>
      <c r="AT185">
        <v>0</v>
      </c>
      <c r="AU185">
        <v>1</v>
      </c>
      <c r="AV185">
        <v>0</v>
      </c>
      <c r="AW185">
        <v>15</v>
      </c>
    </row>
    <row r="186" spans="1:49" x14ac:dyDescent="0.25">
      <c r="A186"/>
      <c r="AR186" t="s">
        <v>318</v>
      </c>
      <c r="AS186" t="s">
        <v>431</v>
      </c>
      <c r="AT186">
        <v>0.625</v>
      </c>
      <c r="AU186">
        <v>0.375</v>
      </c>
      <c r="AV186">
        <v>10</v>
      </c>
      <c r="AW186">
        <v>16</v>
      </c>
    </row>
    <row r="187" spans="1:49" x14ac:dyDescent="0.25">
      <c r="A187"/>
      <c r="AR187" t="s">
        <v>321</v>
      </c>
      <c r="AS187" t="s">
        <v>325</v>
      </c>
      <c r="AT187">
        <v>0.5</v>
      </c>
      <c r="AU187">
        <v>0.5</v>
      </c>
      <c r="AV187">
        <v>8</v>
      </c>
      <c r="AW187">
        <v>16</v>
      </c>
    </row>
    <row r="188" spans="1:49" x14ac:dyDescent="0.25">
      <c r="A188"/>
      <c r="AR188" t="s">
        <v>321</v>
      </c>
      <c r="AS188" t="s">
        <v>327</v>
      </c>
      <c r="AT188">
        <v>0</v>
      </c>
      <c r="AU188">
        <v>1</v>
      </c>
      <c r="AV188">
        <v>0</v>
      </c>
      <c r="AW188">
        <v>9</v>
      </c>
    </row>
    <row r="189" spans="1:49" x14ac:dyDescent="0.25">
      <c r="A189"/>
      <c r="AR189" t="s">
        <v>321</v>
      </c>
      <c r="AS189" t="s">
        <v>330</v>
      </c>
      <c r="AT189">
        <v>0.4375</v>
      </c>
      <c r="AU189">
        <v>0.5625</v>
      </c>
      <c r="AV189">
        <v>7</v>
      </c>
      <c r="AW189">
        <v>16</v>
      </c>
    </row>
    <row r="190" spans="1:49" x14ac:dyDescent="0.25">
      <c r="A190"/>
      <c r="AR190" t="s">
        <v>321</v>
      </c>
      <c r="AS190" t="s">
        <v>334</v>
      </c>
      <c r="AT190">
        <v>0.30769200000000002</v>
      </c>
      <c r="AU190">
        <v>0.69230800000000003</v>
      </c>
      <c r="AV190">
        <v>4</v>
      </c>
      <c r="AW190">
        <v>13</v>
      </c>
    </row>
    <row r="191" spans="1:49" x14ac:dyDescent="0.25">
      <c r="A191"/>
      <c r="AR191" t="s">
        <v>321</v>
      </c>
      <c r="AS191" t="s">
        <v>338</v>
      </c>
      <c r="AT191">
        <v>0.5</v>
      </c>
      <c r="AU191">
        <v>0.5</v>
      </c>
      <c r="AV191">
        <v>5</v>
      </c>
      <c r="AW191">
        <v>10</v>
      </c>
    </row>
    <row r="192" spans="1:49" x14ac:dyDescent="0.25">
      <c r="A192"/>
      <c r="AR192" t="s">
        <v>321</v>
      </c>
      <c r="AS192" t="s">
        <v>342</v>
      </c>
      <c r="AT192">
        <v>0.4375</v>
      </c>
      <c r="AU192">
        <v>0.5625</v>
      </c>
      <c r="AV192">
        <v>7</v>
      </c>
      <c r="AW192">
        <v>16</v>
      </c>
    </row>
    <row r="193" spans="1:49" x14ac:dyDescent="0.25">
      <c r="A193"/>
      <c r="AR193" t="s">
        <v>321</v>
      </c>
      <c r="AS193" t="s">
        <v>344</v>
      </c>
      <c r="AT193">
        <v>0.36363600000000001</v>
      </c>
      <c r="AU193">
        <v>0.63636400000000004</v>
      </c>
      <c r="AV193">
        <v>4</v>
      </c>
      <c r="AW193">
        <v>11</v>
      </c>
    </row>
    <row r="194" spans="1:49" x14ac:dyDescent="0.25">
      <c r="A194"/>
      <c r="AR194" t="s">
        <v>321</v>
      </c>
      <c r="AS194" t="s">
        <v>348</v>
      </c>
      <c r="AT194">
        <v>0</v>
      </c>
      <c r="AU194">
        <v>1</v>
      </c>
      <c r="AV194">
        <v>0</v>
      </c>
      <c r="AW194">
        <v>9</v>
      </c>
    </row>
    <row r="195" spans="1:49" x14ac:dyDescent="0.25">
      <c r="A195"/>
      <c r="AR195" t="s">
        <v>321</v>
      </c>
      <c r="AS195" t="s">
        <v>352</v>
      </c>
      <c r="AT195">
        <v>0.5</v>
      </c>
      <c r="AU195">
        <v>0.5</v>
      </c>
      <c r="AV195">
        <v>9</v>
      </c>
      <c r="AW195">
        <v>18</v>
      </c>
    </row>
    <row r="196" spans="1:49" x14ac:dyDescent="0.25">
      <c r="A196"/>
      <c r="AR196" t="s">
        <v>321</v>
      </c>
      <c r="AS196" t="s">
        <v>356</v>
      </c>
      <c r="AT196">
        <v>0</v>
      </c>
      <c r="AU196">
        <v>1</v>
      </c>
      <c r="AV196">
        <v>0</v>
      </c>
      <c r="AW196">
        <v>9</v>
      </c>
    </row>
    <row r="197" spans="1:49" x14ac:dyDescent="0.25">
      <c r="A197"/>
      <c r="AR197" t="s">
        <v>321</v>
      </c>
      <c r="AS197" t="s">
        <v>359</v>
      </c>
      <c r="AT197">
        <v>0.44444400000000001</v>
      </c>
      <c r="AU197">
        <v>0.55555600000000005</v>
      </c>
      <c r="AV197">
        <v>8</v>
      </c>
      <c r="AW197">
        <v>18</v>
      </c>
    </row>
    <row r="198" spans="1:49" x14ac:dyDescent="0.25">
      <c r="A198"/>
      <c r="AR198" t="s">
        <v>321</v>
      </c>
      <c r="AS198" t="s">
        <v>363</v>
      </c>
      <c r="AT198">
        <v>0</v>
      </c>
      <c r="AU198">
        <v>1</v>
      </c>
      <c r="AV198">
        <v>0</v>
      </c>
      <c r="AW198">
        <v>9</v>
      </c>
    </row>
    <row r="199" spans="1:49" x14ac:dyDescent="0.25">
      <c r="A199"/>
      <c r="AR199" t="s">
        <v>321</v>
      </c>
      <c r="AS199" t="s">
        <v>367</v>
      </c>
      <c r="AT199">
        <v>0.466667</v>
      </c>
      <c r="AU199">
        <v>0.53333299999999995</v>
      </c>
      <c r="AV199">
        <v>7</v>
      </c>
      <c r="AW199">
        <v>15</v>
      </c>
    </row>
    <row r="200" spans="1:49" x14ac:dyDescent="0.25">
      <c r="A200"/>
      <c r="AR200" t="s">
        <v>321</v>
      </c>
      <c r="AS200" t="s">
        <v>371</v>
      </c>
      <c r="AT200">
        <v>0.4</v>
      </c>
      <c r="AU200">
        <v>0.6</v>
      </c>
      <c r="AV200">
        <v>4</v>
      </c>
      <c r="AW200">
        <v>10</v>
      </c>
    </row>
    <row r="201" spans="1:49" x14ac:dyDescent="0.25">
      <c r="A201"/>
      <c r="AR201" t="s">
        <v>321</v>
      </c>
      <c r="AS201" t="s">
        <v>373</v>
      </c>
      <c r="AT201">
        <v>0</v>
      </c>
      <c r="AU201">
        <v>1</v>
      </c>
      <c r="AV201">
        <v>0</v>
      </c>
      <c r="AW201">
        <v>9</v>
      </c>
    </row>
    <row r="202" spans="1:49" x14ac:dyDescent="0.25">
      <c r="A202"/>
      <c r="AR202" t="s">
        <v>321</v>
      </c>
      <c r="AS202" t="s">
        <v>377</v>
      </c>
      <c r="AT202">
        <v>0.25</v>
      </c>
      <c r="AU202">
        <v>0.75</v>
      </c>
      <c r="AV202">
        <v>3</v>
      </c>
      <c r="AW202">
        <v>12</v>
      </c>
    </row>
    <row r="203" spans="1:49" x14ac:dyDescent="0.25">
      <c r="A203"/>
      <c r="AR203" t="s">
        <v>321</v>
      </c>
      <c r="AS203" t="s">
        <v>380</v>
      </c>
      <c r="AT203">
        <v>0.466667</v>
      </c>
      <c r="AU203">
        <v>0.53333299999999995</v>
      </c>
      <c r="AV203">
        <v>7</v>
      </c>
      <c r="AW203">
        <v>15</v>
      </c>
    </row>
    <row r="204" spans="1:49" x14ac:dyDescent="0.25">
      <c r="A204"/>
      <c r="AR204" t="s">
        <v>321</v>
      </c>
      <c r="AS204" t="s">
        <v>384</v>
      </c>
      <c r="AT204">
        <v>0.61538499999999996</v>
      </c>
      <c r="AU204">
        <v>0.38461499999999998</v>
      </c>
      <c r="AV204">
        <v>8</v>
      </c>
      <c r="AW204">
        <v>13</v>
      </c>
    </row>
    <row r="205" spans="1:49" x14ac:dyDescent="0.25">
      <c r="A205"/>
      <c r="AR205" t="s">
        <v>321</v>
      </c>
      <c r="AS205" t="s">
        <v>386</v>
      </c>
      <c r="AT205">
        <v>0.5625</v>
      </c>
      <c r="AU205">
        <v>0.4375</v>
      </c>
      <c r="AV205">
        <v>9</v>
      </c>
      <c r="AW205">
        <v>16</v>
      </c>
    </row>
    <row r="206" spans="1:49" x14ac:dyDescent="0.25">
      <c r="A206"/>
      <c r="AR206" t="s">
        <v>321</v>
      </c>
      <c r="AS206" t="s">
        <v>389</v>
      </c>
      <c r="AT206">
        <v>0</v>
      </c>
      <c r="AU206">
        <v>1</v>
      </c>
      <c r="AV206">
        <v>0</v>
      </c>
      <c r="AW206">
        <v>9</v>
      </c>
    </row>
    <row r="207" spans="1:49" x14ac:dyDescent="0.25">
      <c r="A207"/>
      <c r="AR207" t="s">
        <v>321</v>
      </c>
      <c r="AS207" t="s">
        <v>393</v>
      </c>
      <c r="AT207">
        <v>0.41666700000000001</v>
      </c>
      <c r="AU207">
        <v>0.58333299999999999</v>
      </c>
      <c r="AV207">
        <v>5</v>
      </c>
      <c r="AW207">
        <v>12</v>
      </c>
    </row>
    <row r="208" spans="1:49" x14ac:dyDescent="0.25">
      <c r="A208"/>
      <c r="AR208" t="s">
        <v>321</v>
      </c>
      <c r="AS208" t="s">
        <v>396</v>
      </c>
      <c r="AT208">
        <v>0</v>
      </c>
      <c r="AU208">
        <v>1</v>
      </c>
      <c r="AV208">
        <v>0</v>
      </c>
      <c r="AW208">
        <v>9</v>
      </c>
    </row>
    <row r="209" spans="1:49" x14ac:dyDescent="0.25">
      <c r="A209"/>
      <c r="AR209" t="s">
        <v>321</v>
      </c>
      <c r="AS209" t="s">
        <v>399</v>
      </c>
      <c r="AT209">
        <v>0</v>
      </c>
      <c r="AU209">
        <v>1</v>
      </c>
      <c r="AV209">
        <v>0</v>
      </c>
      <c r="AW209">
        <v>9</v>
      </c>
    </row>
    <row r="210" spans="1:49" x14ac:dyDescent="0.25">
      <c r="A210"/>
      <c r="AR210" t="s">
        <v>321</v>
      </c>
      <c r="AS210" t="s">
        <v>402</v>
      </c>
      <c r="AT210">
        <v>0</v>
      </c>
      <c r="AU210">
        <v>1</v>
      </c>
      <c r="AV210">
        <v>0</v>
      </c>
      <c r="AW210">
        <v>9</v>
      </c>
    </row>
    <row r="211" spans="1:49" x14ac:dyDescent="0.25">
      <c r="A211"/>
      <c r="AR211" t="s">
        <v>321</v>
      </c>
      <c r="AS211" t="s">
        <v>406</v>
      </c>
      <c r="AT211">
        <v>0.64285700000000001</v>
      </c>
      <c r="AU211">
        <v>0.35714299999999999</v>
      </c>
      <c r="AV211">
        <v>9</v>
      </c>
      <c r="AW211">
        <v>14</v>
      </c>
    </row>
    <row r="212" spans="1:49" x14ac:dyDescent="0.25">
      <c r="A212"/>
      <c r="AR212" t="s">
        <v>321</v>
      </c>
      <c r="AS212" t="s">
        <v>407</v>
      </c>
      <c r="AT212">
        <v>0.52941199999999999</v>
      </c>
      <c r="AU212">
        <v>0.47058800000000001</v>
      </c>
      <c r="AV212">
        <v>9</v>
      </c>
      <c r="AW212">
        <v>17</v>
      </c>
    </row>
    <row r="213" spans="1:49" x14ac:dyDescent="0.25">
      <c r="A213"/>
      <c r="AR213" t="s">
        <v>321</v>
      </c>
      <c r="AS213" t="s">
        <v>410</v>
      </c>
      <c r="AT213">
        <v>0</v>
      </c>
      <c r="AU213">
        <v>1</v>
      </c>
      <c r="AV213">
        <v>0</v>
      </c>
      <c r="AW213">
        <v>9</v>
      </c>
    </row>
    <row r="214" spans="1:49" x14ac:dyDescent="0.25">
      <c r="A214"/>
      <c r="AR214" t="s">
        <v>321</v>
      </c>
      <c r="AS214" t="s">
        <v>413</v>
      </c>
      <c r="AT214">
        <v>0.6</v>
      </c>
      <c r="AU214">
        <v>0.4</v>
      </c>
      <c r="AV214">
        <v>9</v>
      </c>
      <c r="AW214">
        <v>15</v>
      </c>
    </row>
    <row r="215" spans="1:49" x14ac:dyDescent="0.25">
      <c r="A215"/>
      <c r="AR215" t="s">
        <v>321</v>
      </c>
      <c r="AS215" t="s">
        <v>416</v>
      </c>
      <c r="AT215">
        <v>0</v>
      </c>
      <c r="AU215">
        <v>1</v>
      </c>
      <c r="AV215">
        <v>0</v>
      </c>
      <c r="AW215">
        <v>9</v>
      </c>
    </row>
    <row r="216" spans="1:49" x14ac:dyDescent="0.25">
      <c r="A216"/>
      <c r="AR216" t="s">
        <v>321</v>
      </c>
      <c r="AS216" t="s">
        <v>420</v>
      </c>
      <c r="AT216">
        <v>0.5</v>
      </c>
      <c r="AU216">
        <v>0.5</v>
      </c>
      <c r="AV216">
        <v>7</v>
      </c>
      <c r="AW216">
        <v>14</v>
      </c>
    </row>
    <row r="217" spans="1:49" x14ac:dyDescent="0.25">
      <c r="A217"/>
      <c r="AR217" t="s">
        <v>321</v>
      </c>
      <c r="AS217" t="s">
        <v>422</v>
      </c>
      <c r="AT217">
        <v>0</v>
      </c>
      <c r="AU217">
        <v>1</v>
      </c>
      <c r="AV217">
        <v>0</v>
      </c>
      <c r="AW217">
        <v>9</v>
      </c>
    </row>
    <row r="218" spans="1:49" x14ac:dyDescent="0.25">
      <c r="A218"/>
      <c r="AR218" t="s">
        <v>321</v>
      </c>
      <c r="AS218" t="s">
        <v>425</v>
      </c>
      <c r="AT218">
        <v>0.461538</v>
      </c>
      <c r="AU218">
        <v>0.538462</v>
      </c>
      <c r="AV218">
        <v>6</v>
      </c>
      <c r="AW218">
        <v>13</v>
      </c>
    </row>
    <row r="219" spans="1:49" x14ac:dyDescent="0.25">
      <c r="A219"/>
      <c r="AR219" t="s">
        <v>321</v>
      </c>
      <c r="AS219" t="s">
        <v>427</v>
      </c>
      <c r="AT219">
        <v>0</v>
      </c>
      <c r="AU219">
        <v>1</v>
      </c>
      <c r="AV219">
        <v>0</v>
      </c>
      <c r="AW219">
        <v>9</v>
      </c>
    </row>
    <row r="220" spans="1:49" x14ac:dyDescent="0.25">
      <c r="A220"/>
      <c r="AR220" t="s">
        <v>321</v>
      </c>
      <c r="AS220" t="s">
        <v>431</v>
      </c>
      <c r="AT220">
        <v>0.42857099999999998</v>
      </c>
      <c r="AU220">
        <v>0.57142899999999996</v>
      </c>
      <c r="AV220">
        <v>6</v>
      </c>
      <c r="AW220">
        <v>14</v>
      </c>
    </row>
    <row r="221" spans="1:49" x14ac:dyDescent="0.25">
      <c r="A221"/>
      <c r="AR221" t="s">
        <v>325</v>
      </c>
      <c r="AS221" t="s">
        <v>327</v>
      </c>
      <c r="AT221">
        <v>0</v>
      </c>
      <c r="AU221">
        <v>1</v>
      </c>
      <c r="AV221">
        <v>0</v>
      </c>
      <c r="AW221">
        <v>15</v>
      </c>
    </row>
    <row r="222" spans="1:49" x14ac:dyDescent="0.25">
      <c r="A222"/>
      <c r="AR222" t="s">
        <v>325</v>
      </c>
      <c r="AS222" t="s">
        <v>330</v>
      </c>
      <c r="AT222">
        <v>0.8125</v>
      </c>
      <c r="AU222">
        <v>0.1875</v>
      </c>
      <c r="AV222">
        <v>13</v>
      </c>
      <c r="AW222">
        <v>16</v>
      </c>
    </row>
    <row r="223" spans="1:49" x14ac:dyDescent="0.25">
      <c r="A223"/>
      <c r="AR223" t="s">
        <v>325</v>
      </c>
      <c r="AS223" t="s">
        <v>334</v>
      </c>
      <c r="AT223">
        <v>0.4375</v>
      </c>
      <c r="AU223">
        <v>0.5625</v>
      </c>
      <c r="AV223">
        <v>7</v>
      </c>
      <c r="AW223">
        <v>16</v>
      </c>
    </row>
    <row r="224" spans="1:49" x14ac:dyDescent="0.25">
      <c r="A224"/>
      <c r="AR224" t="s">
        <v>325</v>
      </c>
      <c r="AS224" t="s">
        <v>338</v>
      </c>
      <c r="AT224">
        <v>0.3125</v>
      </c>
      <c r="AU224">
        <v>0.6875</v>
      </c>
      <c r="AV224">
        <v>5</v>
      </c>
      <c r="AW224">
        <v>16</v>
      </c>
    </row>
    <row r="225" spans="1:49" x14ac:dyDescent="0.25">
      <c r="A225"/>
      <c r="AR225" t="s">
        <v>325</v>
      </c>
      <c r="AS225" t="s">
        <v>342</v>
      </c>
      <c r="AT225">
        <v>0.70588200000000001</v>
      </c>
      <c r="AU225">
        <v>0.29411799999999999</v>
      </c>
      <c r="AV225">
        <v>12</v>
      </c>
      <c r="AW225">
        <v>17</v>
      </c>
    </row>
    <row r="226" spans="1:49" x14ac:dyDescent="0.25">
      <c r="A226"/>
      <c r="AR226" t="s">
        <v>325</v>
      </c>
      <c r="AS226" t="s">
        <v>344</v>
      </c>
      <c r="AT226">
        <v>0.4</v>
      </c>
      <c r="AU226">
        <v>0.6</v>
      </c>
      <c r="AV226">
        <v>6</v>
      </c>
      <c r="AW226">
        <v>15</v>
      </c>
    </row>
    <row r="227" spans="1:49" x14ac:dyDescent="0.25">
      <c r="A227"/>
      <c r="AR227" t="s">
        <v>325</v>
      </c>
      <c r="AS227" t="s">
        <v>348</v>
      </c>
      <c r="AT227">
        <v>0</v>
      </c>
      <c r="AU227">
        <v>1</v>
      </c>
      <c r="AV227">
        <v>0</v>
      </c>
      <c r="AW227">
        <v>15</v>
      </c>
    </row>
    <row r="228" spans="1:49" x14ac:dyDescent="0.25">
      <c r="A228"/>
      <c r="AR228" t="s">
        <v>325</v>
      </c>
      <c r="AS228" t="s">
        <v>352</v>
      </c>
      <c r="AT228">
        <v>0.83333299999999999</v>
      </c>
      <c r="AU228">
        <v>0.16666700000000001</v>
      </c>
      <c r="AV228">
        <v>15</v>
      </c>
      <c r="AW228">
        <v>18</v>
      </c>
    </row>
    <row r="229" spans="1:49" x14ac:dyDescent="0.25">
      <c r="A229"/>
      <c r="AR229" t="s">
        <v>325</v>
      </c>
      <c r="AS229" t="s">
        <v>356</v>
      </c>
      <c r="AT229">
        <v>0</v>
      </c>
      <c r="AU229">
        <v>1</v>
      </c>
      <c r="AV229">
        <v>0</v>
      </c>
      <c r="AW229">
        <v>15</v>
      </c>
    </row>
    <row r="230" spans="1:49" x14ac:dyDescent="0.25">
      <c r="A230"/>
      <c r="AR230" t="s">
        <v>325</v>
      </c>
      <c r="AS230" t="s">
        <v>359</v>
      </c>
      <c r="AT230">
        <v>0.77777799999999997</v>
      </c>
      <c r="AU230">
        <v>0.222222</v>
      </c>
      <c r="AV230">
        <v>14</v>
      </c>
      <c r="AW230">
        <v>18</v>
      </c>
    </row>
    <row r="231" spans="1:49" x14ac:dyDescent="0.25">
      <c r="A231"/>
      <c r="AR231" t="s">
        <v>325</v>
      </c>
      <c r="AS231" t="s">
        <v>363</v>
      </c>
      <c r="AT231">
        <v>0</v>
      </c>
      <c r="AU231">
        <v>1</v>
      </c>
      <c r="AV231">
        <v>0</v>
      </c>
      <c r="AW231">
        <v>15</v>
      </c>
    </row>
    <row r="232" spans="1:49" x14ac:dyDescent="0.25">
      <c r="A232"/>
      <c r="AR232" t="s">
        <v>325</v>
      </c>
      <c r="AS232" t="s">
        <v>367</v>
      </c>
      <c r="AT232">
        <v>0.64705900000000005</v>
      </c>
      <c r="AU232">
        <v>0.352941</v>
      </c>
      <c r="AV232">
        <v>11</v>
      </c>
      <c r="AW232">
        <v>17</v>
      </c>
    </row>
    <row r="233" spans="1:49" x14ac:dyDescent="0.25">
      <c r="A233"/>
      <c r="AR233" t="s">
        <v>325</v>
      </c>
      <c r="AS233" t="s">
        <v>371</v>
      </c>
      <c r="AT233">
        <v>0.25</v>
      </c>
      <c r="AU233">
        <v>0.75</v>
      </c>
      <c r="AV233">
        <v>4</v>
      </c>
      <c r="AW233">
        <v>16</v>
      </c>
    </row>
    <row r="234" spans="1:49" x14ac:dyDescent="0.25">
      <c r="A234"/>
      <c r="AR234" t="s">
        <v>325</v>
      </c>
      <c r="AS234" t="s">
        <v>373</v>
      </c>
      <c r="AT234">
        <v>0</v>
      </c>
      <c r="AU234">
        <v>1</v>
      </c>
      <c r="AV234">
        <v>0</v>
      </c>
      <c r="AW234">
        <v>15</v>
      </c>
    </row>
    <row r="235" spans="1:49" x14ac:dyDescent="0.25">
      <c r="A235"/>
      <c r="AR235" t="s">
        <v>325</v>
      </c>
      <c r="AS235" t="s">
        <v>377</v>
      </c>
      <c r="AT235">
        <v>0.3125</v>
      </c>
      <c r="AU235">
        <v>0.6875</v>
      </c>
      <c r="AV235">
        <v>5</v>
      </c>
      <c r="AW235">
        <v>16</v>
      </c>
    </row>
    <row r="236" spans="1:49" x14ac:dyDescent="0.25">
      <c r="A236"/>
      <c r="AR236" t="s">
        <v>325</v>
      </c>
      <c r="AS236" t="s">
        <v>380</v>
      </c>
      <c r="AT236">
        <v>0.75</v>
      </c>
      <c r="AU236">
        <v>0.25</v>
      </c>
      <c r="AV236">
        <v>12</v>
      </c>
      <c r="AW236">
        <v>16</v>
      </c>
    </row>
    <row r="237" spans="1:49" x14ac:dyDescent="0.25">
      <c r="A237"/>
      <c r="AR237" t="s">
        <v>325</v>
      </c>
      <c r="AS237" t="s">
        <v>384</v>
      </c>
      <c r="AT237">
        <v>0.6875</v>
      </c>
      <c r="AU237">
        <v>0.3125</v>
      </c>
      <c r="AV237">
        <v>11</v>
      </c>
      <c r="AW237">
        <v>16</v>
      </c>
    </row>
    <row r="238" spans="1:49" x14ac:dyDescent="0.25">
      <c r="A238"/>
      <c r="AR238" t="s">
        <v>325</v>
      </c>
      <c r="AS238" t="s">
        <v>386</v>
      </c>
      <c r="AT238">
        <v>0.82352899999999996</v>
      </c>
      <c r="AU238">
        <v>0.17647099999999999</v>
      </c>
      <c r="AV238">
        <v>14</v>
      </c>
      <c r="AW238">
        <v>17</v>
      </c>
    </row>
    <row r="239" spans="1:49" x14ac:dyDescent="0.25">
      <c r="A239"/>
      <c r="AR239" t="s">
        <v>325</v>
      </c>
      <c r="AS239" t="s">
        <v>389</v>
      </c>
      <c r="AT239">
        <v>0</v>
      </c>
      <c r="AU239">
        <v>1</v>
      </c>
      <c r="AV239">
        <v>0</v>
      </c>
      <c r="AW239">
        <v>15</v>
      </c>
    </row>
    <row r="240" spans="1:49" x14ac:dyDescent="0.25">
      <c r="A240"/>
      <c r="AR240" t="s">
        <v>325</v>
      </c>
      <c r="AS240" t="s">
        <v>393</v>
      </c>
      <c r="AT240">
        <v>0.4375</v>
      </c>
      <c r="AU240">
        <v>0.5625</v>
      </c>
      <c r="AV240">
        <v>7</v>
      </c>
      <c r="AW240">
        <v>16</v>
      </c>
    </row>
    <row r="241" spans="1:49" x14ac:dyDescent="0.25">
      <c r="A241"/>
      <c r="AR241" t="s">
        <v>325</v>
      </c>
      <c r="AS241" t="s">
        <v>396</v>
      </c>
      <c r="AT241">
        <v>0</v>
      </c>
      <c r="AU241">
        <v>1</v>
      </c>
      <c r="AV241">
        <v>0</v>
      </c>
      <c r="AW241">
        <v>15</v>
      </c>
    </row>
    <row r="242" spans="1:49" x14ac:dyDescent="0.25">
      <c r="A242"/>
      <c r="AR242" t="s">
        <v>325</v>
      </c>
      <c r="AS242" t="s">
        <v>399</v>
      </c>
      <c r="AT242">
        <v>0</v>
      </c>
      <c r="AU242">
        <v>1</v>
      </c>
      <c r="AV242">
        <v>0</v>
      </c>
      <c r="AW242">
        <v>15</v>
      </c>
    </row>
    <row r="243" spans="1:49" x14ac:dyDescent="0.25">
      <c r="A243"/>
      <c r="AR243" t="s">
        <v>325</v>
      </c>
      <c r="AS243" t="s">
        <v>402</v>
      </c>
      <c r="AT243">
        <v>0</v>
      </c>
      <c r="AU243">
        <v>1</v>
      </c>
      <c r="AV243">
        <v>0</v>
      </c>
      <c r="AW243">
        <v>15</v>
      </c>
    </row>
    <row r="244" spans="1:49" x14ac:dyDescent="0.25">
      <c r="A244"/>
      <c r="AR244" t="s">
        <v>325</v>
      </c>
      <c r="AS244" t="s">
        <v>406</v>
      </c>
      <c r="AT244">
        <v>0.8125</v>
      </c>
      <c r="AU244">
        <v>0.1875</v>
      </c>
      <c r="AV244">
        <v>13</v>
      </c>
      <c r="AW244">
        <v>16</v>
      </c>
    </row>
    <row r="245" spans="1:49" x14ac:dyDescent="0.25">
      <c r="A245"/>
      <c r="AR245" t="s">
        <v>325</v>
      </c>
      <c r="AS245" t="s">
        <v>407</v>
      </c>
      <c r="AT245">
        <v>0.77777799999999997</v>
      </c>
      <c r="AU245">
        <v>0.222222</v>
      </c>
      <c r="AV245">
        <v>14</v>
      </c>
      <c r="AW245">
        <v>18</v>
      </c>
    </row>
    <row r="246" spans="1:49" x14ac:dyDescent="0.25">
      <c r="A246"/>
      <c r="AR246" t="s">
        <v>325</v>
      </c>
      <c r="AS246" t="s">
        <v>410</v>
      </c>
      <c r="AT246">
        <v>0</v>
      </c>
      <c r="AU246">
        <v>1</v>
      </c>
      <c r="AV246">
        <v>0</v>
      </c>
      <c r="AW246">
        <v>15</v>
      </c>
    </row>
    <row r="247" spans="1:49" x14ac:dyDescent="0.25">
      <c r="A247"/>
      <c r="AR247" t="s">
        <v>325</v>
      </c>
      <c r="AS247" t="s">
        <v>413</v>
      </c>
      <c r="AT247">
        <v>0.764706</v>
      </c>
      <c r="AU247">
        <v>0.235294</v>
      </c>
      <c r="AV247">
        <v>13</v>
      </c>
      <c r="AW247">
        <v>17</v>
      </c>
    </row>
    <row r="248" spans="1:49" x14ac:dyDescent="0.25">
      <c r="A248"/>
      <c r="AR248" t="s">
        <v>325</v>
      </c>
      <c r="AS248" t="s">
        <v>416</v>
      </c>
      <c r="AT248">
        <v>0</v>
      </c>
      <c r="AU248">
        <v>1</v>
      </c>
      <c r="AV248">
        <v>0</v>
      </c>
      <c r="AW248">
        <v>15</v>
      </c>
    </row>
    <row r="249" spans="1:49" x14ac:dyDescent="0.25">
      <c r="A249"/>
      <c r="AR249" t="s">
        <v>325</v>
      </c>
      <c r="AS249" t="s">
        <v>420</v>
      </c>
      <c r="AT249">
        <v>0.58823499999999995</v>
      </c>
      <c r="AU249">
        <v>0.41176499999999999</v>
      </c>
      <c r="AV249">
        <v>10</v>
      </c>
      <c r="AW249">
        <v>17</v>
      </c>
    </row>
    <row r="250" spans="1:49" x14ac:dyDescent="0.25">
      <c r="A250"/>
      <c r="AR250" t="s">
        <v>325</v>
      </c>
      <c r="AS250" t="s">
        <v>422</v>
      </c>
      <c r="AT250">
        <v>0</v>
      </c>
      <c r="AU250">
        <v>1</v>
      </c>
      <c r="AV250">
        <v>0</v>
      </c>
      <c r="AW250">
        <v>15</v>
      </c>
    </row>
    <row r="251" spans="1:49" x14ac:dyDescent="0.25">
      <c r="A251"/>
      <c r="AR251" t="s">
        <v>325</v>
      </c>
      <c r="AS251" t="s">
        <v>425</v>
      </c>
      <c r="AT251">
        <v>0.5625</v>
      </c>
      <c r="AU251">
        <v>0.4375</v>
      </c>
      <c r="AV251">
        <v>9</v>
      </c>
      <c r="AW251">
        <v>16</v>
      </c>
    </row>
    <row r="252" spans="1:49" x14ac:dyDescent="0.25">
      <c r="A252"/>
      <c r="AR252" t="s">
        <v>325</v>
      </c>
      <c r="AS252" t="s">
        <v>427</v>
      </c>
      <c r="AT252">
        <v>0</v>
      </c>
      <c r="AU252">
        <v>1</v>
      </c>
      <c r="AV252">
        <v>0</v>
      </c>
      <c r="AW252">
        <v>15</v>
      </c>
    </row>
    <row r="253" spans="1:49" x14ac:dyDescent="0.25">
      <c r="A253"/>
      <c r="AR253" t="s">
        <v>325</v>
      </c>
      <c r="AS253" t="s">
        <v>431</v>
      </c>
      <c r="AT253">
        <v>0.625</v>
      </c>
      <c r="AU253">
        <v>0.375</v>
      </c>
      <c r="AV253">
        <v>10</v>
      </c>
      <c r="AW253">
        <v>16</v>
      </c>
    </row>
    <row r="254" spans="1:49" x14ac:dyDescent="0.25">
      <c r="A254"/>
      <c r="AR254" t="s">
        <v>327</v>
      </c>
      <c r="AS254" t="s">
        <v>330</v>
      </c>
      <c r="AT254">
        <v>0</v>
      </c>
      <c r="AU254">
        <v>1</v>
      </c>
      <c r="AV254">
        <v>0</v>
      </c>
      <c r="AW254">
        <v>14</v>
      </c>
    </row>
    <row r="255" spans="1:49" x14ac:dyDescent="0.25">
      <c r="A255"/>
      <c r="AR255" t="s">
        <v>327</v>
      </c>
      <c r="AS255" t="s">
        <v>334</v>
      </c>
      <c r="AT255">
        <v>0</v>
      </c>
      <c r="AU255">
        <v>1</v>
      </c>
      <c r="AV255">
        <v>0</v>
      </c>
      <c r="AW255">
        <v>8</v>
      </c>
    </row>
    <row r="256" spans="1:49" x14ac:dyDescent="0.25">
      <c r="A256"/>
      <c r="AR256" t="s">
        <v>327</v>
      </c>
      <c r="AS256" t="s">
        <v>338</v>
      </c>
      <c r="AT256">
        <v>0</v>
      </c>
      <c r="AU256">
        <v>1</v>
      </c>
      <c r="AV256">
        <v>0</v>
      </c>
      <c r="AW256">
        <v>6</v>
      </c>
    </row>
    <row r="257" spans="1:49" x14ac:dyDescent="0.25">
      <c r="A257"/>
      <c r="AR257" t="s">
        <v>327</v>
      </c>
      <c r="AS257" t="s">
        <v>342</v>
      </c>
      <c r="AT257">
        <v>0</v>
      </c>
      <c r="AU257">
        <v>1</v>
      </c>
      <c r="AV257">
        <v>0</v>
      </c>
      <c r="AW257">
        <v>14</v>
      </c>
    </row>
    <row r="258" spans="1:49" x14ac:dyDescent="0.25">
      <c r="A258"/>
      <c r="AR258" t="s">
        <v>327</v>
      </c>
      <c r="AS258" t="s">
        <v>344</v>
      </c>
      <c r="AT258">
        <v>0</v>
      </c>
      <c r="AU258">
        <v>1</v>
      </c>
      <c r="AV258">
        <v>0</v>
      </c>
      <c r="AW258">
        <v>6</v>
      </c>
    </row>
    <row r="259" spans="1:49" x14ac:dyDescent="0.25">
      <c r="A259"/>
      <c r="AR259" t="s">
        <v>327</v>
      </c>
      <c r="AS259" t="s">
        <v>348</v>
      </c>
      <c r="AV259">
        <v>0</v>
      </c>
      <c r="AW259">
        <v>0</v>
      </c>
    </row>
    <row r="260" spans="1:49" x14ac:dyDescent="0.25">
      <c r="A260"/>
      <c r="AR260" t="s">
        <v>327</v>
      </c>
      <c r="AS260" t="s">
        <v>352</v>
      </c>
      <c r="AT260">
        <v>0</v>
      </c>
      <c r="AU260">
        <v>1</v>
      </c>
      <c r="AV260">
        <v>0</v>
      </c>
      <c r="AW260">
        <v>18</v>
      </c>
    </row>
    <row r="261" spans="1:49" x14ac:dyDescent="0.25">
      <c r="A261"/>
      <c r="AR261" t="s">
        <v>327</v>
      </c>
      <c r="AS261" t="s">
        <v>356</v>
      </c>
      <c r="AV261">
        <v>0</v>
      </c>
      <c r="AW261">
        <v>0</v>
      </c>
    </row>
    <row r="262" spans="1:49" x14ac:dyDescent="0.25">
      <c r="A262"/>
      <c r="AR262" t="s">
        <v>327</v>
      </c>
      <c r="AS262" t="s">
        <v>359</v>
      </c>
      <c r="AT262">
        <v>0</v>
      </c>
      <c r="AU262">
        <v>1</v>
      </c>
      <c r="AV262">
        <v>0</v>
      </c>
      <c r="AW262">
        <v>17</v>
      </c>
    </row>
    <row r="263" spans="1:49" x14ac:dyDescent="0.25">
      <c r="A263"/>
      <c r="AR263" t="s">
        <v>327</v>
      </c>
      <c r="AS263" t="s">
        <v>363</v>
      </c>
      <c r="AV263">
        <v>0</v>
      </c>
      <c r="AW263">
        <v>0</v>
      </c>
    </row>
    <row r="264" spans="1:49" x14ac:dyDescent="0.25">
      <c r="A264"/>
      <c r="AR264" t="s">
        <v>327</v>
      </c>
      <c r="AS264" t="s">
        <v>367</v>
      </c>
      <c r="AT264">
        <v>0</v>
      </c>
      <c r="AU264">
        <v>1</v>
      </c>
      <c r="AV264">
        <v>0</v>
      </c>
      <c r="AW264">
        <v>13</v>
      </c>
    </row>
    <row r="265" spans="1:49" x14ac:dyDescent="0.25">
      <c r="A265"/>
      <c r="AR265" t="s">
        <v>327</v>
      </c>
      <c r="AS265" t="s">
        <v>371</v>
      </c>
      <c r="AT265">
        <v>0</v>
      </c>
      <c r="AU265">
        <v>1</v>
      </c>
      <c r="AV265">
        <v>0</v>
      </c>
      <c r="AW265">
        <v>5</v>
      </c>
    </row>
    <row r="266" spans="1:49" x14ac:dyDescent="0.25">
      <c r="A266"/>
      <c r="AR266" t="s">
        <v>327</v>
      </c>
      <c r="AS266" t="s">
        <v>373</v>
      </c>
      <c r="AV266">
        <v>0</v>
      </c>
      <c r="AW266">
        <v>0</v>
      </c>
    </row>
    <row r="267" spans="1:49" x14ac:dyDescent="0.25">
      <c r="A267"/>
      <c r="AR267" t="s">
        <v>327</v>
      </c>
      <c r="AS267" t="s">
        <v>377</v>
      </c>
      <c r="AT267">
        <v>0</v>
      </c>
      <c r="AU267">
        <v>1</v>
      </c>
      <c r="AV267">
        <v>0</v>
      </c>
      <c r="AW267">
        <v>6</v>
      </c>
    </row>
    <row r="268" spans="1:49" x14ac:dyDescent="0.25">
      <c r="A268"/>
      <c r="AR268" t="s">
        <v>327</v>
      </c>
      <c r="AS268" t="s">
        <v>380</v>
      </c>
      <c r="AT268">
        <v>0</v>
      </c>
      <c r="AU268">
        <v>1</v>
      </c>
      <c r="AV268">
        <v>0</v>
      </c>
      <c r="AW268">
        <v>13</v>
      </c>
    </row>
    <row r="269" spans="1:49" x14ac:dyDescent="0.25">
      <c r="A269"/>
      <c r="AR269" t="s">
        <v>327</v>
      </c>
      <c r="AS269" t="s">
        <v>384</v>
      </c>
      <c r="AT269">
        <v>0</v>
      </c>
      <c r="AU269">
        <v>1</v>
      </c>
      <c r="AV269">
        <v>0</v>
      </c>
      <c r="AW269">
        <v>12</v>
      </c>
    </row>
    <row r="270" spans="1:49" x14ac:dyDescent="0.25">
      <c r="A270"/>
      <c r="AR270" t="s">
        <v>327</v>
      </c>
      <c r="AS270" t="s">
        <v>386</v>
      </c>
      <c r="AT270">
        <v>0</v>
      </c>
      <c r="AU270">
        <v>1</v>
      </c>
      <c r="AV270">
        <v>0</v>
      </c>
      <c r="AW270">
        <v>16</v>
      </c>
    </row>
    <row r="271" spans="1:49" x14ac:dyDescent="0.25">
      <c r="A271"/>
      <c r="AR271" t="s">
        <v>327</v>
      </c>
      <c r="AS271" t="s">
        <v>389</v>
      </c>
      <c r="AV271">
        <v>0</v>
      </c>
      <c r="AW271">
        <v>0</v>
      </c>
    </row>
    <row r="272" spans="1:49" x14ac:dyDescent="0.25">
      <c r="A272"/>
      <c r="AR272" t="s">
        <v>327</v>
      </c>
      <c r="AS272" t="s">
        <v>393</v>
      </c>
      <c r="AT272">
        <v>0</v>
      </c>
      <c r="AU272">
        <v>1</v>
      </c>
      <c r="AV272">
        <v>0</v>
      </c>
      <c r="AW272">
        <v>8</v>
      </c>
    </row>
    <row r="273" spans="1:49" x14ac:dyDescent="0.25">
      <c r="A273"/>
      <c r="AR273" t="s">
        <v>327</v>
      </c>
      <c r="AS273" t="s">
        <v>396</v>
      </c>
      <c r="AV273">
        <v>0</v>
      </c>
      <c r="AW273">
        <v>0</v>
      </c>
    </row>
    <row r="274" spans="1:49" x14ac:dyDescent="0.25">
      <c r="A274"/>
      <c r="AR274" t="s">
        <v>327</v>
      </c>
      <c r="AS274" t="s">
        <v>399</v>
      </c>
      <c r="AV274">
        <v>0</v>
      </c>
      <c r="AW274">
        <v>0</v>
      </c>
    </row>
    <row r="275" spans="1:49" x14ac:dyDescent="0.25">
      <c r="A275"/>
      <c r="AR275" t="s">
        <v>327</v>
      </c>
      <c r="AS275" t="s">
        <v>402</v>
      </c>
      <c r="AV275">
        <v>0</v>
      </c>
      <c r="AW275">
        <v>0</v>
      </c>
    </row>
    <row r="276" spans="1:49" x14ac:dyDescent="0.25">
      <c r="A276"/>
      <c r="AR276" t="s">
        <v>327</v>
      </c>
      <c r="AS276" t="s">
        <v>406</v>
      </c>
      <c r="AT276">
        <v>0</v>
      </c>
      <c r="AU276">
        <v>1</v>
      </c>
      <c r="AV276">
        <v>0</v>
      </c>
      <c r="AW276">
        <v>14</v>
      </c>
    </row>
    <row r="277" spans="1:49" x14ac:dyDescent="0.25">
      <c r="A277"/>
      <c r="AR277" t="s">
        <v>327</v>
      </c>
      <c r="AS277" t="s">
        <v>407</v>
      </c>
      <c r="AT277">
        <v>0</v>
      </c>
      <c r="AU277">
        <v>1</v>
      </c>
      <c r="AV277">
        <v>0</v>
      </c>
      <c r="AW277">
        <v>17</v>
      </c>
    </row>
    <row r="278" spans="1:49" x14ac:dyDescent="0.25">
      <c r="A278"/>
      <c r="AR278" t="s">
        <v>327</v>
      </c>
      <c r="AS278" t="s">
        <v>410</v>
      </c>
      <c r="AV278">
        <v>0</v>
      </c>
      <c r="AW278">
        <v>0</v>
      </c>
    </row>
    <row r="279" spans="1:49" x14ac:dyDescent="0.25">
      <c r="A279"/>
      <c r="AR279" t="s">
        <v>327</v>
      </c>
      <c r="AS279" t="s">
        <v>413</v>
      </c>
      <c r="AT279">
        <v>0</v>
      </c>
      <c r="AU279">
        <v>1</v>
      </c>
      <c r="AV279">
        <v>0</v>
      </c>
      <c r="AW279">
        <v>15</v>
      </c>
    </row>
    <row r="280" spans="1:49" x14ac:dyDescent="0.25">
      <c r="A280"/>
      <c r="AR280" t="s">
        <v>327</v>
      </c>
      <c r="AS280" t="s">
        <v>416</v>
      </c>
      <c r="AV280">
        <v>0</v>
      </c>
      <c r="AW280">
        <v>0</v>
      </c>
    </row>
    <row r="281" spans="1:49" x14ac:dyDescent="0.25">
      <c r="A281"/>
      <c r="AR281" t="s">
        <v>327</v>
      </c>
      <c r="AS281" t="s">
        <v>420</v>
      </c>
      <c r="AT281">
        <v>0</v>
      </c>
      <c r="AU281">
        <v>1</v>
      </c>
      <c r="AV281">
        <v>0</v>
      </c>
      <c r="AW281">
        <v>12</v>
      </c>
    </row>
    <row r="282" spans="1:49" x14ac:dyDescent="0.25">
      <c r="A282"/>
      <c r="AR282" t="s">
        <v>327</v>
      </c>
      <c r="AS282" t="s">
        <v>422</v>
      </c>
      <c r="AV282">
        <v>0</v>
      </c>
      <c r="AW282">
        <v>0</v>
      </c>
    </row>
    <row r="283" spans="1:49" x14ac:dyDescent="0.25">
      <c r="A283"/>
      <c r="AR283" t="s">
        <v>327</v>
      </c>
      <c r="AS283" t="s">
        <v>425</v>
      </c>
      <c r="AT283">
        <v>0</v>
      </c>
      <c r="AU283">
        <v>1</v>
      </c>
      <c r="AV283">
        <v>0</v>
      </c>
      <c r="AW283">
        <v>10</v>
      </c>
    </row>
    <row r="284" spans="1:49" x14ac:dyDescent="0.25">
      <c r="A284"/>
      <c r="AR284" t="s">
        <v>327</v>
      </c>
      <c r="AS284" t="s">
        <v>427</v>
      </c>
      <c r="AV284">
        <v>0</v>
      </c>
      <c r="AW284">
        <v>0</v>
      </c>
    </row>
    <row r="285" spans="1:49" x14ac:dyDescent="0.25">
      <c r="A285"/>
      <c r="AR285" t="s">
        <v>327</v>
      </c>
      <c r="AS285" t="s">
        <v>431</v>
      </c>
      <c r="AT285">
        <v>0</v>
      </c>
      <c r="AU285">
        <v>1</v>
      </c>
      <c r="AV285">
        <v>0</v>
      </c>
      <c r="AW285">
        <v>11</v>
      </c>
    </row>
    <row r="286" spans="1:49" x14ac:dyDescent="0.25">
      <c r="A286"/>
      <c r="AR286" t="s">
        <v>330</v>
      </c>
      <c r="AS286" t="s">
        <v>334</v>
      </c>
      <c r="AT286">
        <v>0.466667</v>
      </c>
      <c r="AU286">
        <v>0.53333299999999995</v>
      </c>
      <c r="AV286">
        <v>7</v>
      </c>
      <c r="AW286">
        <v>15</v>
      </c>
    </row>
    <row r="287" spans="1:49" x14ac:dyDescent="0.25">
      <c r="A287"/>
      <c r="AR287" t="s">
        <v>330</v>
      </c>
      <c r="AS287" t="s">
        <v>338</v>
      </c>
      <c r="AT287">
        <v>0.42857099999999998</v>
      </c>
      <c r="AU287">
        <v>0.57142899999999996</v>
      </c>
      <c r="AV287">
        <v>6</v>
      </c>
      <c r="AW287">
        <v>14</v>
      </c>
    </row>
    <row r="288" spans="1:49" x14ac:dyDescent="0.25">
      <c r="A288"/>
      <c r="AR288" t="s">
        <v>330</v>
      </c>
      <c r="AS288" t="s">
        <v>342</v>
      </c>
      <c r="AT288">
        <v>0.86666699999999997</v>
      </c>
      <c r="AU288">
        <v>0.13333300000000001</v>
      </c>
      <c r="AV288">
        <v>13</v>
      </c>
      <c r="AW288">
        <v>15</v>
      </c>
    </row>
    <row r="289" spans="1:49" x14ac:dyDescent="0.25">
      <c r="A289"/>
      <c r="AR289" t="s">
        <v>330</v>
      </c>
      <c r="AS289" t="s">
        <v>344</v>
      </c>
      <c r="AT289">
        <v>0.42857099999999998</v>
      </c>
      <c r="AU289">
        <v>0.57142899999999996</v>
      </c>
      <c r="AV289">
        <v>6</v>
      </c>
      <c r="AW289">
        <v>14</v>
      </c>
    </row>
    <row r="290" spans="1:49" x14ac:dyDescent="0.25">
      <c r="A290"/>
      <c r="AR290" t="s">
        <v>330</v>
      </c>
      <c r="AS290" t="s">
        <v>348</v>
      </c>
      <c r="AT290">
        <v>0</v>
      </c>
      <c r="AU290">
        <v>1</v>
      </c>
      <c r="AV290">
        <v>0</v>
      </c>
      <c r="AW290">
        <v>14</v>
      </c>
    </row>
    <row r="291" spans="1:49" x14ac:dyDescent="0.25">
      <c r="A291"/>
      <c r="AR291" t="s">
        <v>330</v>
      </c>
      <c r="AS291" t="s">
        <v>352</v>
      </c>
      <c r="AT291">
        <v>0.77777799999999997</v>
      </c>
      <c r="AU291">
        <v>0.222222</v>
      </c>
      <c r="AV291">
        <v>14</v>
      </c>
      <c r="AW291">
        <v>18</v>
      </c>
    </row>
    <row r="292" spans="1:49" x14ac:dyDescent="0.25">
      <c r="A292"/>
      <c r="AR292" t="s">
        <v>330</v>
      </c>
      <c r="AS292" t="s">
        <v>356</v>
      </c>
      <c r="AT292">
        <v>0</v>
      </c>
      <c r="AU292">
        <v>1</v>
      </c>
      <c r="AV292">
        <v>0</v>
      </c>
      <c r="AW292">
        <v>14</v>
      </c>
    </row>
    <row r="293" spans="1:49" x14ac:dyDescent="0.25">
      <c r="A293"/>
      <c r="AR293" t="s">
        <v>330</v>
      </c>
      <c r="AS293" t="s">
        <v>359</v>
      </c>
      <c r="AT293">
        <v>0.82352899999999996</v>
      </c>
      <c r="AU293">
        <v>0.17647099999999999</v>
      </c>
      <c r="AV293">
        <v>14</v>
      </c>
      <c r="AW293">
        <v>17</v>
      </c>
    </row>
    <row r="294" spans="1:49" x14ac:dyDescent="0.25">
      <c r="A294"/>
      <c r="AR294" t="s">
        <v>330</v>
      </c>
      <c r="AS294" t="s">
        <v>363</v>
      </c>
      <c r="AT294">
        <v>0</v>
      </c>
      <c r="AU294">
        <v>1</v>
      </c>
      <c r="AV294">
        <v>0</v>
      </c>
      <c r="AW294">
        <v>14</v>
      </c>
    </row>
    <row r="295" spans="1:49" x14ac:dyDescent="0.25">
      <c r="A295"/>
      <c r="AR295" t="s">
        <v>330</v>
      </c>
      <c r="AS295" t="s">
        <v>367</v>
      </c>
      <c r="AT295">
        <v>0.58823499999999995</v>
      </c>
      <c r="AU295">
        <v>0.41176499999999999</v>
      </c>
      <c r="AV295">
        <v>10</v>
      </c>
      <c r="AW295">
        <v>17</v>
      </c>
    </row>
    <row r="296" spans="1:49" x14ac:dyDescent="0.25">
      <c r="A296"/>
      <c r="AR296" t="s">
        <v>330</v>
      </c>
      <c r="AS296" t="s">
        <v>371</v>
      </c>
      <c r="AT296">
        <v>0.35714299999999999</v>
      </c>
      <c r="AU296">
        <v>0.64285700000000001</v>
      </c>
      <c r="AV296">
        <v>5</v>
      </c>
      <c r="AW296">
        <v>14</v>
      </c>
    </row>
    <row r="297" spans="1:49" x14ac:dyDescent="0.25">
      <c r="A297"/>
      <c r="AR297" t="s">
        <v>330</v>
      </c>
      <c r="AS297" t="s">
        <v>373</v>
      </c>
      <c r="AT297">
        <v>0</v>
      </c>
      <c r="AU297">
        <v>1</v>
      </c>
      <c r="AV297">
        <v>0</v>
      </c>
      <c r="AW297">
        <v>14</v>
      </c>
    </row>
    <row r="298" spans="1:49" x14ac:dyDescent="0.25">
      <c r="A298"/>
      <c r="AR298" t="s">
        <v>330</v>
      </c>
      <c r="AS298" t="s">
        <v>377</v>
      </c>
      <c r="AT298">
        <v>0.42857099999999998</v>
      </c>
      <c r="AU298">
        <v>0.57142899999999996</v>
      </c>
      <c r="AV298">
        <v>6</v>
      </c>
      <c r="AW298">
        <v>14</v>
      </c>
    </row>
    <row r="299" spans="1:49" x14ac:dyDescent="0.25">
      <c r="A299"/>
      <c r="AR299" t="s">
        <v>330</v>
      </c>
      <c r="AS299" t="s">
        <v>380</v>
      </c>
      <c r="AT299">
        <v>0.6875</v>
      </c>
      <c r="AU299">
        <v>0.3125</v>
      </c>
      <c r="AV299">
        <v>11</v>
      </c>
      <c r="AW299">
        <v>16</v>
      </c>
    </row>
    <row r="300" spans="1:49" x14ac:dyDescent="0.25">
      <c r="A300"/>
      <c r="AR300" t="s">
        <v>330</v>
      </c>
      <c r="AS300" t="s">
        <v>384</v>
      </c>
      <c r="AT300">
        <v>0.73333300000000001</v>
      </c>
      <c r="AU300">
        <v>0.26666699999999999</v>
      </c>
      <c r="AV300">
        <v>11</v>
      </c>
      <c r="AW300">
        <v>15</v>
      </c>
    </row>
    <row r="301" spans="1:49" x14ac:dyDescent="0.25">
      <c r="A301"/>
      <c r="AR301" t="s">
        <v>330</v>
      </c>
      <c r="AS301" t="s">
        <v>386</v>
      </c>
      <c r="AT301">
        <v>0.764706</v>
      </c>
      <c r="AU301">
        <v>0.235294</v>
      </c>
      <c r="AV301">
        <v>13</v>
      </c>
      <c r="AW301">
        <v>17</v>
      </c>
    </row>
    <row r="302" spans="1:49" x14ac:dyDescent="0.25">
      <c r="A302"/>
      <c r="AR302" t="s">
        <v>330</v>
      </c>
      <c r="AS302" t="s">
        <v>389</v>
      </c>
      <c r="AT302">
        <v>0</v>
      </c>
      <c r="AU302">
        <v>1</v>
      </c>
      <c r="AV302">
        <v>0</v>
      </c>
      <c r="AW302">
        <v>14</v>
      </c>
    </row>
    <row r="303" spans="1:49" x14ac:dyDescent="0.25">
      <c r="A303"/>
      <c r="AR303" t="s">
        <v>330</v>
      </c>
      <c r="AS303" t="s">
        <v>393</v>
      </c>
      <c r="AT303">
        <v>0.466667</v>
      </c>
      <c r="AU303">
        <v>0.53333299999999995</v>
      </c>
      <c r="AV303">
        <v>7</v>
      </c>
      <c r="AW303">
        <v>15</v>
      </c>
    </row>
    <row r="304" spans="1:49" x14ac:dyDescent="0.25">
      <c r="A304"/>
      <c r="AR304" t="s">
        <v>330</v>
      </c>
      <c r="AS304" t="s">
        <v>396</v>
      </c>
      <c r="AT304">
        <v>0</v>
      </c>
      <c r="AU304">
        <v>1</v>
      </c>
      <c r="AV304">
        <v>0</v>
      </c>
      <c r="AW304">
        <v>14</v>
      </c>
    </row>
    <row r="305" spans="1:49" x14ac:dyDescent="0.25">
      <c r="A305"/>
      <c r="AR305" t="s">
        <v>330</v>
      </c>
      <c r="AS305" t="s">
        <v>399</v>
      </c>
      <c r="AT305">
        <v>0</v>
      </c>
      <c r="AU305">
        <v>1</v>
      </c>
      <c r="AV305">
        <v>0</v>
      </c>
      <c r="AW305">
        <v>14</v>
      </c>
    </row>
    <row r="306" spans="1:49" x14ac:dyDescent="0.25">
      <c r="A306"/>
      <c r="AR306" t="s">
        <v>330</v>
      </c>
      <c r="AS306" t="s">
        <v>402</v>
      </c>
      <c r="AT306">
        <v>0</v>
      </c>
      <c r="AU306">
        <v>1</v>
      </c>
      <c r="AV306">
        <v>0</v>
      </c>
      <c r="AW306">
        <v>14</v>
      </c>
    </row>
    <row r="307" spans="1:49" x14ac:dyDescent="0.25">
      <c r="A307"/>
      <c r="AR307" t="s">
        <v>330</v>
      </c>
      <c r="AS307" t="s">
        <v>406</v>
      </c>
      <c r="AT307">
        <v>0.75</v>
      </c>
      <c r="AU307">
        <v>0.25</v>
      </c>
      <c r="AV307">
        <v>12</v>
      </c>
      <c r="AW307">
        <v>16</v>
      </c>
    </row>
    <row r="308" spans="1:49" x14ac:dyDescent="0.25">
      <c r="A308"/>
      <c r="AR308" t="s">
        <v>330</v>
      </c>
      <c r="AS308" t="s">
        <v>407</v>
      </c>
      <c r="AT308">
        <v>0.72222200000000003</v>
      </c>
      <c r="AU308">
        <v>0.27777800000000002</v>
      </c>
      <c r="AV308">
        <v>13</v>
      </c>
      <c r="AW308">
        <v>18</v>
      </c>
    </row>
    <row r="309" spans="1:49" x14ac:dyDescent="0.25">
      <c r="A309"/>
      <c r="AR309" t="s">
        <v>330</v>
      </c>
      <c r="AS309" t="s">
        <v>410</v>
      </c>
      <c r="AT309">
        <v>0</v>
      </c>
      <c r="AU309">
        <v>1</v>
      </c>
      <c r="AV309">
        <v>0</v>
      </c>
      <c r="AW309">
        <v>14</v>
      </c>
    </row>
    <row r="310" spans="1:49" x14ac:dyDescent="0.25">
      <c r="A310"/>
      <c r="AR310" t="s">
        <v>330</v>
      </c>
      <c r="AS310" t="s">
        <v>413</v>
      </c>
      <c r="AT310">
        <v>0.70588200000000001</v>
      </c>
      <c r="AU310">
        <v>0.29411799999999999</v>
      </c>
      <c r="AV310">
        <v>12</v>
      </c>
      <c r="AW310">
        <v>17</v>
      </c>
    </row>
    <row r="311" spans="1:49" x14ac:dyDescent="0.25">
      <c r="A311"/>
      <c r="AR311" t="s">
        <v>330</v>
      </c>
      <c r="AS311" t="s">
        <v>416</v>
      </c>
      <c r="AT311">
        <v>0</v>
      </c>
      <c r="AU311">
        <v>1</v>
      </c>
      <c r="AV311">
        <v>0</v>
      </c>
      <c r="AW311">
        <v>14</v>
      </c>
    </row>
    <row r="312" spans="1:49" x14ac:dyDescent="0.25">
      <c r="A312"/>
      <c r="AR312" t="s">
        <v>330</v>
      </c>
      <c r="AS312" t="s">
        <v>420</v>
      </c>
      <c r="AT312">
        <v>0.625</v>
      </c>
      <c r="AU312">
        <v>0.375</v>
      </c>
      <c r="AV312">
        <v>10</v>
      </c>
      <c r="AW312">
        <v>16</v>
      </c>
    </row>
    <row r="313" spans="1:49" x14ac:dyDescent="0.25">
      <c r="A313"/>
      <c r="AR313" t="s">
        <v>330</v>
      </c>
      <c r="AS313" t="s">
        <v>422</v>
      </c>
      <c r="AT313">
        <v>0</v>
      </c>
      <c r="AU313">
        <v>1</v>
      </c>
      <c r="AV313">
        <v>0</v>
      </c>
      <c r="AW313">
        <v>14</v>
      </c>
    </row>
    <row r="314" spans="1:49" x14ac:dyDescent="0.25">
      <c r="A314"/>
      <c r="AR314" t="s">
        <v>330</v>
      </c>
      <c r="AS314" t="s">
        <v>425</v>
      </c>
      <c r="AT314">
        <v>0.6</v>
      </c>
      <c r="AU314">
        <v>0.4</v>
      </c>
      <c r="AV314">
        <v>9</v>
      </c>
      <c r="AW314">
        <v>15</v>
      </c>
    </row>
    <row r="315" spans="1:49" x14ac:dyDescent="0.25">
      <c r="A315"/>
      <c r="AR315" t="s">
        <v>330</v>
      </c>
      <c r="AS315" t="s">
        <v>427</v>
      </c>
      <c r="AT315">
        <v>0</v>
      </c>
      <c r="AU315">
        <v>1</v>
      </c>
      <c r="AV315">
        <v>0</v>
      </c>
      <c r="AW315">
        <v>14</v>
      </c>
    </row>
    <row r="316" spans="1:49" x14ac:dyDescent="0.25">
      <c r="A316"/>
      <c r="AR316" t="s">
        <v>330</v>
      </c>
      <c r="AS316" t="s">
        <v>431</v>
      </c>
      <c r="AT316">
        <v>0.78571400000000002</v>
      </c>
      <c r="AU316">
        <v>0.214286</v>
      </c>
      <c r="AV316">
        <v>11</v>
      </c>
      <c r="AW316">
        <v>14</v>
      </c>
    </row>
    <row r="317" spans="1:49" x14ac:dyDescent="0.25">
      <c r="A317"/>
      <c r="AR317" t="s">
        <v>334</v>
      </c>
      <c r="AS317" t="s">
        <v>338</v>
      </c>
      <c r="AT317">
        <v>0.272727</v>
      </c>
      <c r="AU317">
        <v>0.72727299999999995</v>
      </c>
      <c r="AV317">
        <v>3</v>
      </c>
      <c r="AW317">
        <v>11</v>
      </c>
    </row>
    <row r="318" spans="1:49" x14ac:dyDescent="0.25">
      <c r="A318"/>
      <c r="AR318" t="s">
        <v>334</v>
      </c>
      <c r="AS318" t="s">
        <v>342</v>
      </c>
      <c r="AT318">
        <v>0.466667</v>
      </c>
      <c r="AU318">
        <v>0.53333299999999995</v>
      </c>
      <c r="AV318">
        <v>7</v>
      </c>
      <c r="AW318">
        <v>15</v>
      </c>
    </row>
    <row r="319" spans="1:49" x14ac:dyDescent="0.25">
      <c r="A319"/>
      <c r="AR319" t="s">
        <v>334</v>
      </c>
      <c r="AS319" t="s">
        <v>344</v>
      </c>
      <c r="AT319">
        <v>0.4</v>
      </c>
      <c r="AU319">
        <v>0.6</v>
      </c>
      <c r="AV319">
        <v>4</v>
      </c>
      <c r="AW319">
        <v>10</v>
      </c>
    </row>
    <row r="320" spans="1:49" x14ac:dyDescent="0.25">
      <c r="A320"/>
      <c r="AR320" t="s">
        <v>334</v>
      </c>
      <c r="AS320" t="s">
        <v>348</v>
      </c>
      <c r="AT320">
        <v>0</v>
      </c>
      <c r="AU320">
        <v>1</v>
      </c>
      <c r="AV320">
        <v>0</v>
      </c>
      <c r="AW320">
        <v>8</v>
      </c>
    </row>
    <row r="321" spans="1:49" x14ac:dyDescent="0.25">
      <c r="A321"/>
      <c r="AR321" t="s">
        <v>334</v>
      </c>
      <c r="AS321" t="s">
        <v>352</v>
      </c>
      <c r="AT321">
        <v>0.44444400000000001</v>
      </c>
      <c r="AU321">
        <v>0.55555600000000005</v>
      </c>
      <c r="AV321">
        <v>8</v>
      </c>
      <c r="AW321">
        <v>18</v>
      </c>
    </row>
    <row r="322" spans="1:49" x14ac:dyDescent="0.25">
      <c r="A322"/>
      <c r="AR322" t="s">
        <v>334</v>
      </c>
      <c r="AS322" t="s">
        <v>356</v>
      </c>
      <c r="AT322">
        <v>0</v>
      </c>
      <c r="AU322">
        <v>1</v>
      </c>
      <c r="AV322">
        <v>0</v>
      </c>
      <c r="AW322">
        <v>8</v>
      </c>
    </row>
    <row r="323" spans="1:49" x14ac:dyDescent="0.25">
      <c r="A323"/>
      <c r="AR323" t="s">
        <v>334</v>
      </c>
      <c r="AS323" t="s">
        <v>359</v>
      </c>
      <c r="AT323">
        <v>0.47058800000000001</v>
      </c>
      <c r="AU323">
        <v>0.52941199999999999</v>
      </c>
      <c r="AV323">
        <v>8</v>
      </c>
      <c r="AW323">
        <v>17</v>
      </c>
    </row>
    <row r="324" spans="1:49" x14ac:dyDescent="0.25">
      <c r="A324"/>
      <c r="AR324" t="s">
        <v>334</v>
      </c>
      <c r="AS324" t="s">
        <v>363</v>
      </c>
      <c r="AT324">
        <v>0</v>
      </c>
      <c r="AU324">
        <v>1</v>
      </c>
      <c r="AV324">
        <v>0</v>
      </c>
      <c r="AW324">
        <v>8</v>
      </c>
    </row>
    <row r="325" spans="1:49" x14ac:dyDescent="0.25">
      <c r="A325"/>
      <c r="AR325" t="s">
        <v>334</v>
      </c>
      <c r="AS325" t="s">
        <v>367</v>
      </c>
      <c r="AT325">
        <v>0.5</v>
      </c>
      <c r="AU325">
        <v>0.5</v>
      </c>
      <c r="AV325">
        <v>7</v>
      </c>
      <c r="AW325">
        <v>14</v>
      </c>
    </row>
    <row r="326" spans="1:49" x14ac:dyDescent="0.25">
      <c r="A326"/>
      <c r="AR326" t="s">
        <v>334</v>
      </c>
      <c r="AS326" t="s">
        <v>371</v>
      </c>
      <c r="AT326">
        <v>0.3</v>
      </c>
      <c r="AU326">
        <v>0.7</v>
      </c>
      <c r="AV326">
        <v>3</v>
      </c>
      <c r="AW326">
        <v>10</v>
      </c>
    </row>
    <row r="327" spans="1:49" x14ac:dyDescent="0.25">
      <c r="A327"/>
      <c r="AR327" t="s">
        <v>334</v>
      </c>
      <c r="AS327" t="s">
        <v>373</v>
      </c>
      <c r="AT327">
        <v>0</v>
      </c>
      <c r="AU327">
        <v>1</v>
      </c>
      <c r="AV327">
        <v>0</v>
      </c>
      <c r="AW327">
        <v>8</v>
      </c>
    </row>
    <row r="328" spans="1:49" x14ac:dyDescent="0.25">
      <c r="A328"/>
      <c r="AR328" t="s">
        <v>334</v>
      </c>
      <c r="AS328" t="s">
        <v>377</v>
      </c>
      <c r="AT328">
        <v>0.4</v>
      </c>
      <c r="AU328">
        <v>0.6</v>
      </c>
      <c r="AV328">
        <v>4</v>
      </c>
      <c r="AW328">
        <v>10</v>
      </c>
    </row>
    <row r="329" spans="1:49" x14ac:dyDescent="0.25">
      <c r="A329"/>
      <c r="AR329" t="s">
        <v>334</v>
      </c>
      <c r="AS329" t="s">
        <v>380</v>
      </c>
      <c r="AT329">
        <v>0.61538499999999996</v>
      </c>
      <c r="AU329">
        <v>0.38461499999999998</v>
      </c>
      <c r="AV329">
        <v>8</v>
      </c>
      <c r="AW329">
        <v>13</v>
      </c>
    </row>
    <row r="330" spans="1:49" x14ac:dyDescent="0.25">
      <c r="A330"/>
      <c r="AR330" t="s">
        <v>334</v>
      </c>
      <c r="AS330" t="s">
        <v>384</v>
      </c>
      <c r="AT330">
        <v>0.538462</v>
      </c>
      <c r="AU330">
        <v>0.461538</v>
      </c>
      <c r="AV330">
        <v>7</v>
      </c>
      <c r="AW330">
        <v>13</v>
      </c>
    </row>
    <row r="331" spans="1:49" x14ac:dyDescent="0.25">
      <c r="A331"/>
      <c r="AR331" t="s">
        <v>334</v>
      </c>
      <c r="AS331" t="s">
        <v>386</v>
      </c>
      <c r="AT331">
        <v>0.5</v>
      </c>
      <c r="AU331">
        <v>0.5</v>
      </c>
      <c r="AV331">
        <v>8</v>
      </c>
      <c r="AW331">
        <v>16</v>
      </c>
    </row>
    <row r="332" spans="1:49" x14ac:dyDescent="0.25">
      <c r="A332"/>
      <c r="AR332" t="s">
        <v>334</v>
      </c>
      <c r="AS332" t="s">
        <v>389</v>
      </c>
      <c r="AT332">
        <v>0</v>
      </c>
      <c r="AU332">
        <v>1</v>
      </c>
      <c r="AV332">
        <v>0</v>
      </c>
      <c r="AW332">
        <v>8</v>
      </c>
    </row>
    <row r="333" spans="1:49" x14ac:dyDescent="0.25">
      <c r="A333"/>
      <c r="AR333" t="s">
        <v>334</v>
      </c>
      <c r="AS333" t="s">
        <v>393</v>
      </c>
      <c r="AT333">
        <v>0.6</v>
      </c>
      <c r="AU333">
        <v>0.4</v>
      </c>
      <c r="AV333">
        <v>6</v>
      </c>
      <c r="AW333">
        <v>10</v>
      </c>
    </row>
    <row r="334" spans="1:49" x14ac:dyDescent="0.25">
      <c r="A334"/>
      <c r="AR334" t="s">
        <v>334</v>
      </c>
      <c r="AS334" t="s">
        <v>396</v>
      </c>
      <c r="AT334">
        <v>0</v>
      </c>
      <c r="AU334">
        <v>1</v>
      </c>
      <c r="AV334">
        <v>0</v>
      </c>
      <c r="AW334">
        <v>8</v>
      </c>
    </row>
    <row r="335" spans="1:49" x14ac:dyDescent="0.25">
      <c r="A335"/>
      <c r="AR335" t="s">
        <v>334</v>
      </c>
      <c r="AS335" t="s">
        <v>399</v>
      </c>
      <c r="AT335">
        <v>0</v>
      </c>
      <c r="AU335">
        <v>1</v>
      </c>
      <c r="AV335">
        <v>0</v>
      </c>
      <c r="AW335">
        <v>8</v>
      </c>
    </row>
    <row r="336" spans="1:49" x14ac:dyDescent="0.25">
      <c r="A336"/>
      <c r="AR336" t="s">
        <v>334</v>
      </c>
      <c r="AS336" t="s">
        <v>402</v>
      </c>
      <c r="AT336">
        <v>0</v>
      </c>
      <c r="AU336">
        <v>1</v>
      </c>
      <c r="AV336">
        <v>0</v>
      </c>
      <c r="AW336">
        <v>8</v>
      </c>
    </row>
    <row r="337" spans="1:49" x14ac:dyDescent="0.25">
      <c r="A337"/>
      <c r="AR337" t="s">
        <v>334</v>
      </c>
      <c r="AS337" t="s">
        <v>406</v>
      </c>
      <c r="AT337">
        <v>0.466667</v>
      </c>
      <c r="AU337">
        <v>0.53333299999999995</v>
      </c>
      <c r="AV337">
        <v>7</v>
      </c>
      <c r="AW337">
        <v>15</v>
      </c>
    </row>
    <row r="338" spans="1:49" x14ac:dyDescent="0.25">
      <c r="A338"/>
      <c r="AR338" t="s">
        <v>334</v>
      </c>
      <c r="AS338" t="s">
        <v>407</v>
      </c>
      <c r="AT338">
        <v>0.47058800000000001</v>
      </c>
      <c r="AU338">
        <v>0.52941199999999999</v>
      </c>
      <c r="AV338">
        <v>8</v>
      </c>
      <c r="AW338">
        <v>17</v>
      </c>
    </row>
    <row r="339" spans="1:49" x14ac:dyDescent="0.25">
      <c r="A339"/>
      <c r="AR339" t="s">
        <v>334</v>
      </c>
      <c r="AS339" t="s">
        <v>410</v>
      </c>
      <c r="AT339">
        <v>0</v>
      </c>
      <c r="AU339">
        <v>1</v>
      </c>
      <c r="AV339">
        <v>0</v>
      </c>
      <c r="AW339">
        <v>8</v>
      </c>
    </row>
    <row r="340" spans="1:49" x14ac:dyDescent="0.25">
      <c r="A340"/>
      <c r="AR340" t="s">
        <v>334</v>
      </c>
      <c r="AS340" t="s">
        <v>413</v>
      </c>
      <c r="AT340">
        <v>0.53333299999999995</v>
      </c>
      <c r="AU340">
        <v>0.466667</v>
      </c>
      <c r="AV340">
        <v>8</v>
      </c>
      <c r="AW340">
        <v>15</v>
      </c>
    </row>
    <row r="341" spans="1:49" x14ac:dyDescent="0.25">
      <c r="A341"/>
      <c r="AR341" t="s">
        <v>334</v>
      </c>
      <c r="AS341" t="s">
        <v>416</v>
      </c>
      <c r="AT341">
        <v>0</v>
      </c>
      <c r="AU341">
        <v>1</v>
      </c>
      <c r="AV341">
        <v>0</v>
      </c>
      <c r="AW341">
        <v>8</v>
      </c>
    </row>
    <row r="342" spans="1:49" x14ac:dyDescent="0.25">
      <c r="A342"/>
      <c r="AR342" t="s">
        <v>334</v>
      </c>
      <c r="AS342" t="s">
        <v>420</v>
      </c>
      <c r="AT342">
        <v>0.42857099999999998</v>
      </c>
      <c r="AU342">
        <v>0.57142899999999996</v>
      </c>
      <c r="AV342">
        <v>6</v>
      </c>
      <c r="AW342">
        <v>14</v>
      </c>
    </row>
    <row r="343" spans="1:49" x14ac:dyDescent="0.25">
      <c r="A343"/>
      <c r="AR343" t="s">
        <v>334</v>
      </c>
      <c r="AS343" t="s">
        <v>422</v>
      </c>
      <c r="AT343">
        <v>0</v>
      </c>
      <c r="AU343">
        <v>1</v>
      </c>
      <c r="AV343">
        <v>0</v>
      </c>
      <c r="AW343">
        <v>8</v>
      </c>
    </row>
    <row r="344" spans="1:49" x14ac:dyDescent="0.25">
      <c r="A344"/>
      <c r="AR344" t="s">
        <v>334</v>
      </c>
      <c r="AS344" t="s">
        <v>425</v>
      </c>
      <c r="AT344">
        <v>0.38461499999999998</v>
      </c>
      <c r="AU344">
        <v>0.61538499999999996</v>
      </c>
      <c r="AV344">
        <v>5</v>
      </c>
      <c r="AW344">
        <v>13</v>
      </c>
    </row>
    <row r="345" spans="1:49" x14ac:dyDescent="0.25">
      <c r="A345"/>
      <c r="AR345" t="s">
        <v>334</v>
      </c>
      <c r="AS345" t="s">
        <v>427</v>
      </c>
      <c r="AT345">
        <v>0</v>
      </c>
      <c r="AU345">
        <v>1</v>
      </c>
      <c r="AV345">
        <v>0</v>
      </c>
      <c r="AW345">
        <v>8</v>
      </c>
    </row>
    <row r="346" spans="1:49" x14ac:dyDescent="0.25">
      <c r="A346"/>
      <c r="AR346" t="s">
        <v>334</v>
      </c>
      <c r="AS346" t="s">
        <v>431</v>
      </c>
      <c r="AT346">
        <v>0.58333299999999999</v>
      </c>
      <c r="AU346">
        <v>0.41666700000000001</v>
      </c>
      <c r="AV346">
        <v>7</v>
      </c>
      <c r="AW346">
        <v>12</v>
      </c>
    </row>
    <row r="347" spans="1:49" x14ac:dyDescent="0.25">
      <c r="A347"/>
      <c r="AR347" t="s">
        <v>338</v>
      </c>
      <c r="AS347" t="s">
        <v>342</v>
      </c>
      <c r="AT347">
        <v>0.42857099999999998</v>
      </c>
      <c r="AU347">
        <v>0.57142899999999996</v>
      </c>
      <c r="AV347">
        <v>6</v>
      </c>
      <c r="AW347">
        <v>14</v>
      </c>
    </row>
    <row r="348" spans="1:49" x14ac:dyDescent="0.25">
      <c r="A348"/>
      <c r="AR348" t="s">
        <v>338</v>
      </c>
      <c r="AS348" t="s">
        <v>344</v>
      </c>
      <c r="AT348">
        <v>0.33333299999999999</v>
      </c>
      <c r="AU348">
        <v>0.66666700000000001</v>
      </c>
      <c r="AV348">
        <v>3</v>
      </c>
      <c r="AW348">
        <v>9</v>
      </c>
    </row>
    <row r="349" spans="1:49" x14ac:dyDescent="0.25">
      <c r="A349"/>
      <c r="AR349" t="s">
        <v>338</v>
      </c>
      <c r="AS349" t="s">
        <v>348</v>
      </c>
      <c r="AT349">
        <v>0</v>
      </c>
      <c r="AU349">
        <v>1</v>
      </c>
      <c r="AV349">
        <v>0</v>
      </c>
      <c r="AW349">
        <v>6</v>
      </c>
    </row>
    <row r="350" spans="1:49" x14ac:dyDescent="0.25">
      <c r="A350"/>
      <c r="AR350" t="s">
        <v>338</v>
      </c>
      <c r="AS350" t="s">
        <v>352</v>
      </c>
      <c r="AT350">
        <v>0.33333299999999999</v>
      </c>
      <c r="AU350">
        <v>0.66666700000000001</v>
      </c>
      <c r="AV350">
        <v>6</v>
      </c>
      <c r="AW350">
        <v>18</v>
      </c>
    </row>
    <row r="351" spans="1:49" x14ac:dyDescent="0.25">
      <c r="A351"/>
      <c r="AR351" t="s">
        <v>338</v>
      </c>
      <c r="AS351" t="s">
        <v>356</v>
      </c>
      <c r="AT351">
        <v>0</v>
      </c>
      <c r="AU351">
        <v>1</v>
      </c>
      <c r="AV351">
        <v>0</v>
      </c>
      <c r="AW351">
        <v>6</v>
      </c>
    </row>
    <row r="352" spans="1:49" x14ac:dyDescent="0.25">
      <c r="A352"/>
      <c r="AR352" t="s">
        <v>338</v>
      </c>
      <c r="AS352" t="s">
        <v>359</v>
      </c>
      <c r="AT352">
        <v>0.352941</v>
      </c>
      <c r="AU352">
        <v>0.64705900000000005</v>
      </c>
      <c r="AV352">
        <v>6</v>
      </c>
      <c r="AW352">
        <v>17</v>
      </c>
    </row>
    <row r="353" spans="1:49" x14ac:dyDescent="0.25">
      <c r="A353"/>
      <c r="AR353" t="s">
        <v>338</v>
      </c>
      <c r="AS353" t="s">
        <v>363</v>
      </c>
      <c r="AT353">
        <v>0</v>
      </c>
      <c r="AU353">
        <v>1</v>
      </c>
      <c r="AV353">
        <v>0</v>
      </c>
      <c r="AW353">
        <v>6</v>
      </c>
    </row>
    <row r="354" spans="1:49" x14ac:dyDescent="0.25">
      <c r="A354"/>
      <c r="AR354" t="s">
        <v>338</v>
      </c>
      <c r="AS354" t="s">
        <v>367</v>
      </c>
      <c r="AT354">
        <v>0.26666699999999999</v>
      </c>
      <c r="AU354">
        <v>0.73333300000000001</v>
      </c>
      <c r="AV354">
        <v>4</v>
      </c>
      <c r="AW354">
        <v>15</v>
      </c>
    </row>
    <row r="355" spans="1:49" x14ac:dyDescent="0.25">
      <c r="A355"/>
      <c r="AR355" t="s">
        <v>338</v>
      </c>
      <c r="AS355" t="s">
        <v>371</v>
      </c>
      <c r="AT355">
        <v>0.375</v>
      </c>
      <c r="AU355">
        <v>0.625</v>
      </c>
      <c r="AV355">
        <v>3</v>
      </c>
      <c r="AW355">
        <v>8</v>
      </c>
    </row>
    <row r="356" spans="1:49" x14ac:dyDescent="0.25">
      <c r="A356"/>
      <c r="AR356" t="s">
        <v>338</v>
      </c>
      <c r="AS356" t="s">
        <v>373</v>
      </c>
      <c r="AT356">
        <v>0</v>
      </c>
      <c r="AU356">
        <v>1</v>
      </c>
      <c r="AV356">
        <v>0</v>
      </c>
      <c r="AW356">
        <v>6</v>
      </c>
    </row>
    <row r="357" spans="1:49" x14ac:dyDescent="0.25">
      <c r="A357"/>
      <c r="AR357" t="s">
        <v>338</v>
      </c>
      <c r="AS357" t="s">
        <v>377</v>
      </c>
      <c r="AT357">
        <v>0.2</v>
      </c>
      <c r="AU357">
        <v>0.8</v>
      </c>
      <c r="AV357">
        <v>2</v>
      </c>
      <c r="AW357">
        <v>10</v>
      </c>
    </row>
    <row r="358" spans="1:49" x14ac:dyDescent="0.25">
      <c r="A358"/>
      <c r="AR358" t="s">
        <v>338</v>
      </c>
      <c r="AS358" t="s">
        <v>380</v>
      </c>
      <c r="AT358">
        <v>0.35714299999999999</v>
      </c>
      <c r="AU358">
        <v>0.64285700000000001</v>
      </c>
      <c r="AV358">
        <v>5</v>
      </c>
      <c r="AW358">
        <v>14</v>
      </c>
    </row>
    <row r="359" spans="1:49" x14ac:dyDescent="0.25">
      <c r="A359"/>
      <c r="AR359" t="s">
        <v>338</v>
      </c>
      <c r="AS359" t="s">
        <v>384</v>
      </c>
      <c r="AT359">
        <v>0.5</v>
      </c>
      <c r="AU359">
        <v>0.5</v>
      </c>
      <c r="AV359">
        <v>6</v>
      </c>
      <c r="AW359">
        <v>12</v>
      </c>
    </row>
    <row r="360" spans="1:49" x14ac:dyDescent="0.25">
      <c r="A360"/>
      <c r="AR360" t="s">
        <v>338</v>
      </c>
      <c r="AS360" t="s">
        <v>386</v>
      </c>
      <c r="AT360">
        <v>0.375</v>
      </c>
      <c r="AU360">
        <v>0.625</v>
      </c>
      <c r="AV360">
        <v>6</v>
      </c>
      <c r="AW360">
        <v>16</v>
      </c>
    </row>
    <row r="361" spans="1:49" x14ac:dyDescent="0.25">
      <c r="A361"/>
      <c r="AR361" t="s">
        <v>338</v>
      </c>
      <c r="AS361" t="s">
        <v>389</v>
      </c>
      <c r="AT361">
        <v>0</v>
      </c>
      <c r="AU361">
        <v>1</v>
      </c>
      <c r="AV361">
        <v>0</v>
      </c>
      <c r="AW361">
        <v>6</v>
      </c>
    </row>
    <row r="362" spans="1:49" x14ac:dyDescent="0.25">
      <c r="A362"/>
      <c r="AR362" t="s">
        <v>338</v>
      </c>
      <c r="AS362" t="s">
        <v>393</v>
      </c>
      <c r="AT362">
        <v>0.272727</v>
      </c>
      <c r="AU362">
        <v>0.72727299999999995</v>
      </c>
      <c r="AV362">
        <v>3</v>
      </c>
      <c r="AW362">
        <v>11</v>
      </c>
    </row>
    <row r="363" spans="1:49" x14ac:dyDescent="0.25">
      <c r="A363"/>
      <c r="AR363" t="s">
        <v>338</v>
      </c>
      <c r="AS363" t="s">
        <v>396</v>
      </c>
      <c r="AT363">
        <v>0</v>
      </c>
      <c r="AU363">
        <v>1</v>
      </c>
      <c r="AV363">
        <v>0</v>
      </c>
      <c r="AW363">
        <v>6</v>
      </c>
    </row>
    <row r="364" spans="1:49" x14ac:dyDescent="0.25">
      <c r="A364"/>
      <c r="AR364" t="s">
        <v>338</v>
      </c>
      <c r="AS364" t="s">
        <v>399</v>
      </c>
      <c r="AT364">
        <v>0</v>
      </c>
      <c r="AU364">
        <v>1</v>
      </c>
      <c r="AV364">
        <v>0</v>
      </c>
      <c r="AW364">
        <v>6</v>
      </c>
    </row>
    <row r="365" spans="1:49" x14ac:dyDescent="0.25">
      <c r="A365"/>
      <c r="AR365" t="s">
        <v>338</v>
      </c>
      <c r="AS365" t="s">
        <v>402</v>
      </c>
      <c r="AT365">
        <v>0</v>
      </c>
      <c r="AU365">
        <v>1</v>
      </c>
      <c r="AV365">
        <v>0</v>
      </c>
      <c r="AW365">
        <v>6</v>
      </c>
    </row>
    <row r="366" spans="1:49" x14ac:dyDescent="0.25">
      <c r="A366"/>
      <c r="AR366" t="s">
        <v>338</v>
      </c>
      <c r="AS366" t="s">
        <v>406</v>
      </c>
      <c r="AT366">
        <v>0.42857099999999998</v>
      </c>
      <c r="AU366">
        <v>0.57142899999999996</v>
      </c>
      <c r="AV366">
        <v>6</v>
      </c>
      <c r="AW366">
        <v>14</v>
      </c>
    </row>
    <row r="367" spans="1:49" x14ac:dyDescent="0.25">
      <c r="A367"/>
      <c r="AR367" t="s">
        <v>338</v>
      </c>
      <c r="AS367" t="s">
        <v>407</v>
      </c>
      <c r="AT367">
        <v>0.352941</v>
      </c>
      <c r="AU367">
        <v>0.64705900000000005</v>
      </c>
      <c r="AV367">
        <v>6</v>
      </c>
      <c r="AW367">
        <v>17</v>
      </c>
    </row>
    <row r="368" spans="1:49" x14ac:dyDescent="0.25">
      <c r="A368"/>
      <c r="AR368" t="s">
        <v>338</v>
      </c>
      <c r="AS368" t="s">
        <v>410</v>
      </c>
      <c r="AT368">
        <v>0</v>
      </c>
      <c r="AU368">
        <v>1</v>
      </c>
      <c r="AV368">
        <v>0</v>
      </c>
      <c r="AW368">
        <v>6</v>
      </c>
    </row>
    <row r="369" spans="1:49" x14ac:dyDescent="0.25">
      <c r="A369"/>
      <c r="AR369" t="s">
        <v>338</v>
      </c>
      <c r="AS369" t="s">
        <v>413</v>
      </c>
      <c r="AT369">
        <v>0.4</v>
      </c>
      <c r="AU369">
        <v>0.6</v>
      </c>
      <c r="AV369">
        <v>6</v>
      </c>
      <c r="AW369">
        <v>15</v>
      </c>
    </row>
    <row r="370" spans="1:49" x14ac:dyDescent="0.25">
      <c r="A370"/>
      <c r="AR370" t="s">
        <v>338</v>
      </c>
      <c r="AS370" t="s">
        <v>416</v>
      </c>
      <c r="AT370">
        <v>0</v>
      </c>
      <c r="AU370">
        <v>1</v>
      </c>
      <c r="AV370">
        <v>0</v>
      </c>
      <c r="AW370">
        <v>6</v>
      </c>
    </row>
    <row r="371" spans="1:49" x14ac:dyDescent="0.25">
      <c r="A371"/>
      <c r="AR371" t="s">
        <v>338</v>
      </c>
      <c r="AS371" t="s">
        <v>420</v>
      </c>
      <c r="AT371">
        <v>0.28571400000000002</v>
      </c>
      <c r="AU371">
        <v>0.71428599999999998</v>
      </c>
      <c r="AV371">
        <v>4</v>
      </c>
      <c r="AW371">
        <v>14</v>
      </c>
    </row>
    <row r="372" spans="1:49" x14ac:dyDescent="0.25">
      <c r="A372"/>
      <c r="AR372" t="s">
        <v>338</v>
      </c>
      <c r="AS372" t="s">
        <v>422</v>
      </c>
      <c r="AT372">
        <v>0</v>
      </c>
      <c r="AU372">
        <v>1</v>
      </c>
      <c r="AV372">
        <v>0</v>
      </c>
      <c r="AW372">
        <v>6</v>
      </c>
    </row>
    <row r="373" spans="1:49" x14ac:dyDescent="0.25">
      <c r="A373"/>
      <c r="AR373" t="s">
        <v>338</v>
      </c>
      <c r="AS373" t="s">
        <v>425</v>
      </c>
      <c r="AT373">
        <v>0.33333299999999999</v>
      </c>
      <c r="AU373">
        <v>0.66666700000000001</v>
      </c>
      <c r="AV373">
        <v>4</v>
      </c>
      <c r="AW373">
        <v>12</v>
      </c>
    </row>
    <row r="374" spans="1:49" x14ac:dyDescent="0.25">
      <c r="A374"/>
      <c r="AR374" t="s">
        <v>338</v>
      </c>
      <c r="AS374" t="s">
        <v>427</v>
      </c>
      <c r="AT374">
        <v>0</v>
      </c>
      <c r="AU374">
        <v>1</v>
      </c>
      <c r="AV374">
        <v>0</v>
      </c>
      <c r="AW374">
        <v>6</v>
      </c>
    </row>
    <row r="375" spans="1:49" x14ac:dyDescent="0.25">
      <c r="A375"/>
      <c r="AR375" t="s">
        <v>338</v>
      </c>
      <c r="AS375" t="s">
        <v>431</v>
      </c>
      <c r="AT375">
        <v>0.41666700000000001</v>
      </c>
      <c r="AU375">
        <v>0.58333299999999999</v>
      </c>
      <c r="AV375">
        <v>5</v>
      </c>
      <c r="AW375">
        <v>12</v>
      </c>
    </row>
    <row r="376" spans="1:49" x14ac:dyDescent="0.25">
      <c r="A376"/>
      <c r="AR376" t="s">
        <v>342</v>
      </c>
      <c r="AS376" t="s">
        <v>344</v>
      </c>
      <c r="AT376">
        <v>0.42857099999999998</v>
      </c>
      <c r="AU376">
        <v>0.57142899999999996</v>
      </c>
      <c r="AV376">
        <v>6</v>
      </c>
      <c r="AW376">
        <v>14</v>
      </c>
    </row>
    <row r="377" spans="1:49" x14ac:dyDescent="0.25">
      <c r="A377"/>
      <c r="AR377" t="s">
        <v>342</v>
      </c>
      <c r="AS377" t="s">
        <v>348</v>
      </c>
      <c r="AT377">
        <v>0</v>
      </c>
      <c r="AU377">
        <v>1</v>
      </c>
      <c r="AV377">
        <v>0</v>
      </c>
      <c r="AW377">
        <v>14</v>
      </c>
    </row>
    <row r="378" spans="1:49" x14ac:dyDescent="0.25">
      <c r="A378"/>
      <c r="AR378" t="s">
        <v>342</v>
      </c>
      <c r="AS378" t="s">
        <v>352</v>
      </c>
      <c r="AT378">
        <v>0.77777799999999997</v>
      </c>
      <c r="AU378">
        <v>0.222222</v>
      </c>
      <c r="AV378">
        <v>14</v>
      </c>
      <c r="AW378">
        <v>18</v>
      </c>
    </row>
    <row r="379" spans="1:49" x14ac:dyDescent="0.25">
      <c r="A379"/>
      <c r="AR379" t="s">
        <v>342</v>
      </c>
      <c r="AS379" t="s">
        <v>356</v>
      </c>
      <c r="AT379">
        <v>0</v>
      </c>
      <c r="AU379">
        <v>1</v>
      </c>
      <c r="AV379">
        <v>0</v>
      </c>
      <c r="AW379">
        <v>14</v>
      </c>
    </row>
    <row r="380" spans="1:49" x14ac:dyDescent="0.25">
      <c r="A380"/>
      <c r="AR380" t="s">
        <v>342</v>
      </c>
      <c r="AS380" t="s">
        <v>359</v>
      </c>
      <c r="AT380">
        <v>0.82352899999999996</v>
      </c>
      <c r="AU380">
        <v>0.17647099999999999</v>
      </c>
      <c r="AV380">
        <v>14</v>
      </c>
      <c r="AW380">
        <v>17</v>
      </c>
    </row>
    <row r="381" spans="1:49" x14ac:dyDescent="0.25">
      <c r="A381"/>
      <c r="AR381" t="s">
        <v>342</v>
      </c>
      <c r="AS381" t="s">
        <v>363</v>
      </c>
      <c r="AT381">
        <v>0</v>
      </c>
      <c r="AU381">
        <v>1</v>
      </c>
      <c r="AV381">
        <v>0</v>
      </c>
      <c r="AW381">
        <v>14</v>
      </c>
    </row>
    <row r="382" spans="1:49" x14ac:dyDescent="0.25">
      <c r="A382"/>
      <c r="AR382" t="s">
        <v>342</v>
      </c>
      <c r="AS382" t="s">
        <v>367</v>
      </c>
      <c r="AT382">
        <v>0.6875</v>
      </c>
      <c r="AU382">
        <v>0.3125</v>
      </c>
      <c r="AV382">
        <v>11</v>
      </c>
      <c r="AW382">
        <v>16</v>
      </c>
    </row>
    <row r="383" spans="1:49" x14ac:dyDescent="0.25">
      <c r="A383"/>
      <c r="AR383" t="s">
        <v>342</v>
      </c>
      <c r="AS383" t="s">
        <v>371</v>
      </c>
      <c r="AT383">
        <v>0.35714299999999999</v>
      </c>
      <c r="AU383">
        <v>0.64285700000000001</v>
      </c>
      <c r="AV383">
        <v>5</v>
      </c>
      <c r="AW383">
        <v>14</v>
      </c>
    </row>
    <row r="384" spans="1:49" x14ac:dyDescent="0.25">
      <c r="A384"/>
      <c r="AR384" t="s">
        <v>342</v>
      </c>
      <c r="AS384" t="s">
        <v>373</v>
      </c>
      <c r="AT384">
        <v>0</v>
      </c>
      <c r="AU384">
        <v>1</v>
      </c>
      <c r="AV384">
        <v>0</v>
      </c>
      <c r="AW384">
        <v>14</v>
      </c>
    </row>
    <row r="385" spans="1:49" x14ac:dyDescent="0.25">
      <c r="A385"/>
      <c r="AR385" t="s">
        <v>342</v>
      </c>
      <c r="AS385" t="s">
        <v>377</v>
      </c>
      <c r="AT385">
        <v>0.42857099999999998</v>
      </c>
      <c r="AU385">
        <v>0.57142899999999996</v>
      </c>
      <c r="AV385">
        <v>6</v>
      </c>
      <c r="AW385">
        <v>14</v>
      </c>
    </row>
    <row r="386" spans="1:49" x14ac:dyDescent="0.25">
      <c r="A386"/>
      <c r="AR386" t="s">
        <v>342</v>
      </c>
      <c r="AS386" t="s">
        <v>380</v>
      </c>
      <c r="AT386">
        <v>0.58823499999999995</v>
      </c>
      <c r="AU386">
        <v>0.41176499999999999</v>
      </c>
      <c r="AV386">
        <v>10</v>
      </c>
      <c r="AW386">
        <v>17</v>
      </c>
    </row>
    <row r="387" spans="1:49" x14ac:dyDescent="0.25">
      <c r="A387"/>
      <c r="AR387" t="s">
        <v>342</v>
      </c>
      <c r="AS387" t="s">
        <v>384</v>
      </c>
      <c r="AT387">
        <v>0.73333300000000001</v>
      </c>
      <c r="AU387">
        <v>0.26666699999999999</v>
      </c>
      <c r="AV387">
        <v>11</v>
      </c>
      <c r="AW387">
        <v>15</v>
      </c>
    </row>
    <row r="388" spans="1:49" x14ac:dyDescent="0.25">
      <c r="A388"/>
      <c r="AR388" t="s">
        <v>342</v>
      </c>
      <c r="AS388" t="s">
        <v>386</v>
      </c>
      <c r="AT388">
        <v>0.764706</v>
      </c>
      <c r="AU388">
        <v>0.235294</v>
      </c>
      <c r="AV388">
        <v>13</v>
      </c>
      <c r="AW388">
        <v>17</v>
      </c>
    </row>
    <row r="389" spans="1:49" x14ac:dyDescent="0.25">
      <c r="A389"/>
      <c r="AR389" t="s">
        <v>342</v>
      </c>
      <c r="AS389" t="s">
        <v>389</v>
      </c>
      <c r="AT389">
        <v>0</v>
      </c>
      <c r="AU389">
        <v>1</v>
      </c>
      <c r="AV389">
        <v>0</v>
      </c>
      <c r="AW389">
        <v>14</v>
      </c>
    </row>
    <row r="390" spans="1:49" x14ac:dyDescent="0.25">
      <c r="A390"/>
      <c r="AR390" t="s">
        <v>342</v>
      </c>
      <c r="AS390" t="s">
        <v>393</v>
      </c>
      <c r="AT390">
        <v>0.375</v>
      </c>
      <c r="AU390">
        <v>0.625</v>
      </c>
      <c r="AV390">
        <v>6</v>
      </c>
      <c r="AW390">
        <v>16</v>
      </c>
    </row>
    <row r="391" spans="1:49" x14ac:dyDescent="0.25">
      <c r="A391"/>
      <c r="AR391" t="s">
        <v>342</v>
      </c>
      <c r="AS391" t="s">
        <v>396</v>
      </c>
      <c r="AT391">
        <v>0</v>
      </c>
      <c r="AU391">
        <v>1</v>
      </c>
      <c r="AV391">
        <v>0</v>
      </c>
      <c r="AW391">
        <v>14</v>
      </c>
    </row>
    <row r="392" spans="1:49" x14ac:dyDescent="0.25">
      <c r="A392"/>
      <c r="AR392" t="s">
        <v>342</v>
      </c>
      <c r="AS392" t="s">
        <v>399</v>
      </c>
      <c r="AT392">
        <v>0</v>
      </c>
      <c r="AU392">
        <v>1</v>
      </c>
      <c r="AV392">
        <v>0</v>
      </c>
      <c r="AW392">
        <v>14</v>
      </c>
    </row>
    <row r="393" spans="1:49" x14ac:dyDescent="0.25">
      <c r="A393"/>
      <c r="AR393" t="s">
        <v>342</v>
      </c>
      <c r="AS393" t="s">
        <v>402</v>
      </c>
      <c r="AT393">
        <v>0</v>
      </c>
      <c r="AU393">
        <v>1</v>
      </c>
      <c r="AV393">
        <v>0</v>
      </c>
      <c r="AW393">
        <v>14</v>
      </c>
    </row>
    <row r="394" spans="1:49" x14ac:dyDescent="0.25">
      <c r="A394"/>
      <c r="AR394" t="s">
        <v>342</v>
      </c>
      <c r="AS394" t="s">
        <v>406</v>
      </c>
      <c r="AT394">
        <v>0.64705900000000005</v>
      </c>
      <c r="AU394">
        <v>0.352941</v>
      </c>
      <c r="AV394">
        <v>11</v>
      </c>
      <c r="AW394">
        <v>17</v>
      </c>
    </row>
    <row r="395" spans="1:49" x14ac:dyDescent="0.25">
      <c r="A395"/>
      <c r="AR395" t="s">
        <v>342</v>
      </c>
      <c r="AS395" t="s">
        <v>407</v>
      </c>
      <c r="AT395">
        <v>0.72222200000000003</v>
      </c>
      <c r="AU395">
        <v>0.27777800000000002</v>
      </c>
      <c r="AV395">
        <v>13</v>
      </c>
      <c r="AW395">
        <v>18</v>
      </c>
    </row>
    <row r="396" spans="1:49" x14ac:dyDescent="0.25">
      <c r="A396"/>
      <c r="AR396" t="s">
        <v>342</v>
      </c>
      <c r="AS396" t="s">
        <v>410</v>
      </c>
      <c r="AT396">
        <v>0</v>
      </c>
      <c r="AU396">
        <v>1</v>
      </c>
      <c r="AV396">
        <v>0</v>
      </c>
      <c r="AW396">
        <v>14</v>
      </c>
    </row>
    <row r="397" spans="1:49" x14ac:dyDescent="0.25">
      <c r="A397"/>
      <c r="AR397" t="s">
        <v>342</v>
      </c>
      <c r="AS397" t="s">
        <v>413</v>
      </c>
      <c r="AT397">
        <v>0.8125</v>
      </c>
      <c r="AU397">
        <v>0.1875</v>
      </c>
      <c r="AV397">
        <v>13</v>
      </c>
      <c r="AW397">
        <v>16</v>
      </c>
    </row>
    <row r="398" spans="1:49" x14ac:dyDescent="0.25">
      <c r="A398"/>
      <c r="AR398" t="s">
        <v>342</v>
      </c>
      <c r="AS398" t="s">
        <v>416</v>
      </c>
      <c r="AT398">
        <v>0</v>
      </c>
      <c r="AU398">
        <v>1</v>
      </c>
      <c r="AV398">
        <v>0</v>
      </c>
      <c r="AW398">
        <v>14</v>
      </c>
    </row>
    <row r="399" spans="1:49" x14ac:dyDescent="0.25">
      <c r="A399"/>
      <c r="AR399" t="s">
        <v>342</v>
      </c>
      <c r="AS399" t="s">
        <v>420</v>
      </c>
      <c r="AT399">
        <v>0.73333300000000001</v>
      </c>
      <c r="AU399">
        <v>0.26666699999999999</v>
      </c>
      <c r="AV399">
        <v>11</v>
      </c>
      <c r="AW399">
        <v>15</v>
      </c>
    </row>
    <row r="400" spans="1:49" x14ac:dyDescent="0.25">
      <c r="A400"/>
      <c r="AR400" t="s">
        <v>342</v>
      </c>
      <c r="AS400" t="s">
        <v>422</v>
      </c>
      <c r="AT400">
        <v>0</v>
      </c>
      <c r="AU400">
        <v>1</v>
      </c>
      <c r="AV400">
        <v>0</v>
      </c>
      <c r="AW400">
        <v>14</v>
      </c>
    </row>
    <row r="401" spans="1:49" x14ac:dyDescent="0.25">
      <c r="A401"/>
      <c r="AR401" t="s">
        <v>342</v>
      </c>
      <c r="AS401" t="s">
        <v>425</v>
      </c>
      <c r="AT401">
        <v>0.5</v>
      </c>
      <c r="AU401">
        <v>0.5</v>
      </c>
      <c r="AV401">
        <v>8</v>
      </c>
      <c r="AW401">
        <v>16</v>
      </c>
    </row>
    <row r="402" spans="1:49" x14ac:dyDescent="0.25">
      <c r="A402"/>
      <c r="AR402" t="s">
        <v>342</v>
      </c>
      <c r="AS402" t="s">
        <v>427</v>
      </c>
      <c r="AT402">
        <v>0</v>
      </c>
      <c r="AU402">
        <v>1</v>
      </c>
      <c r="AV402">
        <v>0</v>
      </c>
      <c r="AW402">
        <v>14</v>
      </c>
    </row>
    <row r="403" spans="1:49" x14ac:dyDescent="0.25">
      <c r="A403"/>
      <c r="AR403" t="s">
        <v>342</v>
      </c>
      <c r="AS403" t="s">
        <v>431</v>
      </c>
      <c r="AT403">
        <v>0.78571400000000002</v>
      </c>
      <c r="AU403">
        <v>0.214286</v>
      </c>
      <c r="AV403">
        <v>11</v>
      </c>
      <c r="AW403">
        <v>14</v>
      </c>
    </row>
    <row r="404" spans="1:49" x14ac:dyDescent="0.25">
      <c r="A404"/>
      <c r="AR404" t="s">
        <v>344</v>
      </c>
      <c r="AS404" t="s">
        <v>348</v>
      </c>
      <c r="AT404">
        <v>0</v>
      </c>
      <c r="AU404">
        <v>1</v>
      </c>
      <c r="AV404">
        <v>0</v>
      </c>
      <c r="AW404">
        <v>6</v>
      </c>
    </row>
    <row r="405" spans="1:49" x14ac:dyDescent="0.25">
      <c r="A405"/>
      <c r="AR405" t="s">
        <v>344</v>
      </c>
      <c r="AS405" t="s">
        <v>352</v>
      </c>
      <c r="AT405">
        <v>0.33333299999999999</v>
      </c>
      <c r="AU405">
        <v>0.66666700000000001</v>
      </c>
      <c r="AV405">
        <v>6</v>
      </c>
      <c r="AW405">
        <v>18</v>
      </c>
    </row>
    <row r="406" spans="1:49" x14ac:dyDescent="0.25">
      <c r="A406"/>
      <c r="AR406" t="s">
        <v>344</v>
      </c>
      <c r="AS406" t="s">
        <v>356</v>
      </c>
      <c r="AT406">
        <v>0</v>
      </c>
      <c r="AU406">
        <v>1</v>
      </c>
      <c r="AV406">
        <v>0</v>
      </c>
      <c r="AW406">
        <v>6</v>
      </c>
    </row>
    <row r="407" spans="1:49" x14ac:dyDescent="0.25">
      <c r="A407"/>
      <c r="AR407" t="s">
        <v>344</v>
      </c>
      <c r="AS407" t="s">
        <v>359</v>
      </c>
      <c r="AT407">
        <v>0.352941</v>
      </c>
      <c r="AU407">
        <v>0.64705900000000005</v>
      </c>
      <c r="AV407">
        <v>6</v>
      </c>
      <c r="AW407">
        <v>17</v>
      </c>
    </row>
    <row r="408" spans="1:49" x14ac:dyDescent="0.25">
      <c r="A408"/>
      <c r="AR408" t="s">
        <v>344</v>
      </c>
      <c r="AS408" t="s">
        <v>363</v>
      </c>
      <c r="AT408">
        <v>0</v>
      </c>
      <c r="AU408">
        <v>1</v>
      </c>
      <c r="AV408">
        <v>0</v>
      </c>
      <c r="AW408">
        <v>6</v>
      </c>
    </row>
    <row r="409" spans="1:49" x14ac:dyDescent="0.25">
      <c r="A409"/>
      <c r="AR409" t="s">
        <v>344</v>
      </c>
      <c r="AS409" t="s">
        <v>367</v>
      </c>
      <c r="AT409">
        <v>0.1875</v>
      </c>
      <c r="AU409">
        <v>0.8125</v>
      </c>
      <c r="AV409">
        <v>3</v>
      </c>
      <c r="AW409">
        <v>16</v>
      </c>
    </row>
    <row r="410" spans="1:49" x14ac:dyDescent="0.25">
      <c r="A410"/>
      <c r="AR410" t="s">
        <v>344</v>
      </c>
      <c r="AS410" t="s">
        <v>371</v>
      </c>
      <c r="AT410">
        <v>0.222222</v>
      </c>
      <c r="AU410">
        <v>0.77777799999999997</v>
      </c>
      <c r="AV410">
        <v>2</v>
      </c>
      <c r="AW410">
        <v>9</v>
      </c>
    </row>
    <row r="411" spans="1:49" x14ac:dyDescent="0.25">
      <c r="A411"/>
      <c r="AR411" t="s">
        <v>344</v>
      </c>
      <c r="AS411" t="s">
        <v>373</v>
      </c>
      <c r="AT411">
        <v>0</v>
      </c>
      <c r="AU411">
        <v>1</v>
      </c>
      <c r="AV411">
        <v>0</v>
      </c>
      <c r="AW411">
        <v>6</v>
      </c>
    </row>
    <row r="412" spans="1:49" x14ac:dyDescent="0.25">
      <c r="A412"/>
      <c r="AR412" t="s">
        <v>344</v>
      </c>
      <c r="AS412" t="s">
        <v>377</v>
      </c>
      <c r="AT412">
        <v>0.2</v>
      </c>
      <c r="AU412">
        <v>0.8</v>
      </c>
      <c r="AV412">
        <v>2</v>
      </c>
      <c r="AW412">
        <v>10</v>
      </c>
    </row>
    <row r="413" spans="1:49" x14ac:dyDescent="0.25">
      <c r="A413"/>
      <c r="AR413" t="s">
        <v>344</v>
      </c>
      <c r="AS413" t="s">
        <v>380</v>
      </c>
      <c r="AT413">
        <v>0.26666699999999999</v>
      </c>
      <c r="AU413">
        <v>0.73333300000000001</v>
      </c>
      <c r="AV413">
        <v>4</v>
      </c>
      <c r="AW413">
        <v>15</v>
      </c>
    </row>
    <row r="414" spans="1:49" x14ac:dyDescent="0.25">
      <c r="A414"/>
      <c r="AR414" t="s">
        <v>344</v>
      </c>
      <c r="AS414" t="s">
        <v>384</v>
      </c>
      <c r="AT414">
        <v>0.5</v>
      </c>
      <c r="AU414">
        <v>0.5</v>
      </c>
      <c r="AV414">
        <v>6</v>
      </c>
      <c r="AW414">
        <v>12</v>
      </c>
    </row>
    <row r="415" spans="1:49" x14ac:dyDescent="0.25">
      <c r="A415"/>
      <c r="AR415" t="s">
        <v>344</v>
      </c>
      <c r="AS415" t="s">
        <v>386</v>
      </c>
      <c r="AT415">
        <v>0.375</v>
      </c>
      <c r="AU415">
        <v>0.625</v>
      </c>
      <c r="AV415">
        <v>6</v>
      </c>
      <c r="AW415">
        <v>16</v>
      </c>
    </row>
    <row r="416" spans="1:49" x14ac:dyDescent="0.25">
      <c r="A416"/>
      <c r="AR416" t="s">
        <v>344</v>
      </c>
      <c r="AS416" t="s">
        <v>389</v>
      </c>
      <c r="AT416">
        <v>0</v>
      </c>
      <c r="AU416">
        <v>1</v>
      </c>
      <c r="AV416">
        <v>0</v>
      </c>
      <c r="AW416">
        <v>6</v>
      </c>
    </row>
    <row r="417" spans="1:49" x14ac:dyDescent="0.25">
      <c r="A417"/>
      <c r="AR417" t="s">
        <v>344</v>
      </c>
      <c r="AS417" t="s">
        <v>393</v>
      </c>
      <c r="AT417">
        <v>0.55555600000000005</v>
      </c>
      <c r="AU417">
        <v>0.44444400000000001</v>
      </c>
      <c r="AV417">
        <v>5</v>
      </c>
      <c r="AW417">
        <v>9</v>
      </c>
    </row>
    <row r="418" spans="1:49" x14ac:dyDescent="0.25">
      <c r="A418"/>
      <c r="AR418" t="s">
        <v>344</v>
      </c>
      <c r="AS418" t="s">
        <v>396</v>
      </c>
      <c r="AT418">
        <v>0</v>
      </c>
      <c r="AU418">
        <v>1</v>
      </c>
      <c r="AV418">
        <v>0</v>
      </c>
      <c r="AW418">
        <v>6</v>
      </c>
    </row>
    <row r="419" spans="1:49" x14ac:dyDescent="0.25">
      <c r="A419"/>
      <c r="AR419" t="s">
        <v>344</v>
      </c>
      <c r="AS419" t="s">
        <v>399</v>
      </c>
      <c r="AT419">
        <v>0</v>
      </c>
      <c r="AU419">
        <v>1</v>
      </c>
      <c r="AV419">
        <v>0</v>
      </c>
      <c r="AW419">
        <v>6</v>
      </c>
    </row>
    <row r="420" spans="1:49" x14ac:dyDescent="0.25">
      <c r="A420"/>
      <c r="AR420" t="s">
        <v>344</v>
      </c>
      <c r="AS420" t="s">
        <v>402</v>
      </c>
      <c r="AT420">
        <v>0</v>
      </c>
      <c r="AU420">
        <v>1</v>
      </c>
      <c r="AV420">
        <v>0</v>
      </c>
      <c r="AW420">
        <v>6</v>
      </c>
    </row>
    <row r="421" spans="1:49" x14ac:dyDescent="0.25">
      <c r="A421"/>
      <c r="AR421" t="s">
        <v>344</v>
      </c>
      <c r="AS421" t="s">
        <v>406</v>
      </c>
      <c r="AT421">
        <v>0.42857099999999998</v>
      </c>
      <c r="AU421">
        <v>0.57142899999999996</v>
      </c>
      <c r="AV421">
        <v>6</v>
      </c>
      <c r="AW421">
        <v>14</v>
      </c>
    </row>
    <row r="422" spans="1:49" x14ac:dyDescent="0.25">
      <c r="A422"/>
      <c r="AR422" t="s">
        <v>344</v>
      </c>
      <c r="AS422" t="s">
        <v>407</v>
      </c>
      <c r="AT422">
        <v>0.352941</v>
      </c>
      <c r="AU422">
        <v>0.64705900000000005</v>
      </c>
      <c r="AV422">
        <v>6</v>
      </c>
      <c r="AW422">
        <v>17</v>
      </c>
    </row>
    <row r="423" spans="1:49" x14ac:dyDescent="0.25">
      <c r="A423"/>
      <c r="AR423" t="s">
        <v>344</v>
      </c>
      <c r="AS423" t="s">
        <v>410</v>
      </c>
      <c r="AT423">
        <v>0</v>
      </c>
      <c r="AU423">
        <v>1</v>
      </c>
      <c r="AV423">
        <v>0</v>
      </c>
      <c r="AW423">
        <v>6</v>
      </c>
    </row>
    <row r="424" spans="1:49" x14ac:dyDescent="0.25">
      <c r="A424"/>
      <c r="AR424" t="s">
        <v>344</v>
      </c>
      <c r="AS424" t="s">
        <v>413</v>
      </c>
      <c r="AT424">
        <v>0.4</v>
      </c>
      <c r="AU424">
        <v>0.6</v>
      </c>
      <c r="AV424">
        <v>6</v>
      </c>
      <c r="AW424">
        <v>15</v>
      </c>
    </row>
    <row r="425" spans="1:49" x14ac:dyDescent="0.25">
      <c r="A425"/>
      <c r="AR425" t="s">
        <v>344</v>
      </c>
      <c r="AS425" t="s">
        <v>416</v>
      </c>
      <c r="AT425">
        <v>0</v>
      </c>
      <c r="AU425">
        <v>1</v>
      </c>
      <c r="AV425">
        <v>0</v>
      </c>
      <c r="AW425">
        <v>6</v>
      </c>
    </row>
    <row r="426" spans="1:49" x14ac:dyDescent="0.25">
      <c r="A426"/>
      <c r="AR426" t="s">
        <v>344</v>
      </c>
      <c r="AS426" t="s">
        <v>420</v>
      </c>
      <c r="AT426">
        <v>0.28571400000000002</v>
      </c>
      <c r="AU426">
        <v>0.71428599999999998</v>
      </c>
      <c r="AV426">
        <v>4</v>
      </c>
      <c r="AW426">
        <v>14</v>
      </c>
    </row>
    <row r="427" spans="1:49" x14ac:dyDescent="0.25">
      <c r="A427"/>
      <c r="AR427" t="s">
        <v>344</v>
      </c>
      <c r="AS427" t="s">
        <v>422</v>
      </c>
      <c r="AT427">
        <v>0</v>
      </c>
      <c r="AU427">
        <v>1</v>
      </c>
      <c r="AV427">
        <v>0</v>
      </c>
      <c r="AW427">
        <v>6</v>
      </c>
    </row>
    <row r="428" spans="1:49" x14ac:dyDescent="0.25">
      <c r="A428"/>
      <c r="AR428" t="s">
        <v>344</v>
      </c>
      <c r="AS428" t="s">
        <v>425</v>
      </c>
      <c r="AT428">
        <v>0.230769</v>
      </c>
      <c r="AU428">
        <v>0.769231</v>
      </c>
      <c r="AV428">
        <v>3</v>
      </c>
      <c r="AW428">
        <v>13</v>
      </c>
    </row>
    <row r="429" spans="1:49" x14ac:dyDescent="0.25">
      <c r="A429"/>
      <c r="AR429" t="s">
        <v>344</v>
      </c>
      <c r="AS429" t="s">
        <v>427</v>
      </c>
      <c r="AT429">
        <v>0</v>
      </c>
      <c r="AU429">
        <v>1</v>
      </c>
      <c r="AV429">
        <v>0</v>
      </c>
      <c r="AW429">
        <v>6</v>
      </c>
    </row>
    <row r="430" spans="1:49" x14ac:dyDescent="0.25">
      <c r="A430"/>
      <c r="AR430" t="s">
        <v>344</v>
      </c>
      <c r="AS430" t="s">
        <v>431</v>
      </c>
      <c r="AT430">
        <v>0.54545500000000002</v>
      </c>
      <c r="AU430">
        <v>0.45454499999999998</v>
      </c>
      <c r="AV430">
        <v>6</v>
      </c>
      <c r="AW430">
        <v>11</v>
      </c>
    </row>
    <row r="431" spans="1:49" x14ac:dyDescent="0.25">
      <c r="A431"/>
      <c r="AR431" t="s">
        <v>348</v>
      </c>
      <c r="AS431" t="s">
        <v>352</v>
      </c>
      <c r="AT431">
        <v>0</v>
      </c>
      <c r="AU431">
        <v>1</v>
      </c>
      <c r="AV431">
        <v>0</v>
      </c>
      <c r="AW431">
        <v>18</v>
      </c>
    </row>
    <row r="432" spans="1:49" x14ac:dyDescent="0.25">
      <c r="A432"/>
      <c r="AR432" t="s">
        <v>348</v>
      </c>
      <c r="AS432" t="s">
        <v>356</v>
      </c>
      <c r="AV432">
        <v>0</v>
      </c>
      <c r="AW432">
        <v>0</v>
      </c>
    </row>
    <row r="433" spans="1:49" x14ac:dyDescent="0.25">
      <c r="A433"/>
      <c r="AR433" t="s">
        <v>348</v>
      </c>
      <c r="AS433" t="s">
        <v>359</v>
      </c>
      <c r="AT433">
        <v>0</v>
      </c>
      <c r="AU433">
        <v>1</v>
      </c>
      <c r="AV433">
        <v>0</v>
      </c>
      <c r="AW433">
        <v>17</v>
      </c>
    </row>
    <row r="434" spans="1:49" x14ac:dyDescent="0.25">
      <c r="A434"/>
      <c r="AR434" t="s">
        <v>348</v>
      </c>
      <c r="AS434" t="s">
        <v>363</v>
      </c>
      <c r="AV434">
        <v>0</v>
      </c>
      <c r="AW434">
        <v>0</v>
      </c>
    </row>
    <row r="435" spans="1:49" x14ac:dyDescent="0.25">
      <c r="A435"/>
      <c r="AR435" t="s">
        <v>348</v>
      </c>
      <c r="AS435" t="s">
        <v>367</v>
      </c>
      <c r="AT435">
        <v>0</v>
      </c>
      <c r="AU435">
        <v>1</v>
      </c>
      <c r="AV435">
        <v>0</v>
      </c>
      <c r="AW435">
        <v>13</v>
      </c>
    </row>
    <row r="436" spans="1:49" x14ac:dyDescent="0.25">
      <c r="A436"/>
      <c r="AR436" t="s">
        <v>348</v>
      </c>
      <c r="AS436" t="s">
        <v>371</v>
      </c>
      <c r="AT436">
        <v>0</v>
      </c>
      <c r="AU436">
        <v>1</v>
      </c>
      <c r="AV436">
        <v>0</v>
      </c>
      <c r="AW436">
        <v>5</v>
      </c>
    </row>
    <row r="437" spans="1:49" x14ac:dyDescent="0.25">
      <c r="A437"/>
      <c r="AR437" t="s">
        <v>348</v>
      </c>
      <c r="AS437" t="s">
        <v>373</v>
      </c>
      <c r="AV437">
        <v>0</v>
      </c>
      <c r="AW437">
        <v>0</v>
      </c>
    </row>
    <row r="438" spans="1:49" x14ac:dyDescent="0.25">
      <c r="A438"/>
      <c r="AR438" t="s">
        <v>348</v>
      </c>
      <c r="AS438" t="s">
        <v>377</v>
      </c>
      <c r="AT438">
        <v>0</v>
      </c>
      <c r="AU438">
        <v>1</v>
      </c>
      <c r="AV438">
        <v>0</v>
      </c>
      <c r="AW438">
        <v>6</v>
      </c>
    </row>
    <row r="439" spans="1:49" x14ac:dyDescent="0.25">
      <c r="A439"/>
      <c r="AR439" t="s">
        <v>348</v>
      </c>
      <c r="AS439" t="s">
        <v>380</v>
      </c>
      <c r="AT439">
        <v>0</v>
      </c>
      <c r="AU439">
        <v>1</v>
      </c>
      <c r="AV439">
        <v>0</v>
      </c>
      <c r="AW439">
        <v>13</v>
      </c>
    </row>
    <row r="440" spans="1:49" x14ac:dyDescent="0.25">
      <c r="A440"/>
      <c r="AR440" t="s">
        <v>348</v>
      </c>
      <c r="AS440" t="s">
        <v>384</v>
      </c>
      <c r="AT440">
        <v>0</v>
      </c>
      <c r="AU440">
        <v>1</v>
      </c>
      <c r="AV440">
        <v>0</v>
      </c>
      <c r="AW440">
        <v>12</v>
      </c>
    </row>
    <row r="441" spans="1:49" x14ac:dyDescent="0.25">
      <c r="A441"/>
      <c r="AR441" t="s">
        <v>348</v>
      </c>
      <c r="AS441" t="s">
        <v>386</v>
      </c>
      <c r="AT441">
        <v>0</v>
      </c>
      <c r="AU441">
        <v>1</v>
      </c>
      <c r="AV441">
        <v>0</v>
      </c>
      <c r="AW441">
        <v>16</v>
      </c>
    </row>
    <row r="442" spans="1:49" x14ac:dyDescent="0.25">
      <c r="A442"/>
      <c r="AR442" t="s">
        <v>348</v>
      </c>
      <c r="AS442" t="s">
        <v>389</v>
      </c>
      <c r="AV442">
        <v>0</v>
      </c>
      <c r="AW442">
        <v>0</v>
      </c>
    </row>
    <row r="443" spans="1:49" x14ac:dyDescent="0.25">
      <c r="A443"/>
      <c r="AR443" t="s">
        <v>348</v>
      </c>
      <c r="AS443" t="s">
        <v>393</v>
      </c>
      <c r="AT443">
        <v>0</v>
      </c>
      <c r="AU443">
        <v>1</v>
      </c>
      <c r="AV443">
        <v>0</v>
      </c>
      <c r="AW443">
        <v>8</v>
      </c>
    </row>
    <row r="444" spans="1:49" x14ac:dyDescent="0.25">
      <c r="A444"/>
      <c r="AR444" t="s">
        <v>348</v>
      </c>
      <c r="AS444" t="s">
        <v>396</v>
      </c>
      <c r="AV444">
        <v>0</v>
      </c>
      <c r="AW444">
        <v>0</v>
      </c>
    </row>
    <row r="445" spans="1:49" x14ac:dyDescent="0.25">
      <c r="A445"/>
      <c r="AR445" t="s">
        <v>348</v>
      </c>
      <c r="AS445" t="s">
        <v>399</v>
      </c>
      <c r="AV445">
        <v>0</v>
      </c>
      <c r="AW445">
        <v>0</v>
      </c>
    </row>
    <row r="446" spans="1:49" x14ac:dyDescent="0.25">
      <c r="A446"/>
      <c r="AR446" t="s">
        <v>348</v>
      </c>
      <c r="AS446" t="s">
        <v>402</v>
      </c>
      <c r="AV446">
        <v>0</v>
      </c>
      <c r="AW446">
        <v>0</v>
      </c>
    </row>
    <row r="447" spans="1:49" x14ac:dyDescent="0.25">
      <c r="A447"/>
      <c r="AR447" t="s">
        <v>348</v>
      </c>
      <c r="AS447" t="s">
        <v>406</v>
      </c>
      <c r="AT447">
        <v>0</v>
      </c>
      <c r="AU447">
        <v>1</v>
      </c>
      <c r="AV447">
        <v>0</v>
      </c>
      <c r="AW447">
        <v>14</v>
      </c>
    </row>
    <row r="448" spans="1:49" x14ac:dyDescent="0.25">
      <c r="A448"/>
      <c r="AR448" t="s">
        <v>348</v>
      </c>
      <c r="AS448" t="s">
        <v>407</v>
      </c>
      <c r="AT448">
        <v>0</v>
      </c>
      <c r="AU448">
        <v>1</v>
      </c>
      <c r="AV448">
        <v>0</v>
      </c>
      <c r="AW448">
        <v>17</v>
      </c>
    </row>
    <row r="449" spans="1:49" x14ac:dyDescent="0.25">
      <c r="A449"/>
      <c r="AR449" t="s">
        <v>348</v>
      </c>
      <c r="AS449" t="s">
        <v>410</v>
      </c>
      <c r="AV449">
        <v>0</v>
      </c>
      <c r="AW449">
        <v>0</v>
      </c>
    </row>
    <row r="450" spans="1:49" x14ac:dyDescent="0.25">
      <c r="A450"/>
      <c r="AR450" t="s">
        <v>348</v>
      </c>
      <c r="AS450" t="s">
        <v>413</v>
      </c>
      <c r="AT450">
        <v>0</v>
      </c>
      <c r="AU450">
        <v>1</v>
      </c>
      <c r="AV450">
        <v>0</v>
      </c>
      <c r="AW450">
        <v>15</v>
      </c>
    </row>
    <row r="451" spans="1:49" x14ac:dyDescent="0.25">
      <c r="A451"/>
      <c r="AR451" t="s">
        <v>348</v>
      </c>
      <c r="AS451" t="s">
        <v>416</v>
      </c>
      <c r="AV451">
        <v>0</v>
      </c>
      <c r="AW451">
        <v>0</v>
      </c>
    </row>
    <row r="452" spans="1:49" x14ac:dyDescent="0.25">
      <c r="A452"/>
      <c r="AR452" t="s">
        <v>348</v>
      </c>
      <c r="AS452" t="s">
        <v>420</v>
      </c>
      <c r="AT452">
        <v>0</v>
      </c>
      <c r="AU452">
        <v>1</v>
      </c>
      <c r="AV452">
        <v>0</v>
      </c>
      <c r="AW452">
        <v>12</v>
      </c>
    </row>
    <row r="453" spans="1:49" x14ac:dyDescent="0.25">
      <c r="A453"/>
      <c r="AR453" t="s">
        <v>348</v>
      </c>
      <c r="AS453" t="s">
        <v>422</v>
      </c>
      <c r="AV453">
        <v>0</v>
      </c>
      <c r="AW453">
        <v>0</v>
      </c>
    </row>
    <row r="454" spans="1:49" x14ac:dyDescent="0.25">
      <c r="A454"/>
      <c r="AR454" t="s">
        <v>348</v>
      </c>
      <c r="AS454" t="s">
        <v>425</v>
      </c>
      <c r="AT454">
        <v>0</v>
      </c>
      <c r="AU454">
        <v>1</v>
      </c>
      <c r="AV454">
        <v>0</v>
      </c>
      <c r="AW454">
        <v>10</v>
      </c>
    </row>
    <row r="455" spans="1:49" x14ac:dyDescent="0.25">
      <c r="A455"/>
      <c r="AR455" t="s">
        <v>348</v>
      </c>
      <c r="AS455" t="s">
        <v>427</v>
      </c>
      <c r="AV455">
        <v>0</v>
      </c>
      <c r="AW455">
        <v>0</v>
      </c>
    </row>
    <row r="456" spans="1:49" x14ac:dyDescent="0.25">
      <c r="A456"/>
      <c r="AR456" t="s">
        <v>348</v>
      </c>
      <c r="AS456" t="s">
        <v>431</v>
      </c>
      <c r="AT456">
        <v>0</v>
      </c>
      <c r="AU456">
        <v>1</v>
      </c>
      <c r="AV456">
        <v>0</v>
      </c>
      <c r="AW456">
        <v>11</v>
      </c>
    </row>
    <row r="457" spans="1:49" x14ac:dyDescent="0.25">
      <c r="A457"/>
      <c r="AR457" t="s">
        <v>352</v>
      </c>
      <c r="AS457" t="s">
        <v>356</v>
      </c>
      <c r="AT457">
        <v>0</v>
      </c>
      <c r="AU457">
        <v>1</v>
      </c>
      <c r="AV457">
        <v>0</v>
      </c>
      <c r="AW457">
        <v>18</v>
      </c>
    </row>
    <row r="458" spans="1:49" x14ac:dyDescent="0.25">
      <c r="A458"/>
      <c r="AR458" t="s">
        <v>352</v>
      </c>
      <c r="AS458" t="s">
        <v>359</v>
      </c>
      <c r="AT458">
        <v>0.94444399999999995</v>
      </c>
      <c r="AU458">
        <v>5.5556000000000001E-2</v>
      </c>
      <c r="AV458">
        <v>17</v>
      </c>
      <c r="AW458">
        <v>18</v>
      </c>
    </row>
    <row r="459" spans="1:49" x14ac:dyDescent="0.25">
      <c r="A459"/>
      <c r="AR459" t="s">
        <v>352</v>
      </c>
      <c r="AS459" t="s">
        <v>363</v>
      </c>
      <c r="AT459">
        <v>0</v>
      </c>
      <c r="AU459">
        <v>1</v>
      </c>
      <c r="AV459">
        <v>0</v>
      </c>
      <c r="AW459">
        <v>18</v>
      </c>
    </row>
    <row r="460" spans="1:49" x14ac:dyDescent="0.25">
      <c r="A460"/>
      <c r="AR460" t="s">
        <v>352</v>
      </c>
      <c r="AS460" t="s">
        <v>367</v>
      </c>
      <c r="AT460">
        <v>0.72222200000000003</v>
      </c>
      <c r="AU460">
        <v>0.27777800000000002</v>
      </c>
      <c r="AV460">
        <v>13</v>
      </c>
      <c r="AW460">
        <v>18</v>
      </c>
    </row>
    <row r="461" spans="1:49" x14ac:dyDescent="0.25">
      <c r="A461"/>
      <c r="AR461" t="s">
        <v>352</v>
      </c>
      <c r="AS461" t="s">
        <v>371</v>
      </c>
      <c r="AT461">
        <v>0.27777800000000002</v>
      </c>
      <c r="AU461">
        <v>0.72222200000000003</v>
      </c>
      <c r="AV461">
        <v>5</v>
      </c>
      <c r="AW461">
        <v>18</v>
      </c>
    </row>
    <row r="462" spans="1:49" x14ac:dyDescent="0.25">
      <c r="A462"/>
      <c r="AR462" t="s">
        <v>352</v>
      </c>
      <c r="AS462" t="s">
        <v>373</v>
      </c>
      <c r="AT462">
        <v>0</v>
      </c>
      <c r="AU462">
        <v>1</v>
      </c>
      <c r="AV462">
        <v>0</v>
      </c>
      <c r="AW462">
        <v>18</v>
      </c>
    </row>
    <row r="463" spans="1:49" x14ac:dyDescent="0.25">
      <c r="A463"/>
      <c r="AR463" t="s">
        <v>352</v>
      </c>
      <c r="AS463" t="s">
        <v>377</v>
      </c>
      <c r="AT463">
        <v>0.33333299999999999</v>
      </c>
      <c r="AU463">
        <v>0.66666700000000001</v>
      </c>
      <c r="AV463">
        <v>6</v>
      </c>
      <c r="AW463">
        <v>18</v>
      </c>
    </row>
    <row r="464" spans="1:49" x14ac:dyDescent="0.25">
      <c r="A464"/>
      <c r="AR464" t="s">
        <v>352</v>
      </c>
      <c r="AS464" t="s">
        <v>380</v>
      </c>
      <c r="AT464">
        <v>0.72222200000000003</v>
      </c>
      <c r="AU464">
        <v>0.27777800000000002</v>
      </c>
      <c r="AV464">
        <v>13</v>
      </c>
      <c r="AW464">
        <v>18</v>
      </c>
    </row>
    <row r="465" spans="1:49" x14ac:dyDescent="0.25">
      <c r="A465"/>
      <c r="AR465" t="s">
        <v>352</v>
      </c>
      <c r="AS465" t="s">
        <v>384</v>
      </c>
      <c r="AT465">
        <v>0.66666700000000001</v>
      </c>
      <c r="AU465">
        <v>0.33333299999999999</v>
      </c>
      <c r="AV465">
        <v>12</v>
      </c>
      <c r="AW465">
        <v>18</v>
      </c>
    </row>
    <row r="466" spans="1:49" x14ac:dyDescent="0.25">
      <c r="A466"/>
      <c r="AR466" t="s">
        <v>352</v>
      </c>
      <c r="AS466" t="s">
        <v>386</v>
      </c>
      <c r="AT466">
        <v>0.88888900000000004</v>
      </c>
      <c r="AU466">
        <v>0.111111</v>
      </c>
      <c r="AV466">
        <v>16</v>
      </c>
      <c r="AW466">
        <v>18</v>
      </c>
    </row>
    <row r="467" spans="1:49" x14ac:dyDescent="0.25">
      <c r="A467"/>
      <c r="AR467" t="s">
        <v>352</v>
      </c>
      <c r="AS467" t="s">
        <v>389</v>
      </c>
      <c r="AT467">
        <v>0</v>
      </c>
      <c r="AU467">
        <v>1</v>
      </c>
      <c r="AV467">
        <v>0</v>
      </c>
      <c r="AW467">
        <v>18</v>
      </c>
    </row>
    <row r="468" spans="1:49" x14ac:dyDescent="0.25">
      <c r="A468"/>
      <c r="AR468" t="s">
        <v>352</v>
      </c>
      <c r="AS468" t="s">
        <v>393</v>
      </c>
      <c r="AT468">
        <v>0.44444400000000001</v>
      </c>
      <c r="AU468">
        <v>0.55555600000000005</v>
      </c>
      <c r="AV468">
        <v>8</v>
      </c>
      <c r="AW468">
        <v>18</v>
      </c>
    </row>
    <row r="469" spans="1:49" x14ac:dyDescent="0.25">
      <c r="A469"/>
      <c r="AR469" t="s">
        <v>352</v>
      </c>
      <c r="AS469" t="s">
        <v>396</v>
      </c>
      <c r="AT469">
        <v>0</v>
      </c>
      <c r="AU469">
        <v>1</v>
      </c>
      <c r="AV469">
        <v>0</v>
      </c>
      <c r="AW469">
        <v>18</v>
      </c>
    </row>
    <row r="470" spans="1:49" x14ac:dyDescent="0.25">
      <c r="A470"/>
      <c r="AR470" t="s">
        <v>352</v>
      </c>
      <c r="AS470" t="s">
        <v>399</v>
      </c>
      <c r="AT470">
        <v>0</v>
      </c>
      <c r="AU470">
        <v>1</v>
      </c>
      <c r="AV470">
        <v>0</v>
      </c>
      <c r="AW470">
        <v>18</v>
      </c>
    </row>
    <row r="471" spans="1:49" x14ac:dyDescent="0.25">
      <c r="A471"/>
      <c r="AR471" t="s">
        <v>352</v>
      </c>
      <c r="AS471" t="s">
        <v>402</v>
      </c>
      <c r="AT471">
        <v>0</v>
      </c>
      <c r="AU471">
        <v>1</v>
      </c>
      <c r="AV471">
        <v>0</v>
      </c>
      <c r="AW471">
        <v>18</v>
      </c>
    </row>
    <row r="472" spans="1:49" x14ac:dyDescent="0.25">
      <c r="A472"/>
      <c r="AR472" t="s">
        <v>352</v>
      </c>
      <c r="AS472" t="s">
        <v>406</v>
      </c>
      <c r="AT472">
        <v>0.77777799999999997</v>
      </c>
      <c r="AU472">
        <v>0.222222</v>
      </c>
      <c r="AV472">
        <v>14</v>
      </c>
      <c r="AW472">
        <v>18</v>
      </c>
    </row>
    <row r="473" spans="1:49" x14ac:dyDescent="0.25">
      <c r="A473"/>
      <c r="AR473" t="s">
        <v>352</v>
      </c>
      <c r="AS473" t="s">
        <v>407</v>
      </c>
      <c r="AT473">
        <v>0.94444399999999995</v>
      </c>
      <c r="AU473">
        <v>5.5556000000000001E-2</v>
      </c>
      <c r="AV473">
        <v>17</v>
      </c>
      <c r="AW473">
        <v>18</v>
      </c>
    </row>
    <row r="474" spans="1:49" x14ac:dyDescent="0.25">
      <c r="A474"/>
      <c r="AR474" t="s">
        <v>352</v>
      </c>
      <c r="AS474" t="s">
        <v>410</v>
      </c>
      <c r="AT474">
        <v>0</v>
      </c>
      <c r="AU474">
        <v>1</v>
      </c>
      <c r="AV474">
        <v>0</v>
      </c>
      <c r="AW474">
        <v>18</v>
      </c>
    </row>
    <row r="475" spans="1:49" x14ac:dyDescent="0.25">
      <c r="A475"/>
      <c r="AR475" t="s">
        <v>352</v>
      </c>
      <c r="AS475" t="s">
        <v>413</v>
      </c>
      <c r="AT475">
        <v>0.83333299999999999</v>
      </c>
      <c r="AU475">
        <v>0.16666700000000001</v>
      </c>
      <c r="AV475">
        <v>15</v>
      </c>
      <c r="AW475">
        <v>18</v>
      </c>
    </row>
    <row r="476" spans="1:49" x14ac:dyDescent="0.25">
      <c r="A476"/>
      <c r="AR476" t="s">
        <v>352</v>
      </c>
      <c r="AS476" t="s">
        <v>416</v>
      </c>
      <c r="AT476">
        <v>0</v>
      </c>
      <c r="AU476">
        <v>1</v>
      </c>
      <c r="AV476">
        <v>0</v>
      </c>
      <c r="AW476">
        <v>18</v>
      </c>
    </row>
    <row r="477" spans="1:49" x14ac:dyDescent="0.25">
      <c r="A477"/>
      <c r="AR477" t="s">
        <v>352</v>
      </c>
      <c r="AS477" t="s">
        <v>420</v>
      </c>
      <c r="AT477">
        <v>0.66666700000000001</v>
      </c>
      <c r="AU477">
        <v>0.33333299999999999</v>
      </c>
      <c r="AV477">
        <v>12</v>
      </c>
      <c r="AW477">
        <v>18</v>
      </c>
    </row>
    <row r="478" spans="1:49" x14ac:dyDescent="0.25">
      <c r="A478"/>
      <c r="AR478" t="s">
        <v>352</v>
      </c>
      <c r="AS478" t="s">
        <v>422</v>
      </c>
      <c r="AT478">
        <v>0</v>
      </c>
      <c r="AU478">
        <v>1</v>
      </c>
      <c r="AV478">
        <v>0</v>
      </c>
      <c r="AW478">
        <v>18</v>
      </c>
    </row>
    <row r="479" spans="1:49" x14ac:dyDescent="0.25">
      <c r="A479"/>
      <c r="AR479" t="s">
        <v>352</v>
      </c>
      <c r="AS479" t="s">
        <v>425</v>
      </c>
      <c r="AT479">
        <v>0.55555600000000005</v>
      </c>
      <c r="AU479">
        <v>0.44444400000000001</v>
      </c>
      <c r="AV479">
        <v>10</v>
      </c>
      <c r="AW479">
        <v>18</v>
      </c>
    </row>
    <row r="480" spans="1:49" x14ac:dyDescent="0.25">
      <c r="A480"/>
      <c r="AR480" t="s">
        <v>352</v>
      </c>
      <c r="AS480" t="s">
        <v>427</v>
      </c>
      <c r="AT480">
        <v>0</v>
      </c>
      <c r="AU480">
        <v>1</v>
      </c>
      <c r="AV480">
        <v>0</v>
      </c>
      <c r="AW480">
        <v>18</v>
      </c>
    </row>
    <row r="481" spans="1:49" x14ac:dyDescent="0.25">
      <c r="A481"/>
      <c r="AR481" t="s">
        <v>352</v>
      </c>
      <c r="AS481" t="s">
        <v>431</v>
      </c>
      <c r="AT481">
        <v>0.61111099999999996</v>
      </c>
      <c r="AU481">
        <v>0.38888899999999998</v>
      </c>
      <c r="AV481">
        <v>11</v>
      </c>
      <c r="AW481">
        <v>18</v>
      </c>
    </row>
    <row r="482" spans="1:49" x14ac:dyDescent="0.25">
      <c r="A482"/>
      <c r="AR482" t="s">
        <v>356</v>
      </c>
      <c r="AS482" t="s">
        <v>359</v>
      </c>
      <c r="AT482">
        <v>0</v>
      </c>
      <c r="AU482">
        <v>1</v>
      </c>
      <c r="AV482">
        <v>0</v>
      </c>
      <c r="AW482">
        <v>17</v>
      </c>
    </row>
    <row r="483" spans="1:49" x14ac:dyDescent="0.25">
      <c r="A483"/>
      <c r="AR483" t="s">
        <v>356</v>
      </c>
      <c r="AS483" t="s">
        <v>363</v>
      </c>
      <c r="AV483">
        <v>0</v>
      </c>
      <c r="AW483">
        <v>0</v>
      </c>
    </row>
    <row r="484" spans="1:49" x14ac:dyDescent="0.25">
      <c r="A484"/>
      <c r="AR484" t="s">
        <v>356</v>
      </c>
      <c r="AS484" t="s">
        <v>367</v>
      </c>
      <c r="AT484">
        <v>0</v>
      </c>
      <c r="AU484">
        <v>1</v>
      </c>
      <c r="AV484">
        <v>0</v>
      </c>
      <c r="AW484">
        <v>13</v>
      </c>
    </row>
    <row r="485" spans="1:49" x14ac:dyDescent="0.25">
      <c r="A485"/>
      <c r="AR485" t="s">
        <v>356</v>
      </c>
      <c r="AS485" t="s">
        <v>371</v>
      </c>
      <c r="AT485">
        <v>0</v>
      </c>
      <c r="AU485">
        <v>1</v>
      </c>
      <c r="AV485">
        <v>0</v>
      </c>
      <c r="AW485">
        <v>5</v>
      </c>
    </row>
    <row r="486" spans="1:49" x14ac:dyDescent="0.25">
      <c r="A486"/>
      <c r="AR486" t="s">
        <v>356</v>
      </c>
      <c r="AS486" t="s">
        <v>373</v>
      </c>
      <c r="AV486">
        <v>0</v>
      </c>
      <c r="AW486">
        <v>0</v>
      </c>
    </row>
    <row r="487" spans="1:49" x14ac:dyDescent="0.25">
      <c r="A487"/>
      <c r="AR487" t="s">
        <v>356</v>
      </c>
      <c r="AS487" t="s">
        <v>377</v>
      </c>
      <c r="AT487">
        <v>0</v>
      </c>
      <c r="AU487">
        <v>1</v>
      </c>
      <c r="AV487">
        <v>0</v>
      </c>
      <c r="AW487">
        <v>6</v>
      </c>
    </row>
    <row r="488" spans="1:49" x14ac:dyDescent="0.25">
      <c r="A488"/>
      <c r="AR488" t="s">
        <v>356</v>
      </c>
      <c r="AS488" t="s">
        <v>380</v>
      </c>
      <c r="AT488">
        <v>0</v>
      </c>
      <c r="AU488">
        <v>1</v>
      </c>
      <c r="AV488">
        <v>0</v>
      </c>
      <c r="AW488">
        <v>13</v>
      </c>
    </row>
    <row r="489" spans="1:49" x14ac:dyDescent="0.25">
      <c r="A489"/>
      <c r="AR489" t="s">
        <v>356</v>
      </c>
      <c r="AS489" t="s">
        <v>384</v>
      </c>
      <c r="AT489">
        <v>0</v>
      </c>
      <c r="AU489">
        <v>1</v>
      </c>
      <c r="AV489">
        <v>0</v>
      </c>
      <c r="AW489">
        <v>12</v>
      </c>
    </row>
    <row r="490" spans="1:49" x14ac:dyDescent="0.25">
      <c r="A490"/>
      <c r="AR490" t="s">
        <v>356</v>
      </c>
      <c r="AS490" t="s">
        <v>386</v>
      </c>
      <c r="AT490">
        <v>0</v>
      </c>
      <c r="AU490">
        <v>1</v>
      </c>
      <c r="AV490">
        <v>0</v>
      </c>
      <c r="AW490">
        <v>16</v>
      </c>
    </row>
    <row r="491" spans="1:49" x14ac:dyDescent="0.25">
      <c r="A491"/>
      <c r="AR491" t="s">
        <v>356</v>
      </c>
      <c r="AS491" t="s">
        <v>389</v>
      </c>
      <c r="AV491">
        <v>0</v>
      </c>
      <c r="AW491">
        <v>0</v>
      </c>
    </row>
    <row r="492" spans="1:49" x14ac:dyDescent="0.25">
      <c r="A492"/>
      <c r="AR492" t="s">
        <v>356</v>
      </c>
      <c r="AS492" t="s">
        <v>393</v>
      </c>
      <c r="AT492">
        <v>0</v>
      </c>
      <c r="AU492">
        <v>1</v>
      </c>
      <c r="AV492">
        <v>0</v>
      </c>
      <c r="AW492">
        <v>8</v>
      </c>
    </row>
    <row r="493" spans="1:49" x14ac:dyDescent="0.25">
      <c r="A493"/>
      <c r="AR493" t="s">
        <v>356</v>
      </c>
      <c r="AS493" t="s">
        <v>396</v>
      </c>
      <c r="AV493">
        <v>0</v>
      </c>
      <c r="AW493">
        <v>0</v>
      </c>
    </row>
    <row r="494" spans="1:49" x14ac:dyDescent="0.25">
      <c r="A494"/>
      <c r="AR494" t="s">
        <v>356</v>
      </c>
      <c r="AS494" t="s">
        <v>399</v>
      </c>
      <c r="AV494">
        <v>0</v>
      </c>
      <c r="AW494">
        <v>0</v>
      </c>
    </row>
    <row r="495" spans="1:49" x14ac:dyDescent="0.25">
      <c r="A495"/>
      <c r="AR495" t="s">
        <v>356</v>
      </c>
      <c r="AS495" t="s">
        <v>402</v>
      </c>
      <c r="AV495">
        <v>0</v>
      </c>
      <c r="AW495">
        <v>0</v>
      </c>
    </row>
    <row r="496" spans="1:49" x14ac:dyDescent="0.25">
      <c r="A496"/>
      <c r="AR496" t="s">
        <v>356</v>
      </c>
      <c r="AS496" t="s">
        <v>406</v>
      </c>
      <c r="AT496">
        <v>0</v>
      </c>
      <c r="AU496">
        <v>1</v>
      </c>
      <c r="AV496">
        <v>0</v>
      </c>
      <c r="AW496">
        <v>14</v>
      </c>
    </row>
    <row r="497" spans="1:49" x14ac:dyDescent="0.25">
      <c r="A497"/>
      <c r="AR497" t="s">
        <v>356</v>
      </c>
      <c r="AS497" t="s">
        <v>407</v>
      </c>
      <c r="AT497">
        <v>0</v>
      </c>
      <c r="AU497">
        <v>1</v>
      </c>
      <c r="AV497">
        <v>0</v>
      </c>
      <c r="AW497">
        <v>17</v>
      </c>
    </row>
    <row r="498" spans="1:49" x14ac:dyDescent="0.25">
      <c r="A498"/>
      <c r="AR498" t="s">
        <v>356</v>
      </c>
      <c r="AS498" t="s">
        <v>410</v>
      </c>
      <c r="AV498">
        <v>0</v>
      </c>
      <c r="AW498">
        <v>0</v>
      </c>
    </row>
    <row r="499" spans="1:49" x14ac:dyDescent="0.25">
      <c r="A499"/>
      <c r="AR499" t="s">
        <v>356</v>
      </c>
      <c r="AS499" t="s">
        <v>413</v>
      </c>
      <c r="AT499">
        <v>0</v>
      </c>
      <c r="AU499">
        <v>1</v>
      </c>
      <c r="AV499">
        <v>0</v>
      </c>
      <c r="AW499">
        <v>15</v>
      </c>
    </row>
    <row r="500" spans="1:49" x14ac:dyDescent="0.25">
      <c r="A500"/>
      <c r="AR500" t="s">
        <v>356</v>
      </c>
      <c r="AS500" t="s">
        <v>416</v>
      </c>
      <c r="AV500">
        <v>0</v>
      </c>
      <c r="AW500">
        <v>0</v>
      </c>
    </row>
    <row r="501" spans="1:49" x14ac:dyDescent="0.25">
      <c r="A501"/>
      <c r="AR501" t="s">
        <v>356</v>
      </c>
      <c r="AS501" t="s">
        <v>420</v>
      </c>
      <c r="AT501">
        <v>0</v>
      </c>
      <c r="AU501">
        <v>1</v>
      </c>
      <c r="AV501">
        <v>0</v>
      </c>
      <c r="AW501">
        <v>12</v>
      </c>
    </row>
    <row r="502" spans="1:49" x14ac:dyDescent="0.25">
      <c r="A502"/>
      <c r="AR502" t="s">
        <v>356</v>
      </c>
      <c r="AS502" t="s">
        <v>422</v>
      </c>
      <c r="AV502">
        <v>0</v>
      </c>
      <c r="AW502">
        <v>0</v>
      </c>
    </row>
    <row r="503" spans="1:49" x14ac:dyDescent="0.25">
      <c r="A503"/>
      <c r="AR503" t="s">
        <v>356</v>
      </c>
      <c r="AS503" t="s">
        <v>425</v>
      </c>
      <c r="AT503">
        <v>0</v>
      </c>
      <c r="AU503">
        <v>1</v>
      </c>
      <c r="AV503">
        <v>0</v>
      </c>
      <c r="AW503">
        <v>10</v>
      </c>
    </row>
    <row r="504" spans="1:49" x14ac:dyDescent="0.25">
      <c r="A504"/>
      <c r="AR504" t="s">
        <v>356</v>
      </c>
      <c r="AS504" t="s">
        <v>427</v>
      </c>
      <c r="AV504">
        <v>0</v>
      </c>
      <c r="AW504">
        <v>0</v>
      </c>
    </row>
    <row r="505" spans="1:49" x14ac:dyDescent="0.25">
      <c r="A505"/>
      <c r="AR505" t="s">
        <v>356</v>
      </c>
      <c r="AS505" t="s">
        <v>431</v>
      </c>
      <c r="AT505">
        <v>0</v>
      </c>
      <c r="AU505">
        <v>1</v>
      </c>
      <c r="AV505">
        <v>0</v>
      </c>
      <c r="AW505">
        <v>11</v>
      </c>
    </row>
    <row r="506" spans="1:49" x14ac:dyDescent="0.25">
      <c r="A506"/>
      <c r="AR506" t="s">
        <v>359</v>
      </c>
      <c r="AS506" t="s">
        <v>363</v>
      </c>
      <c r="AT506">
        <v>0</v>
      </c>
      <c r="AU506">
        <v>1</v>
      </c>
      <c r="AV506">
        <v>0</v>
      </c>
      <c r="AW506">
        <v>17</v>
      </c>
    </row>
    <row r="507" spans="1:49" x14ac:dyDescent="0.25">
      <c r="A507"/>
      <c r="AR507" t="s">
        <v>359</v>
      </c>
      <c r="AS507" t="s">
        <v>367</v>
      </c>
      <c r="AT507">
        <v>0.66666700000000001</v>
      </c>
      <c r="AU507">
        <v>0.33333299999999999</v>
      </c>
      <c r="AV507">
        <v>12</v>
      </c>
      <c r="AW507">
        <v>18</v>
      </c>
    </row>
    <row r="508" spans="1:49" x14ac:dyDescent="0.25">
      <c r="A508"/>
      <c r="AR508" t="s">
        <v>359</v>
      </c>
      <c r="AS508" t="s">
        <v>371</v>
      </c>
      <c r="AT508">
        <v>0.29411799999999999</v>
      </c>
      <c r="AU508">
        <v>0.70588200000000001</v>
      </c>
      <c r="AV508">
        <v>5</v>
      </c>
      <c r="AW508">
        <v>17</v>
      </c>
    </row>
    <row r="509" spans="1:49" x14ac:dyDescent="0.25">
      <c r="A509"/>
      <c r="AR509" t="s">
        <v>359</v>
      </c>
      <c r="AS509" t="s">
        <v>373</v>
      </c>
      <c r="AT509">
        <v>0</v>
      </c>
      <c r="AU509">
        <v>1</v>
      </c>
      <c r="AV509">
        <v>0</v>
      </c>
      <c r="AW509">
        <v>17</v>
      </c>
    </row>
    <row r="510" spans="1:49" x14ac:dyDescent="0.25">
      <c r="A510"/>
      <c r="AR510" t="s">
        <v>359</v>
      </c>
      <c r="AS510" t="s">
        <v>377</v>
      </c>
      <c r="AT510">
        <v>0.352941</v>
      </c>
      <c r="AU510">
        <v>0.64705900000000005</v>
      </c>
      <c r="AV510">
        <v>6</v>
      </c>
      <c r="AW510">
        <v>17</v>
      </c>
    </row>
    <row r="511" spans="1:49" x14ac:dyDescent="0.25">
      <c r="A511"/>
      <c r="AR511" t="s">
        <v>359</v>
      </c>
      <c r="AS511" t="s">
        <v>380</v>
      </c>
      <c r="AT511">
        <v>0.66666700000000001</v>
      </c>
      <c r="AU511">
        <v>0.33333299999999999</v>
      </c>
      <c r="AV511">
        <v>12</v>
      </c>
      <c r="AW511">
        <v>18</v>
      </c>
    </row>
    <row r="512" spans="1:49" x14ac:dyDescent="0.25">
      <c r="A512"/>
      <c r="AR512" t="s">
        <v>359</v>
      </c>
      <c r="AS512" t="s">
        <v>384</v>
      </c>
      <c r="AT512">
        <v>0.70588200000000001</v>
      </c>
      <c r="AU512">
        <v>0.29411799999999999</v>
      </c>
      <c r="AV512">
        <v>12</v>
      </c>
      <c r="AW512">
        <v>17</v>
      </c>
    </row>
    <row r="513" spans="1:49" x14ac:dyDescent="0.25">
      <c r="A513"/>
      <c r="AR513" t="s">
        <v>359</v>
      </c>
      <c r="AS513" t="s">
        <v>386</v>
      </c>
      <c r="AT513">
        <v>0.83333299999999999</v>
      </c>
      <c r="AU513">
        <v>0.16666700000000001</v>
      </c>
      <c r="AV513">
        <v>15</v>
      </c>
      <c r="AW513">
        <v>18</v>
      </c>
    </row>
    <row r="514" spans="1:49" x14ac:dyDescent="0.25">
      <c r="A514"/>
      <c r="AR514" t="s">
        <v>359</v>
      </c>
      <c r="AS514" t="s">
        <v>389</v>
      </c>
      <c r="AT514">
        <v>0</v>
      </c>
      <c r="AU514">
        <v>1</v>
      </c>
      <c r="AV514">
        <v>0</v>
      </c>
      <c r="AW514">
        <v>17</v>
      </c>
    </row>
    <row r="515" spans="1:49" x14ac:dyDescent="0.25">
      <c r="A515"/>
      <c r="AR515" t="s">
        <v>359</v>
      </c>
      <c r="AS515" t="s">
        <v>393</v>
      </c>
      <c r="AT515">
        <v>0.47058800000000001</v>
      </c>
      <c r="AU515">
        <v>0.52941199999999999</v>
      </c>
      <c r="AV515">
        <v>8</v>
      </c>
      <c r="AW515">
        <v>17</v>
      </c>
    </row>
    <row r="516" spans="1:49" x14ac:dyDescent="0.25">
      <c r="A516"/>
      <c r="AR516" t="s">
        <v>359</v>
      </c>
      <c r="AS516" t="s">
        <v>396</v>
      </c>
      <c r="AT516">
        <v>0</v>
      </c>
      <c r="AU516">
        <v>1</v>
      </c>
      <c r="AV516">
        <v>0</v>
      </c>
      <c r="AW516">
        <v>17</v>
      </c>
    </row>
    <row r="517" spans="1:49" x14ac:dyDescent="0.25">
      <c r="A517"/>
      <c r="AR517" t="s">
        <v>359</v>
      </c>
      <c r="AS517" t="s">
        <v>399</v>
      </c>
      <c r="AT517">
        <v>0</v>
      </c>
      <c r="AU517">
        <v>1</v>
      </c>
      <c r="AV517">
        <v>0</v>
      </c>
      <c r="AW517">
        <v>17</v>
      </c>
    </row>
    <row r="518" spans="1:49" x14ac:dyDescent="0.25">
      <c r="A518"/>
      <c r="AR518" t="s">
        <v>359</v>
      </c>
      <c r="AS518" t="s">
        <v>402</v>
      </c>
      <c r="AT518">
        <v>0</v>
      </c>
      <c r="AU518">
        <v>1</v>
      </c>
      <c r="AV518">
        <v>0</v>
      </c>
      <c r="AW518">
        <v>17</v>
      </c>
    </row>
    <row r="519" spans="1:49" x14ac:dyDescent="0.25">
      <c r="A519"/>
      <c r="AR519" t="s">
        <v>359</v>
      </c>
      <c r="AS519" t="s">
        <v>406</v>
      </c>
      <c r="AT519">
        <v>0.72222200000000003</v>
      </c>
      <c r="AU519">
        <v>0.27777800000000002</v>
      </c>
      <c r="AV519">
        <v>13</v>
      </c>
      <c r="AW519">
        <v>18</v>
      </c>
    </row>
    <row r="520" spans="1:49" x14ac:dyDescent="0.25">
      <c r="A520"/>
      <c r="AR520" t="s">
        <v>359</v>
      </c>
      <c r="AS520" t="s">
        <v>407</v>
      </c>
      <c r="AT520">
        <v>0.88888900000000004</v>
      </c>
      <c r="AU520">
        <v>0.111111</v>
      </c>
      <c r="AV520">
        <v>16</v>
      </c>
      <c r="AW520">
        <v>18</v>
      </c>
    </row>
    <row r="521" spans="1:49" x14ac:dyDescent="0.25">
      <c r="A521"/>
      <c r="AR521" t="s">
        <v>359</v>
      </c>
      <c r="AS521" t="s">
        <v>410</v>
      </c>
      <c r="AT521">
        <v>0</v>
      </c>
      <c r="AU521">
        <v>1</v>
      </c>
      <c r="AV521">
        <v>0</v>
      </c>
      <c r="AW521">
        <v>17</v>
      </c>
    </row>
    <row r="522" spans="1:49" x14ac:dyDescent="0.25">
      <c r="A522"/>
      <c r="AR522" t="s">
        <v>359</v>
      </c>
      <c r="AS522" t="s">
        <v>413</v>
      </c>
      <c r="AT522">
        <v>0.77777799999999997</v>
      </c>
      <c r="AU522">
        <v>0.222222</v>
      </c>
      <c r="AV522">
        <v>14</v>
      </c>
      <c r="AW522">
        <v>18</v>
      </c>
    </row>
    <row r="523" spans="1:49" x14ac:dyDescent="0.25">
      <c r="A523"/>
      <c r="AR523" t="s">
        <v>359</v>
      </c>
      <c r="AS523" t="s">
        <v>416</v>
      </c>
      <c r="AT523">
        <v>0</v>
      </c>
      <c r="AU523">
        <v>1</v>
      </c>
      <c r="AV523">
        <v>0</v>
      </c>
      <c r="AW523">
        <v>17</v>
      </c>
    </row>
    <row r="524" spans="1:49" x14ac:dyDescent="0.25">
      <c r="A524"/>
      <c r="AR524" t="s">
        <v>359</v>
      </c>
      <c r="AS524" t="s">
        <v>420</v>
      </c>
      <c r="AT524">
        <v>0.70588200000000001</v>
      </c>
      <c r="AU524">
        <v>0.29411799999999999</v>
      </c>
      <c r="AV524">
        <v>12</v>
      </c>
      <c r="AW524">
        <v>17</v>
      </c>
    </row>
    <row r="525" spans="1:49" x14ac:dyDescent="0.25">
      <c r="A525"/>
      <c r="AR525" t="s">
        <v>359</v>
      </c>
      <c r="AS525" t="s">
        <v>422</v>
      </c>
      <c r="AT525">
        <v>0</v>
      </c>
      <c r="AU525">
        <v>1</v>
      </c>
      <c r="AV525">
        <v>0</v>
      </c>
      <c r="AW525">
        <v>17</v>
      </c>
    </row>
    <row r="526" spans="1:49" x14ac:dyDescent="0.25">
      <c r="A526"/>
      <c r="AR526" t="s">
        <v>359</v>
      </c>
      <c r="AS526" t="s">
        <v>425</v>
      </c>
      <c r="AT526">
        <v>0.5</v>
      </c>
      <c r="AU526">
        <v>0.5</v>
      </c>
      <c r="AV526">
        <v>9</v>
      </c>
      <c r="AW526">
        <v>18</v>
      </c>
    </row>
    <row r="527" spans="1:49" x14ac:dyDescent="0.25">
      <c r="A527"/>
      <c r="AR527" t="s">
        <v>359</v>
      </c>
      <c r="AS527" t="s">
        <v>427</v>
      </c>
      <c r="AT527">
        <v>0</v>
      </c>
      <c r="AU527">
        <v>1</v>
      </c>
      <c r="AV527">
        <v>0</v>
      </c>
      <c r="AW527">
        <v>17</v>
      </c>
    </row>
    <row r="528" spans="1:49" x14ac:dyDescent="0.25">
      <c r="A528"/>
      <c r="AR528" t="s">
        <v>359</v>
      </c>
      <c r="AS528" t="s">
        <v>431</v>
      </c>
      <c r="AT528">
        <v>0.64705900000000005</v>
      </c>
      <c r="AU528">
        <v>0.352941</v>
      </c>
      <c r="AV528">
        <v>11</v>
      </c>
      <c r="AW528">
        <v>17</v>
      </c>
    </row>
    <row r="529" spans="1:49" x14ac:dyDescent="0.25">
      <c r="A529"/>
      <c r="AR529" t="s">
        <v>363</v>
      </c>
      <c r="AS529" t="s">
        <v>367</v>
      </c>
      <c r="AT529">
        <v>0</v>
      </c>
      <c r="AU529">
        <v>1</v>
      </c>
      <c r="AV529">
        <v>0</v>
      </c>
      <c r="AW529">
        <v>13</v>
      </c>
    </row>
    <row r="530" spans="1:49" x14ac:dyDescent="0.25">
      <c r="A530"/>
      <c r="AR530" t="s">
        <v>363</v>
      </c>
      <c r="AS530" t="s">
        <v>371</v>
      </c>
      <c r="AT530">
        <v>0</v>
      </c>
      <c r="AU530">
        <v>1</v>
      </c>
      <c r="AV530">
        <v>0</v>
      </c>
      <c r="AW530">
        <v>5</v>
      </c>
    </row>
    <row r="531" spans="1:49" x14ac:dyDescent="0.25">
      <c r="A531"/>
      <c r="AR531" t="s">
        <v>363</v>
      </c>
      <c r="AS531" t="s">
        <v>373</v>
      </c>
      <c r="AV531">
        <v>0</v>
      </c>
      <c r="AW531">
        <v>0</v>
      </c>
    </row>
    <row r="532" spans="1:49" x14ac:dyDescent="0.25">
      <c r="A532"/>
      <c r="AR532" t="s">
        <v>363</v>
      </c>
      <c r="AS532" t="s">
        <v>377</v>
      </c>
      <c r="AT532">
        <v>0</v>
      </c>
      <c r="AU532">
        <v>1</v>
      </c>
      <c r="AV532">
        <v>0</v>
      </c>
      <c r="AW532">
        <v>6</v>
      </c>
    </row>
    <row r="533" spans="1:49" x14ac:dyDescent="0.25">
      <c r="A533"/>
      <c r="AR533" t="s">
        <v>363</v>
      </c>
      <c r="AS533" t="s">
        <v>380</v>
      </c>
      <c r="AT533">
        <v>0</v>
      </c>
      <c r="AU533">
        <v>1</v>
      </c>
      <c r="AV533">
        <v>0</v>
      </c>
      <c r="AW533">
        <v>13</v>
      </c>
    </row>
    <row r="534" spans="1:49" x14ac:dyDescent="0.25">
      <c r="A534"/>
      <c r="AR534" t="s">
        <v>363</v>
      </c>
      <c r="AS534" t="s">
        <v>384</v>
      </c>
      <c r="AT534">
        <v>0</v>
      </c>
      <c r="AU534">
        <v>1</v>
      </c>
      <c r="AV534">
        <v>0</v>
      </c>
      <c r="AW534">
        <v>12</v>
      </c>
    </row>
    <row r="535" spans="1:49" x14ac:dyDescent="0.25">
      <c r="A535"/>
      <c r="AR535" t="s">
        <v>363</v>
      </c>
      <c r="AS535" t="s">
        <v>386</v>
      </c>
      <c r="AT535">
        <v>0</v>
      </c>
      <c r="AU535">
        <v>1</v>
      </c>
      <c r="AV535">
        <v>0</v>
      </c>
      <c r="AW535">
        <v>16</v>
      </c>
    </row>
    <row r="536" spans="1:49" x14ac:dyDescent="0.25">
      <c r="A536"/>
      <c r="AR536" t="s">
        <v>363</v>
      </c>
      <c r="AS536" t="s">
        <v>389</v>
      </c>
      <c r="AV536">
        <v>0</v>
      </c>
      <c r="AW536">
        <v>0</v>
      </c>
    </row>
    <row r="537" spans="1:49" x14ac:dyDescent="0.25">
      <c r="A537"/>
      <c r="AR537" t="s">
        <v>363</v>
      </c>
      <c r="AS537" t="s">
        <v>393</v>
      </c>
      <c r="AT537">
        <v>0</v>
      </c>
      <c r="AU537">
        <v>1</v>
      </c>
      <c r="AV537">
        <v>0</v>
      </c>
      <c r="AW537">
        <v>8</v>
      </c>
    </row>
    <row r="538" spans="1:49" x14ac:dyDescent="0.25">
      <c r="A538"/>
      <c r="AR538" t="s">
        <v>363</v>
      </c>
      <c r="AS538" t="s">
        <v>396</v>
      </c>
      <c r="AV538">
        <v>0</v>
      </c>
      <c r="AW538">
        <v>0</v>
      </c>
    </row>
    <row r="539" spans="1:49" x14ac:dyDescent="0.25">
      <c r="A539"/>
      <c r="AR539" t="s">
        <v>363</v>
      </c>
      <c r="AS539" t="s">
        <v>399</v>
      </c>
      <c r="AV539">
        <v>0</v>
      </c>
      <c r="AW539">
        <v>0</v>
      </c>
    </row>
    <row r="540" spans="1:49" x14ac:dyDescent="0.25">
      <c r="A540"/>
      <c r="AR540" t="s">
        <v>363</v>
      </c>
      <c r="AS540" t="s">
        <v>402</v>
      </c>
      <c r="AV540">
        <v>0</v>
      </c>
      <c r="AW540">
        <v>0</v>
      </c>
    </row>
    <row r="541" spans="1:49" x14ac:dyDescent="0.25">
      <c r="A541"/>
      <c r="AR541" t="s">
        <v>363</v>
      </c>
      <c r="AS541" t="s">
        <v>406</v>
      </c>
      <c r="AT541">
        <v>0</v>
      </c>
      <c r="AU541">
        <v>1</v>
      </c>
      <c r="AV541">
        <v>0</v>
      </c>
      <c r="AW541">
        <v>14</v>
      </c>
    </row>
    <row r="542" spans="1:49" x14ac:dyDescent="0.25">
      <c r="A542"/>
      <c r="AR542" t="s">
        <v>363</v>
      </c>
      <c r="AS542" t="s">
        <v>407</v>
      </c>
      <c r="AT542">
        <v>0</v>
      </c>
      <c r="AU542">
        <v>1</v>
      </c>
      <c r="AV542">
        <v>0</v>
      </c>
      <c r="AW542">
        <v>17</v>
      </c>
    </row>
    <row r="543" spans="1:49" x14ac:dyDescent="0.25">
      <c r="A543"/>
      <c r="AR543" t="s">
        <v>363</v>
      </c>
      <c r="AS543" t="s">
        <v>410</v>
      </c>
      <c r="AV543">
        <v>0</v>
      </c>
      <c r="AW543">
        <v>0</v>
      </c>
    </row>
    <row r="544" spans="1:49" x14ac:dyDescent="0.25">
      <c r="A544"/>
      <c r="AR544" t="s">
        <v>363</v>
      </c>
      <c r="AS544" t="s">
        <v>413</v>
      </c>
      <c r="AT544">
        <v>0</v>
      </c>
      <c r="AU544">
        <v>1</v>
      </c>
      <c r="AV544">
        <v>0</v>
      </c>
      <c r="AW544">
        <v>15</v>
      </c>
    </row>
    <row r="545" spans="1:49" x14ac:dyDescent="0.25">
      <c r="A545"/>
      <c r="AR545" t="s">
        <v>363</v>
      </c>
      <c r="AS545" t="s">
        <v>416</v>
      </c>
      <c r="AV545">
        <v>0</v>
      </c>
      <c r="AW545">
        <v>0</v>
      </c>
    </row>
    <row r="546" spans="1:49" x14ac:dyDescent="0.25">
      <c r="A546"/>
      <c r="AR546" t="s">
        <v>363</v>
      </c>
      <c r="AS546" t="s">
        <v>420</v>
      </c>
      <c r="AT546">
        <v>0</v>
      </c>
      <c r="AU546">
        <v>1</v>
      </c>
      <c r="AV546">
        <v>0</v>
      </c>
      <c r="AW546">
        <v>12</v>
      </c>
    </row>
    <row r="547" spans="1:49" x14ac:dyDescent="0.25">
      <c r="A547"/>
      <c r="AR547" t="s">
        <v>363</v>
      </c>
      <c r="AS547" t="s">
        <v>422</v>
      </c>
      <c r="AV547">
        <v>0</v>
      </c>
      <c r="AW547">
        <v>0</v>
      </c>
    </row>
    <row r="548" spans="1:49" x14ac:dyDescent="0.25">
      <c r="A548"/>
      <c r="AR548" t="s">
        <v>363</v>
      </c>
      <c r="AS548" t="s">
        <v>425</v>
      </c>
      <c r="AT548">
        <v>0</v>
      </c>
      <c r="AU548">
        <v>1</v>
      </c>
      <c r="AV548">
        <v>0</v>
      </c>
      <c r="AW548">
        <v>10</v>
      </c>
    </row>
    <row r="549" spans="1:49" x14ac:dyDescent="0.25">
      <c r="A549"/>
      <c r="AR549" t="s">
        <v>363</v>
      </c>
      <c r="AS549" t="s">
        <v>427</v>
      </c>
      <c r="AV549">
        <v>0</v>
      </c>
      <c r="AW549">
        <v>0</v>
      </c>
    </row>
    <row r="550" spans="1:49" x14ac:dyDescent="0.25">
      <c r="A550"/>
      <c r="AR550" t="s">
        <v>363</v>
      </c>
      <c r="AS550" t="s">
        <v>431</v>
      </c>
      <c r="AT550">
        <v>0</v>
      </c>
      <c r="AU550">
        <v>1</v>
      </c>
      <c r="AV550">
        <v>0</v>
      </c>
      <c r="AW550">
        <v>11</v>
      </c>
    </row>
    <row r="551" spans="1:49" x14ac:dyDescent="0.25">
      <c r="A551"/>
      <c r="AR551" t="s">
        <v>367</v>
      </c>
      <c r="AS551" t="s">
        <v>371</v>
      </c>
      <c r="AT551">
        <v>0.38461499999999998</v>
      </c>
      <c r="AU551">
        <v>0.61538499999999996</v>
      </c>
      <c r="AV551">
        <v>5</v>
      </c>
      <c r="AW551">
        <v>13</v>
      </c>
    </row>
    <row r="552" spans="1:49" x14ac:dyDescent="0.25">
      <c r="A552"/>
      <c r="AR552" t="s">
        <v>367</v>
      </c>
      <c r="AS552" t="s">
        <v>373</v>
      </c>
      <c r="AT552">
        <v>0</v>
      </c>
      <c r="AU552">
        <v>1</v>
      </c>
      <c r="AV552">
        <v>0</v>
      </c>
      <c r="AW552">
        <v>13</v>
      </c>
    </row>
    <row r="553" spans="1:49" x14ac:dyDescent="0.25">
      <c r="A553"/>
      <c r="AR553" t="s">
        <v>367</v>
      </c>
      <c r="AS553" t="s">
        <v>377</v>
      </c>
      <c r="AT553">
        <v>0.35714299999999999</v>
      </c>
      <c r="AU553">
        <v>0.64285700000000001</v>
      </c>
      <c r="AV553">
        <v>5</v>
      </c>
      <c r="AW553">
        <v>14</v>
      </c>
    </row>
    <row r="554" spans="1:49" x14ac:dyDescent="0.25">
      <c r="A554"/>
      <c r="AR554" t="s">
        <v>367</v>
      </c>
      <c r="AS554" t="s">
        <v>380</v>
      </c>
      <c r="AT554">
        <v>0.73333300000000001</v>
      </c>
      <c r="AU554">
        <v>0.26666699999999999</v>
      </c>
      <c r="AV554">
        <v>11</v>
      </c>
      <c r="AW554">
        <v>15</v>
      </c>
    </row>
    <row r="555" spans="1:49" x14ac:dyDescent="0.25">
      <c r="A555"/>
      <c r="AR555" t="s">
        <v>367</v>
      </c>
      <c r="AS555" t="s">
        <v>384</v>
      </c>
      <c r="AT555">
        <v>0.5625</v>
      </c>
      <c r="AU555">
        <v>0.4375</v>
      </c>
      <c r="AV555">
        <v>9</v>
      </c>
      <c r="AW555">
        <v>16</v>
      </c>
    </row>
    <row r="556" spans="1:49" x14ac:dyDescent="0.25">
      <c r="A556"/>
      <c r="AR556" t="s">
        <v>367</v>
      </c>
      <c r="AS556" t="s">
        <v>386</v>
      </c>
      <c r="AT556">
        <v>0.70588200000000001</v>
      </c>
      <c r="AU556">
        <v>0.29411799999999999</v>
      </c>
      <c r="AV556">
        <v>12</v>
      </c>
      <c r="AW556">
        <v>17</v>
      </c>
    </row>
    <row r="557" spans="1:49" x14ac:dyDescent="0.25">
      <c r="A557"/>
      <c r="AR557" t="s">
        <v>367</v>
      </c>
      <c r="AS557" t="s">
        <v>389</v>
      </c>
      <c r="AT557">
        <v>0</v>
      </c>
      <c r="AU557">
        <v>1</v>
      </c>
      <c r="AV557">
        <v>0</v>
      </c>
      <c r="AW557">
        <v>13</v>
      </c>
    </row>
    <row r="558" spans="1:49" x14ac:dyDescent="0.25">
      <c r="A558"/>
      <c r="AR558" t="s">
        <v>367</v>
      </c>
      <c r="AS558" t="s">
        <v>393</v>
      </c>
      <c r="AT558">
        <v>0.3125</v>
      </c>
      <c r="AU558">
        <v>0.6875</v>
      </c>
      <c r="AV558">
        <v>5</v>
      </c>
      <c r="AW558">
        <v>16</v>
      </c>
    </row>
    <row r="559" spans="1:49" x14ac:dyDescent="0.25">
      <c r="A559"/>
      <c r="AR559" t="s">
        <v>367</v>
      </c>
      <c r="AS559" t="s">
        <v>396</v>
      </c>
      <c r="AT559">
        <v>0</v>
      </c>
      <c r="AU559">
        <v>1</v>
      </c>
      <c r="AV559">
        <v>0</v>
      </c>
      <c r="AW559">
        <v>13</v>
      </c>
    </row>
    <row r="560" spans="1:49" x14ac:dyDescent="0.25">
      <c r="A560"/>
      <c r="AR560" t="s">
        <v>367</v>
      </c>
      <c r="AS560" t="s">
        <v>399</v>
      </c>
      <c r="AT560">
        <v>0</v>
      </c>
      <c r="AU560">
        <v>1</v>
      </c>
      <c r="AV560">
        <v>0</v>
      </c>
      <c r="AW560">
        <v>13</v>
      </c>
    </row>
    <row r="561" spans="1:49" x14ac:dyDescent="0.25">
      <c r="A561"/>
      <c r="AR561" t="s">
        <v>367</v>
      </c>
      <c r="AS561" t="s">
        <v>402</v>
      </c>
      <c r="AT561">
        <v>0</v>
      </c>
      <c r="AU561">
        <v>1</v>
      </c>
      <c r="AV561">
        <v>0</v>
      </c>
      <c r="AW561">
        <v>13</v>
      </c>
    </row>
    <row r="562" spans="1:49" x14ac:dyDescent="0.25">
      <c r="A562"/>
      <c r="AR562" t="s">
        <v>367</v>
      </c>
      <c r="AS562" t="s">
        <v>406</v>
      </c>
      <c r="AT562">
        <v>0.58823499999999995</v>
      </c>
      <c r="AU562">
        <v>0.41176499999999999</v>
      </c>
      <c r="AV562">
        <v>10</v>
      </c>
      <c r="AW562">
        <v>17</v>
      </c>
    </row>
    <row r="563" spans="1:49" x14ac:dyDescent="0.25">
      <c r="A563"/>
      <c r="AR563" t="s">
        <v>367</v>
      </c>
      <c r="AS563" t="s">
        <v>407</v>
      </c>
      <c r="AT563">
        <v>0.66666700000000001</v>
      </c>
      <c r="AU563">
        <v>0.33333299999999999</v>
      </c>
      <c r="AV563">
        <v>12</v>
      </c>
      <c r="AW563">
        <v>18</v>
      </c>
    </row>
    <row r="564" spans="1:49" x14ac:dyDescent="0.25">
      <c r="A564"/>
      <c r="AR564" t="s">
        <v>367</v>
      </c>
      <c r="AS564" t="s">
        <v>410</v>
      </c>
      <c r="AT564">
        <v>0</v>
      </c>
      <c r="AU564">
        <v>1</v>
      </c>
      <c r="AV564">
        <v>0</v>
      </c>
      <c r="AW564">
        <v>13</v>
      </c>
    </row>
    <row r="565" spans="1:49" x14ac:dyDescent="0.25">
      <c r="A565"/>
      <c r="AR565" t="s">
        <v>367</v>
      </c>
      <c r="AS565" t="s">
        <v>413</v>
      </c>
      <c r="AT565">
        <v>0.75</v>
      </c>
      <c r="AU565">
        <v>0.25</v>
      </c>
      <c r="AV565">
        <v>12</v>
      </c>
      <c r="AW565">
        <v>16</v>
      </c>
    </row>
    <row r="566" spans="1:49" x14ac:dyDescent="0.25">
      <c r="A566"/>
      <c r="AR566" t="s">
        <v>367</v>
      </c>
      <c r="AS566" t="s">
        <v>416</v>
      </c>
      <c r="AT566">
        <v>0</v>
      </c>
      <c r="AU566">
        <v>1</v>
      </c>
      <c r="AV566">
        <v>0</v>
      </c>
      <c r="AW566">
        <v>13</v>
      </c>
    </row>
    <row r="567" spans="1:49" x14ac:dyDescent="0.25">
      <c r="A567"/>
      <c r="AR567" t="s">
        <v>367</v>
      </c>
      <c r="AS567" t="s">
        <v>420</v>
      </c>
      <c r="AT567">
        <v>0.66666700000000001</v>
      </c>
      <c r="AU567">
        <v>0.33333299999999999</v>
      </c>
      <c r="AV567">
        <v>10</v>
      </c>
      <c r="AW567">
        <v>15</v>
      </c>
    </row>
    <row r="568" spans="1:49" x14ac:dyDescent="0.25">
      <c r="A568"/>
      <c r="AR568" t="s">
        <v>367</v>
      </c>
      <c r="AS568" t="s">
        <v>422</v>
      </c>
      <c r="AT568">
        <v>0</v>
      </c>
      <c r="AU568">
        <v>1</v>
      </c>
      <c r="AV568">
        <v>0</v>
      </c>
      <c r="AW568">
        <v>13</v>
      </c>
    </row>
    <row r="569" spans="1:49" x14ac:dyDescent="0.25">
      <c r="A569"/>
      <c r="AR569" t="s">
        <v>367</v>
      </c>
      <c r="AS569" t="s">
        <v>425</v>
      </c>
      <c r="AT569">
        <v>0.53333299999999995</v>
      </c>
      <c r="AU569">
        <v>0.466667</v>
      </c>
      <c r="AV569">
        <v>8</v>
      </c>
      <c r="AW569">
        <v>15</v>
      </c>
    </row>
    <row r="570" spans="1:49" x14ac:dyDescent="0.25">
      <c r="A570"/>
      <c r="AR570" t="s">
        <v>367</v>
      </c>
      <c r="AS570" t="s">
        <v>427</v>
      </c>
      <c r="AT570">
        <v>0</v>
      </c>
      <c r="AU570">
        <v>1</v>
      </c>
      <c r="AV570">
        <v>0</v>
      </c>
      <c r="AW570">
        <v>13</v>
      </c>
    </row>
    <row r="571" spans="1:49" x14ac:dyDescent="0.25">
      <c r="A571"/>
      <c r="AR571" t="s">
        <v>367</v>
      </c>
      <c r="AS571" t="s">
        <v>431</v>
      </c>
      <c r="AT571">
        <v>0.5</v>
      </c>
      <c r="AU571">
        <v>0.5</v>
      </c>
      <c r="AV571">
        <v>8</v>
      </c>
      <c r="AW571">
        <v>16</v>
      </c>
    </row>
    <row r="572" spans="1:49" x14ac:dyDescent="0.25">
      <c r="A572"/>
      <c r="AR572" t="s">
        <v>371</v>
      </c>
      <c r="AS572" t="s">
        <v>373</v>
      </c>
      <c r="AT572">
        <v>0</v>
      </c>
      <c r="AU572">
        <v>1</v>
      </c>
      <c r="AV572">
        <v>0</v>
      </c>
      <c r="AW572">
        <v>5</v>
      </c>
    </row>
    <row r="573" spans="1:49" x14ac:dyDescent="0.25">
      <c r="A573"/>
      <c r="AR573" t="s">
        <v>371</v>
      </c>
      <c r="AS573" t="s">
        <v>377</v>
      </c>
      <c r="AT573">
        <v>0.222222</v>
      </c>
      <c r="AU573">
        <v>0.77777799999999997</v>
      </c>
      <c r="AV573">
        <v>2</v>
      </c>
      <c r="AW573">
        <v>9</v>
      </c>
    </row>
    <row r="574" spans="1:49" x14ac:dyDescent="0.25">
      <c r="A574"/>
      <c r="AR574" t="s">
        <v>371</v>
      </c>
      <c r="AS574" t="s">
        <v>380</v>
      </c>
      <c r="AT574">
        <v>0.38461499999999998</v>
      </c>
      <c r="AU574">
        <v>0.61538499999999996</v>
      </c>
      <c r="AV574">
        <v>5</v>
      </c>
      <c r="AW574">
        <v>13</v>
      </c>
    </row>
    <row r="575" spans="1:49" x14ac:dyDescent="0.25">
      <c r="A575"/>
      <c r="AR575" t="s">
        <v>371</v>
      </c>
      <c r="AS575" t="s">
        <v>384</v>
      </c>
      <c r="AT575">
        <v>0.41666700000000001</v>
      </c>
      <c r="AU575">
        <v>0.58333299999999999</v>
      </c>
      <c r="AV575">
        <v>5</v>
      </c>
      <c r="AW575">
        <v>12</v>
      </c>
    </row>
    <row r="576" spans="1:49" x14ac:dyDescent="0.25">
      <c r="A576"/>
      <c r="AR576" t="s">
        <v>371</v>
      </c>
      <c r="AS576" t="s">
        <v>386</v>
      </c>
      <c r="AT576">
        <v>0.3125</v>
      </c>
      <c r="AU576">
        <v>0.6875</v>
      </c>
      <c r="AV576">
        <v>5</v>
      </c>
      <c r="AW576">
        <v>16</v>
      </c>
    </row>
    <row r="577" spans="1:49" x14ac:dyDescent="0.25">
      <c r="A577"/>
      <c r="AR577" t="s">
        <v>371</v>
      </c>
      <c r="AS577" t="s">
        <v>389</v>
      </c>
      <c r="AT577">
        <v>0</v>
      </c>
      <c r="AU577">
        <v>1</v>
      </c>
      <c r="AV577">
        <v>0</v>
      </c>
      <c r="AW577">
        <v>5</v>
      </c>
    </row>
    <row r="578" spans="1:49" x14ac:dyDescent="0.25">
      <c r="A578"/>
      <c r="AR578" t="s">
        <v>371</v>
      </c>
      <c r="AS578" t="s">
        <v>393</v>
      </c>
      <c r="AT578">
        <v>0.3</v>
      </c>
      <c r="AU578">
        <v>0.7</v>
      </c>
      <c r="AV578">
        <v>3</v>
      </c>
      <c r="AW578">
        <v>10</v>
      </c>
    </row>
    <row r="579" spans="1:49" x14ac:dyDescent="0.25">
      <c r="A579"/>
      <c r="AR579" t="s">
        <v>371</v>
      </c>
      <c r="AS579" t="s">
        <v>396</v>
      </c>
      <c r="AT579">
        <v>0</v>
      </c>
      <c r="AU579">
        <v>1</v>
      </c>
      <c r="AV579">
        <v>0</v>
      </c>
      <c r="AW579">
        <v>5</v>
      </c>
    </row>
    <row r="580" spans="1:49" x14ac:dyDescent="0.25">
      <c r="A580"/>
      <c r="AR580" t="s">
        <v>371</v>
      </c>
      <c r="AS580" t="s">
        <v>399</v>
      </c>
      <c r="AT580">
        <v>0</v>
      </c>
      <c r="AU580">
        <v>1</v>
      </c>
      <c r="AV580">
        <v>0</v>
      </c>
      <c r="AW580">
        <v>5</v>
      </c>
    </row>
    <row r="581" spans="1:49" x14ac:dyDescent="0.25">
      <c r="A581"/>
      <c r="AR581" t="s">
        <v>371</v>
      </c>
      <c r="AS581" t="s">
        <v>402</v>
      </c>
      <c r="AT581">
        <v>0</v>
      </c>
      <c r="AU581">
        <v>1</v>
      </c>
      <c r="AV581">
        <v>0</v>
      </c>
      <c r="AW581">
        <v>5</v>
      </c>
    </row>
    <row r="582" spans="1:49" x14ac:dyDescent="0.25">
      <c r="A582"/>
      <c r="AR582" t="s">
        <v>371</v>
      </c>
      <c r="AS582" t="s">
        <v>406</v>
      </c>
      <c r="AT582">
        <v>0.35714299999999999</v>
      </c>
      <c r="AU582">
        <v>0.64285700000000001</v>
      </c>
      <c r="AV582">
        <v>5</v>
      </c>
      <c r="AW582">
        <v>14</v>
      </c>
    </row>
    <row r="583" spans="1:49" x14ac:dyDescent="0.25">
      <c r="A583"/>
      <c r="AR583" t="s">
        <v>371</v>
      </c>
      <c r="AS583" t="s">
        <v>407</v>
      </c>
      <c r="AT583">
        <v>0.29411799999999999</v>
      </c>
      <c r="AU583">
        <v>0.70588200000000001</v>
      </c>
      <c r="AV583">
        <v>5</v>
      </c>
      <c r="AW583">
        <v>17</v>
      </c>
    </row>
    <row r="584" spans="1:49" x14ac:dyDescent="0.25">
      <c r="A584"/>
      <c r="AR584" t="s">
        <v>371</v>
      </c>
      <c r="AS584" t="s">
        <v>410</v>
      </c>
      <c r="AT584">
        <v>0</v>
      </c>
      <c r="AU584">
        <v>1</v>
      </c>
      <c r="AV584">
        <v>0</v>
      </c>
      <c r="AW584">
        <v>5</v>
      </c>
    </row>
    <row r="585" spans="1:49" x14ac:dyDescent="0.25">
      <c r="A585"/>
      <c r="AR585" t="s">
        <v>371</v>
      </c>
      <c r="AS585" t="s">
        <v>413</v>
      </c>
      <c r="AT585">
        <v>0.33333299999999999</v>
      </c>
      <c r="AU585">
        <v>0.66666700000000001</v>
      </c>
      <c r="AV585">
        <v>5</v>
      </c>
      <c r="AW585">
        <v>15</v>
      </c>
    </row>
    <row r="586" spans="1:49" x14ac:dyDescent="0.25">
      <c r="A586"/>
      <c r="AR586" t="s">
        <v>371</v>
      </c>
      <c r="AS586" t="s">
        <v>416</v>
      </c>
      <c r="AT586">
        <v>0</v>
      </c>
      <c r="AU586">
        <v>1</v>
      </c>
      <c r="AV586">
        <v>0</v>
      </c>
      <c r="AW586">
        <v>5</v>
      </c>
    </row>
    <row r="587" spans="1:49" x14ac:dyDescent="0.25">
      <c r="A587"/>
      <c r="AR587" t="s">
        <v>371</v>
      </c>
      <c r="AS587" t="s">
        <v>420</v>
      </c>
      <c r="AT587">
        <v>0.41666700000000001</v>
      </c>
      <c r="AU587">
        <v>0.58333299999999999</v>
      </c>
      <c r="AV587">
        <v>5</v>
      </c>
      <c r="AW587">
        <v>12</v>
      </c>
    </row>
    <row r="588" spans="1:49" x14ac:dyDescent="0.25">
      <c r="A588"/>
      <c r="AR588" t="s">
        <v>371</v>
      </c>
      <c r="AS588" t="s">
        <v>422</v>
      </c>
      <c r="AT588">
        <v>0</v>
      </c>
      <c r="AU588">
        <v>1</v>
      </c>
      <c r="AV588">
        <v>0</v>
      </c>
      <c r="AW588">
        <v>5</v>
      </c>
    </row>
    <row r="589" spans="1:49" x14ac:dyDescent="0.25">
      <c r="A589"/>
      <c r="AR589" t="s">
        <v>371</v>
      </c>
      <c r="AS589" t="s">
        <v>425</v>
      </c>
      <c r="AT589">
        <v>0.25</v>
      </c>
      <c r="AU589">
        <v>0.75</v>
      </c>
      <c r="AV589">
        <v>3</v>
      </c>
      <c r="AW589">
        <v>12</v>
      </c>
    </row>
    <row r="590" spans="1:49" x14ac:dyDescent="0.25">
      <c r="A590"/>
      <c r="AR590" t="s">
        <v>371</v>
      </c>
      <c r="AS590" t="s">
        <v>427</v>
      </c>
      <c r="AT590">
        <v>0</v>
      </c>
      <c r="AU590">
        <v>1</v>
      </c>
      <c r="AV590">
        <v>0</v>
      </c>
      <c r="AW590">
        <v>5</v>
      </c>
    </row>
    <row r="591" spans="1:49" x14ac:dyDescent="0.25">
      <c r="A591"/>
      <c r="AR591" t="s">
        <v>371</v>
      </c>
      <c r="AS591" t="s">
        <v>431</v>
      </c>
      <c r="AT591">
        <v>0.33333299999999999</v>
      </c>
      <c r="AU591">
        <v>0.66666700000000001</v>
      </c>
      <c r="AV591">
        <v>4</v>
      </c>
      <c r="AW591">
        <v>12</v>
      </c>
    </row>
    <row r="592" spans="1:49" x14ac:dyDescent="0.25">
      <c r="A592"/>
      <c r="AR592" t="s">
        <v>373</v>
      </c>
      <c r="AS592" t="s">
        <v>377</v>
      </c>
      <c r="AT592">
        <v>0</v>
      </c>
      <c r="AU592">
        <v>1</v>
      </c>
      <c r="AV592">
        <v>0</v>
      </c>
      <c r="AW592">
        <v>6</v>
      </c>
    </row>
    <row r="593" spans="1:49" x14ac:dyDescent="0.25">
      <c r="A593"/>
      <c r="AR593" t="s">
        <v>373</v>
      </c>
      <c r="AS593" t="s">
        <v>380</v>
      </c>
      <c r="AT593">
        <v>0</v>
      </c>
      <c r="AU593">
        <v>1</v>
      </c>
      <c r="AV593">
        <v>0</v>
      </c>
      <c r="AW593">
        <v>13</v>
      </c>
    </row>
    <row r="594" spans="1:49" x14ac:dyDescent="0.25">
      <c r="A594"/>
      <c r="AR594" t="s">
        <v>373</v>
      </c>
      <c r="AS594" t="s">
        <v>384</v>
      </c>
      <c r="AT594">
        <v>0</v>
      </c>
      <c r="AU594">
        <v>1</v>
      </c>
      <c r="AV594">
        <v>0</v>
      </c>
      <c r="AW594">
        <v>12</v>
      </c>
    </row>
    <row r="595" spans="1:49" x14ac:dyDescent="0.25">
      <c r="A595"/>
      <c r="AR595" t="s">
        <v>373</v>
      </c>
      <c r="AS595" t="s">
        <v>386</v>
      </c>
      <c r="AT595">
        <v>0</v>
      </c>
      <c r="AU595">
        <v>1</v>
      </c>
      <c r="AV595">
        <v>0</v>
      </c>
      <c r="AW595">
        <v>16</v>
      </c>
    </row>
    <row r="596" spans="1:49" x14ac:dyDescent="0.25">
      <c r="A596"/>
      <c r="AR596" t="s">
        <v>373</v>
      </c>
      <c r="AS596" t="s">
        <v>389</v>
      </c>
      <c r="AV596">
        <v>0</v>
      </c>
      <c r="AW596">
        <v>0</v>
      </c>
    </row>
    <row r="597" spans="1:49" x14ac:dyDescent="0.25">
      <c r="A597"/>
      <c r="AR597" t="s">
        <v>373</v>
      </c>
      <c r="AS597" t="s">
        <v>393</v>
      </c>
      <c r="AT597">
        <v>0</v>
      </c>
      <c r="AU597">
        <v>1</v>
      </c>
      <c r="AV597">
        <v>0</v>
      </c>
      <c r="AW597">
        <v>8</v>
      </c>
    </row>
    <row r="598" spans="1:49" x14ac:dyDescent="0.25">
      <c r="A598"/>
      <c r="AR598" t="s">
        <v>373</v>
      </c>
      <c r="AS598" t="s">
        <v>396</v>
      </c>
      <c r="AV598">
        <v>0</v>
      </c>
      <c r="AW598">
        <v>0</v>
      </c>
    </row>
    <row r="599" spans="1:49" x14ac:dyDescent="0.25">
      <c r="A599"/>
      <c r="AR599" t="s">
        <v>373</v>
      </c>
      <c r="AS599" t="s">
        <v>399</v>
      </c>
      <c r="AV599">
        <v>0</v>
      </c>
      <c r="AW599">
        <v>0</v>
      </c>
    </row>
    <row r="600" spans="1:49" x14ac:dyDescent="0.25">
      <c r="A600"/>
      <c r="AR600" t="s">
        <v>373</v>
      </c>
      <c r="AS600" t="s">
        <v>402</v>
      </c>
      <c r="AV600">
        <v>0</v>
      </c>
      <c r="AW600">
        <v>0</v>
      </c>
    </row>
    <row r="601" spans="1:49" x14ac:dyDescent="0.25">
      <c r="A601"/>
      <c r="AR601" t="s">
        <v>373</v>
      </c>
      <c r="AS601" t="s">
        <v>406</v>
      </c>
      <c r="AT601">
        <v>0</v>
      </c>
      <c r="AU601">
        <v>1</v>
      </c>
      <c r="AV601">
        <v>0</v>
      </c>
      <c r="AW601">
        <v>14</v>
      </c>
    </row>
    <row r="602" spans="1:49" x14ac:dyDescent="0.25">
      <c r="A602"/>
      <c r="AR602" t="s">
        <v>373</v>
      </c>
      <c r="AS602" t="s">
        <v>407</v>
      </c>
      <c r="AT602">
        <v>0</v>
      </c>
      <c r="AU602">
        <v>1</v>
      </c>
      <c r="AV602">
        <v>0</v>
      </c>
      <c r="AW602">
        <v>17</v>
      </c>
    </row>
    <row r="603" spans="1:49" x14ac:dyDescent="0.25">
      <c r="A603"/>
      <c r="AR603" t="s">
        <v>373</v>
      </c>
      <c r="AS603" t="s">
        <v>410</v>
      </c>
      <c r="AV603">
        <v>0</v>
      </c>
      <c r="AW603">
        <v>0</v>
      </c>
    </row>
    <row r="604" spans="1:49" x14ac:dyDescent="0.25">
      <c r="A604"/>
      <c r="AR604" t="s">
        <v>373</v>
      </c>
      <c r="AS604" t="s">
        <v>413</v>
      </c>
      <c r="AT604">
        <v>0</v>
      </c>
      <c r="AU604">
        <v>1</v>
      </c>
      <c r="AV604">
        <v>0</v>
      </c>
      <c r="AW604">
        <v>15</v>
      </c>
    </row>
    <row r="605" spans="1:49" x14ac:dyDescent="0.25">
      <c r="A605"/>
      <c r="AR605" t="s">
        <v>373</v>
      </c>
      <c r="AS605" t="s">
        <v>416</v>
      </c>
      <c r="AV605">
        <v>0</v>
      </c>
      <c r="AW605">
        <v>0</v>
      </c>
    </row>
    <row r="606" spans="1:49" x14ac:dyDescent="0.25">
      <c r="A606"/>
      <c r="AR606" t="s">
        <v>373</v>
      </c>
      <c r="AS606" t="s">
        <v>420</v>
      </c>
      <c r="AT606">
        <v>0</v>
      </c>
      <c r="AU606">
        <v>1</v>
      </c>
      <c r="AV606">
        <v>0</v>
      </c>
      <c r="AW606">
        <v>12</v>
      </c>
    </row>
    <row r="607" spans="1:49" x14ac:dyDescent="0.25">
      <c r="A607"/>
      <c r="AR607" t="s">
        <v>373</v>
      </c>
      <c r="AS607" t="s">
        <v>422</v>
      </c>
      <c r="AV607">
        <v>0</v>
      </c>
      <c r="AW607">
        <v>0</v>
      </c>
    </row>
    <row r="608" spans="1:49" x14ac:dyDescent="0.25">
      <c r="A608"/>
      <c r="AR608" t="s">
        <v>373</v>
      </c>
      <c r="AS608" t="s">
        <v>425</v>
      </c>
      <c r="AT608">
        <v>0</v>
      </c>
      <c r="AU608">
        <v>1</v>
      </c>
      <c r="AV608">
        <v>0</v>
      </c>
      <c r="AW608">
        <v>10</v>
      </c>
    </row>
    <row r="609" spans="1:49" x14ac:dyDescent="0.25">
      <c r="A609"/>
      <c r="AR609" t="s">
        <v>373</v>
      </c>
      <c r="AS609" t="s">
        <v>427</v>
      </c>
      <c r="AV609">
        <v>0</v>
      </c>
      <c r="AW609">
        <v>0</v>
      </c>
    </row>
    <row r="610" spans="1:49" x14ac:dyDescent="0.25">
      <c r="A610"/>
      <c r="AR610" t="s">
        <v>373</v>
      </c>
      <c r="AS610" t="s">
        <v>431</v>
      </c>
      <c r="AT610">
        <v>0</v>
      </c>
      <c r="AU610">
        <v>1</v>
      </c>
      <c r="AV610">
        <v>0</v>
      </c>
      <c r="AW610">
        <v>11</v>
      </c>
    </row>
    <row r="611" spans="1:49" x14ac:dyDescent="0.25">
      <c r="A611"/>
      <c r="AR611" t="s">
        <v>377</v>
      </c>
      <c r="AS611" t="s">
        <v>380</v>
      </c>
      <c r="AT611">
        <v>0.35714299999999999</v>
      </c>
      <c r="AU611">
        <v>0.64285700000000001</v>
      </c>
      <c r="AV611">
        <v>5</v>
      </c>
      <c r="AW611">
        <v>14</v>
      </c>
    </row>
    <row r="612" spans="1:49" x14ac:dyDescent="0.25">
      <c r="A612"/>
      <c r="AR612" t="s">
        <v>377</v>
      </c>
      <c r="AS612" t="s">
        <v>384</v>
      </c>
      <c r="AT612">
        <v>0.38461499999999998</v>
      </c>
      <c r="AU612">
        <v>0.61538499999999996</v>
      </c>
      <c r="AV612">
        <v>5</v>
      </c>
      <c r="AW612">
        <v>13</v>
      </c>
    </row>
    <row r="613" spans="1:49" x14ac:dyDescent="0.25">
      <c r="A613"/>
      <c r="AR613" t="s">
        <v>377</v>
      </c>
      <c r="AS613" t="s">
        <v>386</v>
      </c>
      <c r="AT613">
        <v>0.375</v>
      </c>
      <c r="AU613">
        <v>0.625</v>
      </c>
      <c r="AV613">
        <v>6</v>
      </c>
      <c r="AW613">
        <v>16</v>
      </c>
    </row>
    <row r="614" spans="1:49" x14ac:dyDescent="0.25">
      <c r="A614"/>
      <c r="AR614" t="s">
        <v>377</v>
      </c>
      <c r="AS614" t="s">
        <v>389</v>
      </c>
      <c r="AT614">
        <v>0</v>
      </c>
      <c r="AU614">
        <v>1</v>
      </c>
      <c r="AV614">
        <v>0</v>
      </c>
      <c r="AW614">
        <v>6</v>
      </c>
    </row>
    <row r="615" spans="1:49" x14ac:dyDescent="0.25">
      <c r="A615"/>
      <c r="AR615" t="s">
        <v>377</v>
      </c>
      <c r="AS615" t="s">
        <v>393</v>
      </c>
      <c r="AT615">
        <v>0.16666700000000001</v>
      </c>
      <c r="AU615">
        <v>0.83333299999999999</v>
      </c>
      <c r="AV615">
        <v>2</v>
      </c>
      <c r="AW615">
        <v>12</v>
      </c>
    </row>
    <row r="616" spans="1:49" x14ac:dyDescent="0.25">
      <c r="A616"/>
      <c r="AR616" t="s">
        <v>377</v>
      </c>
      <c r="AS616" t="s">
        <v>396</v>
      </c>
      <c r="AT616">
        <v>0</v>
      </c>
      <c r="AU616">
        <v>1</v>
      </c>
      <c r="AV616">
        <v>0</v>
      </c>
      <c r="AW616">
        <v>6</v>
      </c>
    </row>
    <row r="617" spans="1:49" x14ac:dyDescent="0.25">
      <c r="A617"/>
      <c r="AR617" t="s">
        <v>377</v>
      </c>
      <c r="AS617" t="s">
        <v>399</v>
      </c>
      <c r="AT617">
        <v>0</v>
      </c>
      <c r="AU617">
        <v>1</v>
      </c>
      <c r="AV617">
        <v>0</v>
      </c>
      <c r="AW617">
        <v>6</v>
      </c>
    </row>
    <row r="618" spans="1:49" x14ac:dyDescent="0.25">
      <c r="A618"/>
      <c r="AR618" t="s">
        <v>377</v>
      </c>
      <c r="AS618" t="s">
        <v>402</v>
      </c>
      <c r="AT618">
        <v>0</v>
      </c>
      <c r="AU618">
        <v>1</v>
      </c>
      <c r="AV618">
        <v>0</v>
      </c>
      <c r="AW618">
        <v>6</v>
      </c>
    </row>
    <row r="619" spans="1:49" x14ac:dyDescent="0.25">
      <c r="A619"/>
      <c r="AR619" t="s">
        <v>377</v>
      </c>
      <c r="AS619" t="s">
        <v>406</v>
      </c>
      <c r="AT619">
        <v>0.33333299999999999</v>
      </c>
      <c r="AU619">
        <v>0.66666700000000001</v>
      </c>
      <c r="AV619">
        <v>5</v>
      </c>
      <c r="AW619">
        <v>15</v>
      </c>
    </row>
    <row r="620" spans="1:49" x14ac:dyDescent="0.25">
      <c r="A620"/>
      <c r="AR620" t="s">
        <v>377</v>
      </c>
      <c r="AS620" t="s">
        <v>407</v>
      </c>
      <c r="AT620">
        <v>0.352941</v>
      </c>
      <c r="AU620">
        <v>0.64705900000000005</v>
      </c>
      <c r="AV620">
        <v>6</v>
      </c>
      <c r="AW620">
        <v>17</v>
      </c>
    </row>
    <row r="621" spans="1:49" x14ac:dyDescent="0.25">
      <c r="A621"/>
      <c r="AR621" t="s">
        <v>377</v>
      </c>
      <c r="AS621" t="s">
        <v>410</v>
      </c>
      <c r="AT621">
        <v>0</v>
      </c>
      <c r="AU621">
        <v>1</v>
      </c>
      <c r="AV621">
        <v>0</v>
      </c>
      <c r="AW621">
        <v>6</v>
      </c>
    </row>
    <row r="622" spans="1:49" x14ac:dyDescent="0.25">
      <c r="A622"/>
      <c r="AR622" t="s">
        <v>377</v>
      </c>
      <c r="AS622" t="s">
        <v>413</v>
      </c>
      <c r="AT622">
        <v>0.4</v>
      </c>
      <c r="AU622">
        <v>0.6</v>
      </c>
      <c r="AV622">
        <v>6</v>
      </c>
      <c r="AW622">
        <v>15</v>
      </c>
    </row>
    <row r="623" spans="1:49" x14ac:dyDescent="0.25">
      <c r="A623"/>
      <c r="AR623" t="s">
        <v>377</v>
      </c>
      <c r="AS623" t="s">
        <v>416</v>
      </c>
      <c r="AT623">
        <v>0</v>
      </c>
      <c r="AU623">
        <v>1</v>
      </c>
      <c r="AV623">
        <v>0</v>
      </c>
      <c r="AW623">
        <v>6</v>
      </c>
    </row>
    <row r="624" spans="1:49" x14ac:dyDescent="0.25">
      <c r="A624"/>
      <c r="AR624" t="s">
        <v>377</v>
      </c>
      <c r="AS624" t="s">
        <v>420</v>
      </c>
      <c r="AT624">
        <v>0.5</v>
      </c>
      <c r="AU624">
        <v>0.5</v>
      </c>
      <c r="AV624">
        <v>6</v>
      </c>
      <c r="AW624">
        <v>12</v>
      </c>
    </row>
    <row r="625" spans="1:49" x14ac:dyDescent="0.25">
      <c r="A625"/>
      <c r="AR625" t="s">
        <v>377</v>
      </c>
      <c r="AS625" t="s">
        <v>422</v>
      </c>
      <c r="AT625">
        <v>0</v>
      </c>
      <c r="AU625">
        <v>1</v>
      </c>
      <c r="AV625">
        <v>0</v>
      </c>
      <c r="AW625">
        <v>6</v>
      </c>
    </row>
    <row r="626" spans="1:49" x14ac:dyDescent="0.25">
      <c r="A626"/>
      <c r="AR626" t="s">
        <v>377</v>
      </c>
      <c r="AS626" t="s">
        <v>425</v>
      </c>
      <c r="AT626">
        <v>0.6</v>
      </c>
      <c r="AU626">
        <v>0.4</v>
      </c>
      <c r="AV626">
        <v>6</v>
      </c>
      <c r="AW626">
        <v>10</v>
      </c>
    </row>
    <row r="627" spans="1:49" x14ac:dyDescent="0.25">
      <c r="A627"/>
      <c r="AR627" t="s">
        <v>377</v>
      </c>
      <c r="AS627" t="s">
        <v>427</v>
      </c>
      <c r="AT627">
        <v>0</v>
      </c>
      <c r="AU627">
        <v>1</v>
      </c>
      <c r="AV627">
        <v>0</v>
      </c>
      <c r="AW627">
        <v>6</v>
      </c>
    </row>
    <row r="628" spans="1:49" x14ac:dyDescent="0.25">
      <c r="A628"/>
      <c r="AR628" t="s">
        <v>377</v>
      </c>
      <c r="AS628" t="s">
        <v>431</v>
      </c>
      <c r="AT628">
        <v>0.54545500000000002</v>
      </c>
      <c r="AU628">
        <v>0.45454499999999998</v>
      </c>
      <c r="AV628">
        <v>6</v>
      </c>
      <c r="AW628">
        <v>11</v>
      </c>
    </row>
    <row r="629" spans="1:49" x14ac:dyDescent="0.25">
      <c r="A629"/>
      <c r="AR629" t="s">
        <v>380</v>
      </c>
      <c r="AS629" t="s">
        <v>384</v>
      </c>
      <c r="AT629">
        <v>0.66666700000000001</v>
      </c>
      <c r="AU629">
        <v>0.33333299999999999</v>
      </c>
      <c r="AV629">
        <v>10</v>
      </c>
      <c r="AW629">
        <v>15</v>
      </c>
    </row>
    <row r="630" spans="1:49" x14ac:dyDescent="0.25">
      <c r="A630"/>
      <c r="AR630" t="s">
        <v>380</v>
      </c>
      <c r="AS630" t="s">
        <v>386</v>
      </c>
      <c r="AT630">
        <v>0.8125</v>
      </c>
      <c r="AU630">
        <v>0.1875</v>
      </c>
      <c r="AV630">
        <v>13</v>
      </c>
      <c r="AW630">
        <v>16</v>
      </c>
    </row>
    <row r="631" spans="1:49" x14ac:dyDescent="0.25">
      <c r="A631"/>
      <c r="AR631" t="s">
        <v>380</v>
      </c>
      <c r="AS631" t="s">
        <v>389</v>
      </c>
      <c r="AT631">
        <v>0</v>
      </c>
      <c r="AU631">
        <v>1</v>
      </c>
      <c r="AV631">
        <v>0</v>
      </c>
      <c r="AW631">
        <v>13</v>
      </c>
    </row>
    <row r="632" spans="1:49" x14ac:dyDescent="0.25">
      <c r="A632"/>
      <c r="AR632" t="s">
        <v>380</v>
      </c>
      <c r="AS632" t="s">
        <v>393</v>
      </c>
      <c r="AT632">
        <v>0.5</v>
      </c>
      <c r="AU632">
        <v>0.5</v>
      </c>
      <c r="AV632">
        <v>7</v>
      </c>
      <c r="AW632">
        <v>14</v>
      </c>
    </row>
    <row r="633" spans="1:49" x14ac:dyDescent="0.25">
      <c r="A633"/>
      <c r="AR633" t="s">
        <v>380</v>
      </c>
      <c r="AS633" t="s">
        <v>396</v>
      </c>
      <c r="AT633">
        <v>0</v>
      </c>
      <c r="AU633">
        <v>1</v>
      </c>
      <c r="AV633">
        <v>0</v>
      </c>
      <c r="AW633">
        <v>13</v>
      </c>
    </row>
    <row r="634" spans="1:49" x14ac:dyDescent="0.25">
      <c r="A634"/>
      <c r="AR634" t="s">
        <v>380</v>
      </c>
      <c r="AS634" t="s">
        <v>399</v>
      </c>
      <c r="AT634">
        <v>0</v>
      </c>
      <c r="AU634">
        <v>1</v>
      </c>
      <c r="AV634">
        <v>0</v>
      </c>
      <c r="AW634">
        <v>13</v>
      </c>
    </row>
    <row r="635" spans="1:49" x14ac:dyDescent="0.25">
      <c r="A635"/>
      <c r="AR635" t="s">
        <v>380</v>
      </c>
      <c r="AS635" t="s">
        <v>402</v>
      </c>
      <c r="AT635">
        <v>0</v>
      </c>
      <c r="AU635">
        <v>1</v>
      </c>
      <c r="AV635">
        <v>0</v>
      </c>
      <c r="AW635">
        <v>13</v>
      </c>
    </row>
    <row r="636" spans="1:49" x14ac:dyDescent="0.25">
      <c r="A636"/>
      <c r="AR636" t="s">
        <v>380</v>
      </c>
      <c r="AS636" t="s">
        <v>406</v>
      </c>
      <c r="AT636">
        <v>0.8</v>
      </c>
      <c r="AU636">
        <v>0.2</v>
      </c>
      <c r="AV636">
        <v>12</v>
      </c>
      <c r="AW636">
        <v>15</v>
      </c>
    </row>
    <row r="637" spans="1:49" x14ac:dyDescent="0.25">
      <c r="A637"/>
      <c r="AR637" t="s">
        <v>380</v>
      </c>
      <c r="AS637" t="s">
        <v>407</v>
      </c>
      <c r="AT637">
        <v>0.764706</v>
      </c>
      <c r="AU637">
        <v>0.235294</v>
      </c>
      <c r="AV637">
        <v>13</v>
      </c>
      <c r="AW637">
        <v>17</v>
      </c>
    </row>
    <row r="638" spans="1:49" x14ac:dyDescent="0.25">
      <c r="A638"/>
      <c r="AR638" t="s">
        <v>380</v>
      </c>
      <c r="AS638" t="s">
        <v>410</v>
      </c>
      <c r="AT638">
        <v>0</v>
      </c>
      <c r="AU638">
        <v>1</v>
      </c>
      <c r="AV638">
        <v>0</v>
      </c>
      <c r="AW638">
        <v>13</v>
      </c>
    </row>
    <row r="639" spans="1:49" x14ac:dyDescent="0.25">
      <c r="A639"/>
      <c r="AR639" t="s">
        <v>380</v>
      </c>
      <c r="AS639" t="s">
        <v>413</v>
      </c>
      <c r="AT639">
        <v>0.75</v>
      </c>
      <c r="AU639">
        <v>0.25</v>
      </c>
      <c r="AV639">
        <v>12</v>
      </c>
      <c r="AW639">
        <v>16</v>
      </c>
    </row>
    <row r="640" spans="1:49" x14ac:dyDescent="0.25">
      <c r="A640"/>
      <c r="AR640" t="s">
        <v>380</v>
      </c>
      <c r="AS640" t="s">
        <v>416</v>
      </c>
      <c r="AT640">
        <v>0</v>
      </c>
      <c r="AU640">
        <v>1</v>
      </c>
      <c r="AV640">
        <v>0</v>
      </c>
      <c r="AW640">
        <v>13</v>
      </c>
    </row>
    <row r="641" spans="1:49" x14ac:dyDescent="0.25">
      <c r="A641"/>
      <c r="AR641" t="s">
        <v>380</v>
      </c>
      <c r="AS641" t="s">
        <v>420</v>
      </c>
      <c r="AT641">
        <v>0.5625</v>
      </c>
      <c r="AU641">
        <v>0.4375</v>
      </c>
      <c r="AV641">
        <v>9</v>
      </c>
      <c r="AW641">
        <v>16</v>
      </c>
    </row>
    <row r="642" spans="1:49" x14ac:dyDescent="0.25">
      <c r="A642"/>
      <c r="AR642" t="s">
        <v>380</v>
      </c>
      <c r="AS642" t="s">
        <v>422</v>
      </c>
      <c r="AT642">
        <v>0</v>
      </c>
      <c r="AU642">
        <v>1</v>
      </c>
      <c r="AV642">
        <v>0</v>
      </c>
      <c r="AW642">
        <v>13</v>
      </c>
    </row>
    <row r="643" spans="1:49" x14ac:dyDescent="0.25">
      <c r="A643"/>
      <c r="AR643" t="s">
        <v>380</v>
      </c>
      <c r="AS643" t="s">
        <v>425</v>
      </c>
      <c r="AT643">
        <v>0.64285700000000001</v>
      </c>
      <c r="AU643">
        <v>0.35714299999999999</v>
      </c>
      <c r="AV643">
        <v>9</v>
      </c>
      <c r="AW643">
        <v>14</v>
      </c>
    </row>
    <row r="644" spans="1:49" x14ac:dyDescent="0.25">
      <c r="A644"/>
      <c r="AR644" t="s">
        <v>380</v>
      </c>
      <c r="AS644" t="s">
        <v>427</v>
      </c>
      <c r="AT644">
        <v>0</v>
      </c>
      <c r="AU644">
        <v>1</v>
      </c>
      <c r="AV644">
        <v>0</v>
      </c>
      <c r="AW644">
        <v>13</v>
      </c>
    </row>
    <row r="645" spans="1:49" x14ac:dyDescent="0.25">
      <c r="A645"/>
      <c r="AR645" t="s">
        <v>380</v>
      </c>
      <c r="AS645" t="s">
        <v>431</v>
      </c>
      <c r="AT645">
        <v>0.6</v>
      </c>
      <c r="AU645">
        <v>0.4</v>
      </c>
      <c r="AV645">
        <v>9</v>
      </c>
      <c r="AW645">
        <v>15</v>
      </c>
    </row>
    <row r="646" spans="1:49" x14ac:dyDescent="0.25">
      <c r="A646"/>
      <c r="AR646" t="s">
        <v>384</v>
      </c>
      <c r="AS646" t="s">
        <v>386</v>
      </c>
      <c r="AT646">
        <v>0.75</v>
      </c>
      <c r="AU646">
        <v>0.25</v>
      </c>
      <c r="AV646">
        <v>12</v>
      </c>
      <c r="AW646">
        <v>16</v>
      </c>
    </row>
    <row r="647" spans="1:49" x14ac:dyDescent="0.25">
      <c r="A647"/>
      <c r="AR647" t="s">
        <v>384</v>
      </c>
      <c r="AS647" t="s">
        <v>389</v>
      </c>
      <c r="AT647">
        <v>0</v>
      </c>
      <c r="AU647">
        <v>1</v>
      </c>
      <c r="AV647">
        <v>0</v>
      </c>
      <c r="AW647">
        <v>12</v>
      </c>
    </row>
    <row r="648" spans="1:49" x14ac:dyDescent="0.25">
      <c r="A648"/>
      <c r="AR648" t="s">
        <v>384</v>
      </c>
      <c r="AS648" t="s">
        <v>393</v>
      </c>
      <c r="AT648">
        <v>0.538462</v>
      </c>
      <c r="AU648">
        <v>0.461538</v>
      </c>
      <c r="AV648">
        <v>7</v>
      </c>
      <c r="AW648">
        <v>13</v>
      </c>
    </row>
    <row r="649" spans="1:49" x14ac:dyDescent="0.25">
      <c r="A649"/>
      <c r="AR649" t="s">
        <v>384</v>
      </c>
      <c r="AS649" t="s">
        <v>396</v>
      </c>
      <c r="AT649">
        <v>0</v>
      </c>
      <c r="AU649">
        <v>1</v>
      </c>
      <c r="AV649">
        <v>0</v>
      </c>
      <c r="AW649">
        <v>12</v>
      </c>
    </row>
    <row r="650" spans="1:49" x14ac:dyDescent="0.25">
      <c r="A650"/>
      <c r="AR650" t="s">
        <v>384</v>
      </c>
      <c r="AS650" t="s">
        <v>399</v>
      </c>
      <c r="AT650">
        <v>0</v>
      </c>
      <c r="AU650">
        <v>1</v>
      </c>
      <c r="AV650">
        <v>0</v>
      </c>
      <c r="AW650">
        <v>12</v>
      </c>
    </row>
    <row r="651" spans="1:49" x14ac:dyDescent="0.25">
      <c r="A651"/>
      <c r="AR651" t="s">
        <v>384</v>
      </c>
      <c r="AS651" t="s">
        <v>402</v>
      </c>
      <c r="AT651">
        <v>0</v>
      </c>
      <c r="AU651">
        <v>1</v>
      </c>
      <c r="AV651">
        <v>0</v>
      </c>
      <c r="AW651">
        <v>12</v>
      </c>
    </row>
    <row r="652" spans="1:49" x14ac:dyDescent="0.25">
      <c r="A652"/>
      <c r="AR652" t="s">
        <v>384</v>
      </c>
      <c r="AS652" t="s">
        <v>406</v>
      </c>
      <c r="AT652">
        <v>0.85714299999999999</v>
      </c>
      <c r="AU652">
        <v>0.14285700000000001</v>
      </c>
      <c r="AV652">
        <v>12</v>
      </c>
      <c r="AW652">
        <v>14</v>
      </c>
    </row>
    <row r="653" spans="1:49" x14ac:dyDescent="0.25">
      <c r="A653"/>
      <c r="AR653" t="s">
        <v>384</v>
      </c>
      <c r="AS653" t="s">
        <v>407</v>
      </c>
      <c r="AT653">
        <v>0.70588200000000001</v>
      </c>
      <c r="AU653">
        <v>0.29411799999999999</v>
      </c>
      <c r="AV653">
        <v>12</v>
      </c>
      <c r="AW653">
        <v>17</v>
      </c>
    </row>
    <row r="654" spans="1:49" x14ac:dyDescent="0.25">
      <c r="A654"/>
      <c r="AR654" t="s">
        <v>384</v>
      </c>
      <c r="AS654" t="s">
        <v>410</v>
      </c>
      <c r="AT654">
        <v>0</v>
      </c>
      <c r="AU654">
        <v>1</v>
      </c>
      <c r="AV654">
        <v>0</v>
      </c>
      <c r="AW654">
        <v>12</v>
      </c>
    </row>
    <row r="655" spans="1:49" x14ac:dyDescent="0.25">
      <c r="A655"/>
      <c r="AR655" t="s">
        <v>384</v>
      </c>
      <c r="AS655" t="s">
        <v>413</v>
      </c>
      <c r="AT655">
        <v>0.8</v>
      </c>
      <c r="AU655">
        <v>0.2</v>
      </c>
      <c r="AV655">
        <v>12</v>
      </c>
      <c r="AW655">
        <v>15</v>
      </c>
    </row>
    <row r="656" spans="1:49" x14ac:dyDescent="0.25">
      <c r="A656"/>
      <c r="AR656" t="s">
        <v>384</v>
      </c>
      <c r="AS656" t="s">
        <v>416</v>
      </c>
      <c r="AT656">
        <v>0</v>
      </c>
      <c r="AU656">
        <v>1</v>
      </c>
      <c r="AV656">
        <v>0</v>
      </c>
      <c r="AW656">
        <v>12</v>
      </c>
    </row>
    <row r="657" spans="1:49" x14ac:dyDescent="0.25">
      <c r="A657"/>
      <c r="AR657" t="s">
        <v>384</v>
      </c>
      <c r="AS657" t="s">
        <v>420</v>
      </c>
      <c r="AT657">
        <v>0.71428599999999998</v>
      </c>
      <c r="AU657">
        <v>0.28571400000000002</v>
      </c>
      <c r="AV657">
        <v>10</v>
      </c>
      <c r="AW657">
        <v>14</v>
      </c>
    </row>
    <row r="658" spans="1:49" x14ac:dyDescent="0.25">
      <c r="A658"/>
      <c r="AR658" t="s">
        <v>384</v>
      </c>
      <c r="AS658" t="s">
        <v>422</v>
      </c>
      <c r="AT658">
        <v>0</v>
      </c>
      <c r="AU658">
        <v>1</v>
      </c>
      <c r="AV658">
        <v>0</v>
      </c>
      <c r="AW658">
        <v>12</v>
      </c>
    </row>
    <row r="659" spans="1:49" x14ac:dyDescent="0.25">
      <c r="A659"/>
      <c r="AR659" t="s">
        <v>384</v>
      </c>
      <c r="AS659" t="s">
        <v>425</v>
      </c>
      <c r="AT659">
        <v>0.466667</v>
      </c>
      <c r="AU659">
        <v>0.53333299999999995</v>
      </c>
      <c r="AV659">
        <v>7</v>
      </c>
      <c r="AW659">
        <v>15</v>
      </c>
    </row>
    <row r="660" spans="1:49" x14ac:dyDescent="0.25">
      <c r="A660"/>
      <c r="AR660" t="s">
        <v>384</v>
      </c>
      <c r="AS660" t="s">
        <v>427</v>
      </c>
      <c r="AT660">
        <v>0</v>
      </c>
      <c r="AU660">
        <v>1</v>
      </c>
      <c r="AV660">
        <v>0</v>
      </c>
      <c r="AW660">
        <v>12</v>
      </c>
    </row>
    <row r="661" spans="1:49" x14ac:dyDescent="0.25">
      <c r="A661"/>
      <c r="AR661" t="s">
        <v>384</v>
      </c>
      <c r="AS661" t="s">
        <v>431</v>
      </c>
      <c r="AT661">
        <v>0.769231</v>
      </c>
      <c r="AU661">
        <v>0.230769</v>
      </c>
      <c r="AV661">
        <v>10</v>
      </c>
      <c r="AW661">
        <v>13</v>
      </c>
    </row>
    <row r="662" spans="1:49" x14ac:dyDescent="0.25">
      <c r="A662"/>
      <c r="AR662" t="s">
        <v>386</v>
      </c>
      <c r="AS662" t="s">
        <v>389</v>
      </c>
      <c r="AT662">
        <v>0</v>
      </c>
      <c r="AU662">
        <v>1</v>
      </c>
      <c r="AV662">
        <v>0</v>
      </c>
      <c r="AW662">
        <v>16</v>
      </c>
    </row>
    <row r="663" spans="1:49" x14ac:dyDescent="0.25">
      <c r="A663"/>
      <c r="AR663" t="s">
        <v>386</v>
      </c>
      <c r="AS663" t="s">
        <v>393</v>
      </c>
      <c r="AT663">
        <v>0.5</v>
      </c>
      <c r="AU663">
        <v>0.5</v>
      </c>
      <c r="AV663">
        <v>8</v>
      </c>
      <c r="AW663">
        <v>16</v>
      </c>
    </row>
    <row r="664" spans="1:49" x14ac:dyDescent="0.25">
      <c r="A664"/>
      <c r="AR664" t="s">
        <v>386</v>
      </c>
      <c r="AS664" t="s">
        <v>396</v>
      </c>
      <c r="AT664">
        <v>0</v>
      </c>
      <c r="AU664">
        <v>1</v>
      </c>
      <c r="AV664">
        <v>0</v>
      </c>
      <c r="AW664">
        <v>16</v>
      </c>
    </row>
    <row r="665" spans="1:49" x14ac:dyDescent="0.25">
      <c r="A665"/>
      <c r="AR665" t="s">
        <v>386</v>
      </c>
      <c r="AS665" t="s">
        <v>399</v>
      </c>
      <c r="AT665">
        <v>0</v>
      </c>
      <c r="AU665">
        <v>1</v>
      </c>
      <c r="AV665">
        <v>0</v>
      </c>
      <c r="AW665">
        <v>16</v>
      </c>
    </row>
    <row r="666" spans="1:49" x14ac:dyDescent="0.25">
      <c r="A666"/>
      <c r="AR666" t="s">
        <v>386</v>
      </c>
      <c r="AS666" t="s">
        <v>402</v>
      </c>
      <c r="AT666">
        <v>0</v>
      </c>
      <c r="AU666">
        <v>1</v>
      </c>
      <c r="AV666">
        <v>0</v>
      </c>
      <c r="AW666">
        <v>16</v>
      </c>
    </row>
    <row r="667" spans="1:49" x14ac:dyDescent="0.25">
      <c r="A667"/>
      <c r="AR667" t="s">
        <v>386</v>
      </c>
      <c r="AS667" t="s">
        <v>406</v>
      </c>
      <c r="AT667">
        <v>0.875</v>
      </c>
      <c r="AU667">
        <v>0.125</v>
      </c>
      <c r="AV667">
        <v>14</v>
      </c>
      <c r="AW667">
        <v>16</v>
      </c>
    </row>
    <row r="668" spans="1:49" x14ac:dyDescent="0.25">
      <c r="A668"/>
      <c r="AR668" t="s">
        <v>386</v>
      </c>
      <c r="AS668" t="s">
        <v>407</v>
      </c>
      <c r="AT668">
        <v>0.94117600000000001</v>
      </c>
      <c r="AU668">
        <v>5.8824000000000001E-2</v>
      </c>
      <c r="AV668">
        <v>16</v>
      </c>
      <c r="AW668">
        <v>17</v>
      </c>
    </row>
    <row r="669" spans="1:49" x14ac:dyDescent="0.25">
      <c r="A669"/>
      <c r="AR669" t="s">
        <v>386</v>
      </c>
      <c r="AS669" t="s">
        <v>410</v>
      </c>
      <c r="AT669">
        <v>0</v>
      </c>
      <c r="AU669">
        <v>1</v>
      </c>
      <c r="AV669">
        <v>0</v>
      </c>
      <c r="AW669">
        <v>16</v>
      </c>
    </row>
    <row r="670" spans="1:49" x14ac:dyDescent="0.25">
      <c r="A670"/>
      <c r="AR670" t="s">
        <v>386</v>
      </c>
      <c r="AS670" t="s">
        <v>413</v>
      </c>
      <c r="AT670">
        <v>0.9375</v>
      </c>
      <c r="AU670">
        <v>6.25E-2</v>
      </c>
      <c r="AV670">
        <v>15</v>
      </c>
      <c r="AW670">
        <v>16</v>
      </c>
    </row>
    <row r="671" spans="1:49" x14ac:dyDescent="0.25">
      <c r="A671"/>
      <c r="AR671" t="s">
        <v>386</v>
      </c>
      <c r="AS671" t="s">
        <v>416</v>
      </c>
      <c r="AT671">
        <v>0</v>
      </c>
      <c r="AU671">
        <v>1</v>
      </c>
      <c r="AV671">
        <v>0</v>
      </c>
      <c r="AW671">
        <v>16</v>
      </c>
    </row>
    <row r="672" spans="1:49" x14ac:dyDescent="0.25">
      <c r="A672"/>
      <c r="AR672" t="s">
        <v>386</v>
      </c>
      <c r="AS672" t="s">
        <v>420</v>
      </c>
      <c r="AT672">
        <v>0.75</v>
      </c>
      <c r="AU672">
        <v>0.25</v>
      </c>
      <c r="AV672">
        <v>12</v>
      </c>
      <c r="AW672">
        <v>16</v>
      </c>
    </row>
    <row r="673" spans="1:49" x14ac:dyDescent="0.25">
      <c r="A673"/>
      <c r="AR673" t="s">
        <v>386</v>
      </c>
      <c r="AS673" t="s">
        <v>422</v>
      </c>
      <c r="AT673">
        <v>0</v>
      </c>
      <c r="AU673">
        <v>1</v>
      </c>
      <c r="AV673">
        <v>0</v>
      </c>
      <c r="AW673">
        <v>16</v>
      </c>
    </row>
    <row r="674" spans="1:49" x14ac:dyDescent="0.25">
      <c r="A674"/>
      <c r="AR674" t="s">
        <v>386</v>
      </c>
      <c r="AS674" t="s">
        <v>425</v>
      </c>
      <c r="AT674">
        <v>0.625</v>
      </c>
      <c r="AU674">
        <v>0.375</v>
      </c>
      <c r="AV674">
        <v>10</v>
      </c>
      <c r="AW674">
        <v>16</v>
      </c>
    </row>
    <row r="675" spans="1:49" x14ac:dyDescent="0.25">
      <c r="A675"/>
      <c r="AR675" t="s">
        <v>386</v>
      </c>
      <c r="AS675" t="s">
        <v>427</v>
      </c>
      <c r="AT675">
        <v>0</v>
      </c>
      <c r="AU675">
        <v>1</v>
      </c>
      <c r="AV675">
        <v>0</v>
      </c>
      <c r="AW675">
        <v>16</v>
      </c>
    </row>
    <row r="676" spans="1:49" x14ac:dyDescent="0.25">
      <c r="A676"/>
      <c r="AR676" t="s">
        <v>386</v>
      </c>
      <c r="AS676" t="s">
        <v>431</v>
      </c>
      <c r="AT676">
        <v>0.6875</v>
      </c>
      <c r="AU676">
        <v>0.3125</v>
      </c>
      <c r="AV676">
        <v>11</v>
      </c>
      <c r="AW676">
        <v>16</v>
      </c>
    </row>
    <row r="677" spans="1:49" x14ac:dyDescent="0.25">
      <c r="A677"/>
      <c r="AR677" t="s">
        <v>389</v>
      </c>
      <c r="AS677" t="s">
        <v>393</v>
      </c>
      <c r="AT677">
        <v>0</v>
      </c>
      <c r="AU677">
        <v>1</v>
      </c>
      <c r="AV677">
        <v>0</v>
      </c>
      <c r="AW677">
        <v>8</v>
      </c>
    </row>
    <row r="678" spans="1:49" x14ac:dyDescent="0.25">
      <c r="A678"/>
      <c r="AR678" t="s">
        <v>389</v>
      </c>
      <c r="AS678" t="s">
        <v>396</v>
      </c>
      <c r="AV678">
        <v>0</v>
      </c>
      <c r="AW678">
        <v>0</v>
      </c>
    </row>
    <row r="679" spans="1:49" x14ac:dyDescent="0.25">
      <c r="A679"/>
      <c r="AR679" t="s">
        <v>389</v>
      </c>
      <c r="AS679" t="s">
        <v>399</v>
      </c>
      <c r="AV679">
        <v>0</v>
      </c>
      <c r="AW679">
        <v>0</v>
      </c>
    </row>
    <row r="680" spans="1:49" x14ac:dyDescent="0.25">
      <c r="A680"/>
      <c r="AR680" t="s">
        <v>389</v>
      </c>
      <c r="AS680" t="s">
        <v>402</v>
      </c>
      <c r="AV680">
        <v>0</v>
      </c>
      <c r="AW680">
        <v>0</v>
      </c>
    </row>
    <row r="681" spans="1:49" x14ac:dyDescent="0.25">
      <c r="A681"/>
      <c r="AR681" t="s">
        <v>389</v>
      </c>
      <c r="AS681" t="s">
        <v>406</v>
      </c>
      <c r="AT681">
        <v>0</v>
      </c>
      <c r="AU681">
        <v>1</v>
      </c>
      <c r="AV681">
        <v>0</v>
      </c>
      <c r="AW681">
        <v>14</v>
      </c>
    </row>
    <row r="682" spans="1:49" x14ac:dyDescent="0.25">
      <c r="A682"/>
      <c r="AR682" t="s">
        <v>389</v>
      </c>
      <c r="AS682" t="s">
        <v>407</v>
      </c>
      <c r="AT682">
        <v>0</v>
      </c>
      <c r="AU682">
        <v>1</v>
      </c>
      <c r="AV682">
        <v>0</v>
      </c>
      <c r="AW682">
        <v>17</v>
      </c>
    </row>
    <row r="683" spans="1:49" x14ac:dyDescent="0.25">
      <c r="A683"/>
      <c r="AR683" t="s">
        <v>389</v>
      </c>
      <c r="AS683" t="s">
        <v>410</v>
      </c>
      <c r="AV683">
        <v>0</v>
      </c>
      <c r="AW683">
        <v>0</v>
      </c>
    </row>
    <row r="684" spans="1:49" x14ac:dyDescent="0.25">
      <c r="A684"/>
      <c r="AR684" t="s">
        <v>389</v>
      </c>
      <c r="AS684" t="s">
        <v>413</v>
      </c>
      <c r="AT684">
        <v>0</v>
      </c>
      <c r="AU684">
        <v>1</v>
      </c>
      <c r="AV684">
        <v>0</v>
      </c>
      <c r="AW684">
        <v>15</v>
      </c>
    </row>
    <row r="685" spans="1:49" x14ac:dyDescent="0.25">
      <c r="A685"/>
      <c r="AR685" t="s">
        <v>389</v>
      </c>
      <c r="AS685" t="s">
        <v>416</v>
      </c>
      <c r="AV685">
        <v>0</v>
      </c>
      <c r="AW685">
        <v>0</v>
      </c>
    </row>
    <row r="686" spans="1:49" x14ac:dyDescent="0.25">
      <c r="A686"/>
      <c r="AR686" t="s">
        <v>389</v>
      </c>
      <c r="AS686" t="s">
        <v>420</v>
      </c>
      <c r="AT686">
        <v>0</v>
      </c>
      <c r="AU686">
        <v>1</v>
      </c>
      <c r="AV686">
        <v>0</v>
      </c>
      <c r="AW686">
        <v>12</v>
      </c>
    </row>
    <row r="687" spans="1:49" x14ac:dyDescent="0.25">
      <c r="A687"/>
      <c r="AR687" t="s">
        <v>389</v>
      </c>
      <c r="AS687" t="s">
        <v>422</v>
      </c>
      <c r="AV687">
        <v>0</v>
      </c>
      <c r="AW687">
        <v>0</v>
      </c>
    </row>
    <row r="688" spans="1:49" x14ac:dyDescent="0.25">
      <c r="A688"/>
      <c r="AR688" t="s">
        <v>389</v>
      </c>
      <c r="AS688" t="s">
        <v>425</v>
      </c>
      <c r="AT688">
        <v>0</v>
      </c>
      <c r="AU688">
        <v>1</v>
      </c>
      <c r="AV688">
        <v>0</v>
      </c>
      <c r="AW688">
        <v>10</v>
      </c>
    </row>
    <row r="689" spans="1:49" x14ac:dyDescent="0.25">
      <c r="A689"/>
      <c r="AR689" t="s">
        <v>389</v>
      </c>
      <c r="AS689" t="s">
        <v>427</v>
      </c>
      <c r="AV689">
        <v>0</v>
      </c>
      <c r="AW689">
        <v>0</v>
      </c>
    </row>
    <row r="690" spans="1:49" x14ac:dyDescent="0.25">
      <c r="A690"/>
      <c r="AR690" t="s">
        <v>389</v>
      </c>
      <c r="AS690" t="s">
        <v>431</v>
      </c>
      <c r="AT690">
        <v>0</v>
      </c>
      <c r="AU690">
        <v>1</v>
      </c>
      <c r="AV690">
        <v>0</v>
      </c>
      <c r="AW690">
        <v>11</v>
      </c>
    </row>
    <row r="691" spans="1:49" x14ac:dyDescent="0.25">
      <c r="A691"/>
      <c r="AR691" t="s">
        <v>393</v>
      </c>
      <c r="AS691" t="s">
        <v>396</v>
      </c>
      <c r="AT691">
        <v>0</v>
      </c>
      <c r="AU691">
        <v>1</v>
      </c>
      <c r="AV691">
        <v>0</v>
      </c>
      <c r="AW691">
        <v>8</v>
      </c>
    </row>
    <row r="692" spans="1:49" x14ac:dyDescent="0.25">
      <c r="A692"/>
      <c r="AR692" t="s">
        <v>393</v>
      </c>
      <c r="AS692" t="s">
        <v>399</v>
      </c>
      <c r="AT692">
        <v>0</v>
      </c>
      <c r="AU692">
        <v>1</v>
      </c>
      <c r="AV692">
        <v>0</v>
      </c>
      <c r="AW692">
        <v>8</v>
      </c>
    </row>
    <row r="693" spans="1:49" x14ac:dyDescent="0.25">
      <c r="A693"/>
      <c r="AR693" t="s">
        <v>393</v>
      </c>
      <c r="AS693" t="s">
        <v>402</v>
      </c>
      <c r="AT693">
        <v>0</v>
      </c>
      <c r="AU693">
        <v>1</v>
      </c>
      <c r="AV693">
        <v>0</v>
      </c>
      <c r="AW693">
        <v>8</v>
      </c>
    </row>
    <row r="694" spans="1:49" x14ac:dyDescent="0.25">
      <c r="A694"/>
      <c r="AR694" t="s">
        <v>393</v>
      </c>
      <c r="AS694" t="s">
        <v>406</v>
      </c>
      <c r="AT694">
        <v>0.57142899999999996</v>
      </c>
      <c r="AU694">
        <v>0.42857099999999998</v>
      </c>
      <c r="AV694">
        <v>8</v>
      </c>
      <c r="AW694">
        <v>14</v>
      </c>
    </row>
    <row r="695" spans="1:49" x14ac:dyDescent="0.25">
      <c r="A695"/>
      <c r="AR695" t="s">
        <v>393</v>
      </c>
      <c r="AS695" t="s">
        <v>407</v>
      </c>
      <c r="AT695">
        <v>0.47058800000000001</v>
      </c>
      <c r="AU695">
        <v>0.52941199999999999</v>
      </c>
      <c r="AV695">
        <v>8</v>
      </c>
      <c r="AW695">
        <v>17</v>
      </c>
    </row>
    <row r="696" spans="1:49" x14ac:dyDescent="0.25">
      <c r="A696"/>
      <c r="AR696" t="s">
        <v>393</v>
      </c>
      <c r="AS696" t="s">
        <v>410</v>
      </c>
      <c r="AT696">
        <v>0</v>
      </c>
      <c r="AU696">
        <v>1</v>
      </c>
      <c r="AV696">
        <v>0</v>
      </c>
      <c r="AW696">
        <v>8</v>
      </c>
    </row>
    <row r="697" spans="1:49" x14ac:dyDescent="0.25">
      <c r="A697"/>
      <c r="AR697" t="s">
        <v>393</v>
      </c>
      <c r="AS697" t="s">
        <v>413</v>
      </c>
      <c r="AT697">
        <v>0.4375</v>
      </c>
      <c r="AU697">
        <v>0.5625</v>
      </c>
      <c r="AV697">
        <v>7</v>
      </c>
      <c r="AW697">
        <v>16</v>
      </c>
    </row>
    <row r="698" spans="1:49" x14ac:dyDescent="0.25">
      <c r="A698"/>
      <c r="AR698" t="s">
        <v>393</v>
      </c>
      <c r="AS698" t="s">
        <v>416</v>
      </c>
      <c r="AT698">
        <v>0</v>
      </c>
      <c r="AU698">
        <v>1</v>
      </c>
      <c r="AV698">
        <v>0</v>
      </c>
      <c r="AW698">
        <v>8</v>
      </c>
    </row>
    <row r="699" spans="1:49" x14ac:dyDescent="0.25">
      <c r="A699"/>
      <c r="AR699" t="s">
        <v>393</v>
      </c>
      <c r="AS699" t="s">
        <v>420</v>
      </c>
      <c r="AT699">
        <v>0.33333299999999999</v>
      </c>
      <c r="AU699">
        <v>0.66666700000000001</v>
      </c>
      <c r="AV699">
        <v>5</v>
      </c>
      <c r="AW699">
        <v>15</v>
      </c>
    </row>
    <row r="700" spans="1:49" x14ac:dyDescent="0.25">
      <c r="A700"/>
      <c r="AR700" t="s">
        <v>393</v>
      </c>
      <c r="AS700" t="s">
        <v>422</v>
      </c>
      <c r="AT700">
        <v>0</v>
      </c>
      <c r="AU700">
        <v>1</v>
      </c>
      <c r="AV700">
        <v>0</v>
      </c>
      <c r="AW700">
        <v>8</v>
      </c>
    </row>
    <row r="701" spans="1:49" x14ac:dyDescent="0.25">
      <c r="A701"/>
      <c r="AR701" t="s">
        <v>393</v>
      </c>
      <c r="AS701" t="s">
        <v>425</v>
      </c>
      <c r="AT701">
        <v>0.28571400000000002</v>
      </c>
      <c r="AU701">
        <v>0.71428599999999998</v>
      </c>
      <c r="AV701">
        <v>4</v>
      </c>
      <c r="AW701">
        <v>14</v>
      </c>
    </row>
    <row r="702" spans="1:49" x14ac:dyDescent="0.25">
      <c r="A702"/>
      <c r="AR702" t="s">
        <v>393</v>
      </c>
      <c r="AS702" t="s">
        <v>427</v>
      </c>
      <c r="AT702">
        <v>0</v>
      </c>
      <c r="AU702">
        <v>1</v>
      </c>
      <c r="AV702">
        <v>0</v>
      </c>
      <c r="AW702">
        <v>8</v>
      </c>
    </row>
    <row r="703" spans="1:49" x14ac:dyDescent="0.25">
      <c r="A703"/>
      <c r="AR703" t="s">
        <v>393</v>
      </c>
      <c r="AS703" t="s">
        <v>431</v>
      </c>
      <c r="AT703">
        <v>0.461538</v>
      </c>
      <c r="AU703">
        <v>0.538462</v>
      </c>
      <c r="AV703">
        <v>6</v>
      </c>
      <c r="AW703">
        <v>13</v>
      </c>
    </row>
    <row r="704" spans="1:49" x14ac:dyDescent="0.25">
      <c r="A704"/>
      <c r="AR704" t="s">
        <v>396</v>
      </c>
      <c r="AS704" t="s">
        <v>399</v>
      </c>
      <c r="AV704">
        <v>0</v>
      </c>
      <c r="AW704">
        <v>0</v>
      </c>
    </row>
    <row r="705" spans="1:49" x14ac:dyDescent="0.25">
      <c r="A705"/>
      <c r="AR705" t="s">
        <v>396</v>
      </c>
      <c r="AS705" t="s">
        <v>402</v>
      </c>
      <c r="AV705">
        <v>0</v>
      </c>
      <c r="AW705">
        <v>0</v>
      </c>
    </row>
    <row r="706" spans="1:49" x14ac:dyDescent="0.25">
      <c r="A706"/>
      <c r="AR706" t="s">
        <v>396</v>
      </c>
      <c r="AS706" t="s">
        <v>406</v>
      </c>
      <c r="AT706">
        <v>0</v>
      </c>
      <c r="AU706">
        <v>1</v>
      </c>
      <c r="AV706">
        <v>0</v>
      </c>
      <c r="AW706">
        <v>14</v>
      </c>
    </row>
    <row r="707" spans="1:49" x14ac:dyDescent="0.25">
      <c r="A707"/>
      <c r="AR707" t="s">
        <v>396</v>
      </c>
      <c r="AS707" t="s">
        <v>407</v>
      </c>
      <c r="AT707">
        <v>0</v>
      </c>
      <c r="AU707">
        <v>1</v>
      </c>
      <c r="AV707">
        <v>0</v>
      </c>
      <c r="AW707">
        <v>17</v>
      </c>
    </row>
    <row r="708" spans="1:49" x14ac:dyDescent="0.25">
      <c r="A708"/>
      <c r="AR708" t="s">
        <v>396</v>
      </c>
      <c r="AS708" t="s">
        <v>410</v>
      </c>
      <c r="AV708">
        <v>0</v>
      </c>
      <c r="AW708">
        <v>0</v>
      </c>
    </row>
    <row r="709" spans="1:49" x14ac:dyDescent="0.25">
      <c r="A709"/>
      <c r="AR709" t="s">
        <v>396</v>
      </c>
      <c r="AS709" t="s">
        <v>413</v>
      </c>
      <c r="AT709">
        <v>0</v>
      </c>
      <c r="AU709">
        <v>1</v>
      </c>
      <c r="AV709">
        <v>0</v>
      </c>
      <c r="AW709">
        <v>15</v>
      </c>
    </row>
    <row r="710" spans="1:49" x14ac:dyDescent="0.25">
      <c r="A710"/>
      <c r="AR710" t="s">
        <v>396</v>
      </c>
      <c r="AS710" t="s">
        <v>416</v>
      </c>
      <c r="AV710">
        <v>0</v>
      </c>
      <c r="AW710">
        <v>0</v>
      </c>
    </row>
    <row r="711" spans="1:49" x14ac:dyDescent="0.25">
      <c r="A711"/>
      <c r="AR711" t="s">
        <v>396</v>
      </c>
      <c r="AS711" t="s">
        <v>420</v>
      </c>
      <c r="AT711">
        <v>0</v>
      </c>
      <c r="AU711">
        <v>1</v>
      </c>
      <c r="AV711">
        <v>0</v>
      </c>
      <c r="AW711">
        <v>12</v>
      </c>
    </row>
    <row r="712" spans="1:49" x14ac:dyDescent="0.25">
      <c r="A712"/>
      <c r="AR712" t="s">
        <v>396</v>
      </c>
      <c r="AS712" t="s">
        <v>422</v>
      </c>
      <c r="AV712">
        <v>0</v>
      </c>
      <c r="AW712">
        <v>0</v>
      </c>
    </row>
    <row r="713" spans="1:49" x14ac:dyDescent="0.25">
      <c r="A713"/>
      <c r="AR713" t="s">
        <v>396</v>
      </c>
      <c r="AS713" t="s">
        <v>425</v>
      </c>
      <c r="AT713">
        <v>0</v>
      </c>
      <c r="AU713">
        <v>1</v>
      </c>
      <c r="AV713">
        <v>0</v>
      </c>
      <c r="AW713">
        <v>10</v>
      </c>
    </row>
    <row r="714" spans="1:49" x14ac:dyDescent="0.25">
      <c r="A714"/>
      <c r="AR714" t="s">
        <v>396</v>
      </c>
      <c r="AS714" t="s">
        <v>427</v>
      </c>
      <c r="AV714">
        <v>0</v>
      </c>
      <c r="AW714">
        <v>0</v>
      </c>
    </row>
    <row r="715" spans="1:49" x14ac:dyDescent="0.25">
      <c r="A715"/>
      <c r="AR715" t="s">
        <v>396</v>
      </c>
      <c r="AS715" t="s">
        <v>431</v>
      </c>
      <c r="AT715">
        <v>0</v>
      </c>
      <c r="AU715">
        <v>1</v>
      </c>
      <c r="AV715">
        <v>0</v>
      </c>
      <c r="AW715">
        <v>11</v>
      </c>
    </row>
    <row r="716" spans="1:49" x14ac:dyDescent="0.25">
      <c r="A716"/>
      <c r="AR716" t="s">
        <v>399</v>
      </c>
      <c r="AS716" t="s">
        <v>402</v>
      </c>
      <c r="AV716">
        <v>0</v>
      </c>
      <c r="AW716">
        <v>0</v>
      </c>
    </row>
    <row r="717" spans="1:49" x14ac:dyDescent="0.25">
      <c r="A717"/>
      <c r="AR717" t="s">
        <v>399</v>
      </c>
      <c r="AS717" t="s">
        <v>406</v>
      </c>
      <c r="AT717">
        <v>0</v>
      </c>
      <c r="AU717">
        <v>1</v>
      </c>
      <c r="AV717">
        <v>0</v>
      </c>
      <c r="AW717">
        <v>14</v>
      </c>
    </row>
    <row r="718" spans="1:49" x14ac:dyDescent="0.25">
      <c r="A718"/>
      <c r="AR718" t="s">
        <v>399</v>
      </c>
      <c r="AS718" t="s">
        <v>407</v>
      </c>
      <c r="AT718">
        <v>0</v>
      </c>
      <c r="AU718">
        <v>1</v>
      </c>
      <c r="AV718">
        <v>0</v>
      </c>
      <c r="AW718">
        <v>17</v>
      </c>
    </row>
    <row r="719" spans="1:49" x14ac:dyDescent="0.25">
      <c r="A719"/>
      <c r="AR719" t="s">
        <v>399</v>
      </c>
      <c r="AS719" t="s">
        <v>410</v>
      </c>
      <c r="AV719">
        <v>0</v>
      </c>
      <c r="AW719">
        <v>0</v>
      </c>
    </row>
    <row r="720" spans="1:49" x14ac:dyDescent="0.25">
      <c r="A720"/>
      <c r="AR720" t="s">
        <v>399</v>
      </c>
      <c r="AS720" t="s">
        <v>413</v>
      </c>
      <c r="AT720">
        <v>0</v>
      </c>
      <c r="AU720">
        <v>1</v>
      </c>
      <c r="AV720">
        <v>0</v>
      </c>
      <c r="AW720">
        <v>15</v>
      </c>
    </row>
    <row r="721" spans="1:49" x14ac:dyDescent="0.25">
      <c r="A721"/>
      <c r="AR721" t="s">
        <v>399</v>
      </c>
      <c r="AS721" t="s">
        <v>416</v>
      </c>
      <c r="AV721">
        <v>0</v>
      </c>
      <c r="AW721">
        <v>0</v>
      </c>
    </row>
    <row r="722" spans="1:49" x14ac:dyDescent="0.25">
      <c r="A722"/>
      <c r="AR722" t="s">
        <v>399</v>
      </c>
      <c r="AS722" t="s">
        <v>420</v>
      </c>
      <c r="AT722">
        <v>0</v>
      </c>
      <c r="AU722">
        <v>1</v>
      </c>
      <c r="AV722">
        <v>0</v>
      </c>
      <c r="AW722">
        <v>12</v>
      </c>
    </row>
    <row r="723" spans="1:49" x14ac:dyDescent="0.25">
      <c r="A723"/>
      <c r="AR723" t="s">
        <v>399</v>
      </c>
      <c r="AS723" t="s">
        <v>422</v>
      </c>
      <c r="AV723">
        <v>0</v>
      </c>
      <c r="AW723">
        <v>0</v>
      </c>
    </row>
    <row r="724" spans="1:49" x14ac:dyDescent="0.25">
      <c r="A724"/>
      <c r="AR724" t="s">
        <v>399</v>
      </c>
      <c r="AS724" t="s">
        <v>425</v>
      </c>
      <c r="AT724">
        <v>0</v>
      </c>
      <c r="AU724">
        <v>1</v>
      </c>
      <c r="AV724">
        <v>0</v>
      </c>
      <c r="AW724">
        <v>10</v>
      </c>
    </row>
    <row r="725" spans="1:49" x14ac:dyDescent="0.25">
      <c r="A725"/>
      <c r="AR725" t="s">
        <v>399</v>
      </c>
      <c r="AS725" t="s">
        <v>427</v>
      </c>
      <c r="AV725">
        <v>0</v>
      </c>
      <c r="AW725">
        <v>0</v>
      </c>
    </row>
    <row r="726" spans="1:49" x14ac:dyDescent="0.25">
      <c r="A726"/>
      <c r="AR726" t="s">
        <v>399</v>
      </c>
      <c r="AS726" t="s">
        <v>431</v>
      </c>
      <c r="AT726">
        <v>0</v>
      </c>
      <c r="AU726">
        <v>1</v>
      </c>
      <c r="AV726">
        <v>0</v>
      </c>
      <c r="AW726">
        <v>11</v>
      </c>
    </row>
    <row r="727" spans="1:49" x14ac:dyDescent="0.25">
      <c r="A727"/>
      <c r="AR727" t="s">
        <v>402</v>
      </c>
      <c r="AS727" t="s">
        <v>406</v>
      </c>
      <c r="AT727">
        <v>0</v>
      </c>
      <c r="AU727">
        <v>1</v>
      </c>
      <c r="AV727">
        <v>0</v>
      </c>
      <c r="AW727">
        <v>14</v>
      </c>
    </row>
    <row r="728" spans="1:49" x14ac:dyDescent="0.25">
      <c r="A728"/>
      <c r="AR728" t="s">
        <v>402</v>
      </c>
      <c r="AS728" t="s">
        <v>407</v>
      </c>
      <c r="AT728">
        <v>0</v>
      </c>
      <c r="AU728">
        <v>1</v>
      </c>
      <c r="AV728">
        <v>0</v>
      </c>
      <c r="AW728">
        <v>17</v>
      </c>
    </row>
    <row r="729" spans="1:49" x14ac:dyDescent="0.25">
      <c r="A729"/>
      <c r="AR729" t="s">
        <v>402</v>
      </c>
      <c r="AS729" t="s">
        <v>410</v>
      </c>
      <c r="AV729">
        <v>0</v>
      </c>
      <c r="AW729">
        <v>0</v>
      </c>
    </row>
    <row r="730" spans="1:49" x14ac:dyDescent="0.25">
      <c r="A730"/>
      <c r="AR730" t="s">
        <v>402</v>
      </c>
      <c r="AS730" t="s">
        <v>413</v>
      </c>
      <c r="AT730">
        <v>0</v>
      </c>
      <c r="AU730">
        <v>1</v>
      </c>
      <c r="AV730">
        <v>0</v>
      </c>
      <c r="AW730">
        <v>15</v>
      </c>
    </row>
    <row r="731" spans="1:49" x14ac:dyDescent="0.25">
      <c r="A731"/>
      <c r="AR731" t="s">
        <v>402</v>
      </c>
      <c r="AS731" t="s">
        <v>416</v>
      </c>
      <c r="AV731">
        <v>0</v>
      </c>
      <c r="AW731">
        <v>0</v>
      </c>
    </row>
    <row r="732" spans="1:49" x14ac:dyDescent="0.25">
      <c r="A732"/>
      <c r="AR732" t="s">
        <v>402</v>
      </c>
      <c r="AS732" t="s">
        <v>420</v>
      </c>
      <c r="AT732">
        <v>0</v>
      </c>
      <c r="AU732">
        <v>1</v>
      </c>
      <c r="AV732">
        <v>0</v>
      </c>
      <c r="AW732">
        <v>12</v>
      </c>
    </row>
    <row r="733" spans="1:49" x14ac:dyDescent="0.25">
      <c r="A733"/>
      <c r="AR733" t="s">
        <v>402</v>
      </c>
      <c r="AS733" t="s">
        <v>422</v>
      </c>
      <c r="AV733">
        <v>0</v>
      </c>
      <c r="AW733">
        <v>0</v>
      </c>
    </row>
    <row r="734" spans="1:49" x14ac:dyDescent="0.25">
      <c r="A734"/>
      <c r="AR734" t="s">
        <v>402</v>
      </c>
      <c r="AS734" t="s">
        <v>425</v>
      </c>
      <c r="AT734">
        <v>0</v>
      </c>
      <c r="AU734">
        <v>1</v>
      </c>
      <c r="AV734">
        <v>0</v>
      </c>
      <c r="AW734">
        <v>10</v>
      </c>
    </row>
    <row r="735" spans="1:49" x14ac:dyDescent="0.25">
      <c r="A735"/>
      <c r="AR735" t="s">
        <v>402</v>
      </c>
      <c r="AS735" t="s">
        <v>427</v>
      </c>
      <c r="AV735">
        <v>0</v>
      </c>
      <c r="AW735">
        <v>0</v>
      </c>
    </row>
    <row r="736" spans="1:49" x14ac:dyDescent="0.25">
      <c r="A736"/>
      <c r="AR736" t="s">
        <v>402</v>
      </c>
      <c r="AS736" t="s">
        <v>431</v>
      </c>
      <c r="AT736">
        <v>0</v>
      </c>
      <c r="AU736">
        <v>1</v>
      </c>
      <c r="AV736">
        <v>0</v>
      </c>
      <c r="AW736">
        <v>11</v>
      </c>
    </row>
    <row r="737" spans="1:49" x14ac:dyDescent="0.25">
      <c r="A737"/>
      <c r="AR737" t="s">
        <v>406</v>
      </c>
      <c r="AS737" t="s">
        <v>407</v>
      </c>
      <c r="AT737">
        <v>0.82352899999999996</v>
      </c>
      <c r="AU737">
        <v>0.17647099999999999</v>
      </c>
      <c r="AV737">
        <v>14</v>
      </c>
      <c r="AW737">
        <v>17</v>
      </c>
    </row>
    <row r="738" spans="1:49" x14ac:dyDescent="0.25">
      <c r="A738"/>
      <c r="AR738" t="s">
        <v>406</v>
      </c>
      <c r="AS738" t="s">
        <v>410</v>
      </c>
      <c r="AT738">
        <v>0</v>
      </c>
      <c r="AU738">
        <v>1</v>
      </c>
      <c r="AV738">
        <v>0</v>
      </c>
      <c r="AW738">
        <v>14</v>
      </c>
    </row>
    <row r="739" spans="1:49" x14ac:dyDescent="0.25">
      <c r="A739"/>
      <c r="AR739" t="s">
        <v>406</v>
      </c>
      <c r="AS739" t="s">
        <v>413</v>
      </c>
      <c r="AT739">
        <v>0.8125</v>
      </c>
      <c r="AU739">
        <v>0.1875</v>
      </c>
      <c r="AV739">
        <v>13</v>
      </c>
      <c r="AW739">
        <v>16</v>
      </c>
    </row>
    <row r="740" spans="1:49" x14ac:dyDescent="0.25">
      <c r="A740"/>
      <c r="AR740" t="s">
        <v>406</v>
      </c>
      <c r="AS740" t="s">
        <v>416</v>
      </c>
      <c r="AT740">
        <v>0</v>
      </c>
      <c r="AU740">
        <v>1</v>
      </c>
      <c r="AV740">
        <v>0</v>
      </c>
      <c r="AW740">
        <v>14</v>
      </c>
    </row>
    <row r="741" spans="1:49" x14ac:dyDescent="0.25">
      <c r="A741"/>
      <c r="AR741" t="s">
        <v>406</v>
      </c>
      <c r="AS741" t="s">
        <v>420</v>
      </c>
      <c r="AT741">
        <v>0.625</v>
      </c>
      <c r="AU741">
        <v>0.375</v>
      </c>
      <c r="AV741">
        <v>10</v>
      </c>
      <c r="AW741">
        <v>16</v>
      </c>
    </row>
    <row r="742" spans="1:49" x14ac:dyDescent="0.25">
      <c r="A742"/>
      <c r="AR742" t="s">
        <v>406</v>
      </c>
      <c r="AS742" t="s">
        <v>422</v>
      </c>
      <c r="AT742">
        <v>0</v>
      </c>
      <c r="AU742">
        <v>1</v>
      </c>
      <c r="AV742">
        <v>0</v>
      </c>
      <c r="AW742">
        <v>14</v>
      </c>
    </row>
    <row r="743" spans="1:49" x14ac:dyDescent="0.25">
      <c r="A743"/>
      <c r="AR743" t="s">
        <v>406</v>
      </c>
      <c r="AS743" t="s">
        <v>425</v>
      </c>
      <c r="AT743">
        <v>0.6</v>
      </c>
      <c r="AU743">
        <v>0.4</v>
      </c>
      <c r="AV743">
        <v>9</v>
      </c>
      <c r="AW743">
        <v>15</v>
      </c>
    </row>
    <row r="744" spans="1:49" x14ac:dyDescent="0.25">
      <c r="A744"/>
      <c r="AR744" t="s">
        <v>406</v>
      </c>
      <c r="AS744" t="s">
        <v>427</v>
      </c>
      <c r="AT744">
        <v>0</v>
      </c>
      <c r="AU744">
        <v>1</v>
      </c>
      <c r="AV744">
        <v>0</v>
      </c>
      <c r="AW744">
        <v>14</v>
      </c>
    </row>
    <row r="745" spans="1:49" x14ac:dyDescent="0.25">
      <c r="A745"/>
      <c r="AR745" t="s">
        <v>406</v>
      </c>
      <c r="AS745" t="s">
        <v>431</v>
      </c>
      <c r="AT745">
        <v>0.66666700000000001</v>
      </c>
      <c r="AU745">
        <v>0.33333299999999999</v>
      </c>
      <c r="AV745">
        <v>10</v>
      </c>
      <c r="AW745">
        <v>15</v>
      </c>
    </row>
    <row r="746" spans="1:49" x14ac:dyDescent="0.25">
      <c r="A746"/>
      <c r="AR746" t="s">
        <v>407</v>
      </c>
      <c r="AS746" t="s">
        <v>410</v>
      </c>
      <c r="AT746">
        <v>0</v>
      </c>
      <c r="AU746">
        <v>1</v>
      </c>
      <c r="AV746">
        <v>0</v>
      </c>
      <c r="AW746">
        <v>17</v>
      </c>
    </row>
    <row r="747" spans="1:49" x14ac:dyDescent="0.25">
      <c r="A747"/>
      <c r="AR747" t="s">
        <v>407</v>
      </c>
      <c r="AS747" t="s">
        <v>413</v>
      </c>
      <c r="AT747">
        <v>0.88235300000000005</v>
      </c>
      <c r="AU747">
        <v>0.117647</v>
      </c>
      <c r="AV747">
        <v>15</v>
      </c>
      <c r="AW747">
        <v>17</v>
      </c>
    </row>
    <row r="748" spans="1:49" x14ac:dyDescent="0.25">
      <c r="A748"/>
      <c r="AR748" t="s">
        <v>407</v>
      </c>
      <c r="AS748" t="s">
        <v>416</v>
      </c>
      <c r="AT748">
        <v>0</v>
      </c>
      <c r="AU748">
        <v>1</v>
      </c>
      <c r="AV748">
        <v>0</v>
      </c>
      <c r="AW748">
        <v>17</v>
      </c>
    </row>
    <row r="749" spans="1:49" x14ac:dyDescent="0.25">
      <c r="A749"/>
      <c r="AR749" t="s">
        <v>407</v>
      </c>
      <c r="AS749" t="s">
        <v>420</v>
      </c>
      <c r="AT749">
        <v>0.70588200000000001</v>
      </c>
      <c r="AU749">
        <v>0.29411799999999999</v>
      </c>
      <c r="AV749">
        <v>12</v>
      </c>
      <c r="AW749">
        <v>17</v>
      </c>
    </row>
    <row r="750" spans="1:49" x14ac:dyDescent="0.25">
      <c r="A750"/>
      <c r="AR750" t="s">
        <v>407</v>
      </c>
      <c r="AS750" t="s">
        <v>422</v>
      </c>
      <c r="AT750">
        <v>0</v>
      </c>
      <c r="AU750">
        <v>1</v>
      </c>
      <c r="AV750">
        <v>0</v>
      </c>
      <c r="AW750">
        <v>17</v>
      </c>
    </row>
    <row r="751" spans="1:49" x14ac:dyDescent="0.25">
      <c r="A751"/>
      <c r="AR751" t="s">
        <v>407</v>
      </c>
      <c r="AS751" t="s">
        <v>425</v>
      </c>
      <c r="AT751">
        <v>0.58823499999999995</v>
      </c>
      <c r="AU751">
        <v>0.41176499999999999</v>
      </c>
      <c r="AV751">
        <v>10</v>
      </c>
      <c r="AW751">
        <v>17</v>
      </c>
    </row>
    <row r="752" spans="1:49" x14ac:dyDescent="0.25">
      <c r="A752"/>
      <c r="AR752" t="s">
        <v>407</v>
      </c>
      <c r="AS752" t="s">
        <v>427</v>
      </c>
      <c r="AT752">
        <v>0</v>
      </c>
      <c r="AU752">
        <v>1</v>
      </c>
      <c r="AV752">
        <v>0</v>
      </c>
      <c r="AW752">
        <v>17</v>
      </c>
    </row>
    <row r="753" spans="1:49" x14ac:dyDescent="0.25">
      <c r="A753"/>
      <c r="AR753" t="s">
        <v>407</v>
      </c>
      <c r="AS753" t="s">
        <v>431</v>
      </c>
      <c r="AT753">
        <v>0.64705900000000005</v>
      </c>
      <c r="AU753">
        <v>0.352941</v>
      </c>
      <c r="AV753">
        <v>11</v>
      </c>
      <c r="AW753">
        <v>17</v>
      </c>
    </row>
    <row r="754" spans="1:49" x14ac:dyDescent="0.25">
      <c r="A754"/>
      <c r="AR754" t="s">
        <v>410</v>
      </c>
      <c r="AS754" t="s">
        <v>413</v>
      </c>
      <c r="AT754">
        <v>0</v>
      </c>
      <c r="AU754">
        <v>1</v>
      </c>
      <c r="AV754">
        <v>0</v>
      </c>
      <c r="AW754">
        <v>15</v>
      </c>
    </row>
    <row r="755" spans="1:49" x14ac:dyDescent="0.25">
      <c r="A755"/>
      <c r="AR755" t="s">
        <v>410</v>
      </c>
      <c r="AS755" t="s">
        <v>416</v>
      </c>
      <c r="AV755">
        <v>0</v>
      </c>
      <c r="AW755">
        <v>0</v>
      </c>
    </row>
    <row r="756" spans="1:49" x14ac:dyDescent="0.25">
      <c r="A756"/>
      <c r="AR756" t="s">
        <v>410</v>
      </c>
      <c r="AS756" t="s">
        <v>420</v>
      </c>
      <c r="AT756">
        <v>0</v>
      </c>
      <c r="AU756">
        <v>1</v>
      </c>
      <c r="AV756">
        <v>0</v>
      </c>
      <c r="AW756">
        <v>12</v>
      </c>
    </row>
    <row r="757" spans="1:49" x14ac:dyDescent="0.25">
      <c r="A757"/>
      <c r="AR757" t="s">
        <v>410</v>
      </c>
      <c r="AS757" t="s">
        <v>422</v>
      </c>
      <c r="AV757">
        <v>0</v>
      </c>
      <c r="AW757">
        <v>0</v>
      </c>
    </row>
    <row r="758" spans="1:49" x14ac:dyDescent="0.25">
      <c r="A758"/>
      <c r="AR758" t="s">
        <v>410</v>
      </c>
      <c r="AS758" t="s">
        <v>425</v>
      </c>
      <c r="AT758">
        <v>0</v>
      </c>
      <c r="AU758">
        <v>1</v>
      </c>
      <c r="AV758">
        <v>0</v>
      </c>
      <c r="AW758">
        <v>10</v>
      </c>
    </row>
    <row r="759" spans="1:49" x14ac:dyDescent="0.25">
      <c r="A759"/>
      <c r="AR759" t="s">
        <v>410</v>
      </c>
      <c r="AS759" t="s">
        <v>427</v>
      </c>
      <c r="AV759">
        <v>0</v>
      </c>
      <c r="AW759">
        <v>0</v>
      </c>
    </row>
    <row r="760" spans="1:49" x14ac:dyDescent="0.25">
      <c r="A760"/>
      <c r="AR760" t="s">
        <v>410</v>
      </c>
      <c r="AS760" t="s">
        <v>431</v>
      </c>
      <c r="AT760">
        <v>0</v>
      </c>
      <c r="AU760">
        <v>1</v>
      </c>
      <c r="AV760">
        <v>0</v>
      </c>
      <c r="AW760">
        <v>11</v>
      </c>
    </row>
    <row r="761" spans="1:49" x14ac:dyDescent="0.25">
      <c r="A761"/>
      <c r="AR761" t="s">
        <v>413</v>
      </c>
      <c r="AS761" t="s">
        <v>416</v>
      </c>
      <c r="AT761">
        <v>0</v>
      </c>
      <c r="AU761">
        <v>1</v>
      </c>
      <c r="AV761">
        <v>0</v>
      </c>
      <c r="AW761">
        <v>15</v>
      </c>
    </row>
    <row r="762" spans="1:49" x14ac:dyDescent="0.25">
      <c r="A762"/>
      <c r="AR762" t="s">
        <v>413</v>
      </c>
      <c r="AS762" t="s">
        <v>420</v>
      </c>
      <c r="AT762">
        <v>0.8</v>
      </c>
      <c r="AU762">
        <v>0.2</v>
      </c>
      <c r="AV762">
        <v>12</v>
      </c>
      <c r="AW762">
        <v>15</v>
      </c>
    </row>
    <row r="763" spans="1:49" x14ac:dyDescent="0.25">
      <c r="A763"/>
      <c r="AR763" t="s">
        <v>413</v>
      </c>
      <c r="AS763" t="s">
        <v>422</v>
      </c>
      <c r="AT763">
        <v>0</v>
      </c>
      <c r="AU763">
        <v>1</v>
      </c>
      <c r="AV763">
        <v>0</v>
      </c>
      <c r="AW763">
        <v>15</v>
      </c>
    </row>
    <row r="764" spans="1:49" x14ac:dyDescent="0.25">
      <c r="A764"/>
      <c r="AR764" t="s">
        <v>413</v>
      </c>
      <c r="AS764" t="s">
        <v>425</v>
      </c>
      <c r="AT764">
        <v>0.5625</v>
      </c>
      <c r="AU764">
        <v>0.4375</v>
      </c>
      <c r="AV764">
        <v>9</v>
      </c>
      <c r="AW764">
        <v>16</v>
      </c>
    </row>
    <row r="765" spans="1:49" x14ac:dyDescent="0.25">
      <c r="A765"/>
      <c r="AR765" t="s">
        <v>413</v>
      </c>
      <c r="AS765" t="s">
        <v>427</v>
      </c>
      <c r="AT765">
        <v>0</v>
      </c>
      <c r="AU765">
        <v>1</v>
      </c>
      <c r="AV765">
        <v>0</v>
      </c>
      <c r="AW765">
        <v>15</v>
      </c>
    </row>
    <row r="766" spans="1:49" x14ac:dyDescent="0.25">
      <c r="A766"/>
      <c r="AR766" t="s">
        <v>413</v>
      </c>
      <c r="AS766" t="s">
        <v>431</v>
      </c>
      <c r="AT766">
        <v>0.73333300000000001</v>
      </c>
      <c r="AU766">
        <v>0.26666699999999999</v>
      </c>
      <c r="AV766">
        <v>11</v>
      </c>
      <c r="AW766">
        <v>15</v>
      </c>
    </row>
    <row r="767" spans="1:49" x14ac:dyDescent="0.25">
      <c r="A767"/>
      <c r="AR767" t="s">
        <v>416</v>
      </c>
      <c r="AS767" t="s">
        <v>420</v>
      </c>
      <c r="AT767">
        <v>0</v>
      </c>
      <c r="AU767">
        <v>1</v>
      </c>
      <c r="AV767">
        <v>0</v>
      </c>
      <c r="AW767">
        <v>12</v>
      </c>
    </row>
    <row r="768" spans="1:49" x14ac:dyDescent="0.25">
      <c r="A768"/>
      <c r="AR768" t="s">
        <v>416</v>
      </c>
      <c r="AS768" t="s">
        <v>422</v>
      </c>
      <c r="AV768">
        <v>0</v>
      </c>
      <c r="AW768">
        <v>0</v>
      </c>
    </row>
    <row r="769" spans="1:49" x14ac:dyDescent="0.25">
      <c r="A769"/>
      <c r="AR769" t="s">
        <v>416</v>
      </c>
      <c r="AS769" t="s">
        <v>425</v>
      </c>
      <c r="AT769">
        <v>0</v>
      </c>
      <c r="AU769">
        <v>1</v>
      </c>
      <c r="AV769">
        <v>0</v>
      </c>
      <c r="AW769">
        <v>10</v>
      </c>
    </row>
    <row r="770" spans="1:49" x14ac:dyDescent="0.25">
      <c r="A770"/>
      <c r="AR770" t="s">
        <v>416</v>
      </c>
      <c r="AS770" t="s">
        <v>427</v>
      </c>
      <c r="AV770">
        <v>0</v>
      </c>
      <c r="AW770">
        <v>0</v>
      </c>
    </row>
    <row r="771" spans="1:49" x14ac:dyDescent="0.25">
      <c r="A771"/>
      <c r="AR771" t="s">
        <v>416</v>
      </c>
      <c r="AS771" t="s">
        <v>431</v>
      </c>
      <c r="AT771">
        <v>0</v>
      </c>
      <c r="AU771">
        <v>1</v>
      </c>
      <c r="AV771">
        <v>0</v>
      </c>
      <c r="AW771">
        <v>11</v>
      </c>
    </row>
    <row r="772" spans="1:49" x14ac:dyDescent="0.25">
      <c r="A772"/>
      <c r="AR772" t="s">
        <v>420</v>
      </c>
      <c r="AS772" t="s">
        <v>422</v>
      </c>
      <c r="AT772">
        <v>0</v>
      </c>
      <c r="AU772">
        <v>1</v>
      </c>
      <c r="AV772">
        <v>0</v>
      </c>
      <c r="AW772">
        <v>12</v>
      </c>
    </row>
    <row r="773" spans="1:49" x14ac:dyDescent="0.25">
      <c r="A773"/>
      <c r="AR773" t="s">
        <v>420</v>
      </c>
      <c r="AS773" t="s">
        <v>425</v>
      </c>
      <c r="AT773">
        <v>0.466667</v>
      </c>
      <c r="AU773">
        <v>0.53333299999999995</v>
      </c>
      <c r="AV773">
        <v>7</v>
      </c>
      <c r="AW773">
        <v>15</v>
      </c>
    </row>
    <row r="774" spans="1:49" x14ac:dyDescent="0.25">
      <c r="A774"/>
      <c r="AR774" t="s">
        <v>420</v>
      </c>
      <c r="AS774" t="s">
        <v>427</v>
      </c>
      <c r="AT774">
        <v>0</v>
      </c>
      <c r="AU774">
        <v>1</v>
      </c>
      <c r="AV774">
        <v>0</v>
      </c>
      <c r="AW774">
        <v>12</v>
      </c>
    </row>
    <row r="775" spans="1:49" x14ac:dyDescent="0.25">
      <c r="A775"/>
      <c r="AR775" t="s">
        <v>420</v>
      </c>
      <c r="AS775" t="s">
        <v>431</v>
      </c>
      <c r="AT775">
        <v>0.64285700000000001</v>
      </c>
      <c r="AU775">
        <v>0.35714299999999999</v>
      </c>
      <c r="AV775">
        <v>9</v>
      </c>
      <c r="AW775">
        <v>14</v>
      </c>
    </row>
    <row r="776" spans="1:49" x14ac:dyDescent="0.25">
      <c r="A776"/>
      <c r="AR776" t="s">
        <v>422</v>
      </c>
      <c r="AS776" t="s">
        <v>425</v>
      </c>
      <c r="AT776">
        <v>0</v>
      </c>
      <c r="AU776">
        <v>1</v>
      </c>
      <c r="AV776">
        <v>0</v>
      </c>
      <c r="AW776">
        <v>10</v>
      </c>
    </row>
    <row r="777" spans="1:49" x14ac:dyDescent="0.25">
      <c r="A777"/>
      <c r="AR777" t="s">
        <v>422</v>
      </c>
      <c r="AS777" t="s">
        <v>427</v>
      </c>
      <c r="AV777">
        <v>0</v>
      </c>
      <c r="AW777">
        <v>0</v>
      </c>
    </row>
    <row r="778" spans="1:49" x14ac:dyDescent="0.25">
      <c r="A778"/>
      <c r="AR778" t="s">
        <v>422</v>
      </c>
      <c r="AS778" t="s">
        <v>431</v>
      </c>
      <c r="AT778">
        <v>0</v>
      </c>
      <c r="AU778">
        <v>1</v>
      </c>
      <c r="AV778">
        <v>0</v>
      </c>
      <c r="AW778">
        <v>11</v>
      </c>
    </row>
    <row r="779" spans="1:49" x14ac:dyDescent="0.25">
      <c r="A779"/>
      <c r="AR779" t="s">
        <v>425</v>
      </c>
      <c r="AS779" t="s">
        <v>427</v>
      </c>
      <c r="AT779">
        <v>0</v>
      </c>
      <c r="AU779">
        <v>1</v>
      </c>
      <c r="AV779">
        <v>0</v>
      </c>
      <c r="AW779">
        <v>10</v>
      </c>
    </row>
    <row r="780" spans="1:49" x14ac:dyDescent="0.25">
      <c r="A780"/>
      <c r="AR780" t="s">
        <v>425</v>
      </c>
      <c r="AS780" t="s">
        <v>431</v>
      </c>
      <c r="AT780">
        <v>0.61538499999999996</v>
      </c>
      <c r="AU780">
        <v>0.38461499999999998</v>
      </c>
      <c r="AV780">
        <v>8</v>
      </c>
      <c r="AW780">
        <v>13</v>
      </c>
    </row>
    <row r="781" spans="1:49" x14ac:dyDescent="0.25">
      <c r="A781"/>
      <c r="AR781" t="s">
        <v>427</v>
      </c>
      <c r="AS781" t="s">
        <v>431</v>
      </c>
      <c r="AT781">
        <v>0</v>
      </c>
      <c r="AU781">
        <v>1</v>
      </c>
      <c r="AV781">
        <v>0</v>
      </c>
      <c r="AW781">
        <v>11</v>
      </c>
    </row>
    <row r="782" spans="1:49" x14ac:dyDescent="0.25">
      <c r="A782"/>
    </row>
    <row r="783" spans="1:49" x14ac:dyDescent="0.25">
      <c r="A783"/>
    </row>
    <row r="784" spans="1:49" x14ac:dyDescent="0.25">
      <c r="A784"/>
    </row>
    <row r="785" spans="1:1" x14ac:dyDescent="0.25">
      <c r="A785"/>
    </row>
    <row r="786" spans="1:1" x14ac:dyDescent="0.25">
      <c r="A786"/>
    </row>
    <row r="787" spans="1:1" x14ac:dyDescent="0.25">
      <c r="A787"/>
    </row>
    <row r="788" spans="1:1" x14ac:dyDescent="0.25">
      <c r="A788"/>
    </row>
    <row r="789" spans="1:1" x14ac:dyDescent="0.25">
      <c r="A789"/>
    </row>
    <row r="790" spans="1:1" x14ac:dyDescent="0.25">
      <c r="A790"/>
    </row>
    <row r="791" spans="1:1" x14ac:dyDescent="0.25">
      <c r="A791"/>
    </row>
    <row r="792" spans="1:1" x14ac:dyDescent="0.25">
      <c r="A792"/>
    </row>
    <row r="793" spans="1:1" x14ac:dyDescent="0.25">
      <c r="A793"/>
    </row>
    <row r="794" spans="1:1" x14ac:dyDescent="0.25">
      <c r="A794"/>
    </row>
    <row r="795" spans="1:1" x14ac:dyDescent="0.25">
      <c r="A795"/>
    </row>
    <row r="796" spans="1:1" x14ac:dyDescent="0.25">
      <c r="A796"/>
    </row>
    <row r="797" spans="1:1" x14ac:dyDescent="0.25">
      <c r="A797"/>
    </row>
    <row r="798" spans="1:1" x14ac:dyDescent="0.25">
      <c r="A798"/>
    </row>
    <row r="799" spans="1:1" x14ac:dyDescent="0.25">
      <c r="A799"/>
    </row>
    <row r="800" spans="1:1" x14ac:dyDescent="0.25">
      <c r="A800"/>
    </row>
    <row r="801" spans="1:1" x14ac:dyDescent="0.25">
      <c r="A801"/>
    </row>
    <row r="802" spans="1:1" x14ac:dyDescent="0.25">
      <c r="A802"/>
    </row>
    <row r="803" spans="1:1" x14ac:dyDescent="0.25">
      <c r="A803"/>
    </row>
    <row r="804" spans="1:1" x14ac:dyDescent="0.25">
      <c r="A804"/>
    </row>
    <row r="805" spans="1:1" x14ac:dyDescent="0.25">
      <c r="A805"/>
    </row>
    <row r="806" spans="1:1" x14ac:dyDescent="0.25">
      <c r="A806"/>
    </row>
    <row r="807" spans="1:1" x14ac:dyDescent="0.25">
      <c r="A807"/>
    </row>
    <row r="808" spans="1:1" x14ac:dyDescent="0.25">
      <c r="A808"/>
    </row>
    <row r="809" spans="1:1" x14ac:dyDescent="0.25">
      <c r="A809"/>
    </row>
    <row r="810" spans="1:1" x14ac:dyDescent="0.25">
      <c r="A810"/>
    </row>
    <row r="811" spans="1:1" x14ac:dyDescent="0.25">
      <c r="A811"/>
    </row>
    <row r="812" spans="1:1" x14ac:dyDescent="0.25">
      <c r="A812"/>
    </row>
    <row r="813" spans="1:1" x14ac:dyDescent="0.25">
      <c r="A813"/>
    </row>
    <row r="814" spans="1:1" x14ac:dyDescent="0.25">
      <c r="A814"/>
    </row>
    <row r="815" spans="1:1" x14ac:dyDescent="0.25">
      <c r="A815"/>
    </row>
    <row r="816" spans="1:1" x14ac:dyDescent="0.25">
      <c r="A816"/>
    </row>
    <row r="817" spans="1:1" x14ac:dyDescent="0.25">
      <c r="A817"/>
    </row>
    <row r="818" spans="1:1" x14ac:dyDescent="0.25">
      <c r="A818"/>
    </row>
    <row r="819" spans="1:1" x14ac:dyDescent="0.25">
      <c r="A819"/>
    </row>
    <row r="820" spans="1:1" x14ac:dyDescent="0.25">
      <c r="A820"/>
    </row>
    <row r="821" spans="1:1" x14ac:dyDescent="0.25">
      <c r="A821"/>
    </row>
    <row r="822" spans="1:1" x14ac:dyDescent="0.25">
      <c r="A822"/>
    </row>
    <row r="823" spans="1:1" x14ac:dyDescent="0.25">
      <c r="A823"/>
    </row>
    <row r="824" spans="1:1" x14ac:dyDescent="0.25">
      <c r="A824"/>
    </row>
    <row r="825" spans="1:1" x14ac:dyDescent="0.25">
      <c r="A825"/>
    </row>
    <row r="826" spans="1:1" x14ac:dyDescent="0.25">
      <c r="A826"/>
    </row>
    <row r="827" spans="1:1" x14ac:dyDescent="0.25">
      <c r="A827"/>
    </row>
    <row r="828" spans="1:1" x14ac:dyDescent="0.25">
      <c r="A828"/>
    </row>
    <row r="829" spans="1:1" x14ac:dyDescent="0.25">
      <c r="A829"/>
    </row>
    <row r="830" spans="1:1" x14ac:dyDescent="0.25">
      <c r="A830"/>
    </row>
    <row r="831" spans="1:1" x14ac:dyDescent="0.25">
      <c r="A831"/>
    </row>
    <row r="832" spans="1:1" x14ac:dyDescent="0.25">
      <c r="A832"/>
    </row>
    <row r="833" spans="1:1" x14ac:dyDescent="0.25">
      <c r="A833"/>
    </row>
    <row r="834" spans="1:1" x14ac:dyDescent="0.25">
      <c r="A834"/>
    </row>
    <row r="835" spans="1:1" x14ac:dyDescent="0.25">
      <c r="A835"/>
    </row>
    <row r="836" spans="1:1" x14ac:dyDescent="0.25">
      <c r="A836"/>
    </row>
    <row r="837" spans="1:1" x14ac:dyDescent="0.25">
      <c r="A837"/>
    </row>
    <row r="838" spans="1:1" x14ac:dyDescent="0.25">
      <c r="A838"/>
    </row>
    <row r="839" spans="1:1" x14ac:dyDescent="0.25">
      <c r="A839"/>
    </row>
    <row r="840" spans="1:1" x14ac:dyDescent="0.25">
      <c r="A840"/>
    </row>
    <row r="841" spans="1:1" x14ac:dyDescent="0.25">
      <c r="A841"/>
    </row>
    <row r="842" spans="1:1" x14ac:dyDescent="0.25">
      <c r="A842"/>
    </row>
    <row r="843" spans="1:1" x14ac:dyDescent="0.25">
      <c r="A843"/>
    </row>
    <row r="844" spans="1:1" x14ac:dyDescent="0.25">
      <c r="A844"/>
    </row>
    <row r="845" spans="1:1" x14ac:dyDescent="0.25">
      <c r="A845"/>
    </row>
    <row r="846" spans="1:1" x14ac:dyDescent="0.25">
      <c r="A846"/>
    </row>
    <row r="847" spans="1:1" x14ac:dyDescent="0.25">
      <c r="A847"/>
    </row>
    <row r="848" spans="1:1" x14ac:dyDescent="0.25">
      <c r="A848"/>
    </row>
    <row r="849" spans="1:1" x14ac:dyDescent="0.25">
      <c r="A849"/>
    </row>
    <row r="850" spans="1:1" x14ac:dyDescent="0.25">
      <c r="A850"/>
    </row>
    <row r="851" spans="1:1" x14ac:dyDescent="0.25">
      <c r="A851"/>
    </row>
    <row r="852" spans="1:1" x14ac:dyDescent="0.25">
      <c r="A852"/>
    </row>
    <row r="853" spans="1:1" x14ac:dyDescent="0.25">
      <c r="A853"/>
    </row>
    <row r="854" spans="1:1" x14ac:dyDescent="0.25">
      <c r="A854"/>
    </row>
    <row r="855" spans="1:1" x14ac:dyDescent="0.25">
      <c r="A855"/>
    </row>
    <row r="856" spans="1:1" x14ac:dyDescent="0.25">
      <c r="A856"/>
    </row>
    <row r="857" spans="1:1" x14ac:dyDescent="0.25">
      <c r="A857"/>
    </row>
    <row r="858" spans="1:1" x14ac:dyDescent="0.25">
      <c r="A858"/>
    </row>
    <row r="859" spans="1:1" x14ac:dyDescent="0.25">
      <c r="A859"/>
    </row>
    <row r="860" spans="1:1" x14ac:dyDescent="0.25">
      <c r="A860"/>
    </row>
    <row r="861" spans="1:1" x14ac:dyDescent="0.25">
      <c r="A861"/>
    </row>
    <row r="862" spans="1:1" x14ac:dyDescent="0.25">
      <c r="A862"/>
    </row>
    <row r="863" spans="1:1" x14ac:dyDescent="0.25">
      <c r="A863"/>
    </row>
    <row r="864" spans="1:1" x14ac:dyDescent="0.25">
      <c r="A864"/>
    </row>
    <row r="865" spans="1:1" x14ac:dyDescent="0.25">
      <c r="A865"/>
    </row>
    <row r="866" spans="1:1" x14ac:dyDescent="0.25">
      <c r="A866"/>
    </row>
    <row r="867" spans="1:1" x14ac:dyDescent="0.25">
      <c r="A867"/>
    </row>
    <row r="868" spans="1:1" x14ac:dyDescent="0.25">
      <c r="A868"/>
    </row>
    <row r="869" spans="1:1" x14ac:dyDescent="0.25">
      <c r="A869"/>
    </row>
    <row r="870" spans="1:1" x14ac:dyDescent="0.25">
      <c r="A870"/>
    </row>
    <row r="871" spans="1:1" x14ac:dyDescent="0.25">
      <c r="A871"/>
    </row>
    <row r="872" spans="1:1" x14ac:dyDescent="0.25">
      <c r="A872"/>
    </row>
    <row r="873" spans="1:1" x14ac:dyDescent="0.25">
      <c r="A873"/>
    </row>
    <row r="874" spans="1:1" x14ac:dyDescent="0.25">
      <c r="A874"/>
    </row>
    <row r="875" spans="1:1" x14ac:dyDescent="0.25">
      <c r="A875"/>
    </row>
    <row r="876" spans="1:1" x14ac:dyDescent="0.25">
      <c r="A876"/>
    </row>
    <row r="877" spans="1:1" x14ac:dyDescent="0.25">
      <c r="A877"/>
    </row>
    <row r="878" spans="1:1" x14ac:dyDescent="0.25">
      <c r="A878"/>
    </row>
    <row r="879" spans="1:1" x14ac:dyDescent="0.25">
      <c r="A879"/>
    </row>
    <row r="880" spans="1:1" x14ac:dyDescent="0.25">
      <c r="A880"/>
    </row>
    <row r="881" spans="1:1" x14ac:dyDescent="0.25">
      <c r="A881"/>
    </row>
    <row r="882" spans="1:1" x14ac:dyDescent="0.25">
      <c r="A882"/>
    </row>
    <row r="883" spans="1:1" x14ac:dyDescent="0.25">
      <c r="A883"/>
    </row>
    <row r="884" spans="1:1" x14ac:dyDescent="0.25">
      <c r="A884"/>
    </row>
    <row r="885" spans="1:1" x14ac:dyDescent="0.25">
      <c r="A885"/>
    </row>
    <row r="886" spans="1:1" x14ac:dyDescent="0.25">
      <c r="A886"/>
    </row>
    <row r="887" spans="1:1" x14ac:dyDescent="0.25">
      <c r="A887"/>
    </row>
    <row r="888" spans="1:1" x14ac:dyDescent="0.25">
      <c r="A888"/>
    </row>
    <row r="889" spans="1:1" x14ac:dyDescent="0.25">
      <c r="A889"/>
    </row>
    <row r="890" spans="1:1" x14ac:dyDescent="0.25">
      <c r="A890"/>
    </row>
    <row r="891" spans="1:1" x14ac:dyDescent="0.25">
      <c r="A891"/>
    </row>
    <row r="892" spans="1:1" x14ac:dyDescent="0.25">
      <c r="A892"/>
    </row>
    <row r="893" spans="1:1" x14ac:dyDescent="0.25">
      <c r="A893"/>
    </row>
    <row r="894" spans="1:1" x14ac:dyDescent="0.25">
      <c r="A894"/>
    </row>
    <row r="895" spans="1:1" x14ac:dyDescent="0.25">
      <c r="A895"/>
    </row>
    <row r="896" spans="1:1" x14ac:dyDescent="0.25">
      <c r="A896"/>
    </row>
    <row r="897" spans="1:1" x14ac:dyDescent="0.25">
      <c r="A897"/>
    </row>
    <row r="898" spans="1:1" x14ac:dyDescent="0.25">
      <c r="A898"/>
    </row>
    <row r="899" spans="1:1" x14ac:dyDescent="0.25">
      <c r="A899"/>
    </row>
    <row r="900" spans="1:1" x14ac:dyDescent="0.25">
      <c r="A900"/>
    </row>
    <row r="901" spans="1:1" x14ac:dyDescent="0.25">
      <c r="A901"/>
    </row>
    <row r="902" spans="1:1" x14ac:dyDescent="0.25">
      <c r="A902"/>
    </row>
    <row r="903" spans="1:1" x14ac:dyDescent="0.25">
      <c r="A903"/>
    </row>
    <row r="904" spans="1:1" x14ac:dyDescent="0.25">
      <c r="A904"/>
    </row>
    <row r="905" spans="1:1" x14ac:dyDescent="0.25">
      <c r="A905"/>
    </row>
    <row r="906" spans="1:1" x14ac:dyDescent="0.25">
      <c r="A906"/>
    </row>
    <row r="907" spans="1:1" x14ac:dyDescent="0.25">
      <c r="A907"/>
    </row>
    <row r="908" spans="1:1" x14ac:dyDescent="0.25">
      <c r="A908"/>
    </row>
    <row r="909" spans="1:1" x14ac:dyDescent="0.25">
      <c r="A909"/>
    </row>
    <row r="910" spans="1:1" x14ac:dyDescent="0.25">
      <c r="A910"/>
    </row>
    <row r="911" spans="1:1" x14ac:dyDescent="0.25">
      <c r="A911"/>
    </row>
    <row r="912" spans="1:1" x14ac:dyDescent="0.25">
      <c r="A912"/>
    </row>
    <row r="913" spans="1:1" x14ac:dyDescent="0.25">
      <c r="A913"/>
    </row>
    <row r="914" spans="1:1" x14ac:dyDescent="0.25">
      <c r="A914"/>
    </row>
    <row r="915" spans="1:1" x14ac:dyDescent="0.25">
      <c r="A915"/>
    </row>
    <row r="916" spans="1:1" x14ac:dyDescent="0.25">
      <c r="A916"/>
    </row>
    <row r="917" spans="1:1" x14ac:dyDescent="0.25">
      <c r="A917"/>
    </row>
    <row r="918" spans="1:1" x14ac:dyDescent="0.25">
      <c r="A918"/>
    </row>
    <row r="919" spans="1:1" x14ac:dyDescent="0.25">
      <c r="A919"/>
    </row>
    <row r="920" spans="1:1" x14ac:dyDescent="0.25">
      <c r="A920"/>
    </row>
    <row r="921" spans="1:1" x14ac:dyDescent="0.25">
      <c r="A921"/>
    </row>
    <row r="922" spans="1:1" x14ac:dyDescent="0.25">
      <c r="A922"/>
    </row>
    <row r="923" spans="1:1" x14ac:dyDescent="0.25">
      <c r="A923"/>
    </row>
    <row r="924" spans="1:1" x14ac:dyDescent="0.25">
      <c r="A924"/>
    </row>
    <row r="925" spans="1:1" x14ac:dyDescent="0.25">
      <c r="A925"/>
    </row>
    <row r="926" spans="1:1" x14ac:dyDescent="0.25">
      <c r="A926"/>
    </row>
    <row r="927" spans="1:1" x14ac:dyDescent="0.25">
      <c r="A927"/>
    </row>
    <row r="928" spans="1:1" x14ac:dyDescent="0.25">
      <c r="A928"/>
    </row>
    <row r="929" spans="1:1" x14ac:dyDescent="0.25">
      <c r="A929"/>
    </row>
    <row r="930" spans="1:1" x14ac:dyDescent="0.25">
      <c r="A930"/>
    </row>
    <row r="931" spans="1:1" x14ac:dyDescent="0.25">
      <c r="A931"/>
    </row>
    <row r="932" spans="1:1" x14ac:dyDescent="0.25">
      <c r="A932"/>
    </row>
    <row r="933" spans="1:1" x14ac:dyDescent="0.25">
      <c r="A933"/>
    </row>
    <row r="934" spans="1:1" x14ac:dyDescent="0.25">
      <c r="A934"/>
    </row>
    <row r="935" spans="1:1" x14ac:dyDescent="0.25">
      <c r="A935"/>
    </row>
    <row r="936" spans="1:1" x14ac:dyDescent="0.25">
      <c r="A936"/>
    </row>
    <row r="937" spans="1:1" x14ac:dyDescent="0.25">
      <c r="A937"/>
    </row>
    <row r="938" spans="1:1" x14ac:dyDescent="0.25">
      <c r="A938"/>
    </row>
    <row r="939" spans="1:1" x14ac:dyDescent="0.25">
      <c r="A939"/>
    </row>
    <row r="940" spans="1:1" x14ac:dyDescent="0.25">
      <c r="A940"/>
    </row>
    <row r="941" spans="1:1" x14ac:dyDescent="0.25">
      <c r="A941"/>
    </row>
    <row r="942" spans="1:1" x14ac:dyDescent="0.25">
      <c r="A942"/>
    </row>
    <row r="943" spans="1:1" x14ac:dyDescent="0.25">
      <c r="A943"/>
    </row>
    <row r="944" spans="1:1" x14ac:dyDescent="0.25">
      <c r="A944"/>
    </row>
    <row r="945" spans="1:1" x14ac:dyDescent="0.25">
      <c r="A945"/>
    </row>
    <row r="946" spans="1:1" x14ac:dyDescent="0.25">
      <c r="A946"/>
    </row>
    <row r="947" spans="1:1" x14ac:dyDescent="0.25">
      <c r="A947"/>
    </row>
    <row r="948" spans="1:1" x14ac:dyDescent="0.25">
      <c r="A948"/>
    </row>
    <row r="949" spans="1:1" x14ac:dyDescent="0.25">
      <c r="A949"/>
    </row>
    <row r="950" spans="1:1" x14ac:dyDescent="0.25">
      <c r="A950"/>
    </row>
    <row r="951" spans="1:1" x14ac:dyDescent="0.25">
      <c r="A951"/>
    </row>
    <row r="952" spans="1:1" x14ac:dyDescent="0.25">
      <c r="A952"/>
    </row>
    <row r="953" spans="1:1" x14ac:dyDescent="0.25">
      <c r="A953"/>
    </row>
    <row r="954" spans="1:1" x14ac:dyDescent="0.25">
      <c r="A954"/>
    </row>
    <row r="955" spans="1:1" x14ac:dyDescent="0.25">
      <c r="A955"/>
    </row>
    <row r="956" spans="1:1" x14ac:dyDescent="0.25">
      <c r="A956"/>
    </row>
    <row r="957" spans="1:1" x14ac:dyDescent="0.25">
      <c r="A957"/>
    </row>
    <row r="958" spans="1:1" x14ac:dyDescent="0.25">
      <c r="A958"/>
    </row>
    <row r="959" spans="1:1" x14ac:dyDescent="0.25">
      <c r="A959"/>
    </row>
    <row r="960" spans="1:1" x14ac:dyDescent="0.25">
      <c r="A960"/>
    </row>
    <row r="961" spans="1:1" x14ac:dyDescent="0.25">
      <c r="A961"/>
    </row>
    <row r="962" spans="1:1" x14ac:dyDescent="0.25">
      <c r="A962"/>
    </row>
    <row r="963" spans="1:1" x14ac:dyDescent="0.25">
      <c r="A963"/>
    </row>
    <row r="964" spans="1:1" x14ac:dyDescent="0.25">
      <c r="A964"/>
    </row>
    <row r="965" spans="1:1" x14ac:dyDescent="0.25">
      <c r="A965"/>
    </row>
    <row r="966" spans="1:1" x14ac:dyDescent="0.25">
      <c r="A966"/>
    </row>
    <row r="967" spans="1:1" x14ac:dyDescent="0.25">
      <c r="A967"/>
    </row>
    <row r="968" spans="1:1" x14ac:dyDescent="0.25">
      <c r="A968"/>
    </row>
    <row r="969" spans="1:1" x14ac:dyDescent="0.25">
      <c r="A969"/>
    </row>
    <row r="970" spans="1:1" x14ac:dyDescent="0.25">
      <c r="A970"/>
    </row>
    <row r="971" spans="1:1" x14ac:dyDescent="0.25">
      <c r="A971"/>
    </row>
    <row r="972" spans="1:1" x14ac:dyDescent="0.25">
      <c r="A972"/>
    </row>
    <row r="973" spans="1:1" x14ac:dyDescent="0.25">
      <c r="A973"/>
    </row>
    <row r="974" spans="1:1" x14ac:dyDescent="0.25">
      <c r="A974"/>
    </row>
    <row r="975" spans="1:1" x14ac:dyDescent="0.25">
      <c r="A975"/>
    </row>
    <row r="976" spans="1:1" x14ac:dyDescent="0.25">
      <c r="A976"/>
    </row>
    <row r="977" spans="1:1" x14ac:dyDescent="0.25">
      <c r="A977"/>
    </row>
    <row r="978" spans="1:1" x14ac:dyDescent="0.25">
      <c r="A978"/>
    </row>
    <row r="979" spans="1:1" x14ac:dyDescent="0.25">
      <c r="A979"/>
    </row>
    <row r="980" spans="1:1" x14ac:dyDescent="0.25">
      <c r="A980"/>
    </row>
    <row r="981" spans="1:1" x14ac:dyDescent="0.25">
      <c r="A981"/>
    </row>
    <row r="982" spans="1:1" x14ac:dyDescent="0.25">
      <c r="A982"/>
    </row>
    <row r="983" spans="1:1" x14ac:dyDescent="0.25">
      <c r="A983"/>
    </row>
    <row r="984" spans="1:1" x14ac:dyDescent="0.25">
      <c r="A984"/>
    </row>
    <row r="985" spans="1:1" x14ac:dyDescent="0.25">
      <c r="A985"/>
    </row>
    <row r="986" spans="1:1" x14ac:dyDescent="0.25">
      <c r="A986"/>
    </row>
    <row r="987" spans="1:1" x14ac:dyDescent="0.25">
      <c r="A987"/>
    </row>
    <row r="988" spans="1:1" x14ac:dyDescent="0.25">
      <c r="A988"/>
    </row>
    <row r="989" spans="1:1" x14ac:dyDescent="0.25">
      <c r="A989"/>
    </row>
    <row r="990" spans="1:1" x14ac:dyDescent="0.25">
      <c r="A990"/>
    </row>
    <row r="991" spans="1:1" x14ac:dyDescent="0.25">
      <c r="A991"/>
    </row>
    <row r="992" spans="1:1" x14ac:dyDescent="0.25">
      <c r="A992"/>
    </row>
    <row r="993" spans="1:1" x14ac:dyDescent="0.25">
      <c r="A993"/>
    </row>
    <row r="994" spans="1:1" x14ac:dyDescent="0.25">
      <c r="A994"/>
    </row>
    <row r="995" spans="1:1" x14ac:dyDescent="0.25">
      <c r="A995"/>
    </row>
    <row r="996" spans="1:1" x14ac:dyDescent="0.25">
      <c r="A996"/>
    </row>
    <row r="997" spans="1:1" x14ac:dyDescent="0.25">
      <c r="A997"/>
    </row>
    <row r="998" spans="1:1" x14ac:dyDescent="0.25">
      <c r="A998"/>
    </row>
    <row r="999" spans="1:1" x14ac:dyDescent="0.25">
      <c r="A999"/>
    </row>
    <row r="1000" spans="1:1" x14ac:dyDescent="0.25">
      <c r="A1000"/>
    </row>
    <row r="1001" spans="1:1" x14ac:dyDescent="0.25">
      <c r="A1001"/>
    </row>
    <row r="1002" spans="1:1" x14ac:dyDescent="0.25">
      <c r="A1002"/>
    </row>
    <row r="1003" spans="1:1" x14ac:dyDescent="0.25">
      <c r="A1003"/>
    </row>
    <row r="1004" spans="1:1" x14ac:dyDescent="0.25">
      <c r="A1004"/>
    </row>
    <row r="1005" spans="1:1" x14ac:dyDescent="0.25">
      <c r="A1005"/>
    </row>
    <row r="1006" spans="1:1" x14ac:dyDescent="0.25">
      <c r="A1006"/>
    </row>
    <row r="1007" spans="1:1" x14ac:dyDescent="0.25">
      <c r="A1007"/>
    </row>
    <row r="1008" spans="1:1" x14ac:dyDescent="0.25">
      <c r="A1008"/>
    </row>
    <row r="1009" spans="1:1" x14ac:dyDescent="0.25">
      <c r="A1009"/>
    </row>
    <row r="1010" spans="1:1" x14ac:dyDescent="0.25">
      <c r="A1010"/>
    </row>
    <row r="1011" spans="1:1" x14ac:dyDescent="0.25">
      <c r="A1011"/>
    </row>
    <row r="1012" spans="1:1" x14ac:dyDescent="0.25">
      <c r="A1012"/>
    </row>
    <row r="1013" spans="1:1" x14ac:dyDescent="0.25">
      <c r="A1013"/>
    </row>
    <row r="1014" spans="1:1" x14ac:dyDescent="0.25">
      <c r="A1014"/>
    </row>
    <row r="1015" spans="1:1" x14ac:dyDescent="0.25">
      <c r="A1015"/>
    </row>
    <row r="1016" spans="1:1" x14ac:dyDescent="0.25">
      <c r="A1016"/>
    </row>
    <row r="1017" spans="1:1" x14ac:dyDescent="0.25">
      <c r="A1017"/>
    </row>
    <row r="1018" spans="1:1" x14ac:dyDescent="0.25">
      <c r="A1018"/>
    </row>
    <row r="1019" spans="1:1" x14ac:dyDescent="0.25">
      <c r="A1019"/>
    </row>
    <row r="1020" spans="1:1" x14ac:dyDescent="0.25">
      <c r="A1020"/>
    </row>
    <row r="1021" spans="1:1" x14ac:dyDescent="0.25">
      <c r="A1021"/>
    </row>
    <row r="1022" spans="1:1" x14ac:dyDescent="0.25">
      <c r="A1022"/>
    </row>
    <row r="1023" spans="1:1" x14ac:dyDescent="0.25">
      <c r="A1023"/>
    </row>
    <row r="1024" spans="1:1" x14ac:dyDescent="0.25">
      <c r="A1024"/>
    </row>
    <row r="1025" spans="1:1" x14ac:dyDescent="0.25">
      <c r="A1025"/>
    </row>
    <row r="1026" spans="1:1" x14ac:dyDescent="0.25">
      <c r="A1026"/>
    </row>
    <row r="1027" spans="1:1" x14ac:dyDescent="0.25">
      <c r="A1027"/>
    </row>
    <row r="1028" spans="1:1" x14ac:dyDescent="0.25">
      <c r="A1028"/>
    </row>
    <row r="1029" spans="1:1" x14ac:dyDescent="0.25">
      <c r="A1029"/>
    </row>
    <row r="1030" spans="1:1" x14ac:dyDescent="0.25">
      <c r="A1030"/>
    </row>
    <row r="1031" spans="1:1" x14ac:dyDescent="0.25">
      <c r="A1031"/>
    </row>
    <row r="1032" spans="1:1" x14ac:dyDescent="0.25">
      <c r="A1032"/>
    </row>
    <row r="1033" spans="1:1" x14ac:dyDescent="0.25">
      <c r="A1033"/>
    </row>
    <row r="1034" spans="1:1" x14ac:dyDescent="0.25">
      <c r="A1034"/>
    </row>
    <row r="1035" spans="1:1" x14ac:dyDescent="0.25">
      <c r="A1035"/>
    </row>
    <row r="1036" spans="1:1" x14ac:dyDescent="0.25">
      <c r="A1036"/>
    </row>
    <row r="1037" spans="1:1" x14ac:dyDescent="0.25">
      <c r="A1037"/>
    </row>
    <row r="1038" spans="1:1" x14ac:dyDescent="0.25">
      <c r="A1038"/>
    </row>
    <row r="1039" spans="1:1" x14ac:dyDescent="0.25">
      <c r="A1039"/>
    </row>
    <row r="1040" spans="1:1" x14ac:dyDescent="0.25">
      <c r="A1040"/>
    </row>
    <row r="1041" spans="1:1" x14ac:dyDescent="0.25">
      <c r="A1041"/>
    </row>
    <row r="1042" spans="1:1" x14ac:dyDescent="0.25">
      <c r="A1042"/>
    </row>
    <row r="1043" spans="1:1" x14ac:dyDescent="0.25">
      <c r="A1043"/>
    </row>
    <row r="1044" spans="1:1" x14ac:dyDescent="0.25">
      <c r="A1044"/>
    </row>
    <row r="1045" spans="1:1" x14ac:dyDescent="0.25">
      <c r="A1045"/>
    </row>
    <row r="1046" spans="1:1" x14ac:dyDescent="0.25">
      <c r="A1046"/>
    </row>
    <row r="1047" spans="1:1" x14ac:dyDescent="0.25">
      <c r="A1047"/>
    </row>
    <row r="1048" spans="1:1" x14ac:dyDescent="0.25">
      <c r="A1048"/>
    </row>
    <row r="1049" spans="1:1" x14ac:dyDescent="0.25">
      <c r="A1049"/>
    </row>
    <row r="1050" spans="1:1" x14ac:dyDescent="0.25">
      <c r="A1050"/>
    </row>
    <row r="1051" spans="1:1" x14ac:dyDescent="0.25">
      <c r="A1051"/>
    </row>
    <row r="1052" spans="1:1" x14ac:dyDescent="0.25">
      <c r="A1052"/>
    </row>
    <row r="1053" spans="1:1" x14ac:dyDescent="0.25">
      <c r="A1053"/>
    </row>
    <row r="1054" spans="1:1" x14ac:dyDescent="0.25">
      <c r="A1054"/>
    </row>
    <row r="1055" spans="1:1" x14ac:dyDescent="0.25">
      <c r="A1055"/>
    </row>
    <row r="1056" spans="1:1" x14ac:dyDescent="0.25">
      <c r="A1056"/>
    </row>
    <row r="1057" spans="1:1" x14ac:dyDescent="0.25">
      <c r="A1057"/>
    </row>
    <row r="1058" spans="1:1" x14ac:dyDescent="0.25">
      <c r="A1058"/>
    </row>
    <row r="1059" spans="1:1" x14ac:dyDescent="0.25">
      <c r="A1059"/>
    </row>
    <row r="1060" spans="1:1" x14ac:dyDescent="0.25">
      <c r="A1060"/>
    </row>
    <row r="1061" spans="1:1" x14ac:dyDescent="0.25">
      <c r="A1061"/>
    </row>
    <row r="1062" spans="1:1" x14ac:dyDescent="0.25">
      <c r="A1062"/>
    </row>
    <row r="1063" spans="1:1" x14ac:dyDescent="0.25">
      <c r="A1063"/>
    </row>
    <row r="1064" spans="1:1" x14ac:dyDescent="0.25">
      <c r="A1064"/>
    </row>
    <row r="1065" spans="1:1" x14ac:dyDescent="0.25">
      <c r="A1065"/>
    </row>
    <row r="1066" spans="1:1" x14ac:dyDescent="0.25">
      <c r="A1066"/>
    </row>
    <row r="1067" spans="1:1" x14ac:dyDescent="0.25">
      <c r="A1067"/>
    </row>
    <row r="1068" spans="1:1" x14ac:dyDescent="0.25">
      <c r="A1068"/>
    </row>
    <row r="1069" spans="1:1" x14ac:dyDescent="0.25">
      <c r="A1069"/>
    </row>
    <row r="1070" spans="1:1" x14ac:dyDescent="0.25">
      <c r="A1070"/>
    </row>
    <row r="1071" spans="1:1" x14ac:dyDescent="0.25">
      <c r="A1071"/>
    </row>
    <row r="1072" spans="1:1" x14ac:dyDescent="0.25">
      <c r="A1072"/>
    </row>
    <row r="1073" spans="1:1" x14ac:dyDescent="0.25">
      <c r="A1073"/>
    </row>
    <row r="1074" spans="1:1" x14ac:dyDescent="0.25">
      <c r="A1074"/>
    </row>
    <row r="1075" spans="1:1" x14ac:dyDescent="0.25">
      <c r="A1075"/>
    </row>
    <row r="1076" spans="1:1" x14ac:dyDescent="0.25">
      <c r="A1076"/>
    </row>
    <row r="1077" spans="1:1" x14ac:dyDescent="0.25">
      <c r="A1077"/>
    </row>
    <row r="1078" spans="1:1" x14ac:dyDescent="0.25">
      <c r="A1078"/>
    </row>
    <row r="1079" spans="1:1" x14ac:dyDescent="0.25">
      <c r="A1079"/>
    </row>
    <row r="1080" spans="1:1" x14ac:dyDescent="0.25">
      <c r="A1080"/>
    </row>
    <row r="1081" spans="1:1" x14ac:dyDescent="0.25">
      <c r="A1081"/>
    </row>
    <row r="1082" spans="1:1" x14ac:dyDescent="0.25">
      <c r="A1082"/>
    </row>
    <row r="1083" spans="1:1" x14ac:dyDescent="0.25">
      <c r="A1083"/>
    </row>
    <row r="1084" spans="1:1" x14ac:dyDescent="0.25">
      <c r="A1084"/>
    </row>
    <row r="1085" spans="1:1" x14ac:dyDescent="0.25">
      <c r="A1085"/>
    </row>
    <row r="1086" spans="1:1" x14ac:dyDescent="0.25">
      <c r="A1086"/>
    </row>
    <row r="1087" spans="1:1" x14ac:dyDescent="0.25">
      <c r="A1087"/>
    </row>
    <row r="1088" spans="1:1" x14ac:dyDescent="0.25">
      <c r="A1088"/>
    </row>
    <row r="1089" spans="1:1" x14ac:dyDescent="0.25">
      <c r="A1089"/>
    </row>
    <row r="1090" spans="1:1" x14ac:dyDescent="0.25">
      <c r="A1090"/>
    </row>
    <row r="1091" spans="1:1" x14ac:dyDescent="0.25">
      <c r="A1091"/>
    </row>
    <row r="1092" spans="1:1" x14ac:dyDescent="0.25">
      <c r="A1092"/>
    </row>
    <row r="1093" spans="1:1" x14ac:dyDescent="0.25">
      <c r="A1093"/>
    </row>
    <row r="1094" spans="1:1" x14ac:dyDescent="0.25">
      <c r="A1094"/>
    </row>
    <row r="1095" spans="1:1" x14ac:dyDescent="0.25">
      <c r="A1095"/>
    </row>
    <row r="1096" spans="1:1" x14ac:dyDescent="0.25">
      <c r="A1096"/>
    </row>
    <row r="1097" spans="1:1" x14ac:dyDescent="0.25">
      <c r="A1097"/>
    </row>
    <row r="1098" spans="1:1" x14ac:dyDescent="0.25">
      <c r="A1098"/>
    </row>
    <row r="1099" spans="1:1" x14ac:dyDescent="0.25">
      <c r="A1099"/>
    </row>
    <row r="1100" spans="1:1" x14ac:dyDescent="0.25">
      <c r="A1100"/>
    </row>
    <row r="1101" spans="1:1" x14ac:dyDescent="0.25">
      <c r="A1101"/>
    </row>
    <row r="1102" spans="1:1" x14ac:dyDescent="0.25">
      <c r="A1102"/>
    </row>
    <row r="1103" spans="1:1" x14ac:dyDescent="0.25">
      <c r="A1103"/>
    </row>
    <row r="1104" spans="1:1" x14ac:dyDescent="0.25">
      <c r="A1104"/>
    </row>
    <row r="1105" spans="1:1" x14ac:dyDescent="0.25">
      <c r="A1105"/>
    </row>
    <row r="1106" spans="1:1" x14ac:dyDescent="0.25">
      <c r="A1106"/>
    </row>
    <row r="1107" spans="1:1" x14ac:dyDescent="0.25">
      <c r="A1107"/>
    </row>
    <row r="1108" spans="1:1" x14ac:dyDescent="0.25">
      <c r="A1108"/>
    </row>
    <row r="1109" spans="1:1" x14ac:dyDescent="0.25">
      <c r="A1109"/>
    </row>
    <row r="1110" spans="1:1" x14ac:dyDescent="0.25">
      <c r="A1110"/>
    </row>
    <row r="1111" spans="1:1" x14ac:dyDescent="0.25">
      <c r="A1111"/>
    </row>
    <row r="1112" spans="1:1" x14ac:dyDescent="0.25">
      <c r="A1112"/>
    </row>
    <row r="1113" spans="1:1" x14ac:dyDescent="0.25">
      <c r="A1113"/>
    </row>
    <row r="1114" spans="1:1" x14ac:dyDescent="0.25">
      <c r="A1114"/>
    </row>
    <row r="1115" spans="1:1" x14ac:dyDescent="0.25">
      <c r="A1115"/>
    </row>
    <row r="1116" spans="1:1" x14ac:dyDescent="0.25">
      <c r="A1116"/>
    </row>
    <row r="1117" spans="1:1" x14ac:dyDescent="0.25">
      <c r="A1117"/>
    </row>
    <row r="1118" spans="1:1" x14ac:dyDescent="0.25">
      <c r="A1118"/>
    </row>
    <row r="1119" spans="1:1" x14ac:dyDescent="0.25">
      <c r="A1119"/>
    </row>
    <row r="1120" spans="1:1" x14ac:dyDescent="0.25">
      <c r="A1120"/>
    </row>
    <row r="1121" spans="1:1" x14ac:dyDescent="0.25">
      <c r="A1121"/>
    </row>
    <row r="1122" spans="1:1" x14ac:dyDescent="0.25">
      <c r="A1122"/>
    </row>
    <row r="1123" spans="1:1" x14ac:dyDescent="0.25">
      <c r="A1123"/>
    </row>
    <row r="1124" spans="1:1" x14ac:dyDescent="0.25">
      <c r="A1124"/>
    </row>
    <row r="1125" spans="1:1" x14ac:dyDescent="0.25">
      <c r="A1125"/>
    </row>
    <row r="1126" spans="1:1" x14ac:dyDescent="0.25">
      <c r="A1126"/>
    </row>
    <row r="1127" spans="1:1" x14ac:dyDescent="0.25">
      <c r="A1127"/>
    </row>
    <row r="1128" spans="1:1" x14ac:dyDescent="0.25">
      <c r="A1128"/>
    </row>
    <row r="1129" spans="1:1" x14ac:dyDescent="0.25">
      <c r="A1129"/>
    </row>
    <row r="1130" spans="1:1" x14ac:dyDescent="0.25">
      <c r="A1130"/>
    </row>
    <row r="1131" spans="1:1" x14ac:dyDescent="0.25">
      <c r="A1131"/>
    </row>
    <row r="1132" spans="1:1" x14ac:dyDescent="0.25">
      <c r="A1132"/>
    </row>
    <row r="1133" spans="1:1" x14ac:dyDescent="0.25">
      <c r="A1133"/>
    </row>
    <row r="1134" spans="1:1" x14ac:dyDescent="0.25">
      <c r="A1134"/>
    </row>
    <row r="1135" spans="1:1" x14ac:dyDescent="0.25">
      <c r="A1135"/>
    </row>
    <row r="1136" spans="1:1" x14ac:dyDescent="0.25">
      <c r="A1136"/>
    </row>
    <row r="1137" spans="1:1" x14ac:dyDescent="0.25">
      <c r="A1137"/>
    </row>
    <row r="1138" spans="1:1" x14ac:dyDescent="0.25">
      <c r="A1138"/>
    </row>
    <row r="1139" spans="1:1" x14ac:dyDescent="0.25">
      <c r="A1139"/>
    </row>
    <row r="1140" spans="1:1" x14ac:dyDescent="0.25">
      <c r="A1140"/>
    </row>
    <row r="1141" spans="1:1" x14ac:dyDescent="0.25">
      <c r="A1141"/>
    </row>
    <row r="1142" spans="1:1" x14ac:dyDescent="0.25">
      <c r="A1142"/>
    </row>
    <row r="1143" spans="1:1" x14ac:dyDescent="0.25">
      <c r="A1143"/>
    </row>
    <row r="1144" spans="1:1" x14ac:dyDescent="0.25">
      <c r="A1144"/>
    </row>
    <row r="1145" spans="1:1" x14ac:dyDescent="0.25">
      <c r="A1145"/>
    </row>
    <row r="1146" spans="1:1" x14ac:dyDescent="0.25">
      <c r="A1146"/>
    </row>
    <row r="1147" spans="1:1" x14ac:dyDescent="0.25">
      <c r="A1147"/>
    </row>
    <row r="1148" spans="1:1" x14ac:dyDescent="0.25">
      <c r="A1148"/>
    </row>
    <row r="1149" spans="1:1" x14ac:dyDescent="0.25">
      <c r="A1149"/>
    </row>
    <row r="1150" spans="1:1" x14ac:dyDescent="0.25">
      <c r="A1150"/>
    </row>
    <row r="1151" spans="1:1" x14ac:dyDescent="0.25">
      <c r="A1151"/>
    </row>
    <row r="1152" spans="1:1" x14ac:dyDescent="0.25">
      <c r="A1152"/>
    </row>
    <row r="1153" spans="1:1" x14ac:dyDescent="0.25">
      <c r="A1153"/>
    </row>
    <row r="1154" spans="1:1" x14ac:dyDescent="0.25">
      <c r="A1154"/>
    </row>
    <row r="1155" spans="1:1" x14ac:dyDescent="0.25">
      <c r="A1155"/>
    </row>
    <row r="1156" spans="1:1" x14ac:dyDescent="0.25">
      <c r="A1156"/>
    </row>
    <row r="1157" spans="1:1" x14ac:dyDescent="0.25">
      <c r="A1157"/>
    </row>
    <row r="1158" spans="1:1" x14ac:dyDescent="0.25">
      <c r="A1158"/>
    </row>
    <row r="1159" spans="1:1" x14ac:dyDescent="0.25">
      <c r="A1159"/>
    </row>
    <row r="1160" spans="1:1" x14ac:dyDescent="0.25">
      <c r="A1160"/>
    </row>
    <row r="1161" spans="1:1" x14ac:dyDescent="0.25">
      <c r="A1161"/>
    </row>
    <row r="1162" spans="1:1" x14ac:dyDescent="0.25">
      <c r="A1162"/>
    </row>
    <row r="1163" spans="1:1" x14ac:dyDescent="0.25">
      <c r="A1163"/>
    </row>
    <row r="1164" spans="1:1" x14ac:dyDescent="0.25">
      <c r="A1164"/>
    </row>
    <row r="1165" spans="1:1" x14ac:dyDescent="0.25">
      <c r="A1165"/>
    </row>
    <row r="1166" spans="1:1" x14ac:dyDescent="0.25">
      <c r="A1166"/>
    </row>
    <row r="1167" spans="1:1" x14ac:dyDescent="0.25">
      <c r="A1167"/>
    </row>
    <row r="1168" spans="1:1" x14ac:dyDescent="0.25">
      <c r="A1168"/>
    </row>
    <row r="1169" spans="1:1" x14ac:dyDescent="0.25">
      <c r="A1169"/>
    </row>
    <row r="1170" spans="1:1" x14ac:dyDescent="0.25">
      <c r="A1170"/>
    </row>
    <row r="1171" spans="1:1" x14ac:dyDescent="0.25">
      <c r="A1171"/>
    </row>
    <row r="1172" spans="1:1" x14ac:dyDescent="0.25">
      <c r="A1172"/>
    </row>
    <row r="1173" spans="1:1" x14ac:dyDescent="0.25">
      <c r="A1173"/>
    </row>
    <row r="1174" spans="1:1" x14ac:dyDescent="0.25">
      <c r="A1174"/>
    </row>
    <row r="1175" spans="1:1" x14ac:dyDescent="0.25">
      <c r="A1175"/>
    </row>
    <row r="1176" spans="1:1" x14ac:dyDescent="0.25">
      <c r="A1176"/>
    </row>
    <row r="1177" spans="1:1" x14ac:dyDescent="0.25">
      <c r="A1177"/>
    </row>
    <row r="1178" spans="1:1" x14ac:dyDescent="0.25">
      <c r="A1178"/>
    </row>
    <row r="1179" spans="1:1" x14ac:dyDescent="0.25">
      <c r="A1179"/>
    </row>
    <row r="1180" spans="1:1" x14ac:dyDescent="0.25">
      <c r="A1180"/>
    </row>
    <row r="1181" spans="1:1" x14ac:dyDescent="0.25">
      <c r="A1181"/>
    </row>
    <row r="1182" spans="1:1" x14ac:dyDescent="0.25">
      <c r="A1182"/>
    </row>
    <row r="1183" spans="1:1" x14ac:dyDescent="0.25">
      <c r="A1183"/>
    </row>
    <row r="1184" spans="1:1" x14ac:dyDescent="0.25">
      <c r="A1184"/>
    </row>
    <row r="1185" spans="1:1" x14ac:dyDescent="0.25">
      <c r="A1185"/>
    </row>
    <row r="1186" spans="1:1" x14ac:dyDescent="0.25">
      <c r="A1186"/>
    </row>
    <row r="1187" spans="1:1" x14ac:dyDescent="0.25">
      <c r="A1187"/>
    </row>
    <row r="1188" spans="1:1" x14ac:dyDescent="0.25">
      <c r="A1188"/>
    </row>
    <row r="1189" spans="1:1" x14ac:dyDescent="0.25">
      <c r="A1189"/>
    </row>
    <row r="1190" spans="1:1" x14ac:dyDescent="0.25">
      <c r="A1190"/>
    </row>
    <row r="1191" spans="1:1" x14ac:dyDescent="0.25">
      <c r="A1191"/>
    </row>
    <row r="1192" spans="1:1" x14ac:dyDescent="0.25">
      <c r="A1192"/>
    </row>
    <row r="1193" spans="1:1" x14ac:dyDescent="0.25">
      <c r="A1193"/>
    </row>
    <row r="1194" spans="1:1" x14ac:dyDescent="0.25">
      <c r="A1194"/>
    </row>
    <row r="1195" spans="1:1" x14ac:dyDescent="0.25">
      <c r="A1195"/>
    </row>
    <row r="1196" spans="1:1" x14ac:dyDescent="0.25">
      <c r="A1196"/>
    </row>
    <row r="1197" spans="1:1" x14ac:dyDescent="0.25">
      <c r="A1197"/>
    </row>
    <row r="1198" spans="1:1" x14ac:dyDescent="0.25">
      <c r="A1198"/>
    </row>
    <row r="1199" spans="1:1" x14ac:dyDescent="0.25">
      <c r="A1199"/>
    </row>
    <row r="1200" spans="1:1" x14ac:dyDescent="0.25">
      <c r="A1200"/>
    </row>
    <row r="1201" spans="1:1" x14ac:dyDescent="0.25">
      <c r="A1201"/>
    </row>
    <row r="1202" spans="1:1" x14ac:dyDescent="0.25">
      <c r="A1202"/>
    </row>
    <row r="1203" spans="1:1" x14ac:dyDescent="0.25">
      <c r="A1203"/>
    </row>
    <row r="1204" spans="1:1" x14ac:dyDescent="0.25">
      <c r="A1204"/>
    </row>
    <row r="1205" spans="1:1" x14ac:dyDescent="0.25">
      <c r="A1205"/>
    </row>
    <row r="1206" spans="1:1" x14ac:dyDescent="0.25">
      <c r="A1206"/>
    </row>
    <row r="1207" spans="1:1" x14ac:dyDescent="0.25">
      <c r="A1207"/>
    </row>
    <row r="1208" spans="1:1" x14ac:dyDescent="0.25">
      <c r="A1208"/>
    </row>
    <row r="1209" spans="1:1" x14ac:dyDescent="0.25">
      <c r="A1209"/>
    </row>
    <row r="1210" spans="1:1" x14ac:dyDescent="0.25">
      <c r="A1210"/>
    </row>
    <row r="1211" spans="1:1" x14ac:dyDescent="0.25">
      <c r="A1211"/>
    </row>
    <row r="1212" spans="1:1" x14ac:dyDescent="0.25">
      <c r="A1212"/>
    </row>
    <row r="1213" spans="1:1" x14ac:dyDescent="0.25">
      <c r="A1213"/>
    </row>
    <row r="1214" spans="1:1" x14ac:dyDescent="0.25">
      <c r="A1214"/>
    </row>
    <row r="1215" spans="1:1" x14ac:dyDescent="0.25">
      <c r="A1215"/>
    </row>
    <row r="1216" spans="1:1" x14ac:dyDescent="0.25">
      <c r="A1216"/>
    </row>
    <row r="1217" spans="1:1" x14ac:dyDescent="0.25">
      <c r="A1217"/>
    </row>
    <row r="1218" spans="1:1" x14ac:dyDescent="0.25">
      <c r="A1218"/>
    </row>
    <row r="1219" spans="1:1" x14ac:dyDescent="0.25">
      <c r="A1219"/>
    </row>
    <row r="1220" spans="1:1" x14ac:dyDescent="0.25">
      <c r="A1220"/>
    </row>
    <row r="1221" spans="1:1" x14ac:dyDescent="0.25">
      <c r="A1221"/>
    </row>
    <row r="1222" spans="1:1" x14ac:dyDescent="0.25">
      <c r="A1222"/>
    </row>
    <row r="1223" spans="1:1" x14ac:dyDescent="0.25">
      <c r="A1223"/>
    </row>
    <row r="1224" spans="1:1" x14ac:dyDescent="0.25">
      <c r="A1224"/>
    </row>
    <row r="1225" spans="1:1" x14ac:dyDescent="0.25">
      <c r="A1225"/>
    </row>
    <row r="1226" spans="1:1" x14ac:dyDescent="0.25">
      <c r="A1226"/>
    </row>
    <row r="1227" spans="1:1" x14ac:dyDescent="0.25">
      <c r="A1227"/>
    </row>
    <row r="1228" spans="1:1" x14ac:dyDescent="0.25">
      <c r="A1228"/>
    </row>
    <row r="1229" spans="1:1" x14ac:dyDescent="0.25">
      <c r="A1229"/>
    </row>
    <row r="1230" spans="1:1" x14ac:dyDescent="0.25">
      <c r="A1230"/>
    </row>
    <row r="1231" spans="1:1" x14ac:dyDescent="0.25">
      <c r="A1231"/>
    </row>
    <row r="1232" spans="1:1" x14ac:dyDescent="0.25">
      <c r="A1232"/>
    </row>
    <row r="1233" spans="1:1" x14ac:dyDescent="0.25">
      <c r="A1233"/>
    </row>
    <row r="1234" spans="1:1" x14ac:dyDescent="0.25">
      <c r="A1234"/>
    </row>
    <row r="1235" spans="1:1" x14ac:dyDescent="0.25">
      <c r="A1235"/>
    </row>
    <row r="1236" spans="1:1" x14ac:dyDescent="0.25">
      <c r="A1236"/>
    </row>
    <row r="1237" spans="1:1" x14ac:dyDescent="0.25">
      <c r="A1237"/>
    </row>
    <row r="1238" spans="1:1" x14ac:dyDescent="0.25">
      <c r="A1238"/>
    </row>
    <row r="1239" spans="1:1" x14ac:dyDescent="0.25">
      <c r="A1239"/>
    </row>
    <row r="1240" spans="1:1" x14ac:dyDescent="0.25">
      <c r="A1240"/>
    </row>
    <row r="1241" spans="1:1" x14ac:dyDescent="0.25">
      <c r="A1241"/>
    </row>
    <row r="1242" spans="1:1" x14ac:dyDescent="0.25">
      <c r="A1242"/>
    </row>
    <row r="1243" spans="1:1" x14ac:dyDescent="0.25">
      <c r="A1243"/>
    </row>
    <row r="1244" spans="1:1" x14ac:dyDescent="0.25">
      <c r="A1244"/>
    </row>
    <row r="1245" spans="1:1" x14ac:dyDescent="0.25">
      <c r="A1245"/>
    </row>
    <row r="1246" spans="1:1" x14ac:dyDescent="0.25">
      <c r="A1246"/>
    </row>
    <row r="1247" spans="1:1" x14ac:dyDescent="0.25">
      <c r="A1247"/>
    </row>
    <row r="1248" spans="1:1" x14ac:dyDescent="0.25">
      <c r="A1248"/>
    </row>
    <row r="1249" spans="1:1" x14ac:dyDescent="0.25">
      <c r="A1249"/>
    </row>
    <row r="1250" spans="1:1" x14ac:dyDescent="0.25">
      <c r="A1250"/>
    </row>
    <row r="1251" spans="1:1" x14ac:dyDescent="0.25">
      <c r="A1251"/>
    </row>
    <row r="1252" spans="1:1" x14ac:dyDescent="0.25">
      <c r="A1252"/>
    </row>
    <row r="1253" spans="1:1" x14ac:dyDescent="0.25">
      <c r="A1253"/>
    </row>
    <row r="1254" spans="1:1" x14ac:dyDescent="0.25">
      <c r="A1254"/>
    </row>
    <row r="1255" spans="1:1" x14ac:dyDescent="0.25">
      <c r="A1255"/>
    </row>
    <row r="1256" spans="1:1" x14ac:dyDescent="0.25">
      <c r="A1256"/>
    </row>
    <row r="1257" spans="1:1" x14ac:dyDescent="0.25">
      <c r="A1257"/>
    </row>
    <row r="1258" spans="1:1" x14ac:dyDescent="0.25">
      <c r="A1258"/>
    </row>
    <row r="1259" spans="1:1" x14ac:dyDescent="0.25">
      <c r="A1259"/>
    </row>
    <row r="1260" spans="1:1" x14ac:dyDescent="0.25">
      <c r="A1260"/>
    </row>
    <row r="1261" spans="1:1" x14ac:dyDescent="0.25">
      <c r="A1261"/>
    </row>
    <row r="1262" spans="1:1" x14ac:dyDescent="0.25">
      <c r="A1262"/>
    </row>
    <row r="1263" spans="1:1" x14ac:dyDescent="0.25">
      <c r="A1263"/>
    </row>
    <row r="1264" spans="1:1" x14ac:dyDescent="0.25">
      <c r="A1264"/>
    </row>
    <row r="1265" spans="1:1" x14ac:dyDescent="0.25">
      <c r="A1265"/>
    </row>
    <row r="1266" spans="1:1" x14ac:dyDescent="0.25">
      <c r="A1266"/>
    </row>
    <row r="1267" spans="1:1" x14ac:dyDescent="0.25">
      <c r="A1267"/>
    </row>
    <row r="1268" spans="1:1" x14ac:dyDescent="0.25">
      <c r="A1268"/>
    </row>
    <row r="1269" spans="1:1" x14ac:dyDescent="0.25">
      <c r="A1269"/>
    </row>
    <row r="1270" spans="1:1" x14ac:dyDescent="0.25">
      <c r="A1270"/>
    </row>
    <row r="1271" spans="1:1" x14ac:dyDescent="0.25">
      <c r="A1271"/>
    </row>
    <row r="1272" spans="1:1" x14ac:dyDescent="0.25">
      <c r="A1272"/>
    </row>
    <row r="1273" spans="1:1" x14ac:dyDescent="0.25">
      <c r="A1273"/>
    </row>
    <row r="1274" spans="1:1" x14ac:dyDescent="0.25">
      <c r="A1274"/>
    </row>
    <row r="1275" spans="1:1" x14ac:dyDescent="0.25">
      <c r="A1275"/>
    </row>
    <row r="1276" spans="1:1" x14ac:dyDescent="0.25">
      <c r="A1276"/>
    </row>
    <row r="1277" spans="1:1" x14ac:dyDescent="0.25">
      <c r="A1277"/>
    </row>
    <row r="1278" spans="1:1" x14ac:dyDescent="0.25">
      <c r="A1278"/>
    </row>
    <row r="1279" spans="1:1" x14ac:dyDescent="0.25">
      <c r="A1279"/>
    </row>
    <row r="1280" spans="1:1" x14ac:dyDescent="0.25">
      <c r="A1280"/>
    </row>
    <row r="1281" spans="1:1" x14ac:dyDescent="0.25">
      <c r="A1281"/>
    </row>
    <row r="1282" spans="1:1" x14ac:dyDescent="0.25">
      <c r="A1282"/>
    </row>
    <row r="1283" spans="1:1" x14ac:dyDescent="0.25">
      <c r="A1283"/>
    </row>
    <row r="1284" spans="1:1" x14ac:dyDescent="0.25">
      <c r="A1284"/>
    </row>
    <row r="1285" spans="1:1" x14ac:dyDescent="0.25">
      <c r="A1285"/>
    </row>
    <row r="1286" spans="1:1" x14ac:dyDescent="0.25">
      <c r="A1286"/>
    </row>
    <row r="1287" spans="1:1" x14ac:dyDescent="0.25">
      <c r="A1287"/>
    </row>
    <row r="1288" spans="1:1" x14ac:dyDescent="0.25">
      <c r="A1288"/>
    </row>
    <row r="1289" spans="1:1" x14ac:dyDescent="0.25">
      <c r="A1289"/>
    </row>
    <row r="1290" spans="1:1" x14ac:dyDescent="0.25">
      <c r="A1290"/>
    </row>
    <row r="1291" spans="1:1" x14ac:dyDescent="0.25">
      <c r="A1291"/>
    </row>
    <row r="1292" spans="1:1" x14ac:dyDescent="0.25">
      <c r="A1292"/>
    </row>
    <row r="1293" spans="1:1" x14ac:dyDescent="0.25">
      <c r="A1293"/>
    </row>
    <row r="1294" spans="1:1" x14ac:dyDescent="0.25">
      <c r="A1294"/>
    </row>
    <row r="1295" spans="1:1" x14ac:dyDescent="0.25">
      <c r="A1295"/>
    </row>
    <row r="1296" spans="1:1" x14ac:dyDescent="0.25">
      <c r="A1296"/>
    </row>
    <row r="1297" spans="1:1" x14ac:dyDescent="0.25">
      <c r="A1297"/>
    </row>
    <row r="1298" spans="1:1" x14ac:dyDescent="0.25">
      <c r="A1298"/>
    </row>
    <row r="1299" spans="1:1" x14ac:dyDescent="0.25">
      <c r="A1299"/>
    </row>
    <row r="1300" spans="1:1" x14ac:dyDescent="0.25">
      <c r="A1300"/>
    </row>
    <row r="1301" spans="1:1" x14ac:dyDescent="0.25">
      <c r="A1301"/>
    </row>
    <row r="1302" spans="1:1" x14ac:dyDescent="0.25">
      <c r="A1302"/>
    </row>
    <row r="1303" spans="1:1" x14ac:dyDescent="0.25">
      <c r="A1303"/>
    </row>
    <row r="1304" spans="1:1" x14ac:dyDescent="0.25">
      <c r="A1304"/>
    </row>
    <row r="1305" spans="1:1" x14ac:dyDescent="0.25">
      <c r="A1305"/>
    </row>
    <row r="1306" spans="1:1" x14ac:dyDescent="0.25">
      <c r="A1306"/>
    </row>
    <row r="1307" spans="1:1" x14ac:dyDescent="0.25">
      <c r="A1307"/>
    </row>
    <row r="1308" spans="1:1" x14ac:dyDescent="0.25">
      <c r="A1308"/>
    </row>
    <row r="1309" spans="1:1" x14ac:dyDescent="0.25">
      <c r="A1309"/>
    </row>
    <row r="1310" spans="1:1" x14ac:dyDescent="0.25">
      <c r="A1310"/>
    </row>
    <row r="1311" spans="1:1" x14ac:dyDescent="0.25">
      <c r="A1311"/>
    </row>
    <row r="1312" spans="1:1" x14ac:dyDescent="0.25">
      <c r="A1312"/>
    </row>
    <row r="1313" spans="1:1" x14ac:dyDescent="0.25">
      <c r="A1313"/>
    </row>
    <row r="1314" spans="1:1" x14ac:dyDescent="0.25">
      <c r="A1314"/>
    </row>
    <row r="1315" spans="1:1" x14ac:dyDescent="0.25">
      <c r="A1315"/>
    </row>
    <row r="1316" spans="1:1" x14ac:dyDescent="0.25">
      <c r="A1316"/>
    </row>
    <row r="1317" spans="1:1" x14ac:dyDescent="0.25">
      <c r="A1317"/>
    </row>
    <row r="1318" spans="1:1" x14ac:dyDescent="0.25">
      <c r="A1318"/>
    </row>
    <row r="1319" spans="1:1" x14ac:dyDescent="0.25">
      <c r="A1319"/>
    </row>
    <row r="1320" spans="1:1" x14ac:dyDescent="0.25">
      <c r="A1320"/>
    </row>
    <row r="1321" spans="1:1" x14ac:dyDescent="0.25">
      <c r="A1321"/>
    </row>
    <row r="1322" spans="1:1" x14ac:dyDescent="0.25">
      <c r="A1322"/>
    </row>
    <row r="1323" spans="1:1" x14ac:dyDescent="0.25">
      <c r="A1323"/>
    </row>
    <row r="1324" spans="1:1" x14ac:dyDescent="0.25">
      <c r="A1324"/>
    </row>
    <row r="1325" spans="1:1" x14ac:dyDescent="0.25">
      <c r="A1325"/>
    </row>
    <row r="1326" spans="1:1" x14ac:dyDescent="0.25">
      <c r="A1326"/>
    </row>
    <row r="1327" spans="1:1" x14ac:dyDescent="0.25">
      <c r="A1327"/>
    </row>
    <row r="1328" spans="1:1" x14ac:dyDescent="0.25">
      <c r="A1328"/>
    </row>
    <row r="1329" spans="1:1" x14ac:dyDescent="0.25">
      <c r="A1329"/>
    </row>
    <row r="1330" spans="1:1" x14ac:dyDescent="0.25">
      <c r="A1330"/>
    </row>
    <row r="1331" spans="1:1" x14ac:dyDescent="0.25">
      <c r="A1331"/>
    </row>
    <row r="1332" spans="1:1" x14ac:dyDescent="0.25">
      <c r="A1332"/>
    </row>
    <row r="1333" spans="1:1" x14ac:dyDescent="0.25">
      <c r="A1333"/>
    </row>
    <row r="1334" spans="1:1" x14ac:dyDescent="0.25">
      <c r="A1334"/>
    </row>
    <row r="1335" spans="1:1" x14ac:dyDescent="0.25">
      <c r="A1335"/>
    </row>
    <row r="1336" spans="1:1" x14ac:dyDescent="0.25">
      <c r="A1336"/>
    </row>
    <row r="1337" spans="1:1" x14ac:dyDescent="0.25">
      <c r="A1337"/>
    </row>
    <row r="1338" spans="1:1" x14ac:dyDescent="0.25">
      <c r="A1338"/>
    </row>
    <row r="1339" spans="1:1" x14ac:dyDescent="0.25">
      <c r="A1339"/>
    </row>
    <row r="1340" spans="1:1" x14ac:dyDescent="0.25">
      <c r="A1340"/>
    </row>
    <row r="1341" spans="1:1" x14ac:dyDescent="0.25">
      <c r="A1341"/>
    </row>
    <row r="1342" spans="1:1" x14ac:dyDescent="0.25">
      <c r="A1342"/>
    </row>
    <row r="1343" spans="1:1" x14ac:dyDescent="0.25">
      <c r="A1343"/>
    </row>
    <row r="1344" spans="1:1" x14ac:dyDescent="0.25">
      <c r="A1344"/>
    </row>
    <row r="1345" spans="1:1" x14ac:dyDescent="0.25">
      <c r="A1345"/>
    </row>
    <row r="1346" spans="1:1" x14ac:dyDescent="0.25">
      <c r="A1346"/>
    </row>
    <row r="1347" spans="1:1" x14ac:dyDescent="0.25">
      <c r="A1347"/>
    </row>
    <row r="1348" spans="1:1" x14ac:dyDescent="0.25">
      <c r="A1348"/>
    </row>
    <row r="1349" spans="1:1" x14ac:dyDescent="0.25">
      <c r="A1349"/>
    </row>
    <row r="1350" spans="1:1" x14ac:dyDescent="0.25">
      <c r="A1350"/>
    </row>
    <row r="1351" spans="1:1" x14ac:dyDescent="0.25">
      <c r="A1351"/>
    </row>
    <row r="1352" spans="1:1" x14ac:dyDescent="0.25">
      <c r="A1352"/>
    </row>
    <row r="1353" spans="1:1" x14ac:dyDescent="0.25">
      <c r="A1353"/>
    </row>
    <row r="1354" spans="1:1" x14ac:dyDescent="0.25">
      <c r="A1354"/>
    </row>
    <row r="1355" spans="1:1" x14ac:dyDescent="0.25">
      <c r="A1355"/>
    </row>
    <row r="1356" spans="1:1" x14ac:dyDescent="0.25">
      <c r="A1356"/>
    </row>
    <row r="1357" spans="1:1" x14ac:dyDescent="0.25">
      <c r="A1357"/>
    </row>
    <row r="1358" spans="1:1" x14ac:dyDescent="0.25">
      <c r="A1358"/>
    </row>
    <row r="1359" spans="1:1" x14ac:dyDescent="0.25">
      <c r="A1359"/>
    </row>
    <row r="1360" spans="1:1" x14ac:dyDescent="0.25">
      <c r="A1360"/>
    </row>
    <row r="1361" spans="1:1" x14ac:dyDescent="0.25">
      <c r="A1361"/>
    </row>
    <row r="1362" spans="1:1" x14ac:dyDescent="0.25">
      <c r="A1362"/>
    </row>
    <row r="1363" spans="1:1" x14ac:dyDescent="0.25">
      <c r="A1363"/>
    </row>
    <row r="1364" spans="1:1" x14ac:dyDescent="0.25">
      <c r="A1364"/>
    </row>
    <row r="1365" spans="1:1" x14ac:dyDescent="0.25">
      <c r="A1365"/>
    </row>
    <row r="1366" spans="1:1" x14ac:dyDescent="0.25">
      <c r="A1366"/>
    </row>
    <row r="1367" spans="1:1" x14ac:dyDescent="0.25">
      <c r="A1367"/>
    </row>
    <row r="1368" spans="1:1" x14ac:dyDescent="0.25">
      <c r="A1368"/>
    </row>
    <row r="1369" spans="1:1" x14ac:dyDescent="0.25">
      <c r="A1369"/>
    </row>
    <row r="1370" spans="1:1" x14ac:dyDescent="0.25">
      <c r="A1370"/>
    </row>
    <row r="1371" spans="1:1" x14ac:dyDescent="0.25">
      <c r="A1371"/>
    </row>
    <row r="1372" spans="1:1" x14ac:dyDescent="0.25">
      <c r="A1372"/>
    </row>
    <row r="1373" spans="1:1" x14ac:dyDescent="0.25">
      <c r="A1373"/>
    </row>
    <row r="1374" spans="1:1" x14ac:dyDescent="0.25">
      <c r="A1374"/>
    </row>
    <row r="1375" spans="1:1" x14ac:dyDescent="0.25">
      <c r="A1375"/>
    </row>
    <row r="1376" spans="1:1" x14ac:dyDescent="0.25">
      <c r="A1376"/>
    </row>
    <row r="1377" spans="1:1" x14ac:dyDescent="0.25">
      <c r="A1377"/>
    </row>
    <row r="1378" spans="1:1" x14ac:dyDescent="0.25">
      <c r="A1378"/>
    </row>
    <row r="1379" spans="1:1" x14ac:dyDescent="0.25">
      <c r="A1379"/>
    </row>
    <row r="1380" spans="1:1" x14ac:dyDescent="0.25">
      <c r="A1380"/>
    </row>
    <row r="1381" spans="1:1" x14ac:dyDescent="0.25">
      <c r="A1381"/>
    </row>
    <row r="1382" spans="1:1" x14ac:dyDescent="0.25">
      <c r="A1382"/>
    </row>
    <row r="1383" spans="1:1" x14ac:dyDescent="0.25">
      <c r="A1383"/>
    </row>
    <row r="1384" spans="1:1" x14ac:dyDescent="0.25">
      <c r="A1384"/>
    </row>
    <row r="1385" spans="1:1" x14ac:dyDescent="0.25">
      <c r="A1385"/>
    </row>
    <row r="1386" spans="1:1" x14ac:dyDescent="0.25">
      <c r="A1386"/>
    </row>
    <row r="1387" spans="1:1" x14ac:dyDescent="0.25">
      <c r="A1387"/>
    </row>
    <row r="1388" spans="1:1" x14ac:dyDescent="0.25">
      <c r="A1388"/>
    </row>
    <row r="1389" spans="1:1" x14ac:dyDescent="0.25">
      <c r="A1389"/>
    </row>
    <row r="1390" spans="1:1" x14ac:dyDescent="0.25">
      <c r="A1390"/>
    </row>
    <row r="1391" spans="1:1" x14ac:dyDescent="0.25">
      <c r="A1391"/>
    </row>
    <row r="1392" spans="1:1" x14ac:dyDescent="0.25">
      <c r="A1392"/>
    </row>
    <row r="1393" spans="1:1" x14ac:dyDescent="0.25">
      <c r="A1393"/>
    </row>
    <row r="1394" spans="1:1" x14ac:dyDescent="0.25">
      <c r="A1394"/>
    </row>
    <row r="1395" spans="1:1" x14ac:dyDescent="0.25">
      <c r="A1395"/>
    </row>
    <row r="1396" spans="1:1" x14ac:dyDescent="0.25">
      <c r="A1396"/>
    </row>
    <row r="1397" spans="1:1" x14ac:dyDescent="0.25">
      <c r="A1397"/>
    </row>
    <row r="1398" spans="1:1" x14ac:dyDescent="0.25">
      <c r="A1398"/>
    </row>
    <row r="1399" spans="1:1" x14ac:dyDescent="0.25">
      <c r="A1399"/>
    </row>
    <row r="1400" spans="1:1" x14ac:dyDescent="0.25">
      <c r="A1400"/>
    </row>
    <row r="1401" spans="1:1" x14ac:dyDescent="0.25">
      <c r="A1401"/>
    </row>
    <row r="1402" spans="1:1" x14ac:dyDescent="0.25">
      <c r="A1402"/>
    </row>
    <row r="1403" spans="1:1" x14ac:dyDescent="0.25">
      <c r="A1403"/>
    </row>
    <row r="1404" spans="1:1" x14ac:dyDescent="0.25">
      <c r="A1404"/>
    </row>
    <row r="1405" spans="1:1" x14ac:dyDescent="0.25">
      <c r="A1405"/>
    </row>
    <row r="1406" spans="1:1" x14ac:dyDescent="0.25">
      <c r="A1406"/>
    </row>
    <row r="1407" spans="1:1" x14ac:dyDescent="0.25">
      <c r="A1407"/>
    </row>
    <row r="1408" spans="1:1" x14ac:dyDescent="0.25">
      <c r="A1408"/>
    </row>
    <row r="1409" spans="1:1" x14ac:dyDescent="0.25">
      <c r="A1409"/>
    </row>
    <row r="1410" spans="1:1" x14ac:dyDescent="0.25">
      <c r="A1410"/>
    </row>
    <row r="1411" spans="1:1" x14ac:dyDescent="0.25">
      <c r="A1411"/>
    </row>
    <row r="1412" spans="1:1" x14ac:dyDescent="0.25">
      <c r="A1412"/>
    </row>
    <row r="1413" spans="1:1" x14ac:dyDescent="0.25">
      <c r="A1413"/>
    </row>
    <row r="1414" spans="1:1" x14ac:dyDescent="0.25">
      <c r="A1414"/>
    </row>
    <row r="1415" spans="1:1" x14ac:dyDescent="0.25">
      <c r="A1415"/>
    </row>
    <row r="1416" spans="1:1" x14ac:dyDescent="0.25">
      <c r="A1416"/>
    </row>
    <row r="1417" spans="1:1" x14ac:dyDescent="0.25">
      <c r="A1417"/>
    </row>
    <row r="1418" spans="1:1" x14ac:dyDescent="0.25">
      <c r="A1418"/>
    </row>
    <row r="1419" spans="1:1" x14ac:dyDescent="0.25">
      <c r="A1419"/>
    </row>
    <row r="1420" spans="1:1" x14ac:dyDescent="0.25">
      <c r="A1420"/>
    </row>
    <row r="1421" spans="1:1" x14ac:dyDescent="0.25">
      <c r="A1421"/>
    </row>
    <row r="1422" spans="1:1" x14ac:dyDescent="0.25">
      <c r="A1422"/>
    </row>
    <row r="1423" spans="1:1" x14ac:dyDescent="0.25">
      <c r="A1423"/>
    </row>
    <row r="1424" spans="1:1" x14ac:dyDescent="0.25">
      <c r="A1424"/>
    </row>
    <row r="1425" spans="1:1" x14ac:dyDescent="0.25">
      <c r="A1425"/>
    </row>
    <row r="1426" spans="1:1" x14ac:dyDescent="0.25">
      <c r="A1426"/>
    </row>
    <row r="1427" spans="1:1" x14ac:dyDescent="0.25">
      <c r="A1427"/>
    </row>
    <row r="1428" spans="1:1" x14ac:dyDescent="0.25">
      <c r="A1428"/>
    </row>
    <row r="1429" spans="1:1" x14ac:dyDescent="0.25">
      <c r="A1429"/>
    </row>
    <row r="1430" spans="1:1" x14ac:dyDescent="0.25">
      <c r="A1430"/>
    </row>
    <row r="1431" spans="1:1" x14ac:dyDescent="0.25">
      <c r="A1431"/>
    </row>
    <row r="1432" spans="1:1" x14ac:dyDescent="0.25">
      <c r="A1432"/>
    </row>
    <row r="1433" spans="1:1" x14ac:dyDescent="0.25">
      <c r="A1433"/>
    </row>
    <row r="1434" spans="1:1" x14ac:dyDescent="0.25">
      <c r="A1434"/>
    </row>
    <row r="1435" spans="1:1" x14ac:dyDescent="0.25">
      <c r="A1435"/>
    </row>
    <row r="1436" spans="1:1" x14ac:dyDescent="0.25">
      <c r="A1436"/>
    </row>
    <row r="1437" spans="1:1" x14ac:dyDescent="0.25">
      <c r="A1437"/>
    </row>
    <row r="1438" spans="1:1" x14ac:dyDescent="0.25">
      <c r="A1438"/>
    </row>
    <row r="1439" spans="1:1" x14ac:dyDescent="0.25">
      <c r="A1439"/>
    </row>
    <row r="1440" spans="1:1" x14ac:dyDescent="0.25">
      <c r="A1440"/>
    </row>
    <row r="1441" spans="1:1" x14ac:dyDescent="0.25">
      <c r="A1441"/>
    </row>
    <row r="1442" spans="1:1" x14ac:dyDescent="0.25">
      <c r="A1442"/>
    </row>
    <row r="1443" spans="1:1" x14ac:dyDescent="0.25">
      <c r="A1443"/>
    </row>
    <row r="1444" spans="1:1" x14ac:dyDescent="0.25">
      <c r="A1444"/>
    </row>
    <row r="1445" spans="1:1" x14ac:dyDescent="0.25">
      <c r="A1445"/>
    </row>
    <row r="1446" spans="1:1" x14ac:dyDescent="0.25">
      <c r="A1446"/>
    </row>
    <row r="1447" spans="1:1" x14ac:dyDescent="0.25">
      <c r="A1447"/>
    </row>
    <row r="1448" spans="1:1" x14ac:dyDescent="0.25">
      <c r="A1448"/>
    </row>
    <row r="1449" spans="1:1" x14ac:dyDescent="0.25">
      <c r="A1449"/>
    </row>
    <row r="1450" spans="1:1" x14ac:dyDescent="0.25">
      <c r="A1450"/>
    </row>
    <row r="1451" spans="1:1" x14ac:dyDescent="0.25">
      <c r="A1451"/>
    </row>
    <row r="1452" spans="1:1" x14ac:dyDescent="0.25">
      <c r="A1452"/>
    </row>
    <row r="1453" spans="1:1" x14ac:dyDescent="0.25">
      <c r="A1453"/>
    </row>
    <row r="1454" spans="1:1" x14ac:dyDescent="0.25">
      <c r="A1454"/>
    </row>
    <row r="1455" spans="1:1" x14ac:dyDescent="0.25">
      <c r="A1455"/>
    </row>
    <row r="1456" spans="1:1" x14ac:dyDescent="0.25">
      <c r="A1456"/>
    </row>
    <row r="1457" spans="1:1" x14ac:dyDescent="0.25">
      <c r="A1457"/>
    </row>
    <row r="1458" spans="1:1" x14ac:dyDescent="0.25">
      <c r="A1458"/>
    </row>
    <row r="1459" spans="1:1" x14ac:dyDescent="0.25">
      <c r="A1459"/>
    </row>
    <row r="1460" spans="1:1" x14ac:dyDescent="0.25">
      <c r="A1460"/>
    </row>
    <row r="1461" spans="1:1" x14ac:dyDescent="0.25">
      <c r="A1461"/>
    </row>
    <row r="1462" spans="1:1" x14ac:dyDescent="0.25">
      <c r="A1462"/>
    </row>
    <row r="1463" spans="1:1" x14ac:dyDescent="0.25">
      <c r="A1463"/>
    </row>
    <row r="1464" spans="1:1" x14ac:dyDescent="0.25">
      <c r="A1464"/>
    </row>
    <row r="1465" spans="1:1" x14ac:dyDescent="0.25">
      <c r="A1465"/>
    </row>
    <row r="1466" spans="1:1" x14ac:dyDescent="0.25">
      <c r="A1466"/>
    </row>
    <row r="1467" spans="1:1" x14ac:dyDescent="0.25">
      <c r="A1467"/>
    </row>
    <row r="1468" spans="1:1" x14ac:dyDescent="0.25">
      <c r="A1468"/>
    </row>
    <row r="1469" spans="1:1" x14ac:dyDescent="0.25">
      <c r="A1469"/>
    </row>
    <row r="1470" spans="1:1" x14ac:dyDescent="0.25">
      <c r="A1470"/>
    </row>
    <row r="1471" spans="1:1" x14ac:dyDescent="0.25">
      <c r="A1471"/>
    </row>
    <row r="1472" spans="1:1" x14ac:dyDescent="0.25">
      <c r="A1472"/>
    </row>
    <row r="1473" spans="1:1" x14ac:dyDescent="0.25">
      <c r="A1473"/>
    </row>
    <row r="1474" spans="1:1" x14ac:dyDescent="0.25">
      <c r="A1474"/>
    </row>
    <row r="1475" spans="1:1" x14ac:dyDescent="0.25">
      <c r="A1475"/>
    </row>
    <row r="1476" spans="1:1" x14ac:dyDescent="0.25">
      <c r="A1476"/>
    </row>
    <row r="1477" spans="1:1" x14ac:dyDescent="0.25">
      <c r="A1477"/>
    </row>
    <row r="1478" spans="1:1" x14ac:dyDescent="0.25">
      <c r="A1478"/>
    </row>
    <row r="1479" spans="1:1" x14ac:dyDescent="0.25">
      <c r="A1479"/>
    </row>
    <row r="1480" spans="1:1" x14ac:dyDescent="0.25">
      <c r="A1480"/>
    </row>
    <row r="1481" spans="1:1" x14ac:dyDescent="0.25">
      <c r="A1481"/>
    </row>
    <row r="1482" spans="1:1" x14ac:dyDescent="0.25">
      <c r="A1482"/>
    </row>
    <row r="1483" spans="1:1" x14ac:dyDescent="0.25">
      <c r="A1483"/>
    </row>
    <row r="1484" spans="1:1" x14ac:dyDescent="0.25">
      <c r="A1484"/>
    </row>
    <row r="1485" spans="1:1" x14ac:dyDescent="0.25">
      <c r="A1485"/>
    </row>
    <row r="1486" spans="1:1" x14ac:dyDescent="0.25">
      <c r="A1486"/>
    </row>
    <row r="1487" spans="1:1" x14ac:dyDescent="0.25">
      <c r="A1487"/>
    </row>
    <row r="1488" spans="1:1" x14ac:dyDescent="0.25">
      <c r="A1488"/>
    </row>
    <row r="1489" spans="1:1" x14ac:dyDescent="0.25">
      <c r="A1489"/>
    </row>
    <row r="1490" spans="1:1" x14ac:dyDescent="0.25">
      <c r="A1490"/>
    </row>
    <row r="1491" spans="1:1" x14ac:dyDescent="0.25">
      <c r="A1491"/>
    </row>
    <row r="1492" spans="1:1" x14ac:dyDescent="0.25">
      <c r="A1492"/>
    </row>
    <row r="1493" spans="1:1" x14ac:dyDescent="0.25">
      <c r="A1493"/>
    </row>
    <row r="1494" spans="1:1" x14ac:dyDescent="0.25">
      <c r="A1494"/>
    </row>
    <row r="1495" spans="1:1" x14ac:dyDescent="0.25">
      <c r="A1495"/>
    </row>
    <row r="1496" spans="1:1" x14ac:dyDescent="0.25">
      <c r="A1496"/>
    </row>
    <row r="1497" spans="1:1" x14ac:dyDescent="0.25">
      <c r="A1497"/>
    </row>
    <row r="1498" spans="1:1" x14ac:dyDescent="0.25">
      <c r="A1498"/>
    </row>
    <row r="1499" spans="1:1" x14ac:dyDescent="0.25">
      <c r="A1499"/>
    </row>
    <row r="1500" spans="1:1" x14ac:dyDescent="0.25">
      <c r="A1500"/>
    </row>
    <row r="1501" spans="1:1" x14ac:dyDescent="0.25">
      <c r="A1501"/>
    </row>
    <row r="1502" spans="1:1" x14ac:dyDescent="0.25">
      <c r="A1502"/>
    </row>
    <row r="1503" spans="1:1" x14ac:dyDescent="0.25">
      <c r="A1503"/>
    </row>
    <row r="1504" spans="1:1" x14ac:dyDescent="0.25">
      <c r="A1504"/>
    </row>
    <row r="1505" spans="1:1" x14ac:dyDescent="0.25">
      <c r="A1505"/>
    </row>
    <row r="1506" spans="1:1" x14ac:dyDescent="0.25">
      <c r="A1506"/>
    </row>
    <row r="1507" spans="1:1" x14ac:dyDescent="0.25">
      <c r="A1507"/>
    </row>
    <row r="1508" spans="1:1" x14ac:dyDescent="0.25">
      <c r="A1508"/>
    </row>
    <row r="1509" spans="1:1" x14ac:dyDescent="0.25">
      <c r="A1509"/>
    </row>
    <row r="1510" spans="1:1" x14ac:dyDescent="0.25">
      <c r="A1510"/>
    </row>
    <row r="1511" spans="1:1" x14ac:dyDescent="0.25">
      <c r="A1511"/>
    </row>
    <row r="1512" spans="1:1" x14ac:dyDescent="0.25">
      <c r="A1512"/>
    </row>
    <row r="1513" spans="1:1" x14ac:dyDescent="0.25">
      <c r="A1513"/>
    </row>
    <row r="1514" spans="1:1" x14ac:dyDescent="0.25">
      <c r="A1514"/>
    </row>
    <row r="1515" spans="1:1" x14ac:dyDescent="0.25">
      <c r="A1515"/>
    </row>
    <row r="1516" spans="1:1" x14ac:dyDescent="0.25">
      <c r="A1516"/>
    </row>
    <row r="1517" spans="1:1" x14ac:dyDescent="0.25">
      <c r="A1517"/>
    </row>
    <row r="1518" spans="1:1" x14ac:dyDescent="0.25">
      <c r="A1518"/>
    </row>
    <row r="1519" spans="1:1" x14ac:dyDescent="0.25">
      <c r="A1519"/>
    </row>
    <row r="1520" spans="1:1" x14ac:dyDescent="0.25">
      <c r="A1520"/>
    </row>
    <row r="1521" spans="1:1" x14ac:dyDescent="0.25">
      <c r="A1521"/>
    </row>
    <row r="1522" spans="1:1" x14ac:dyDescent="0.25">
      <c r="A1522"/>
    </row>
    <row r="1523" spans="1:1" x14ac:dyDescent="0.25">
      <c r="A1523"/>
    </row>
    <row r="1524" spans="1:1" x14ac:dyDescent="0.25">
      <c r="A1524"/>
    </row>
    <row r="1525" spans="1:1" x14ac:dyDescent="0.25">
      <c r="A1525"/>
    </row>
    <row r="1526" spans="1:1" x14ac:dyDescent="0.25">
      <c r="A1526"/>
    </row>
    <row r="1527" spans="1:1" x14ac:dyDescent="0.25">
      <c r="A1527"/>
    </row>
    <row r="1528" spans="1:1" x14ac:dyDescent="0.25">
      <c r="A1528"/>
    </row>
    <row r="1529" spans="1:1" x14ac:dyDescent="0.25">
      <c r="A1529"/>
    </row>
    <row r="1530" spans="1:1" x14ac:dyDescent="0.25">
      <c r="A1530"/>
    </row>
    <row r="1531" spans="1:1" x14ac:dyDescent="0.25">
      <c r="A1531"/>
    </row>
    <row r="1532" spans="1:1" x14ac:dyDescent="0.25">
      <c r="A1532"/>
    </row>
    <row r="1533" spans="1:1" x14ac:dyDescent="0.25">
      <c r="A1533"/>
    </row>
    <row r="1534" spans="1:1" x14ac:dyDescent="0.25">
      <c r="A1534"/>
    </row>
    <row r="1535" spans="1:1" x14ac:dyDescent="0.25">
      <c r="A1535"/>
    </row>
    <row r="1536" spans="1:1" x14ac:dyDescent="0.25">
      <c r="A1536"/>
    </row>
    <row r="1537" spans="1:1" x14ac:dyDescent="0.25">
      <c r="A1537"/>
    </row>
    <row r="1538" spans="1:1" x14ac:dyDescent="0.25">
      <c r="A1538"/>
    </row>
    <row r="1539" spans="1:1" x14ac:dyDescent="0.25">
      <c r="A1539"/>
    </row>
    <row r="1540" spans="1:1" x14ac:dyDescent="0.25">
      <c r="A1540"/>
    </row>
    <row r="1541" spans="1:1" x14ac:dyDescent="0.25">
      <c r="A1541"/>
    </row>
    <row r="1542" spans="1:1" x14ac:dyDescent="0.25">
      <c r="A1542"/>
    </row>
    <row r="1543" spans="1:1" x14ac:dyDescent="0.25">
      <c r="A1543"/>
    </row>
    <row r="1544" spans="1:1" x14ac:dyDescent="0.25">
      <c r="A1544"/>
    </row>
    <row r="1545" spans="1:1" x14ac:dyDescent="0.25">
      <c r="A1545"/>
    </row>
    <row r="1546" spans="1:1" x14ac:dyDescent="0.25">
      <c r="A1546"/>
    </row>
    <row r="1547" spans="1:1" x14ac:dyDescent="0.25">
      <c r="A1547"/>
    </row>
    <row r="1548" spans="1:1" x14ac:dyDescent="0.25">
      <c r="A1548"/>
    </row>
    <row r="1549" spans="1:1" x14ac:dyDescent="0.25">
      <c r="A1549"/>
    </row>
    <row r="1550" spans="1:1" x14ac:dyDescent="0.25">
      <c r="A1550"/>
    </row>
    <row r="1551" spans="1:1" x14ac:dyDescent="0.25">
      <c r="A1551"/>
    </row>
    <row r="1552" spans="1:1" x14ac:dyDescent="0.25">
      <c r="A1552"/>
    </row>
    <row r="1553" spans="1:1" x14ac:dyDescent="0.25">
      <c r="A1553"/>
    </row>
    <row r="1554" spans="1:1" x14ac:dyDescent="0.25">
      <c r="A1554"/>
    </row>
    <row r="1555" spans="1:1" x14ac:dyDescent="0.25">
      <c r="A1555"/>
    </row>
    <row r="1556" spans="1:1" x14ac:dyDescent="0.25">
      <c r="A1556"/>
    </row>
    <row r="1557" spans="1:1" x14ac:dyDescent="0.25">
      <c r="A1557"/>
    </row>
    <row r="1558" spans="1:1" x14ac:dyDescent="0.25">
      <c r="A1558"/>
    </row>
    <row r="1559" spans="1:1" x14ac:dyDescent="0.25">
      <c r="A1559"/>
    </row>
    <row r="1560" spans="1:1" x14ac:dyDescent="0.25">
      <c r="A1560"/>
    </row>
    <row r="1561" spans="1:1" x14ac:dyDescent="0.25">
      <c r="A1561"/>
    </row>
    <row r="1562" spans="1:1" x14ac:dyDescent="0.25">
      <c r="A1562"/>
    </row>
    <row r="1563" spans="1:1" x14ac:dyDescent="0.25">
      <c r="A1563"/>
    </row>
    <row r="1564" spans="1:1" x14ac:dyDescent="0.25">
      <c r="A1564"/>
    </row>
    <row r="1565" spans="1:1" x14ac:dyDescent="0.25">
      <c r="A1565"/>
    </row>
    <row r="1566" spans="1:1" x14ac:dyDescent="0.25">
      <c r="A1566"/>
    </row>
    <row r="1567" spans="1:1" x14ac:dyDescent="0.25">
      <c r="A1567"/>
    </row>
    <row r="1568" spans="1:1" x14ac:dyDescent="0.25">
      <c r="A1568"/>
    </row>
    <row r="1569" spans="1:1" x14ac:dyDescent="0.25">
      <c r="A1569"/>
    </row>
    <row r="1570" spans="1:1" x14ac:dyDescent="0.25">
      <c r="A1570"/>
    </row>
    <row r="1571" spans="1:1" x14ac:dyDescent="0.25">
      <c r="A1571"/>
    </row>
    <row r="1572" spans="1:1" x14ac:dyDescent="0.25">
      <c r="A1572"/>
    </row>
    <row r="1573" spans="1:1" x14ac:dyDescent="0.25">
      <c r="A1573"/>
    </row>
    <row r="1574" spans="1:1" x14ac:dyDescent="0.25">
      <c r="A1574"/>
    </row>
    <row r="1575" spans="1:1" x14ac:dyDescent="0.25">
      <c r="A1575"/>
    </row>
    <row r="1576" spans="1:1" x14ac:dyDescent="0.25">
      <c r="A1576"/>
    </row>
    <row r="1577" spans="1:1" x14ac:dyDescent="0.25">
      <c r="A1577"/>
    </row>
    <row r="1578" spans="1:1" x14ac:dyDescent="0.25">
      <c r="A1578"/>
    </row>
    <row r="1579" spans="1:1" x14ac:dyDescent="0.25">
      <c r="A1579"/>
    </row>
    <row r="1580" spans="1:1" x14ac:dyDescent="0.25">
      <c r="A1580"/>
    </row>
    <row r="1581" spans="1:1" x14ac:dyDescent="0.25">
      <c r="A1581"/>
    </row>
    <row r="1582" spans="1:1" x14ac:dyDescent="0.25">
      <c r="A1582"/>
    </row>
    <row r="1583" spans="1:1" x14ac:dyDescent="0.25">
      <c r="A1583"/>
    </row>
    <row r="1584" spans="1:1" x14ac:dyDescent="0.25">
      <c r="A1584"/>
    </row>
    <row r="1585" spans="1:1" x14ac:dyDescent="0.25">
      <c r="A1585"/>
    </row>
    <row r="1586" spans="1:1" x14ac:dyDescent="0.25">
      <c r="A1586"/>
    </row>
    <row r="1587" spans="1:1" x14ac:dyDescent="0.25">
      <c r="A1587"/>
    </row>
    <row r="1588" spans="1:1" x14ac:dyDescent="0.25">
      <c r="A1588"/>
    </row>
    <row r="1589" spans="1:1" x14ac:dyDescent="0.25">
      <c r="A1589"/>
    </row>
    <row r="1590" spans="1:1" x14ac:dyDescent="0.25">
      <c r="A1590"/>
    </row>
    <row r="1591" spans="1:1" x14ac:dyDescent="0.25">
      <c r="A1591"/>
    </row>
    <row r="1592" spans="1:1" x14ac:dyDescent="0.25">
      <c r="A1592"/>
    </row>
    <row r="1593" spans="1:1" x14ac:dyDescent="0.25">
      <c r="A1593"/>
    </row>
    <row r="1594" spans="1:1" x14ac:dyDescent="0.25">
      <c r="A1594"/>
    </row>
    <row r="1595" spans="1:1" x14ac:dyDescent="0.25">
      <c r="A1595"/>
    </row>
    <row r="1596" spans="1:1" x14ac:dyDescent="0.25">
      <c r="A1596"/>
    </row>
    <row r="1597" spans="1:1" x14ac:dyDescent="0.25">
      <c r="A1597"/>
    </row>
    <row r="1598" spans="1:1" x14ac:dyDescent="0.25">
      <c r="A1598"/>
    </row>
    <row r="1599" spans="1:1" x14ac:dyDescent="0.25">
      <c r="A1599"/>
    </row>
    <row r="1600" spans="1:1" x14ac:dyDescent="0.25">
      <c r="A1600"/>
    </row>
    <row r="1601" spans="1:1" x14ac:dyDescent="0.25">
      <c r="A1601"/>
    </row>
    <row r="1602" spans="1:1" x14ac:dyDescent="0.25">
      <c r="A1602"/>
    </row>
    <row r="1603" spans="1:1" x14ac:dyDescent="0.25">
      <c r="A1603"/>
    </row>
    <row r="1604" spans="1:1" x14ac:dyDescent="0.25">
      <c r="A1604"/>
    </row>
    <row r="1605" spans="1:1" x14ac:dyDescent="0.25">
      <c r="A1605"/>
    </row>
    <row r="1606" spans="1:1" x14ac:dyDescent="0.25">
      <c r="A1606"/>
    </row>
    <row r="1607" spans="1:1" x14ac:dyDescent="0.25">
      <c r="A1607"/>
    </row>
    <row r="1608" spans="1:1" x14ac:dyDescent="0.25">
      <c r="A1608"/>
    </row>
    <row r="1609" spans="1:1" x14ac:dyDescent="0.25">
      <c r="A1609"/>
    </row>
    <row r="1610" spans="1:1" x14ac:dyDescent="0.25">
      <c r="A1610"/>
    </row>
    <row r="1611" spans="1:1" x14ac:dyDescent="0.25">
      <c r="A1611"/>
    </row>
    <row r="1612" spans="1:1" x14ac:dyDescent="0.25">
      <c r="A1612"/>
    </row>
    <row r="1613" spans="1:1" x14ac:dyDescent="0.25">
      <c r="A1613"/>
    </row>
    <row r="1614" spans="1:1" x14ac:dyDescent="0.25">
      <c r="A1614"/>
    </row>
    <row r="1615" spans="1:1" x14ac:dyDescent="0.25">
      <c r="A1615"/>
    </row>
    <row r="1616" spans="1:1" x14ac:dyDescent="0.25">
      <c r="A1616"/>
    </row>
    <row r="1617" spans="1:1" x14ac:dyDescent="0.25">
      <c r="A1617"/>
    </row>
    <row r="1618" spans="1:1" x14ac:dyDescent="0.25">
      <c r="A1618"/>
    </row>
    <row r="1619" spans="1:1" x14ac:dyDescent="0.25">
      <c r="A1619"/>
    </row>
    <row r="1620" spans="1:1" x14ac:dyDescent="0.25">
      <c r="A1620"/>
    </row>
    <row r="1621" spans="1:1" x14ac:dyDescent="0.25">
      <c r="A1621"/>
    </row>
    <row r="1622" spans="1:1" x14ac:dyDescent="0.25">
      <c r="A1622"/>
    </row>
    <row r="1623" spans="1:1" x14ac:dyDescent="0.25">
      <c r="A1623"/>
    </row>
    <row r="1624" spans="1:1" x14ac:dyDescent="0.25">
      <c r="A1624"/>
    </row>
    <row r="1625" spans="1:1" x14ac:dyDescent="0.25">
      <c r="A1625"/>
    </row>
    <row r="1626" spans="1:1" x14ac:dyDescent="0.25">
      <c r="A1626"/>
    </row>
    <row r="1627" spans="1:1" x14ac:dyDescent="0.25">
      <c r="A1627"/>
    </row>
    <row r="1628" spans="1:1" x14ac:dyDescent="0.25">
      <c r="A1628"/>
    </row>
    <row r="1629" spans="1:1" x14ac:dyDescent="0.25">
      <c r="A1629"/>
    </row>
    <row r="1630" spans="1:1" x14ac:dyDescent="0.25">
      <c r="A1630"/>
    </row>
    <row r="1631" spans="1:1" x14ac:dyDescent="0.25">
      <c r="A1631"/>
    </row>
    <row r="1632" spans="1:1" x14ac:dyDescent="0.25">
      <c r="A1632"/>
    </row>
    <row r="1633" spans="1:1" x14ac:dyDescent="0.25">
      <c r="A1633"/>
    </row>
    <row r="1634" spans="1:1" x14ac:dyDescent="0.25">
      <c r="A1634"/>
    </row>
    <row r="1635" spans="1:1" x14ac:dyDescent="0.25">
      <c r="A1635"/>
    </row>
    <row r="1636" spans="1:1" x14ac:dyDescent="0.25">
      <c r="A1636"/>
    </row>
    <row r="1637" spans="1:1" x14ac:dyDescent="0.25">
      <c r="A1637"/>
    </row>
    <row r="1638" spans="1:1" x14ac:dyDescent="0.25">
      <c r="A1638"/>
    </row>
    <row r="1639" spans="1:1" x14ac:dyDescent="0.25">
      <c r="A1639"/>
    </row>
    <row r="1640" spans="1:1" x14ac:dyDescent="0.25">
      <c r="A1640"/>
    </row>
    <row r="1641" spans="1:1" x14ac:dyDescent="0.25">
      <c r="A1641"/>
    </row>
    <row r="1642" spans="1:1" x14ac:dyDescent="0.25">
      <c r="A1642"/>
    </row>
    <row r="1643" spans="1:1" x14ac:dyDescent="0.25">
      <c r="A1643"/>
    </row>
    <row r="1644" spans="1:1" x14ac:dyDescent="0.25">
      <c r="A1644"/>
    </row>
    <row r="1645" spans="1:1" x14ac:dyDescent="0.25">
      <c r="A1645"/>
    </row>
    <row r="1646" spans="1:1" x14ac:dyDescent="0.25">
      <c r="A1646"/>
    </row>
    <row r="1647" spans="1:1" x14ac:dyDescent="0.25">
      <c r="A1647"/>
    </row>
    <row r="1648" spans="1:1" x14ac:dyDescent="0.25">
      <c r="A1648"/>
    </row>
    <row r="1649" spans="1:1" x14ac:dyDescent="0.25">
      <c r="A1649"/>
    </row>
    <row r="1650" spans="1:1" x14ac:dyDescent="0.25">
      <c r="A1650"/>
    </row>
    <row r="1651" spans="1:1" x14ac:dyDescent="0.25">
      <c r="A1651"/>
    </row>
    <row r="1652" spans="1:1" x14ac:dyDescent="0.25">
      <c r="A1652"/>
    </row>
    <row r="1653" spans="1:1" x14ac:dyDescent="0.25">
      <c r="A1653"/>
    </row>
    <row r="1654" spans="1:1" x14ac:dyDescent="0.25">
      <c r="A1654"/>
    </row>
    <row r="1655" spans="1:1" x14ac:dyDescent="0.25">
      <c r="A1655"/>
    </row>
    <row r="1656" spans="1:1" x14ac:dyDescent="0.25">
      <c r="A1656"/>
    </row>
    <row r="1657" spans="1:1" x14ac:dyDescent="0.25">
      <c r="A1657"/>
    </row>
    <row r="1658" spans="1:1" x14ac:dyDescent="0.25">
      <c r="A1658"/>
    </row>
    <row r="1659" spans="1:1" x14ac:dyDescent="0.25">
      <c r="A1659"/>
    </row>
    <row r="1660" spans="1:1" x14ac:dyDescent="0.25">
      <c r="A1660"/>
    </row>
    <row r="1661" spans="1:1" x14ac:dyDescent="0.25">
      <c r="A1661"/>
    </row>
    <row r="1662" spans="1:1" x14ac:dyDescent="0.25">
      <c r="A1662"/>
    </row>
    <row r="1663" spans="1:1" x14ac:dyDescent="0.25">
      <c r="A1663"/>
    </row>
    <row r="1664" spans="1:1" x14ac:dyDescent="0.25">
      <c r="A1664"/>
    </row>
    <row r="1665" spans="1:1" x14ac:dyDescent="0.25">
      <c r="A1665"/>
    </row>
    <row r="1666" spans="1:1" x14ac:dyDescent="0.25">
      <c r="A1666"/>
    </row>
    <row r="1667" spans="1:1" x14ac:dyDescent="0.25">
      <c r="A1667"/>
    </row>
    <row r="1668" spans="1:1" x14ac:dyDescent="0.25">
      <c r="A1668"/>
    </row>
    <row r="1669" spans="1:1" x14ac:dyDescent="0.25">
      <c r="A1669"/>
    </row>
    <row r="1670" spans="1:1" x14ac:dyDescent="0.25">
      <c r="A1670"/>
    </row>
    <row r="1671" spans="1:1" x14ac:dyDescent="0.25">
      <c r="A1671"/>
    </row>
    <row r="1672" spans="1:1" x14ac:dyDescent="0.25">
      <c r="A1672"/>
    </row>
    <row r="1673" spans="1:1" x14ac:dyDescent="0.25">
      <c r="A1673"/>
    </row>
    <row r="1674" spans="1:1" x14ac:dyDescent="0.25">
      <c r="A1674"/>
    </row>
    <row r="1675" spans="1:1" x14ac:dyDescent="0.25">
      <c r="A1675"/>
    </row>
    <row r="1676" spans="1:1" x14ac:dyDescent="0.25">
      <c r="A1676"/>
    </row>
    <row r="1677" spans="1:1" x14ac:dyDescent="0.25">
      <c r="A1677"/>
    </row>
    <row r="1678" spans="1:1" x14ac:dyDescent="0.25">
      <c r="A1678"/>
    </row>
    <row r="1679" spans="1:1" x14ac:dyDescent="0.25">
      <c r="A1679"/>
    </row>
    <row r="1680" spans="1:1" x14ac:dyDescent="0.25">
      <c r="A1680"/>
    </row>
    <row r="1681" spans="1:1" x14ac:dyDescent="0.25">
      <c r="A1681"/>
    </row>
    <row r="1682" spans="1:1" x14ac:dyDescent="0.25">
      <c r="A1682"/>
    </row>
    <row r="1683" spans="1:1" x14ac:dyDescent="0.25">
      <c r="A1683"/>
    </row>
    <row r="1684" spans="1:1" x14ac:dyDescent="0.25">
      <c r="A1684"/>
    </row>
    <row r="1685" spans="1:1" x14ac:dyDescent="0.25">
      <c r="A1685"/>
    </row>
    <row r="1686" spans="1:1" x14ac:dyDescent="0.25">
      <c r="A1686"/>
    </row>
    <row r="1687" spans="1:1" x14ac:dyDescent="0.25">
      <c r="A1687"/>
    </row>
    <row r="1688" spans="1:1" x14ac:dyDescent="0.25">
      <c r="A1688"/>
    </row>
    <row r="1689" spans="1:1" x14ac:dyDescent="0.25">
      <c r="A1689"/>
    </row>
    <row r="1690" spans="1:1" x14ac:dyDescent="0.25">
      <c r="A1690"/>
    </row>
    <row r="1691" spans="1:1" x14ac:dyDescent="0.25">
      <c r="A1691"/>
    </row>
    <row r="1692" spans="1:1" x14ac:dyDescent="0.25">
      <c r="A1692"/>
    </row>
    <row r="1693" spans="1:1" x14ac:dyDescent="0.25">
      <c r="A1693"/>
    </row>
    <row r="1694" spans="1:1" x14ac:dyDescent="0.25">
      <c r="A1694"/>
    </row>
    <row r="1695" spans="1:1" x14ac:dyDescent="0.25">
      <c r="A1695"/>
    </row>
    <row r="1696" spans="1:1" x14ac:dyDescent="0.25">
      <c r="A1696"/>
    </row>
    <row r="1697" spans="1:1" x14ac:dyDescent="0.25">
      <c r="A1697"/>
    </row>
    <row r="1698" spans="1:1" x14ac:dyDescent="0.25">
      <c r="A1698"/>
    </row>
    <row r="1699" spans="1:1" x14ac:dyDescent="0.25">
      <c r="A1699"/>
    </row>
    <row r="1700" spans="1:1" x14ac:dyDescent="0.25">
      <c r="A1700"/>
    </row>
    <row r="1701" spans="1:1" x14ac:dyDescent="0.25">
      <c r="A1701"/>
    </row>
    <row r="1702" spans="1:1" x14ac:dyDescent="0.25">
      <c r="A1702"/>
    </row>
    <row r="1703" spans="1:1" x14ac:dyDescent="0.25">
      <c r="A1703"/>
    </row>
    <row r="1704" spans="1:1" x14ac:dyDescent="0.25">
      <c r="A1704"/>
    </row>
    <row r="1705" spans="1:1" x14ac:dyDescent="0.25">
      <c r="A1705"/>
    </row>
    <row r="1706" spans="1:1" x14ac:dyDescent="0.25">
      <c r="A1706"/>
    </row>
    <row r="1707" spans="1:1" x14ac:dyDescent="0.25">
      <c r="A1707"/>
    </row>
    <row r="1708" spans="1:1" x14ac:dyDescent="0.25">
      <c r="A1708"/>
    </row>
    <row r="1709" spans="1:1" x14ac:dyDescent="0.25">
      <c r="A1709"/>
    </row>
    <row r="1710" spans="1:1" x14ac:dyDescent="0.25">
      <c r="A1710"/>
    </row>
    <row r="1711" spans="1:1" x14ac:dyDescent="0.25">
      <c r="A1711"/>
    </row>
    <row r="1712" spans="1:1" x14ac:dyDescent="0.25">
      <c r="A1712"/>
    </row>
    <row r="1713" spans="1:1" x14ac:dyDescent="0.25">
      <c r="A1713"/>
    </row>
    <row r="1714" spans="1:1" x14ac:dyDescent="0.25">
      <c r="A1714"/>
    </row>
    <row r="1715" spans="1:1" x14ac:dyDescent="0.25">
      <c r="A1715"/>
    </row>
    <row r="1716" spans="1:1" x14ac:dyDescent="0.25">
      <c r="A1716"/>
    </row>
    <row r="1717" spans="1:1" x14ac:dyDescent="0.25">
      <c r="A1717"/>
    </row>
    <row r="1718" spans="1:1" x14ac:dyDescent="0.25">
      <c r="A1718"/>
    </row>
    <row r="1719" spans="1:1" x14ac:dyDescent="0.25">
      <c r="A1719"/>
    </row>
    <row r="1720" spans="1:1" x14ac:dyDescent="0.25">
      <c r="A1720"/>
    </row>
    <row r="1721" spans="1:1" x14ac:dyDescent="0.25">
      <c r="A1721"/>
    </row>
    <row r="1722" spans="1:1" x14ac:dyDescent="0.25">
      <c r="A1722"/>
    </row>
    <row r="1723" spans="1:1" x14ac:dyDescent="0.25">
      <c r="A1723"/>
    </row>
    <row r="1724" spans="1:1" x14ac:dyDescent="0.25">
      <c r="A1724"/>
    </row>
    <row r="1725" spans="1:1" x14ac:dyDescent="0.25">
      <c r="A1725"/>
    </row>
    <row r="1726" spans="1:1" x14ac:dyDescent="0.25">
      <c r="A1726"/>
    </row>
    <row r="1727" spans="1:1" x14ac:dyDescent="0.25">
      <c r="A1727"/>
    </row>
    <row r="1728" spans="1:1" x14ac:dyDescent="0.25">
      <c r="A1728"/>
    </row>
    <row r="1729" spans="1:1" x14ac:dyDescent="0.25">
      <c r="A1729"/>
    </row>
    <row r="1730" spans="1:1" x14ac:dyDescent="0.25">
      <c r="A1730"/>
    </row>
    <row r="1731" spans="1:1" x14ac:dyDescent="0.25">
      <c r="A1731"/>
    </row>
    <row r="1732" spans="1:1" x14ac:dyDescent="0.25">
      <c r="A1732"/>
    </row>
    <row r="1733" spans="1:1" x14ac:dyDescent="0.25">
      <c r="A1733"/>
    </row>
    <row r="1734" spans="1:1" x14ac:dyDescent="0.25">
      <c r="A1734"/>
    </row>
    <row r="1735" spans="1:1" x14ac:dyDescent="0.25">
      <c r="A1735"/>
    </row>
    <row r="1736" spans="1:1" x14ac:dyDescent="0.25">
      <c r="A1736"/>
    </row>
    <row r="1737" spans="1:1" x14ac:dyDescent="0.25">
      <c r="A1737"/>
    </row>
    <row r="1738" spans="1:1" x14ac:dyDescent="0.25">
      <c r="A1738"/>
    </row>
    <row r="1739" spans="1:1" x14ac:dyDescent="0.25">
      <c r="A1739"/>
    </row>
    <row r="1740" spans="1:1" x14ac:dyDescent="0.25">
      <c r="A1740"/>
    </row>
    <row r="1741" spans="1:1" x14ac:dyDescent="0.25">
      <c r="A1741"/>
    </row>
    <row r="1742" spans="1:1" x14ac:dyDescent="0.25">
      <c r="A1742"/>
    </row>
    <row r="1743" spans="1:1" x14ac:dyDescent="0.25">
      <c r="A1743"/>
    </row>
    <row r="1744" spans="1:1" x14ac:dyDescent="0.25">
      <c r="A1744"/>
    </row>
    <row r="1745" spans="1:1" x14ac:dyDescent="0.25">
      <c r="A1745"/>
    </row>
    <row r="1746" spans="1:1" x14ac:dyDescent="0.25">
      <c r="A1746"/>
    </row>
    <row r="1747" spans="1:1" x14ac:dyDescent="0.25">
      <c r="A1747"/>
    </row>
    <row r="1748" spans="1:1" x14ac:dyDescent="0.25">
      <c r="A1748"/>
    </row>
    <row r="1749" spans="1:1" x14ac:dyDescent="0.25">
      <c r="A1749"/>
    </row>
    <row r="1750" spans="1:1" x14ac:dyDescent="0.25">
      <c r="A1750"/>
    </row>
    <row r="1751" spans="1:1" x14ac:dyDescent="0.25">
      <c r="A1751"/>
    </row>
    <row r="1752" spans="1:1" x14ac:dyDescent="0.25">
      <c r="A1752"/>
    </row>
    <row r="1753" spans="1:1" x14ac:dyDescent="0.25">
      <c r="A1753"/>
    </row>
    <row r="1754" spans="1:1" x14ac:dyDescent="0.25">
      <c r="A1754"/>
    </row>
    <row r="1755" spans="1:1" x14ac:dyDescent="0.25">
      <c r="A1755"/>
    </row>
    <row r="1756" spans="1:1" x14ac:dyDescent="0.25">
      <c r="A1756"/>
    </row>
    <row r="1757" spans="1:1" x14ac:dyDescent="0.25">
      <c r="A1757"/>
    </row>
    <row r="1758" spans="1:1" x14ac:dyDescent="0.25">
      <c r="A1758"/>
    </row>
    <row r="1759" spans="1:1" x14ac:dyDescent="0.25">
      <c r="A1759"/>
    </row>
    <row r="1760" spans="1:1" x14ac:dyDescent="0.25">
      <c r="A1760"/>
    </row>
    <row r="1761" spans="1:1" x14ac:dyDescent="0.25">
      <c r="A1761"/>
    </row>
    <row r="1762" spans="1:1" x14ac:dyDescent="0.25">
      <c r="A1762"/>
    </row>
    <row r="1763" spans="1:1" x14ac:dyDescent="0.25">
      <c r="A1763"/>
    </row>
    <row r="1764" spans="1:1" x14ac:dyDescent="0.25">
      <c r="A1764"/>
    </row>
    <row r="1765" spans="1:1" x14ac:dyDescent="0.25">
      <c r="A1765"/>
    </row>
    <row r="1766" spans="1:1" x14ac:dyDescent="0.25">
      <c r="A1766"/>
    </row>
    <row r="1767" spans="1:1" x14ac:dyDescent="0.25">
      <c r="A1767"/>
    </row>
    <row r="1768" spans="1:1" x14ac:dyDescent="0.25">
      <c r="A1768"/>
    </row>
    <row r="1769" spans="1:1" x14ac:dyDescent="0.25">
      <c r="A1769"/>
    </row>
    <row r="1770" spans="1:1" x14ac:dyDescent="0.25">
      <c r="A1770"/>
    </row>
    <row r="1771" spans="1:1" x14ac:dyDescent="0.25">
      <c r="A1771"/>
    </row>
    <row r="1772" spans="1:1" x14ac:dyDescent="0.25">
      <c r="A1772"/>
    </row>
    <row r="1773" spans="1:1" x14ac:dyDescent="0.25">
      <c r="A1773"/>
    </row>
    <row r="1774" spans="1:1" x14ac:dyDescent="0.25">
      <c r="A1774"/>
    </row>
    <row r="1775" spans="1:1" x14ac:dyDescent="0.25">
      <c r="A1775"/>
    </row>
    <row r="1776" spans="1:1" x14ac:dyDescent="0.25">
      <c r="A1776"/>
    </row>
    <row r="1777" spans="1:1" x14ac:dyDescent="0.25">
      <c r="A1777"/>
    </row>
    <row r="1778" spans="1:1" x14ac:dyDescent="0.25">
      <c r="A1778"/>
    </row>
    <row r="1779" spans="1:1" x14ac:dyDescent="0.25">
      <c r="A1779"/>
    </row>
    <row r="1780" spans="1:1" x14ac:dyDescent="0.25">
      <c r="A1780"/>
    </row>
    <row r="1781" spans="1:1" x14ac:dyDescent="0.25">
      <c r="A1781"/>
    </row>
    <row r="1782" spans="1:1" x14ac:dyDescent="0.25">
      <c r="A1782"/>
    </row>
    <row r="1783" spans="1:1" x14ac:dyDescent="0.25">
      <c r="A1783"/>
    </row>
    <row r="1784" spans="1:1" x14ac:dyDescent="0.25">
      <c r="A1784"/>
    </row>
    <row r="1785" spans="1:1" x14ac:dyDescent="0.25">
      <c r="A1785"/>
    </row>
    <row r="1786" spans="1:1" x14ac:dyDescent="0.25">
      <c r="A1786"/>
    </row>
    <row r="1787" spans="1:1" x14ac:dyDescent="0.25">
      <c r="A1787"/>
    </row>
    <row r="1788" spans="1:1" x14ac:dyDescent="0.25">
      <c r="A1788"/>
    </row>
    <row r="1789" spans="1:1" x14ac:dyDescent="0.25">
      <c r="A1789"/>
    </row>
    <row r="1790" spans="1:1" x14ac:dyDescent="0.25">
      <c r="A1790"/>
    </row>
    <row r="1791" spans="1:1" x14ac:dyDescent="0.25">
      <c r="A1791"/>
    </row>
    <row r="1792" spans="1:1" x14ac:dyDescent="0.25">
      <c r="A1792"/>
    </row>
    <row r="1793" spans="1:1" x14ac:dyDescent="0.25">
      <c r="A1793"/>
    </row>
    <row r="1794" spans="1:1" x14ac:dyDescent="0.25">
      <c r="A1794"/>
    </row>
    <row r="1795" spans="1:1" x14ac:dyDescent="0.25">
      <c r="A1795"/>
    </row>
    <row r="1796" spans="1:1" x14ac:dyDescent="0.25">
      <c r="A1796"/>
    </row>
    <row r="1797" spans="1:1" x14ac:dyDescent="0.25">
      <c r="A1797"/>
    </row>
    <row r="1798" spans="1:1" x14ac:dyDescent="0.25">
      <c r="A1798"/>
    </row>
    <row r="1799" spans="1:1" x14ac:dyDescent="0.25">
      <c r="A1799"/>
    </row>
    <row r="1800" spans="1:1" x14ac:dyDescent="0.25">
      <c r="A1800"/>
    </row>
    <row r="1801" spans="1:1" x14ac:dyDescent="0.25">
      <c r="A1801"/>
    </row>
    <row r="1802" spans="1:1" x14ac:dyDescent="0.25">
      <c r="A1802"/>
    </row>
    <row r="1803" spans="1:1" x14ac:dyDescent="0.25">
      <c r="A1803"/>
    </row>
    <row r="1804" spans="1:1" x14ac:dyDescent="0.25">
      <c r="A1804"/>
    </row>
    <row r="1805" spans="1:1" x14ac:dyDescent="0.25">
      <c r="A1805"/>
    </row>
    <row r="1806" spans="1:1" x14ac:dyDescent="0.25">
      <c r="A1806"/>
    </row>
    <row r="1807" spans="1:1" x14ac:dyDescent="0.25">
      <c r="A1807"/>
    </row>
    <row r="1808" spans="1:1" x14ac:dyDescent="0.25">
      <c r="A1808"/>
    </row>
    <row r="1809" spans="1:1" x14ac:dyDescent="0.25">
      <c r="A1809"/>
    </row>
    <row r="1810" spans="1:1" x14ac:dyDescent="0.25">
      <c r="A1810"/>
    </row>
    <row r="1811" spans="1:1" x14ac:dyDescent="0.25">
      <c r="A1811"/>
    </row>
    <row r="1812" spans="1:1" x14ac:dyDescent="0.25">
      <c r="A1812"/>
    </row>
    <row r="1813" spans="1:1" x14ac:dyDescent="0.25">
      <c r="A1813"/>
    </row>
    <row r="1814" spans="1:1" x14ac:dyDescent="0.25">
      <c r="A1814"/>
    </row>
    <row r="1815" spans="1:1" x14ac:dyDescent="0.25">
      <c r="A1815"/>
    </row>
    <row r="1816" spans="1:1" x14ac:dyDescent="0.25">
      <c r="A1816"/>
    </row>
    <row r="1817" spans="1:1" x14ac:dyDescent="0.25">
      <c r="A1817"/>
    </row>
    <row r="1818" spans="1:1" x14ac:dyDescent="0.25">
      <c r="A1818"/>
    </row>
    <row r="1819" spans="1:1" x14ac:dyDescent="0.25">
      <c r="A1819"/>
    </row>
    <row r="1820" spans="1:1" x14ac:dyDescent="0.25">
      <c r="A1820"/>
    </row>
    <row r="1821" spans="1:1" x14ac:dyDescent="0.25">
      <c r="A1821"/>
    </row>
    <row r="1822" spans="1:1" x14ac:dyDescent="0.25">
      <c r="A1822"/>
    </row>
    <row r="1823" spans="1:1" x14ac:dyDescent="0.25">
      <c r="A1823"/>
    </row>
    <row r="1824" spans="1:1" x14ac:dyDescent="0.25">
      <c r="A1824"/>
    </row>
    <row r="1825" spans="1:1" x14ac:dyDescent="0.25">
      <c r="A1825"/>
    </row>
    <row r="1826" spans="1:1" x14ac:dyDescent="0.25">
      <c r="A1826"/>
    </row>
    <row r="1827" spans="1:1" x14ac:dyDescent="0.25">
      <c r="A1827"/>
    </row>
    <row r="1828" spans="1:1" x14ac:dyDescent="0.25">
      <c r="A1828"/>
    </row>
    <row r="1829" spans="1:1" x14ac:dyDescent="0.25">
      <c r="A1829"/>
    </row>
    <row r="1830" spans="1:1" x14ac:dyDescent="0.25">
      <c r="A1830"/>
    </row>
    <row r="1831" spans="1:1" x14ac:dyDescent="0.25">
      <c r="A1831"/>
    </row>
    <row r="1832" spans="1:1" x14ac:dyDescent="0.25">
      <c r="A1832"/>
    </row>
    <row r="1833" spans="1:1" x14ac:dyDescent="0.25">
      <c r="A1833"/>
    </row>
    <row r="1834" spans="1:1" x14ac:dyDescent="0.25">
      <c r="A1834"/>
    </row>
    <row r="1835" spans="1:1" x14ac:dyDescent="0.25">
      <c r="A1835"/>
    </row>
    <row r="1836" spans="1:1" x14ac:dyDescent="0.25">
      <c r="A1836"/>
    </row>
    <row r="1837" spans="1:1" x14ac:dyDescent="0.25">
      <c r="A1837"/>
    </row>
    <row r="1838" spans="1:1" x14ac:dyDescent="0.25">
      <c r="A1838"/>
    </row>
    <row r="1839" spans="1:1" x14ac:dyDescent="0.25">
      <c r="A1839"/>
    </row>
    <row r="1840" spans="1:1" x14ac:dyDescent="0.25">
      <c r="A1840"/>
    </row>
    <row r="1841" spans="1:1" x14ac:dyDescent="0.25">
      <c r="A1841"/>
    </row>
    <row r="1842" spans="1:1" x14ac:dyDescent="0.25">
      <c r="A1842"/>
    </row>
    <row r="1843" spans="1:1" x14ac:dyDescent="0.25">
      <c r="A1843"/>
    </row>
    <row r="1844" spans="1:1" x14ac:dyDescent="0.25">
      <c r="A1844"/>
    </row>
    <row r="1845" spans="1:1" x14ac:dyDescent="0.25">
      <c r="A1845"/>
    </row>
    <row r="1846" spans="1:1" x14ac:dyDescent="0.25">
      <c r="A1846"/>
    </row>
    <row r="1847" spans="1:1" x14ac:dyDescent="0.25">
      <c r="A1847"/>
    </row>
    <row r="1848" spans="1:1" x14ac:dyDescent="0.25">
      <c r="A1848"/>
    </row>
    <row r="1849" spans="1:1" x14ac:dyDescent="0.25">
      <c r="A1849"/>
    </row>
    <row r="1850" spans="1:1" x14ac:dyDescent="0.25">
      <c r="A1850"/>
    </row>
    <row r="1851" spans="1:1" x14ac:dyDescent="0.25">
      <c r="A1851"/>
    </row>
    <row r="1852" spans="1:1" x14ac:dyDescent="0.25">
      <c r="A1852"/>
    </row>
    <row r="1853" spans="1:1" x14ac:dyDescent="0.25">
      <c r="A1853"/>
    </row>
    <row r="1854" spans="1:1" x14ac:dyDescent="0.25">
      <c r="A1854"/>
    </row>
    <row r="1855" spans="1:1" x14ac:dyDescent="0.25">
      <c r="A1855"/>
    </row>
    <row r="1856" spans="1:1" x14ac:dyDescent="0.25">
      <c r="A1856"/>
    </row>
    <row r="1857" spans="1:1" x14ac:dyDescent="0.25">
      <c r="A1857"/>
    </row>
    <row r="1858" spans="1:1" x14ac:dyDescent="0.25">
      <c r="A1858"/>
    </row>
    <row r="1859" spans="1:1" x14ac:dyDescent="0.25">
      <c r="A1859"/>
    </row>
    <row r="1860" spans="1:1" x14ac:dyDescent="0.25">
      <c r="A1860"/>
    </row>
    <row r="1861" spans="1:1" x14ac:dyDescent="0.25">
      <c r="A1861"/>
    </row>
    <row r="1862" spans="1:1" x14ac:dyDescent="0.25">
      <c r="A1862"/>
    </row>
    <row r="1863" spans="1:1" x14ac:dyDescent="0.25">
      <c r="A1863"/>
    </row>
    <row r="1864" spans="1:1" x14ac:dyDescent="0.25">
      <c r="A1864"/>
    </row>
    <row r="1865" spans="1:1" x14ac:dyDescent="0.25">
      <c r="A1865"/>
    </row>
    <row r="1866" spans="1:1" x14ac:dyDescent="0.25">
      <c r="A1866"/>
    </row>
    <row r="1867" spans="1:1" x14ac:dyDescent="0.25">
      <c r="A1867"/>
    </row>
    <row r="1868" spans="1:1" x14ac:dyDescent="0.25">
      <c r="A1868"/>
    </row>
    <row r="1869" spans="1:1" x14ac:dyDescent="0.25">
      <c r="A1869"/>
    </row>
    <row r="1870" spans="1:1" x14ac:dyDescent="0.25">
      <c r="A1870"/>
    </row>
    <row r="1871" spans="1:1" x14ac:dyDescent="0.25">
      <c r="A1871"/>
    </row>
    <row r="1872" spans="1:1" x14ac:dyDescent="0.25">
      <c r="A1872"/>
    </row>
    <row r="1873" spans="1:1" x14ac:dyDescent="0.25">
      <c r="A1873"/>
    </row>
    <row r="1874" spans="1:1" x14ac:dyDescent="0.25">
      <c r="A1874"/>
    </row>
    <row r="1875" spans="1:1" x14ac:dyDescent="0.25">
      <c r="A1875"/>
    </row>
    <row r="1876" spans="1:1" x14ac:dyDescent="0.25">
      <c r="A1876"/>
    </row>
    <row r="1877" spans="1:1" x14ac:dyDescent="0.25">
      <c r="A1877"/>
    </row>
    <row r="1878" spans="1:1" x14ac:dyDescent="0.25">
      <c r="A1878"/>
    </row>
    <row r="1879" spans="1:1" x14ac:dyDescent="0.25">
      <c r="A1879"/>
    </row>
    <row r="1880" spans="1:1" x14ac:dyDescent="0.25">
      <c r="A1880"/>
    </row>
    <row r="1881" spans="1:1" x14ac:dyDescent="0.25">
      <c r="A1881"/>
    </row>
    <row r="1882" spans="1:1" x14ac:dyDescent="0.25">
      <c r="A1882"/>
    </row>
    <row r="1883" spans="1:1" x14ac:dyDescent="0.25">
      <c r="A1883"/>
    </row>
    <row r="1884" spans="1:1" x14ac:dyDescent="0.25">
      <c r="A1884"/>
    </row>
    <row r="1885" spans="1:1" x14ac:dyDescent="0.25">
      <c r="A1885"/>
    </row>
    <row r="1886" spans="1:1" x14ac:dyDescent="0.25">
      <c r="A1886"/>
    </row>
    <row r="1887" spans="1:1" x14ac:dyDescent="0.25">
      <c r="A1887"/>
    </row>
    <row r="1888" spans="1:1" x14ac:dyDescent="0.25">
      <c r="A1888"/>
    </row>
    <row r="1889" spans="1:1" x14ac:dyDescent="0.25">
      <c r="A1889"/>
    </row>
    <row r="1890" spans="1:1" x14ac:dyDescent="0.25">
      <c r="A1890"/>
    </row>
    <row r="1891" spans="1:1" x14ac:dyDescent="0.25">
      <c r="A1891"/>
    </row>
    <row r="1892" spans="1:1" x14ac:dyDescent="0.25">
      <c r="A1892"/>
    </row>
    <row r="1893" spans="1:1" x14ac:dyDescent="0.25">
      <c r="A1893"/>
    </row>
    <row r="1894" spans="1:1" x14ac:dyDescent="0.25">
      <c r="A1894"/>
    </row>
    <row r="1895" spans="1:1" x14ac:dyDescent="0.25">
      <c r="A1895"/>
    </row>
    <row r="1896" spans="1:1" x14ac:dyDescent="0.25">
      <c r="A1896"/>
    </row>
    <row r="1897" spans="1:1" x14ac:dyDescent="0.25">
      <c r="A1897"/>
    </row>
    <row r="1898" spans="1:1" x14ac:dyDescent="0.25">
      <c r="A1898"/>
    </row>
    <row r="1899" spans="1:1" x14ac:dyDescent="0.25">
      <c r="A1899"/>
    </row>
    <row r="1900" spans="1:1" x14ac:dyDescent="0.25">
      <c r="A1900"/>
    </row>
    <row r="1901" spans="1:1" x14ac:dyDescent="0.25">
      <c r="A1901"/>
    </row>
    <row r="1902" spans="1:1" x14ac:dyDescent="0.25">
      <c r="A1902"/>
    </row>
    <row r="1903" spans="1:1" x14ac:dyDescent="0.25">
      <c r="A1903"/>
    </row>
    <row r="1904" spans="1:1" x14ac:dyDescent="0.25">
      <c r="A1904"/>
    </row>
    <row r="1905" spans="1:1" x14ac:dyDescent="0.25">
      <c r="A1905"/>
    </row>
    <row r="1906" spans="1:1" x14ac:dyDescent="0.25">
      <c r="A1906"/>
    </row>
    <row r="1907" spans="1:1" x14ac:dyDescent="0.25">
      <c r="A1907"/>
    </row>
    <row r="1908" spans="1:1" x14ac:dyDescent="0.25">
      <c r="A1908"/>
    </row>
    <row r="1909" spans="1:1" x14ac:dyDescent="0.25">
      <c r="A1909"/>
    </row>
    <row r="1910" spans="1:1" x14ac:dyDescent="0.25">
      <c r="A1910"/>
    </row>
    <row r="1911" spans="1:1" x14ac:dyDescent="0.25">
      <c r="A1911"/>
    </row>
    <row r="1912" spans="1:1" x14ac:dyDescent="0.25">
      <c r="A1912"/>
    </row>
    <row r="1913" spans="1:1" x14ac:dyDescent="0.25">
      <c r="A1913"/>
    </row>
    <row r="1914" spans="1:1" x14ac:dyDescent="0.25">
      <c r="A1914"/>
    </row>
    <row r="1915" spans="1:1" x14ac:dyDescent="0.25">
      <c r="A1915"/>
    </row>
    <row r="1916" spans="1:1" x14ac:dyDescent="0.25">
      <c r="A1916"/>
    </row>
    <row r="1917" spans="1:1" x14ac:dyDescent="0.25">
      <c r="A1917"/>
    </row>
    <row r="1918" spans="1:1" x14ac:dyDescent="0.25">
      <c r="A1918"/>
    </row>
    <row r="1919" spans="1:1" x14ac:dyDescent="0.25">
      <c r="A1919"/>
    </row>
    <row r="1920" spans="1:1" x14ac:dyDescent="0.25">
      <c r="A1920"/>
    </row>
    <row r="1921" spans="1:1" x14ac:dyDescent="0.25">
      <c r="A1921"/>
    </row>
    <row r="1922" spans="1:1" x14ac:dyDescent="0.25">
      <c r="A1922"/>
    </row>
    <row r="1923" spans="1:1" x14ac:dyDescent="0.25">
      <c r="A1923"/>
    </row>
    <row r="1924" spans="1:1" x14ac:dyDescent="0.25">
      <c r="A1924"/>
    </row>
    <row r="1925" spans="1:1" x14ac:dyDescent="0.25">
      <c r="A1925"/>
    </row>
    <row r="1926" spans="1:1" x14ac:dyDescent="0.25">
      <c r="A1926"/>
    </row>
    <row r="1927" spans="1:1" x14ac:dyDescent="0.25">
      <c r="A1927"/>
    </row>
    <row r="1928" spans="1:1" x14ac:dyDescent="0.25">
      <c r="A1928"/>
    </row>
    <row r="1929" spans="1:1" x14ac:dyDescent="0.25">
      <c r="A1929"/>
    </row>
    <row r="1930" spans="1:1" x14ac:dyDescent="0.25">
      <c r="A1930"/>
    </row>
    <row r="1931" spans="1:1" x14ac:dyDescent="0.25">
      <c r="A1931"/>
    </row>
    <row r="1932" spans="1:1" x14ac:dyDescent="0.25">
      <c r="A1932"/>
    </row>
    <row r="1933" spans="1:1" x14ac:dyDescent="0.25">
      <c r="A1933"/>
    </row>
    <row r="1934" spans="1:1" x14ac:dyDescent="0.25">
      <c r="A1934"/>
    </row>
    <row r="1935" spans="1:1" x14ac:dyDescent="0.25">
      <c r="A1935"/>
    </row>
    <row r="1936" spans="1:1" x14ac:dyDescent="0.25">
      <c r="A1936"/>
    </row>
    <row r="1937" spans="1:1" x14ac:dyDescent="0.25">
      <c r="A1937"/>
    </row>
    <row r="1938" spans="1:1" x14ac:dyDescent="0.25">
      <c r="A1938"/>
    </row>
    <row r="1939" spans="1:1" x14ac:dyDescent="0.25">
      <c r="A1939"/>
    </row>
    <row r="1940" spans="1:1" x14ac:dyDescent="0.25">
      <c r="A1940"/>
    </row>
    <row r="1941" spans="1:1" x14ac:dyDescent="0.25">
      <c r="A1941"/>
    </row>
    <row r="1942" spans="1:1" x14ac:dyDescent="0.25">
      <c r="A1942"/>
    </row>
    <row r="1943" spans="1:1" x14ac:dyDescent="0.25">
      <c r="A1943"/>
    </row>
    <row r="1944" spans="1:1" x14ac:dyDescent="0.25">
      <c r="A1944"/>
    </row>
    <row r="1945" spans="1:1" x14ac:dyDescent="0.25">
      <c r="A1945"/>
    </row>
    <row r="1946" spans="1:1" x14ac:dyDescent="0.25">
      <c r="A1946"/>
    </row>
    <row r="1947" spans="1:1" x14ac:dyDescent="0.25">
      <c r="A1947"/>
    </row>
    <row r="1948" spans="1:1" x14ac:dyDescent="0.25">
      <c r="A1948"/>
    </row>
    <row r="1949" spans="1:1" x14ac:dyDescent="0.25">
      <c r="A1949"/>
    </row>
    <row r="1950" spans="1:1" x14ac:dyDescent="0.25">
      <c r="A1950"/>
    </row>
    <row r="1951" spans="1:1" x14ac:dyDescent="0.25">
      <c r="A1951"/>
    </row>
    <row r="1952" spans="1:1" x14ac:dyDescent="0.25">
      <c r="A1952"/>
    </row>
    <row r="1953" spans="1:1" x14ac:dyDescent="0.25">
      <c r="A1953"/>
    </row>
    <row r="1954" spans="1:1" x14ac:dyDescent="0.25">
      <c r="A1954"/>
    </row>
    <row r="1955" spans="1:1" x14ac:dyDescent="0.25">
      <c r="A1955"/>
    </row>
    <row r="1956" spans="1:1" x14ac:dyDescent="0.25">
      <c r="A1956"/>
    </row>
    <row r="1957" spans="1:1" x14ac:dyDescent="0.25">
      <c r="A1957"/>
    </row>
    <row r="1958" spans="1:1" x14ac:dyDescent="0.25">
      <c r="A1958"/>
    </row>
    <row r="1959" spans="1:1" x14ac:dyDescent="0.25">
      <c r="A1959"/>
    </row>
    <row r="1960" spans="1:1" x14ac:dyDescent="0.25">
      <c r="A1960"/>
    </row>
    <row r="1961" spans="1:1" x14ac:dyDescent="0.25">
      <c r="A1961"/>
    </row>
    <row r="1962" spans="1:1" x14ac:dyDescent="0.25">
      <c r="A1962"/>
    </row>
    <row r="1963" spans="1:1" x14ac:dyDescent="0.25">
      <c r="A1963"/>
    </row>
    <row r="1964" spans="1:1" x14ac:dyDescent="0.25">
      <c r="A1964"/>
    </row>
    <row r="1965" spans="1:1" x14ac:dyDescent="0.25">
      <c r="A1965"/>
    </row>
    <row r="1966" spans="1:1" x14ac:dyDescent="0.25">
      <c r="A1966"/>
    </row>
    <row r="1967" spans="1:1" x14ac:dyDescent="0.25">
      <c r="A1967"/>
    </row>
    <row r="1968" spans="1:1" x14ac:dyDescent="0.25">
      <c r="A1968"/>
    </row>
    <row r="1969" spans="1:1" x14ac:dyDescent="0.25">
      <c r="A1969"/>
    </row>
    <row r="1970" spans="1:1" x14ac:dyDescent="0.25">
      <c r="A1970"/>
    </row>
    <row r="1971" spans="1:1" x14ac:dyDescent="0.25">
      <c r="A1971"/>
    </row>
    <row r="1972" spans="1:1" x14ac:dyDescent="0.25">
      <c r="A1972"/>
    </row>
    <row r="1973" spans="1:1" x14ac:dyDescent="0.25">
      <c r="A1973"/>
    </row>
    <row r="1974" spans="1:1" x14ac:dyDescent="0.25">
      <c r="A1974"/>
    </row>
    <row r="1975" spans="1:1" x14ac:dyDescent="0.25">
      <c r="A1975"/>
    </row>
    <row r="1976" spans="1:1" x14ac:dyDescent="0.25">
      <c r="A1976"/>
    </row>
    <row r="1977" spans="1:1" x14ac:dyDescent="0.25">
      <c r="A1977"/>
    </row>
    <row r="1978" spans="1:1" x14ac:dyDescent="0.25">
      <c r="A1978"/>
    </row>
    <row r="1979" spans="1:1" x14ac:dyDescent="0.25">
      <c r="A1979"/>
    </row>
    <row r="1980" spans="1:1" x14ac:dyDescent="0.25">
      <c r="A1980"/>
    </row>
    <row r="1981" spans="1:1" x14ac:dyDescent="0.25">
      <c r="A1981"/>
    </row>
    <row r="1982" spans="1:1" x14ac:dyDescent="0.25">
      <c r="A1982"/>
    </row>
    <row r="1983" spans="1:1" x14ac:dyDescent="0.25">
      <c r="A1983"/>
    </row>
    <row r="1984" spans="1:1" x14ac:dyDescent="0.25">
      <c r="A1984"/>
    </row>
    <row r="1985" spans="1:1" x14ac:dyDescent="0.25">
      <c r="A1985"/>
    </row>
    <row r="1986" spans="1:1" x14ac:dyDescent="0.25">
      <c r="A1986"/>
    </row>
    <row r="1987" spans="1:1" x14ac:dyDescent="0.25">
      <c r="A1987"/>
    </row>
    <row r="1988" spans="1:1" x14ac:dyDescent="0.25">
      <c r="A1988"/>
    </row>
    <row r="1989" spans="1:1" x14ac:dyDescent="0.25">
      <c r="A1989"/>
    </row>
    <row r="1990" spans="1:1" x14ac:dyDescent="0.25">
      <c r="A1990"/>
    </row>
    <row r="1991" spans="1:1" x14ac:dyDescent="0.25">
      <c r="A1991"/>
    </row>
    <row r="1992" spans="1:1" x14ac:dyDescent="0.25">
      <c r="A1992"/>
    </row>
    <row r="1993" spans="1:1" x14ac:dyDescent="0.25">
      <c r="A1993"/>
    </row>
    <row r="1994" spans="1:1" x14ac:dyDescent="0.25">
      <c r="A1994"/>
    </row>
    <row r="1995" spans="1:1" x14ac:dyDescent="0.25">
      <c r="A1995"/>
    </row>
    <row r="1996" spans="1:1" x14ac:dyDescent="0.25">
      <c r="A1996"/>
    </row>
    <row r="1997" spans="1:1" x14ac:dyDescent="0.25">
      <c r="A1997"/>
    </row>
    <row r="1998" spans="1:1" x14ac:dyDescent="0.25">
      <c r="A1998"/>
    </row>
    <row r="1999" spans="1:1" x14ac:dyDescent="0.25">
      <c r="A1999"/>
    </row>
    <row r="2000" spans="1:1" x14ac:dyDescent="0.25">
      <c r="A2000"/>
    </row>
    <row r="2001" spans="1:1" x14ac:dyDescent="0.25">
      <c r="A2001"/>
    </row>
    <row r="2002" spans="1:1" x14ac:dyDescent="0.25">
      <c r="A2002"/>
    </row>
    <row r="2003" spans="1:1" x14ac:dyDescent="0.25">
      <c r="A2003"/>
    </row>
    <row r="2004" spans="1:1" x14ac:dyDescent="0.25">
      <c r="A2004"/>
    </row>
    <row r="2005" spans="1:1" x14ac:dyDescent="0.25">
      <c r="A2005"/>
    </row>
    <row r="2006" spans="1:1" x14ac:dyDescent="0.25">
      <c r="A2006"/>
    </row>
    <row r="2007" spans="1:1" x14ac:dyDescent="0.25">
      <c r="A2007"/>
    </row>
    <row r="2008" spans="1:1" x14ac:dyDescent="0.25">
      <c r="A2008"/>
    </row>
    <row r="2009" spans="1:1" x14ac:dyDescent="0.25">
      <c r="A2009"/>
    </row>
    <row r="2010" spans="1:1" x14ac:dyDescent="0.25">
      <c r="A2010"/>
    </row>
    <row r="2011" spans="1:1" x14ac:dyDescent="0.25">
      <c r="A2011"/>
    </row>
    <row r="2012" spans="1:1" x14ac:dyDescent="0.25">
      <c r="A2012"/>
    </row>
    <row r="2013" spans="1:1" x14ac:dyDescent="0.25">
      <c r="A2013"/>
    </row>
    <row r="2014" spans="1:1" x14ac:dyDescent="0.25">
      <c r="A2014"/>
    </row>
    <row r="2015" spans="1:1" x14ac:dyDescent="0.25">
      <c r="A2015"/>
    </row>
    <row r="2016" spans="1:1" x14ac:dyDescent="0.25">
      <c r="A2016"/>
    </row>
    <row r="2017" spans="1:1" x14ac:dyDescent="0.25">
      <c r="A2017"/>
    </row>
    <row r="2018" spans="1:1" x14ac:dyDescent="0.25">
      <c r="A2018"/>
    </row>
    <row r="2019" spans="1:1" x14ac:dyDescent="0.25">
      <c r="A2019"/>
    </row>
    <row r="2020" spans="1:1" x14ac:dyDescent="0.25">
      <c r="A2020"/>
    </row>
    <row r="2021" spans="1:1" x14ac:dyDescent="0.25">
      <c r="A2021"/>
    </row>
    <row r="2022" spans="1:1" x14ac:dyDescent="0.25">
      <c r="A2022"/>
    </row>
    <row r="2023" spans="1:1" x14ac:dyDescent="0.25">
      <c r="A2023"/>
    </row>
    <row r="2024" spans="1:1" x14ac:dyDescent="0.25">
      <c r="A2024"/>
    </row>
    <row r="2025" spans="1:1" x14ac:dyDescent="0.25">
      <c r="A2025"/>
    </row>
    <row r="2026" spans="1:1" x14ac:dyDescent="0.25">
      <c r="A2026"/>
    </row>
    <row r="2027" spans="1:1" x14ac:dyDescent="0.25">
      <c r="A2027"/>
    </row>
    <row r="2028" spans="1:1" x14ac:dyDescent="0.25">
      <c r="A2028"/>
    </row>
    <row r="2029" spans="1:1" x14ac:dyDescent="0.25">
      <c r="A2029"/>
    </row>
    <row r="2030" spans="1:1" x14ac:dyDescent="0.25">
      <c r="A2030"/>
    </row>
    <row r="2031" spans="1:1" x14ac:dyDescent="0.25">
      <c r="A2031"/>
    </row>
    <row r="2032" spans="1:1" x14ac:dyDescent="0.25">
      <c r="A2032"/>
    </row>
    <row r="2033" spans="1:1" x14ac:dyDescent="0.25">
      <c r="A2033"/>
    </row>
    <row r="2034" spans="1:1" x14ac:dyDescent="0.25">
      <c r="A2034"/>
    </row>
    <row r="2035" spans="1:1" x14ac:dyDescent="0.25">
      <c r="A2035"/>
    </row>
    <row r="2036" spans="1:1" x14ac:dyDescent="0.25">
      <c r="A2036"/>
    </row>
    <row r="2037" spans="1:1" x14ac:dyDescent="0.25">
      <c r="A2037"/>
    </row>
    <row r="2038" spans="1:1" x14ac:dyDescent="0.25">
      <c r="A2038"/>
    </row>
    <row r="2039" spans="1:1" x14ac:dyDescent="0.25">
      <c r="A2039"/>
    </row>
    <row r="2040" spans="1:1" x14ac:dyDescent="0.25">
      <c r="A2040"/>
    </row>
    <row r="2041" spans="1:1" x14ac:dyDescent="0.25">
      <c r="A2041"/>
    </row>
    <row r="2042" spans="1:1" x14ac:dyDescent="0.25">
      <c r="A2042"/>
    </row>
    <row r="2043" spans="1:1" x14ac:dyDescent="0.25">
      <c r="A2043"/>
    </row>
    <row r="2044" spans="1:1" x14ac:dyDescent="0.25">
      <c r="A2044"/>
    </row>
    <row r="2045" spans="1:1" x14ac:dyDescent="0.25">
      <c r="A2045"/>
    </row>
    <row r="2046" spans="1:1" x14ac:dyDescent="0.25">
      <c r="A2046"/>
    </row>
    <row r="2047" spans="1:1" x14ac:dyDescent="0.25">
      <c r="A2047"/>
    </row>
    <row r="2048" spans="1:1" x14ac:dyDescent="0.25">
      <c r="A2048"/>
    </row>
    <row r="2049" spans="1:1" x14ac:dyDescent="0.25">
      <c r="A2049"/>
    </row>
    <row r="2050" spans="1:1" x14ac:dyDescent="0.25">
      <c r="A2050"/>
    </row>
    <row r="2051" spans="1:1" x14ac:dyDescent="0.25">
      <c r="A2051"/>
    </row>
    <row r="2052" spans="1:1" x14ac:dyDescent="0.25">
      <c r="A2052"/>
    </row>
    <row r="2053" spans="1:1" x14ac:dyDescent="0.25">
      <c r="A2053"/>
    </row>
    <row r="2054" spans="1:1" x14ac:dyDescent="0.25">
      <c r="A2054"/>
    </row>
    <row r="2055" spans="1:1" x14ac:dyDescent="0.25">
      <c r="A2055"/>
    </row>
    <row r="2056" spans="1:1" x14ac:dyDescent="0.25">
      <c r="A2056"/>
    </row>
    <row r="2057" spans="1:1" x14ac:dyDescent="0.25">
      <c r="A2057"/>
    </row>
    <row r="2058" spans="1:1" x14ac:dyDescent="0.25">
      <c r="A2058"/>
    </row>
    <row r="2059" spans="1:1" x14ac:dyDescent="0.25">
      <c r="A2059"/>
    </row>
    <row r="2060" spans="1:1" x14ac:dyDescent="0.25">
      <c r="A2060"/>
    </row>
    <row r="2061" spans="1:1" x14ac:dyDescent="0.25">
      <c r="A2061"/>
    </row>
    <row r="2062" spans="1:1" x14ac:dyDescent="0.25">
      <c r="A2062"/>
    </row>
    <row r="2063" spans="1:1" x14ac:dyDescent="0.25">
      <c r="A2063"/>
    </row>
    <row r="2064" spans="1:1" x14ac:dyDescent="0.25">
      <c r="A2064"/>
    </row>
    <row r="2065" spans="1:1" x14ac:dyDescent="0.25">
      <c r="A2065"/>
    </row>
    <row r="2066" spans="1:1" x14ac:dyDescent="0.25">
      <c r="A2066"/>
    </row>
    <row r="2067" spans="1:1" x14ac:dyDescent="0.25">
      <c r="A2067"/>
    </row>
    <row r="2068" spans="1:1" x14ac:dyDescent="0.25">
      <c r="A2068"/>
    </row>
    <row r="2069" spans="1:1" x14ac:dyDescent="0.25">
      <c r="A2069"/>
    </row>
    <row r="2070" spans="1:1" x14ac:dyDescent="0.25">
      <c r="A2070"/>
    </row>
    <row r="2071" spans="1:1" x14ac:dyDescent="0.25">
      <c r="A2071"/>
    </row>
    <row r="2072" spans="1:1" x14ac:dyDescent="0.25">
      <c r="A2072"/>
    </row>
    <row r="2073" spans="1:1" x14ac:dyDescent="0.25">
      <c r="A2073"/>
    </row>
    <row r="2074" spans="1:1" x14ac:dyDescent="0.25">
      <c r="A2074"/>
    </row>
    <row r="2075" spans="1:1" x14ac:dyDescent="0.25">
      <c r="A2075"/>
    </row>
    <row r="2076" spans="1:1" x14ac:dyDescent="0.25">
      <c r="A2076"/>
    </row>
    <row r="2077" spans="1:1" x14ac:dyDescent="0.25">
      <c r="A2077"/>
    </row>
    <row r="2078" spans="1:1" x14ac:dyDescent="0.25">
      <c r="A2078"/>
    </row>
    <row r="2079" spans="1:1" x14ac:dyDescent="0.25">
      <c r="A2079"/>
    </row>
    <row r="2080" spans="1:1" x14ac:dyDescent="0.25">
      <c r="A2080"/>
    </row>
    <row r="2081" spans="1:1" x14ac:dyDescent="0.25">
      <c r="A2081"/>
    </row>
    <row r="2082" spans="1:1" x14ac:dyDescent="0.25">
      <c r="A2082"/>
    </row>
    <row r="2083" spans="1:1" x14ac:dyDescent="0.25">
      <c r="A2083"/>
    </row>
    <row r="2084" spans="1:1" x14ac:dyDescent="0.25">
      <c r="A2084"/>
    </row>
    <row r="2085" spans="1:1" x14ac:dyDescent="0.25">
      <c r="A2085"/>
    </row>
    <row r="2086" spans="1:1" x14ac:dyDescent="0.25">
      <c r="A2086"/>
    </row>
    <row r="2087" spans="1:1" x14ac:dyDescent="0.25">
      <c r="A2087"/>
    </row>
    <row r="2088" spans="1:1" x14ac:dyDescent="0.25">
      <c r="A2088"/>
    </row>
    <row r="2089" spans="1:1" x14ac:dyDescent="0.25">
      <c r="A2089"/>
    </row>
    <row r="2090" spans="1:1" x14ac:dyDescent="0.25">
      <c r="A2090"/>
    </row>
    <row r="2091" spans="1:1" x14ac:dyDescent="0.25">
      <c r="A2091"/>
    </row>
    <row r="2092" spans="1:1" x14ac:dyDescent="0.25">
      <c r="A2092"/>
    </row>
    <row r="2093" spans="1:1" x14ac:dyDescent="0.25">
      <c r="A2093"/>
    </row>
    <row r="2094" spans="1:1" x14ac:dyDescent="0.25">
      <c r="A2094"/>
    </row>
    <row r="2095" spans="1:1" x14ac:dyDescent="0.25">
      <c r="A2095"/>
    </row>
    <row r="2096" spans="1:1" x14ac:dyDescent="0.25">
      <c r="A2096"/>
    </row>
    <row r="2097" spans="1:1" x14ac:dyDescent="0.25">
      <c r="A2097"/>
    </row>
    <row r="2098" spans="1:1" x14ac:dyDescent="0.25">
      <c r="A2098"/>
    </row>
    <row r="2099" spans="1:1" x14ac:dyDescent="0.25">
      <c r="A2099"/>
    </row>
    <row r="2100" spans="1:1" x14ac:dyDescent="0.25">
      <c r="A2100"/>
    </row>
    <row r="2101" spans="1:1" x14ac:dyDescent="0.25">
      <c r="A2101"/>
    </row>
    <row r="2102" spans="1:1" x14ac:dyDescent="0.25">
      <c r="A2102"/>
    </row>
    <row r="2103" spans="1:1" x14ac:dyDescent="0.25">
      <c r="A2103"/>
    </row>
    <row r="2104" spans="1:1" x14ac:dyDescent="0.25">
      <c r="A2104"/>
    </row>
    <row r="2105" spans="1:1" x14ac:dyDescent="0.25">
      <c r="A2105"/>
    </row>
    <row r="2106" spans="1:1" x14ac:dyDescent="0.25">
      <c r="A2106"/>
    </row>
    <row r="2107" spans="1:1" x14ac:dyDescent="0.25">
      <c r="A2107"/>
    </row>
    <row r="2108" spans="1:1" x14ac:dyDescent="0.25">
      <c r="A2108"/>
    </row>
    <row r="2109" spans="1:1" x14ac:dyDescent="0.25">
      <c r="A2109"/>
    </row>
    <row r="2110" spans="1:1" x14ac:dyDescent="0.25">
      <c r="A2110"/>
    </row>
    <row r="2111" spans="1:1" x14ac:dyDescent="0.25">
      <c r="A2111"/>
    </row>
    <row r="2112" spans="1:1" x14ac:dyDescent="0.25">
      <c r="A2112"/>
    </row>
    <row r="2113" spans="1:1" x14ac:dyDescent="0.25">
      <c r="A2113"/>
    </row>
    <row r="2114" spans="1:1" x14ac:dyDescent="0.25">
      <c r="A2114"/>
    </row>
    <row r="2115" spans="1:1" x14ac:dyDescent="0.25">
      <c r="A2115"/>
    </row>
    <row r="2116" spans="1:1" x14ac:dyDescent="0.25">
      <c r="A2116"/>
    </row>
    <row r="2117" spans="1:1" x14ac:dyDescent="0.25">
      <c r="A2117"/>
    </row>
    <row r="2118" spans="1:1" x14ac:dyDescent="0.25">
      <c r="A2118"/>
    </row>
    <row r="2119" spans="1:1" x14ac:dyDescent="0.25">
      <c r="A2119"/>
    </row>
    <row r="2120" spans="1:1" x14ac:dyDescent="0.25">
      <c r="A2120"/>
    </row>
    <row r="2121" spans="1:1" x14ac:dyDescent="0.25">
      <c r="A2121"/>
    </row>
    <row r="2122" spans="1:1" x14ac:dyDescent="0.25">
      <c r="A2122"/>
    </row>
    <row r="2123" spans="1:1" x14ac:dyDescent="0.25">
      <c r="A2123"/>
    </row>
    <row r="2124" spans="1:1" x14ac:dyDescent="0.25">
      <c r="A2124"/>
    </row>
    <row r="2125" spans="1:1" x14ac:dyDescent="0.25">
      <c r="A2125"/>
    </row>
    <row r="2126" spans="1:1" x14ac:dyDescent="0.25">
      <c r="A2126"/>
    </row>
    <row r="2127" spans="1:1" x14ac:dyDescent="0.25">
      <c r="A2127"/>
    </row>
    <row r="2128" spans="1:1" x14ac:dyDescent="0.25">
      <c r="A2128"/>
    </row>
    <row r="2129" spans="1:1" x14ac:dyDescent="0.25">
      <c r="A2129"/>
    </row>
    <row r="2130" spans="1:1" x14ac:dyDescent="0.25">
      <c r="A2130"/>
    </row>
    <row r="2131" spans="1:1" x14ac:dyDescent="0.25">
      <c r="A2131"/>
    </row>
    <row r="2132" spans="1:1" x14ac:dyDescent="0.25">
      <c r="A2132"/>
    </row>
    <row r="2133" spans="1:1" x14ac:dyDescent="0.25">
      <c r="A2133"/>
    </row>
    <row r="2134" spans="1:1" x14ac:dyDescent="0.25">
      <c r="A2134"/>
    </row>
    <row r="2135" spans="1:1" x14ac:dyDescent="0.25">
      <c r="A2135"/>
    </row>
    <row r="2136" spans="1:1" x14ac:dyDescent="0.25">
      <c r="A2136"/>
    </row>
    <row r="2137" spans="1:1" x14ac:dyDescent="0.25">
      <c r="A2137"/>
    </row>
    <row r="2138" spans="1:1" x14ac:dyDescent="0.25">
      <c r="A2138"/>
    </row>
    <row r="2139" spans="1:1" x14ac:dyDescent="0.25">
      <c r="A2139"/>
    </row>
    <row r="2140" spans="1:1" x14ac:dyDescent="0.25">
      <c r="A2140"/>
    </row>
    <row r="2141" spans="1:1" x14ac:dyDescent="0.25">
      <c r="A2141"/>
    </row>
    <row r="2142" spans="1:1" x14ac:dyDescent="0.25">
      <c r="A2142"/>
    </row>
    <row r="2143" spans="1:1" x14ac:dyDescent="0.25">
      <c r="A2143"/>
    </row>
    <row r="2144" spans="1:1" x14ac:dyDescent="0.25">
      <c r="A2144"/>
    </row>
    <row r="2145" spans="1:1" x14ac:dyDescent="0.25">
      <c r="A2145"/>
    </row>
    <row r="2146" spans="1:1" x14ac:dyDescent="0.25">
      <c r="A2146"/>
    </row>
    <row r="2147" spans="1:1" x14ac:dyDescent="0.25">
      <c r="A2147"/>
    </row>
    <row r="2148" spans="1:1" x14ac:dyDescent="0.25">
      <c r="A2148"/>
    </row>
    <row r="2149" spans="1:1" x14ac:dyDescent="0.25">
      <c r="A2149"/>
    </row>
    <row r="2150" spans="1:1" x14ac:dyDescent="0.25">
      <c r="A2150"/>
    </row>
    <row r="2151" spans="1:1" x14ac:dyDescent="0.25">
      <c r="A2151"/>
    </row>
    <row r="2152" spans="1:1" x14ac:dyDescent="0.25">
      <c r="A2152"/>
    </row>
    <row r="2153" spans="1:1" x14ac:dyDescent="0.25">
      <c r="A2153"/>
    </row>
    <row r="2154" spans="1:1" x14ac:dyDescent="0.25">
      <c r="A2154"/>
    </row>
    <row r="2155" spans="1:1" x14ac:dyDescent="0.25">
      <c r="A2155"/>
    </row>
    <row r="2156" spans="1:1" x14ac:dyDescent="0.25">
      <c r="A2156"/>
    </row>
    <row r="2157" spans="1:1" x14ac:dyDescent="0.25">
      <c r="A2157"/>
    </row>
    <row r="2158" spans="1:1" x14ac:dyDescent="0.25">
      <c r="A2158"/>
    </row>
    <row r="2159" spans="1:1" x14ac:dyDescent="0.25">
      <c r="A2159"/>
    </row>
    <row r="2160" spans="1:1" x14ac:dyDescent="0.25">
      <c r="A2160"/>
    </row>
    <row r="2161" spans="1:1" x14ac:dyDescent="0.25">
      <c r="A2161"/>
    </row>
    <row r="2162" spans="1:1" x14ac:dyDescent="0.25">
      <c r="A2162"/>
    </row>
    <row r="2163" spans="1:1" x14ac:dyDescent="0.25">
      <c r="A2163"/>
    </row>
    <row r="2164" spans="1:1" x14ac:dyDescent="0.25">
      <c r="A2164"/>
    </row>
    <row r="2165" spans="1:1" x14ac:dyDescent="0.25">
      <c r="A2165"/>
    </row>
    <row r="2166" spans="1:1" x14ac:dyDescent="0.25">
      <c r="A2166"/>
    </row>
    <row r="2167" spans="1:1" x14ac:dyDescent="0.25">
      <c r="A2167"/>
    </row>
    <row r="2168" spans="1:1" x14ac:dyDescent="0.25">
      <c r="A2168"/>
    </row>
    <row r="2169" spans="1:1" x14ac:dyDescent="0.25">
      <c r="A2169"/>
    </row>
    <row r="2170" spans="1:1" x14ac:dyDescent="0.25">
      <c r="A2170"/>
    </row>
    <row r="2171" spans="1:1" x14ac:dyDescent="0.25">
      <c r="A2171"/>
    </row>
    <row r="2172" spans="1:1" x14ac:dyDescent="0.25">
      <c r="A2172"/>
    </row>
    <row r="2173" spans="1:1" x14ac:dyDescent="0.25">
      <c r="A2173"/>
    </row>
    <row r="2174" spans="1:1" x14ac:dyDescent="0.25">
      <c r="A2174"/>
    </row>
    <row r="2175" spans="1:1" x14ac:dyDescent="0.25">
      <c r="A2175"/>
    </row>
    <row r="2176" spans="1:1" x14ac:dyDescent="0.25">
      <c r="A2176"/>
    </row>
    <row r="2177" spans="1:1" x14ac:dyDescent="0.25">
      <c r="A2177"/>
    </row>
    <row r="2178" spans="1:1" x14ac:dyDescent="0.25">
      <c r="A2178"/>
    </row>
    <row r="2179" spans="1:1" x14ac:dyDescent="0.25">
      <c r="A2179"/>
    </row>
    <row r="2180" spans="1:1" x14ac:dyDescent="0.25">
      <c r="A2180"/>
    </row>
    <row r="2181" spans="1:1" x14ac:dyDescent="0.25">
      <c r="A2181"/>
    </row>
    <row r="2182" spans="1:1" x14ac:dyDescent="0.25">
      <c r="A2182"/>
    </row>
    <row r="2183" spans="1:1" x14ac:dyDescent="0.25">
      <c r="A2183"/>
    </row>
    <row r="2184" spans="1:1" x14ac:dyDescent="0.25">
      <c r="A2184"/>
    </row>
    <row r="2185" spans="1:1" x14ac:dyDescent="0.25">
      <c r="A2185"/>
    </row>
    <row r="2186" spans="1:1" x14ac:dyDescent="0.25">
      <c r="A2186"/>
    </row>
    <row r="2187" spans="1:1" x14ac:dyDescent="0.25">
      <c r="A2187"/>
    </row>
    <row r="2188" spans="1:1" x14ac:dyDescent="0.25">
      <c r="A2188"/>
    </row>
    <row r="2189" spans="1:1" x14ac:dyDescent="0.25">
      <c r="A2189"/>
    </row>
    <row r="2190" spans="1:1" x14ac:dyDescent="0.25">
      <c r="A2190"/>
    </row>
    <row r="2191" spans="1:1" x14ac:dyDescent="0.25">
      <c r="A2191"/>
    </row>
    <row r="2192" spans="1:1" x14ac:dyDescent="0.25">
      <c r="A2192"/>
    </row>
    <row r="2193" spans="1:1" x14ac:dyDescent="0.25">
      <c r="A2193"/>
    </row>
    <row r="2194" spans="1:1" x14ac:dyDescent="0.25">
      <c r="A2194"/>
    </row>
    <row r="2195" spans="1:1" x14ac:dyDescent="0.25">
      <c r="A2195"/>
    </row>
    <row r="2196" spans="1:1" x14ac:dyDescent="0.25">
      <c r="A2196"/>
    </row>
    <row r="2197" spans="1:1" x14ac:dyDescent="0.25">
      <c r="A2197"/>
    </row>
    <row r="2198" spans="1:1" x14ac:dyDescent="0.25">
      <c r="A2198"/>
    </row>
    <row r="2199" spans="1:1" x14ac:dyDescent="0.25">
      <c r="A2199"/>
    </row>
    <row r="2200" spans="1:1" x14ac:dyDescent="0.25">
      <c r="A2200"/>
    </row>
    <row r="2201" spans="1:1" x14ac:dyDescent="0.25">
      <c r="A2201"/>
    </row>
    <row r="2202" spans="1:1" x14ac:dyDescent="0.25">
      <c r="A2202"/>
    </row>
    <row r="2203" spans="1:1" x14ac:dyDescent="0.25">
      <c r="A2203"/>
    </row>
    <row r="2204" spans="1:1" x14ac:dyDescent="0.25">
      <c r="A2204"/>
    </row>
    <row r="2205" spans="1:1" x14ac:dyDescent="0.25">
      <c r="A2205"/>
    </row>
    <row r="2206" spans="1:1" x14ac:dyDescent="0.25">
      <c r="A2206"/>
    </row>
    <row r="2207" spans="1:1" x14ac:dyDescent="0.25">
      <c r="A2207"/>
    </row>
    <row r="2208" spans="1:1" x14ac:dyDescent="0.25">
      <c r="A2208"/>
    </row>
    <row r="2209" spans="1:1" x14ac:dyDescent="0.25">
      <c r="A2209"/>
    </row>
    <row r="2210" spans="1:1" x14ac:dyDescent="0.25">
      <c r="A2210"/>
    </row>
    <row r="2211" spans="1:1" x14ac:dyDescent="0.25">
      <c r="A2211"/>
    </row>
    <row r="2212" spans="1:1" x14ac:dyDescent="0.25">
      <c r="A2212"/>
    </row>
    <row r="2213" spans="1:1" x14ac:dyDescent="0.25">
      <c r="A2213"/>
    </row>
    <row r="2214" spans="1:1" x14ac:dyDescent="0.25">
      <c r="A2214"/>
    </row>
    <row r="2215" spans="1:1" x14ac:dyDescent="0.25">
      <c r="A2215"/>
    </row>
    <row r="2216" spans="1:1" x14ac:dyDescent="0.25">
      <c r="A2216"/>
    </row>
    <row r="2217" spans="1:1" x14ac:dyDescent="0.25">
      <c r="A2217"/>
    </row>
    <row r="2218" spans="1:1" x14ac:dyDescent="0.25">
      <c r="A2218"/>
    </row>
    <row r="2219" spans="1:1" x14ac:dyDescent="0.25">
      <c r="A2219"/>
    </row>
    <row r="2220" spans="1:1" x14ac:dyDescent="0.25">
      <c r="A2220"/>
    </row>
    <row r="2221" spans="1:1" x14ac:dyDescent="0.25">
      <c r="A2221"/>
    </row>
    <row r="2222" spans="1:1" x14ac:dyDescent="0.25">
      <c r="A2222"/>
    </row>
    <row r="2223" spans="1:1" x14ac:dyDescent="0.25">
      <c r="A2223"/>
    </row>
    <row r="2224" spans="1:1" x14ac:dyDescent="0.25">
      <c r="A2224"/>
    </row>
    <row r="2225" spans="1:1" x14ac:dyDescent="0.25">
      <c r="A2225"/>
    </row>
    <row r="2226" spans="1:1" x14ac:dyDescent="0.25">
      <c r="A2226"/>
    </row>
    <row r="2227" spans="1:1" x14ac:dyDescent="0.25">
      <c r="A2227"/>
    </row>
    <row r="2228" spans="1:1" x14ac:dyDescent="0.25">
      <c r="A2228"/>
    </row>
    <row r="2229" spans="1:1" x14ac:dyDescent="0.25">
      <c r="A2229"/>
    </row>
    <row r="2230" spans="1:1" x14ac:dyDescent="0.25">
      <c r="A2230"/>
    </row>
    <row r="2231" spans="1:1" x14ac:dyDescent="0.25">
      <c r="A2231"/>
    </row>
    <row r="2232" spans="1:1" x14ac:dyDescent="0.25">
      <c r="A2232"/>
    </row>
    <row r="2233" spans="1:1" x14ac:dyDescent="0.25">
      <c r="A2233"/>
    </row>
    <row r="2234" spans="1:1" x14ac:dyDescent="0.25">
      <c r="A2234"/>
    </row>
    <row r="2235" spans="1:1" x14ac:dyDescent="0.25">
      <c r="A2235"/>
    </row>
    <row r="2236" spans="1:1" x14ac:dyDescent="0.25">
      <c r="A2236"/>
    </row>
    <row r="2237" spans="1:1" x14ac:dyDescent="0.25">
      <c r="A2237"/>
    </row>
    <row r="2238" spans="1:1" x14ac:dyDescent="0.25">
      <c r="A2238"/>
    </row>
    <row r="2239" spans="1:1" x14ac:dyDescent="0.25">
      <c r="A2239"/>
    </row>
    <row r="2240" spans="1:1" x14ac:dyDescent="0.25">
      <c r="A2240"/>
    </row>
    <row r="2241" spans="1:1" x14ac:dyDescent="0.25">
      <c r="A2241"/>
    </row>
    <row r="2242" spans="1:1" x14ac:dyDescent="0.25">
      <c r="A2242"/>
    </row>
    <row r="2243" spans="1:1" x14ac:dyDescent="0.25">
      <c r="A2243"/>
    </row>
    <row r="2244" spans="1:1" x14ac:dyDescent="0.25">
      <c r="A2244"/>
    </row>
    <row r="2245" spans="1:1" x14ac:dyDescent="0.25">
      <c r="A2245"/>
    </row>
    <row r="2246" spans="1:1" x14ac:dyDescent="0.25">
      <c r="A2246"/>
    </row>
    <row r="2247" spans="1:1" x14ac:dyDescent="0.25">
      <c r="A2247"/>
    </row>
    <row r="2248" spans="1:1" x14ac:dyDescent="0.25">
      <c r="A2248"/>
    </row>
    <row r="2249" spans="1:1" x14ac:dyDescent="0.25">
      <c r="A2249"/>
    </row>
    <row r="2250" spans="1:1" x14ac:dyDescent="0.25">
      <c r="A2250"/>
    </row>
    <row r="2251" spans="1:1" x14ac:dyDescent="0.25">
      <c r="A2251"/>
    </row>
    <row r="2252" spans="1:1" x14ac:dyDescent="0.25">
      <c r="A2252"/>
    </row>
    <row r="2253" spans="1:1" x14ac:dyDescent="0.25">
      <c r="A2253"/>
    </row>
    <row r="2254" spans="1:1" x14ac:dyDescent="0.25">
      <c r="A2254"/>
    </row>
    <row r="2255" spans="1:1" x14ac:dyDescent="0.25">
      <c r="A2255"/>
    </row>
    <row r="2256" spans="1:1" x14ac:dyDescent="0.25">
      <c r="A2256"/>
    </row>
    <row r="2257" spans="1:1" x14ac:dyDescent="0.25">
      <c r="A2257"/>
    </row>
    <row r="2258" spans="1:1" x14ac:dyDescent="0.25">
      <c r="A2258"/>
    </row>
    <row r="2259" spans="1:1" x14ac:dyDescent="0.25">
      <c r="A2259"/>
    </row>
    <row r="2260" spans="1:1" x14ac:dyDescent="0.25">
      <c r="A2260"/>
    </row>
    <row r="2261" spans="1:1" x14ac:dyDescent="0.25">
      <c r="A2261"/>
    </row>
    <row r="2262" spans="1:1" x14ac:dyDescent="0.25">
      <c r="A2262"/>
    </row>
    <row r="2263" spans="1:1" x14ac:dyDescent="0.25">
      <c r="A2263"/>
    </row>
    <row r="2264" spans="1:1" x14ac:dyDescent="0.25">
      <c r="A2264"/>
    </row>
    <row r="2265" spans="1:1" x14ac:dyDescent="0.25">
      <c r="A2265"/>
    </row>
    <row r="2266" spans="1:1" x14ac:dyDescent="0.25">
      <c r="A2266"/>
    </row>
    <row r="2267" spans="1:1" x14ac:dyDescent="0.25">
      <c r="A2267"/>
    </row>
    <row r="2268" spans="1:1" x14ac:dyDescent="0.25">
      <c r="A2268"/>
    </row>
    <row r="2269" spans="1:1" x14ac:dyDescent="0.25">
      <c r="A2269"/>
    </row>
    <row r="2270" spans="1:1" x14ac:dyDescent="0.25">
      <c r="A2270"/>
    </row>
    <row r="2271" spans="1:1" x14ac:dyDescent="0.25">
      <c r="A2271"/>
    </row>
    <row r="2272" spans="1:1" x14ac:dyDescent="0.25">
      <c r="A2272"/>
    </row>
    <row r="2273" spans="1:1" x14ac:dyDescent="0.25">
      <c r="A2273"/>
    </row>
    <row r="2274" spans="1:1" x14ac:dyDescent="0.25">
      <c r="A2274"/>
    </row>
    <row r="2275" spans="1:1" x14ac:dyDescent="0.25">
      <c r="A2275"/>
    </row>
    <row r="2276" spans="1:1" x14ac:dyDescent="0.25">
      <c r="A2276"/>
    </row>
    <row r="2277" spans="1:1" x14ac:dyDescent="0.25">
      <c r="A2277"/>
    </row>
    <row r="2278" spans="1:1" x14ac:dyDescent="0.25">
      <c r="A2278"/>
    </row>
    <row r="2279" spans="1:1" x14ac:dyDescent="0.25">
      <c r="A2279"/>
    </row>
    <row r="2280" spans="1:1" x14ac:dyDescent="0.25">
      <c r="A2280"/>
    </row>
    <row r="2281" spans="1:1" x14ac:dyDescent="0.25">
      <c r="A2281"/>
    </row>
    <row r="2282" spans="1:1" x14ac:dyDescent="0.25">
      <c r="A2282"/>
    </row>
    <row r="2283" spans="1:1" x14ac:dyDescent="0.25">
      <c r="A2283"/>
    </row>
    <row r="2284" spans="1:1" x14ac:dyDescent="0.25">
      <c r="A2284"/>
    </row>
    <row r="2285" spans="1:1" x14ac:dyDescent="0.25">
      <c r="A2285"/>
    </row>
    <row r="2286" spans="1:1" x14ac:dyDescent="0.25">
      <c r="A2286"/>
    </row>
    <row r="2287" spans="1:1" x14ac:dyDescent="0.25">
      <c r="A2287"/>
    </row>
    <row r="2288" spans="1:1" x14ac:dyDescent="0.25">
      <c r="A2288"/>
    </row>
    <row r="2289" spans="1:1" x14ac:dyDescent="0.25">
      <c r="A2289"/>
    </row>
    <row r="2290" spans="1:1" x14ac:dyDescent="0.25">
      <c r="A2290"/>
    </row>
    <row r="2291" spans="1:1" x14ac:dyDescent="0.25">
      <c r="A2291"/>
    </row>
    <row r="2292" spans="1:1" x14ac:dyDescent="0.25">
      <c r="A2292"/>
    </row>
    <row r="2293" spans="1:1" x14ac:dyDescent="0.25">
      <c r="A2293"/>
    </row>
    <row r="2294" spans="1:1" x14ac:dyDescent="0.25">
      <c r="A2294"/>
    </row>
    <row r="2295" spans="1:1" x14ac:dyDescent="0.25">
      <c r="A2295"/>
    </row>
    <row r="2296" spans="1:1" x14ac:dyDescent="0.25">
      <c r="A2296"/>
    </row>
    <row r="2297" spans="1:1" x14ac:dyDescent="0.25">
      <c r="A2297"/>
    </row>
    <row r="2298" spans="1:1" x14ac:dyDescent="0.25">
      <c r="A2298"/>
    </row>
    <row r="2299" spans="1:1" x14ac:dyDescent="0.25">
      <c r="A2299"/>
    </row>
    <row r="2300" spans="1:1" x14ac:dyDescent="0.25">
      <c r="A2300"/>
    </row>
    <row r="2301" spans="1:1" x14ac:dyDescent="0.25">
      <c r="A2301"/>
    </row>
    <row r="2302" spans="1:1" x14ac:dyDescent="0.25">
      <c r="A2302"/>
    </row>
    <row r="2303" spans="1:1" x14ac:dyDescent="0.25">
      <c r="A2303"/>
    </row>
    <row r="2304" spans="1:1" x14ac:dyDescent="0.25">
      <c r="A2304"/>
    </row>
    <row r="2305" spans="1:1" x14ac:dyDescent="0.25">
      <c r="A2305"/>
    </row>
    <row r="2306" spans="1:1" x14ac:dyDescent="0.25">
      <c r="A2306"/>
    </row>
    <row r="2307" spans="1:1" x14ac:dyDescent="0.25">
      <c r="A2307"/>
    </row>
    <row r="2308" spans="1:1" x14ac:dyDescent="0.25">
      <c r="A2308"/>
    </row>
    <row r="2309" spans="1:1" x14ac:dyDescent="0.25">
      <c r="A2309"/>
    </row>
    <row r="2310" spans="1:1" x14ac:dyDescent="0.25">
      <c r="A2310"/>
    </row>
    <row r="2311" spans="1:1" x14ac:dyDescent="0.25">
      <c r="A2311"/>
    </row>
    <row r="2312" spans="1:1" x14ac:dyDescent="0.25">
      <c r="A2312"/>
    </row>
    <row r="2313" spans="1:1" x14ac:dyDescent="0.25">
      <c r="A2313"/>
    </row>
    <row r="2314" spans="1:1" x14ac:dyDescent="0.25">
      <c r="A2314"/>
    </row>
    <row r="2315" spans="1:1" x14ac:dyDescent="0.25">
      <c r="A2315"/>
    </row>
    <row r="2316" spans="1:1" x14ac:dyDescent="0.25">
      <c r="A2316"/>
    </row>
    <row r="2317" spans="1:1" x14ac:dyDescent="0.25">
      <c r="A2317"/>
    </row>
    <row r="2318" spans="1:1" x14ac:dyDescent="0.25">
      <c r="A2318"/>
    </row>
    <row r="2319" spans="1:1" x14ac:dyDescent="0.25">
      <c r="A2319"/>
    </row>
    <row r="2320" spans="1:1" x14ac:dyDescent="0.25">
      <c r="A2320"/>
    </row>
    <row r="2321" spans="1:1" x14ac:dyDescent="0.25">
      <c r="A2321"/>
    </row>
    <row r="2322" spans="1:1" x14ac:dyDescent="0.25">
      <c r="A2322"/>
    </row>
    <row r="2323" spans="1:1" x14ac:dyDescent="0.25">
      <c r="A2323"/>
    </row>
    <row r="2324" spans="1:1" x14ac:dyDescent="0.25">
      <c r="A2324"/>
    </row>
    <row r="2325" spans="1:1" x14ac:dyDescent="0.25">
      <c r="A2325"/>
    </row>
    <row r="2326" spans="1:1" x14ac:dyDescent="0.25">
      <c r="A2326"/>
    </row>
    <row r="2327" spans="1:1" x14ac:dyDescent="0.25">
      <c r="A2327"/>
    </row>
    <row r="2328" spans="1:1" x14ac:dyDescent="0.25">
      <c r="A2328"/>
    </row>
    <row r="2329" spans="1:1" x14ac:dyDescent="0.25">
      <c r="A2329"/>
    </row>
    <row r="2330" spans="1:1" x14ac:dyDescent="0.25">
      <c r="A2330"/>
    </row>
    <row r="2331" spans="1:1" x14ac:dyDescent="0.25">
      <c r="A2331"/>
    </row>
    <row r="2332" spans="1:1" x14ac:dyDescent="0.25">
      <c r="A2332"/>
    </row>
    <row r="2333" spans="1:1" x14ac:dyDescent="0.25">
      <c r="A2333"/>
    </row>
    <row r="2334" spans="1:1" x14ac:dyDescent="0.25">
      <c r="A2334"/>
    </row>
    <row r="2335" spans="1:1" x14ac:dyDescent="0.25">
      <c r="A2335"/>
    </row>
    <row r="2336" spans="1:1" x14ac:dyDescent="0.25">
      <c r="A2336"/>
    </row>
    <row r="2337" spans="1:1" x14ac:dyDescent="0.25">
      <c r="A2337"/>
    </row>
    <row r="2338" spans="1:1" x14ac:dyDescent="0.25">
      <c r="A2338"/>
    </row>
    <row r="2339" spans="1:1" x14ac:dyDescent="0.25">
      <c r="A2339"/>
    </row>
    <row r="2340" spans="1:1" x14ac:dyDescent="0.25">
      <c r="A2340"/>
    </row>
    <row r="2341" spans="1:1" x14ac:dyDescent="0.25">
      <c r="A2341"/>
    </row>
    <row r="2342" spans="1:1" x14ac:dyDescent="0.25">
      <c r="A2342"/>
    </row>
    <row r="2343" spans="1:1" x14ac:dyDescent="0.25">
      <c r="A2343"/>
    </row>
    <row r="2344" spans="1:1" x14ac:dyDescent="0.25">
      <c r="A2344"/>
    </row>
    <row r="2345" spans="1:1" x14ac:dyDescent="0.25">
      <c r="A2345"/>
    </row>
    <row r="2346" spans="1:1" x14ac:dyDescent="0.25">
      <c r="A2346"/>
    </row>
    <row r="2347" spans="1:1" x14ac:dyDescent="0.25">
      <c r="A2347"/>
    </row>
    <row r="2348" spans="1:1" x14ac:dyDescent="0.25">
      <c r="A2348"/>
    </row>
    <row r="2349" spans="1:1" x14ac:dyDescent="0.25">
      <c r="A2349"/>
    </row>
    <row r="2350" spans="1:1" x14ac:dyDescent="0.25">
      <c r="A2350"/>
    </row>
    <row r="2351" spans="1:1" x14ac:dyDescent="0.25">
      <c r="A2351"/>
    </row>
    <row r="2352" spans="1:1" x14ac:dyDescent="0.25">
      <c r="A2352"/>
    </row>
    <row r="2353" spans="1:1" x14ac:dyDescent="0.25">
      <c r="A2353"/>
    </row>
    <row r="2354" spans="1:1" x14ac:dyDescent="0.25">
      <c r="A2354"/>
    </row>
    <row r="2355" spans="1:1" x14ac:dyDescent="0.25">
      <c r="A2355"/>
    </row>
    <row r="2356" spans="1:1" x14ac:dyDescent="0.25">
      <c r="A2356"/>
    </row>
    <row r="2357" spans="1:1" x14ac:dyDescent="0.25">
      <c r="A2357"/>
    </row>
    <row r="2358" spans="1:1" x14ac:dyDescent="0.25">
      <c r="A2358"/>
    </row>
    <row r="2359" spans="1:1" x14ac:dyDescent="0.25">
      <c r="A2359"/>
    </row>
    <row r="2360" spans="1:1" x14ac:dyDescent="0.25">
      <c r="A2360"/>
    </row>
    <row r="2361" spans="1:1" x14ac:dyDescent="0.25">
      <c r="A2361"/>
    </row>
    <row r="2362" spans="1:1" x14ac:dyDescent="0.25">
      <c r="A2362"/>
    </row>
    <row r="2363" spans="1:1" x14ac:dyDescent="0.25">
      <c r="A2363"/>
    </row>
    <row r="2364" spans="1:1" x14ac:dyDescent="0.25">
      <c r="A2364"/>
    </row>
    <row r="2365" spans="1:1" x14ac:dyDescent="0.25">
      <c r="A2365"/>
    </row>
    <row r="2366" spans="1:1" x14ac:dyDescent="0.25">
      <c r="A2366"/>
    </row>
    <row r="2367" spans="1:1" x14ac:dyDescent="0.25">
      <c r="A2367"/>
    </row>
    <row r="2368" spans="1:1" x14ac:dyDescent="0.25">
      <c r="A2368"/>
    </row>
    <row r="2369" spans="1:1" x14ac:dyDescent="0.25">
      <c r="A2369"/>
    </row>
    <row r="2370" spans="1:1" x14ac:dyDescent="0.25">
      <c r="A2370"/>
    </row>
    <row r="2371" spans="1:1" x14ac:dyDescent="0.25">
      <c r="A2371"/>
    </row>
    <row r="2372" spans="1:1" x14ac:dyDescent="0.25">
      <c r="A2372"/>
    </row>
    <row r="2373" spans="1:1" x14ac:dyDescent="0.25">
      <c r="A2373"/>
    </row>
    <row r="2374" spans="1:1" x14ac:dyDescent="0.25">
      <c r="A2374"/>
    </row>
    <row r="2375" spans="1:1" x14ac:dyDescent="0.25">
      <c r="A2375"/>
    </row>
    <row r="2376" spans="1:1" x14ac:dyDescent="0.25">
      <c r="A2376"/>
    </row>
    <row r="2377" spans="1:1" x14ac:dyDescent="0.25">
      <c r="A2377"/>
    </row>
    <row r="2378" spans="1:1" x14ac:dyDescent="0.25">
      <c r="A2378"/>
    </row>
    <row r="2379" spans="1:1" x14ac:dyDescent="0.25">
      <c r="A2379"/>
    </row>
    <row r="2380" spans="1:1" x14ac:dyDescent="0.25">
      <c r="A2380"/>
    </row>
    <row r="2381" spans="1:1" x14ac:dyDescent="0.25">
      <c r="A2381"/>
    </row>
    <row r="2382" spans="1:1" x14ac:dyDescent="0.25">
      <c r="A2382"/>
    </row>
    <row r="2383" spans="1:1" x14ac:dyDescent="0.25">
      <c r="A2383"/>
    </row>
    <row r="2384" spans="1:1" x14ac:dyDescent="0.25">
      <c r="A2384"/>
    </row>
    <row r="2385" spans="1:1" x14ac:dyDescent="0.25">
      <c r="A2385"/>
    </row>
    <row r="2386" spans="1:1" x14ac:dyDescent="0.25">
      <c r="A2386"/>
    </row>
    <row r="2387" spans="1:1" x14ac:dyDescent="0.25">
      <c r="A2387"/>
    </row>
    <row r="2388" spans="1:1" x14ac:dyDescent="0.25">
      <c r="A2388"/>
    </row>
    <row r="2389" spans="1:1" x14ac:dyDescent="0.25">
      <c r="A2389"/>
    </row>
    <row r="2390" spans="1:1" x14ac:dyDescent="0.25">
      <c r="A2390"/>
    </row>
    <row r="2391" spans="1:1" x14ac:dyDescent="0.25">
      <c r="A2391"/>
    </row>
    <row r="2392" spans="1:1" x14ac:dyDescent="0.25">
      <c r="A2392"/>
    </row>
    <row r="2393" spans="1:1" x14ac:dyDescent="0.25">
      <c r="A2393"/>
    </row>
    <row r="2394" spans="1:1" x14ac:dyDescent="0.25">
      <c r="A2394"/>
    </row>
    <row r="2395" spans="1:1" x14ac:dyDescent="0.25">
      <c r="A2395"/>
    </row>
    <row r="2396" spans="1:1" x14ac:dyDescent="0.25">
      <c r="A2396"/>
    </row>
    <row r="2397" spans="1:1" x14ac:dyDescent="0.25">
      <c r="A2397"/>
    </row>
    <row r="2398" spans="1:1" x14ac:dyDescent="0.25">
      <c r="A2398"/>
    </row>
    <row r="2399" spans="1:1" x14ac:dyDescent="0.25">
      <c r="A2399"/>
    </row>
    <row r="2400" spans="1:1" x14ac:dyDescent="0.25">
      <c r="A2400"/>
    </row>
    <row r="2401" spans="1:1" x14ac:dyDescent="0.25">
      <c r="A2401"/>
    </row>
    <row r="2402" spans="1:1" x14ac:dyDescent="0.25">
      <c r="A2402"/>
    </row>
    <row r="2403" spans="1:1" x14ac:dyDescent="0.25">
      <c r="A2403"/>
    </row>
    <row r="2404" spans="1:1" x14ac:dyDescent="0.25">
      <c r="A2404"/>
    </row>
    <row r="2405" spans="1:1" x14ac:dyDescent="0.25">
      <c r="A2405"/>
    </row>
    <row r="2406" spans="1:1" x14ac:dyDescent="0.25">
      <c r="A2406"/>
    </row>
    <row r="2407" spans="1:1" x14ac:dyDescent="0.25">
      <c r="A2407"/>
    </row>
    <row r="2408" spans="1:1" x14ac:dyDescent="0.25">
      <c r="A2408"/>
    </row>
    <row r="2409" spans="1:1" x14ac:dyDescent="0.25">
      <c r="A2409"/>
    </row>
    <row r="2410" spans="1:1" x14ac:dyDescent="0.25">
      <c r="A2410"/>
    </row>
    <row r="2411" spans="1:1" x14ac:dyDescent="0.25">
      <c r="A2411"/>
    </row>
    <row r="2412" spans="1:1" x14ac:dyDescent="0.25">
      <c r="A2412"/>
    </row>
    <row r="2413" spans="1:1" x14ac:dyDescent="0.25">
      <c r="A2413"/>
    </row>
    <row r="2414" spans="1:1" x14ac:dyDescent="0.25">
      <c r="A2414"/>
    </row>
    <row r="2415" spans="1:1" x14ac:dyDescent="0.25">
      <c r="A2415"/>
    </row>
    <row r="2416" spans="1:1" x14ac:dyDescent="0.25">
      <c r="A2416"/>
    </row>
    <row r="2417" spans="1:1" x14ac:dyDescent="0.25">
      <c r="A2417"/>
    </row>
    <row r="2418" spans="1:1" x14ac:dyDescent="0.25">
      <c r="A2418"/>
    </row>
    <row r="2419" spans="1:1" x14ac:dyDescent="0.25">
      <c r="A2419"/>
    </row>
    <row r="2420" spans="1:1" x14ac:dyDescent="0.25">
      <c r="A2420"/>
    </row>
    <row r="2421" spans="1:1" x14ac:dyDescent="0.25">
      <c r="A2421"/>
    </row>
    <row r="2422" spans="1:1" x14ac:dyDescent="0.25">
      <c r="A2422"/>
    </row>
    <row r="2423" spans="1:1" x14ac:dyDescent="0.25">
      <c r="A2423"/>
    </row>
    <row r="2424" spans="1:1" x14ac:dyDescent="0.25">
      <c r="A2424"/>
    </row>
    <row r="2425" spans="1:1" x14ac:dyDescent="0.25">
      <c r="A2425"/>
    </row>
    <row r="2426" spans="1:1" x14ac:dyDescent="0.25">
      <c r="A2426"/>
    </row>
    <row r="2427" spans="1:1" x14ac:dyDescent="0.25">
      <c r="A2427"/>
    </row>
    <row r="2428" spans="1:1" x14ac:dyDescent="0.25">
      <c r="A2428"/>
    </row>
    <row r="2429" spans="1:1" x14ac:dyDescent="0.25">
      <c r="A2429"/>
    </row>
    <row r="2430" spans="1:1" x14ac:dyDescent="0.25">
      <c r="A2430"/>
    </row>
    <row r="2431" spans="1:1" x14ac:dyDescent="0.25">
      <c r="A2431"/>
    </row>
    <row r="2432" spans="1:1" x14ac:dyDescent="0.25">
      <c r="A2432"/>
    </row>
    <row r="2433" spans="1:1" x14ac:dyDescent="0.25">
      <c r="A2433"/>
    </row>
    <row r="2434" spans="1:1" x14ac:dyDescent="0.25">
      <c r="A2434"/>
    </row>
    <row r="2435" spans="1:1" x14ac:dyDescent="0.25">
      <c r="A2435"/>
    </row>
    <row r="2436" spans="1:1" x14ac:dyDescent="0.25">
      <c r="A2436"/>
    </row>
    <row r="2437" spans="1:1" x14ac:dyDescent="0.25">
      <c r="A2437"/>
    </row>
    <row r="2438" spans="1:1" x14ac:dyDescent="0.25">
      <c r="A2438"/>
    </row>
    <row r="2439" spans="1:1" x14ac:dyDescent="0.25">
      <c r="A2439"/>
    </row>
    <row r="2440" spans="1:1" x14ac:dyDescent="0.25">
      <c r="A2440"/>
    </row>
    <row r="2441" spans="1:1" x14ac:dyDescent="0.25">
      <c r="A2441"/>
    </row>
    <row r="2442" spans="1:1" x14ac:dyDescent="0.25">
      <c r="A2442"/>
    </row>
    <row r="2443" spans="1:1" x14ac:dyDescent="0.25">
      <c r="A2443"/>
    </row>
    <row r="2444" spans="1:1" x14ac:dyDescent="0.25">
      <c r="A2444"/>
    </row>
    <row r="2445" spans="1:1" x14ac:dyDescent="0.25">
      <c r="A2445"/>
    </row>
    <row r="2446" spans="1:1" x14ac:dyDescent="0.25">
      <c r="A2446"/>
    </row>
    <row r="2447" spans="1:1" x14ac:dyDescent="0.25">
      <c r="A2447"/>
    </row>
    <row r="2448" spans="1:1" x14ac:dyDescent="0.25">
      <c r="A2448"/>
    </row>
    <row r="2449" spans="1:1" x14ac:dyDescent="0.25">
      <c r="A2449"/>
    </row>
    <row r="2450" spans="1:1" x14ac:dyDescent="0.25">
      <c r="A2450"/>
    </row>
    <row r="2451" spans="1:1" x14ac:dyDescent="0.25">
      <c r="A2451"/>
    </row>
    <row r="2452" spans="1:1" x14ac:dyDescent="0.25">
      <c r="A2452"/>
    </row>
    <row r="2453" spans="1:1" x14ac:dyDescent="0.25">
      <c r="A2453"/>
    </row>
    <row r="2454" spans="1:1" x14ac:dyDescent="0.25">
      <c r="A2454"/>
    </row>
    <row r="2455" spans="1:1" x14ac:dyDescent="0.25">
      <c r="A2455"/>
    </row>
    <row r="2456" spans="1:1" x14ac:dyDescent="0.25">
      <c r="A2456"/>
    </row>
    <row r="2457" spans="1:1" x14ac:dyDescent="0.25">
      <c r="A2457"/>
    </row>
    <row r="2458" spans="1:1" x14ac:dyDescent="0.25">
      <c r="A2458"/>
    </row>
    <row r="2459" spans="1:1" x14ac:dyDescent="0.25">
      <c r="A2459"/>
    </row>
    <row r="2460" spans="1:1" x14ac:dyDescent="0.25">
      <c r="A2460"/>
    </row>
    <row r="2461" spans="1:1" x14ac:dyDescent="0.25">
      <c r="A2461"/>
    </row>
    <row r="2462" spans="1:1" x14ac:dyDescent="0.25">
      <c r="A2462"/>
    </row>
    <row r="2463" spans="1:1" x14ac:dyDescent="0.25">
      <c r="A2463"/>
    </row>
    <row r="2464" spans="1:1" x14ac:dyDescent="0.25">
      <c r="A2464"/>
    </row>
    <row r="2465" spans="1:1" x14ac:dyDescent="0.25">
      <c r="A2465"/>
    </row>
    <row r="2466" spans="1:1" x14ac:dyDescent="0.25">
      <c r="A2466"/>
    </row>
    <row r="2467" spans="1:1" x14ac:dyDescent="0.25">
      <c r="A2467"/>
    </row>
    <row r="2468" spans="1:1" x14ac:dyDescent="0.25">
      <c r="A2468"/>
    </row>
    <row r="2469" spans="1:1" x14ac:dyDescent="0.25">
      <c r="A2469"/>
    </row>
    <row r="2470" spans="1:1" x14ac:dyDescent="0.25">
      <c r="A2470"/>
    </row>
    <row r="2471" spans="1:1" x14ac:dyDescent="0.25">
      <c r="A2471"/>
    </row>
    <row r="2472" spans="1:1" x14ac:dyDescent="0.25">
      <c r="A2472"/>
    </row>
    <row r="2473" spans="1:1" x14ac:dyDescent="0.25">
      <c r="A2473"/>
    </row>
    <row r="2474" spans="1:1" x14ac:dyDescent="0.25">
      <c r="A2474"/>
    </row>
    <row r="2475" spans="1:1" x14ac:dyDescent="0.25">
      <c r="A2475"/>
    </row>
    <row r="2476" spans="1:1" x14ac:dyDescent="0.25">
      <c r="A2476"/>
    </row>
    <row r="2477" spans="1:1" x14ac:dyDescent="0.25">
      <c r="A2477"/>
    </row>
    <row r="2478" spans="1:1" x14ac:dyDescent="0.25">
      <c r="A2478"/>
    </row>
    <row r="2479" spans="1:1" x14ac:dyDescent="0.25">
      <c r="A2479"/>
    </row>
    <row r="2480" spans="1:1" x14ac:dyDescent="0.25">
      <c r="A2480"/>
    </row>
    <row r="2481" spans="1:1" x14ac:dyDescent="0.25">
      <c r="A2481"/>
    </row>
    <row r="2482" spans="1:1" x14ac:dyDescent="0.25">
      <c r="A2482"/>
    </row>
    <row r="2483" spans="1:1" x14ac:dyDescent="0.25">
      <c r="A2483"/>
    </row>
    <row r="2484" spans="1:1" x14ac:dyDescent="0.25">
      <c r="A2484"/>
    </row>
    <row r="2485" spans="1:1" x14ac:dyDescent="0.25">
      <c r="A2485"/>
    </row>
    <row r="2486" spans="1:1" x14ac:dyDescent="0.25">
      <c r="A2486"/>
    </row>
    <row r="2487" spans="1:1" x14ac:dyDescent="0.25">
      <c r="A2487"/>
    </row>
    <row r="2488" spans="1:1" x14ac:dyDescent="0.25">
      <c r="A2488"/>
    </row>
    <row r="2489" spans="1:1" x14ac:dyDescent="0.25">
      <c r="A2489"/>
    </row>
    <row r="2490" spans="1:1" x14ac:dyDescent="0.25">
      <c r="A2490"/>
    </row>
    <row r="2491" spans="1:1" x14ac:dyDescent="0.25">
      <c r="A2491"/>
    </row>
    <row r="2492" spans="1:1" x14ac:dyDescent="0.25">
      <c r="A2492"/>
    </row>
    <row r="2493" spans="1:1" x14ac:dyDescent="0.25">
      <c r="A2493"/>
    </row>
    <row r="2494" spans="1:1" x14ac:dyDescent="0.25">
      <c r="A2494"/>
    </row>
    <row r="2495" spans="1:1" x14ac:dyDescent="0.25">
      <c r="A2495"/>
    </row>
    <row r="2496" spans="1:1" x14ac:dyDescent="0.25">
      <c r="A2496"/>
    </row>
    <row r="2497" spans="1:1" x14ac:dyDescent="0.25">
      <c r="A2497"/>
    </row>
    <row r="2498" spans="1:1" x14ac:dyDescent="0.25">
      <c r="A2498"/>
    </row>
    <row r="2499" spans="1:1" x14ac:dyDescent="0.25">
      <c r="A2499"/>
    </row>
    <row r="2500" spans="1:1" x14ac:dyDescent="0.25">
      <c r="A2500"/>
    </row>
    <row r="2501" spans="1:1" x14ac:dyDescent="0.25">
      <c r="A2501"/>
    </row>
    <row r="2502" spans="1:1" x14ac:dyDescent="0.25">
      <c r="A2502"/>
    </row>
    <row r="2503" spans="1:1" x14ac:dyDescent="0.25">
      <c r="A2503"/>
    </row>
    <row r="2504" spans="1:1" x14ac:dyDescent="0.25">
      <c r="A2504"/>
    </row>
    <row r="2505" spans="1:1" x14ac:dyDescent="0.25">
      <c r="A2505"/>
    </row>
    <row r="2506" spans="1:1" x14ac:dyDescent="0.25">
      <c r="A2506"/>
    </row>
    <row r="2507" spans="1:1" x14ac:dyDescent="0.25">
      <c r="A2507"/>
    </row>
    <row r="2508" spans="1:1" x14ac:dyDescent="0.25">
      <c r="A2508"/>
    </row>
    <row r="2509" spans="1:1" x14ac:dyDescent="0.25">
      <c r="A2509"/>
    </row>
    <row r="2510" spans="1:1" x14ac:dyDescent="0.25">
      <c r="A2510"/>
    </row>
    <row r="2511" spans="1:1" x14ac:dyDescent="0.25">
      <c r="A2511"/>
    </row>
    <row r="2512" spans="1:1" x14ac:dyDescent="0.25">
      <c r="A2512"/>
    </row>
    <row r="2513" spans="1:1" x14ac:dyDescent="0.25">
      <c r="A2513"/>
    </row>
    <row r="2514" spans="1:1" x14ac:dyDescent="0.25">
      <c r="A2514"/>
    </row>
    <row r="2515" spans="1:1" x14ac:dyDescent="0.25">
      <c r="A2515"/>
    </row>
    <row r="2516" spans="1:1" x14ac:dyDescent="0.25">
      <c r="A2516"/>
    </row>
    <row r="2517" spans="1:1" x14ac:dyDescent="0.25">
      <c r="A2517"/>
    </row>
    <row r="2518" spans="1:1" x14ac:dyDescent="0.25">
      <c r="A2518"/>
    </row>
    <row r="2519" spans="1:1" x14ac:dyDescent="0.25">
      <c r="A2519"/>
    </row>
    <row r="2520" spans="1:1" x14ac:dyDescent="0.25">
      <c r="A2520"/>
    </row>
    <row r="2521" spans="1:1" x14ac:dyDescent="0.25">
      <c r="A2521"/>
    </row>
    <row r="2522" spans="1:1" x14ac:dyDescent="0.25">
      <c r="A2522"/>
    </row>
    <row r="2523" spans="1:1" x14ac:dyDescent="0.25">
      <c r="A2523"/>
    </row>
    <row r="2524" spans="1:1" x14ac:dyDescent="0.25">
      <c r="A2524"/>
    </row>
    <row r="2525" spans="1:1" x14ac:dyDescent="0.25">
      <c r="A2525"/>
    </row>
    <row r="2526" spans="1:1" x14ac:dyDescent="0.25">
      <c r="A2526"/>
    </row>
    <row r="2527" spans="1:1" x14ac:dyDescent="0.25">
      <c r="A2527"/>
    </row>
    <row r="2528" spans="1:1" x14ac:dyDescent="0.25">
      <c r="A2528"/>
    </row>
    <row r="2529" spans="1:1" x14ac:dyDescent="0.25">
      <c r="A2529"/>
    </row>
    <row r="2530" spans="1:1" x14ac:dyDescent="0.25">
      <c r="A2530"/>
    </row>
    <row r="2531" spans="1:1" x14ac:dyDescent="0.25">
      <c r="A2531"/>
    </row>
    <row r="2532" spans="1:1" x14ac:dyDescent="0.25">
      <c r="A2532"/>
    </row>
    <row r="2533" spans="1:1" x14ac:dyDescent="0.25">
      <c r="A2533"/>
    </row>
    <row r="2534" spans="1:1" x14ac:dyDescent="0.25">
      <c r="A2534"/>
    </row>
    <row r="2535" spans="1:1" x14ac:dyDescent="0.25">
      <c r="A2535"/>
    </row>
    <row r="2536" spans="1:1" x14ac:dyDescent="0.25">
      <c r="A2536"/>
    </row>
    <row r="2537" spans="1:1" x14ac:dyDescent="0.25">
      <c r="A2537"/>
    </row>
    <row r="2538" spans="1:1" x14ac:dyDescent="0.25">
      <c r="A2538"/>
    </row>
    <row r="2539" spans="1:1" x14ac:dyDescent="0.25">
      <c r="A2539"/>
    </row>
    <row r="2540" spans="1:1" x14ac:dyDescent="0.25">
      <c r="A2540"/>
    </row>
    <row r="2541" spans="1:1" x14ac:dyDescent="0.25">
      <c r="A2541"/>
    </row>
    <row r="2542" spans="1:1" x14ac:dyDescent="0.25">
      <c r="A2542"/>
    </row>
    <row r="2543" spans="1:1" x14ac:dyDescent="0.25">
      <c r="A2543"/>
    </row>
    <row r="2544" spans="1:1" x14ac:dyDescent="0.25">
      <c r="A2544"/>
    </row>
    <row r="2545" spans="1:1" x14ac:dyDescent="0.25">
      <c r="A2545"/>
    </row>
    <row r="2546" spans="1:1" x14ac:dyDescent="0.25">
      <c r="A2546"/>
    </row>
    <row r="2547" spans="1:1" x14ac:dyDescent="0.25">
      <c r="A2547"/>
    </row>
    <row r="2548" spans="1:1" x14ac:dyDescent="0.25">
      <c r="A2548"/>
    </row>
    <row r="2549" spans="1:1" x14ac:dyDescent="0.25">
      <c r="A2549"/>
    </row>
    <row r="2550" spans="1:1" x14ac:dyDescent="0.25">
      <c r="A2550"/>
    </row>
    <row r="2551" spans="1:1" x14ac:dyDescent="0.25">
      <c r="A2551"/>
    </row>
    <row r="2552" spans="1:1" x14ac:dyDescent="0.25">
      <c r="A2552"/>
    </row>
    <row r="2553" spans="1:1" x14ac:dyDescent="0.25">
      <c r="A2553"/>
    </row>
    <row r="2554" spans="1:1" x14ac:dyDescent="0.25">
      <c r="A2554"/>
    </row>
    <row r="2555" spans="1:1" x14ac:dyDescent="0.25">
      <c r="A2555"/>
    </row>
    <row r="2556" spans="1:1" x14ac:dyDescent="0.25">
      <c r="A2556"/>
    </row>
    <row r="2557" spans="1:1" x14ac:dyDescent="0.25">
      <c r="A2557"/>
    </row>
    <row r="2558" spans="1:1" x14ac:dyDescent="0.25">
      <c r="A2558"/>
    </row>
    <row r="2559" spans="1:1" x14ac:dyDescent="0.25">
      <c r="A2559"/>
    </row>
    <row r="2560" spans="1:1" x14ac:dyDescent="0.25">
      <c r="A2560"/>
    </row>
    <row r="2561" spans="1:1" x14ac:dyDescent="0.25">
      <c r="A2561"/>
    </row>
    <row r="2562" spans="1:1" x14ac:dyDescent="0.25">
      <c r="A2562"/>
    </row>
    <row r="2563" spans="1:1" x14ac:dyDescent="0.25">
      <c r="A2563"/>
    </row>
    <row r="2564" spans="1:1" x14ac:dyDescent="0.25">
      <c r="A2564"/>
    </row>
    <row r="2565" spans="1:1" x14ac:dyDescent="0.25">
      <c r="A2565"/>
    </row>
    <row r="2566" spans="1:1" x14ac:dyDescent="0.25">
      <c r="A2566"/>
    </row>
    <row r="2567" spans="1:1" x14ac:dyDescent="0.25">
      <c r="A2567"/>
    </row>
    <row r="2568" spans="1:1" x14ac:dyDescent="0.25">
      <c r="A2568"/>
    </row>
    <row r="2569" spans="1:1" x14ac:dyDescent="0.25">
      <c r="A2569"/>
    </row>
    <row r="2570" spans="1:1" x14ac:dyDescent="0.25">
      <c r="A2570"/>
    </row>
    <row r="2571" spans="1:1" x14ac:dyDescent="0.25">
      <c r="A2571"/>
    </row>
    <row r="2572" spans="1:1" x14ac:dyDescent="0.25">
      <c r="A2572"/>
    </row>
    <row r="2573" spans="1:1" x14ac:dyDescent="0.25">
      <c r="A2573"/>
    </row>
    <row r="2574" spans="1:1" x14ac:dyDescent="0.25">
      <c r="A2574"/>
    </row>
    <row r="2575" spans="1:1" x14ac:dyDescent="0.25">
      <c r="A2575"/>
    </row>
    <row r="2576" spans="1:1" x14ac:dyDescent="0.25">
      <c r="A2576"/>
    </row>
    <row r="2577" spans="1:1" x14ac:dyDescent="0.25">
      <c r="A2577"/>
    </row>
    <row r="2578" spans="1:1" x14ac:dyDescent="0.25">
      <c r="A2578"/>
    </row>
    <row r="2579" spans="1:1" x14ac:dyDescent="0.25">
      <c r="A2579"/>
    </row>
    <row r="2580" spans="1:1" x14ac:dyDescent="0.25">
      <c r="A2580"/>
    </row>
    <row r="2581" spans="1:1" x14ac:dyDescent="0.25">
      <c r="A2581"/>
    </row>
    <row r="2582" spans="1:1" x14ac:dyDescent="0.25">
      <c r="A2582"/>
    </row>
    <row r="2583" spans="1:1" x14ac:dyDescent="0.25">
      <c r="A2583"/>
    </row>
    <row r="2584" spans="1:1" x14ac:dyDescent="0.25">
      <c r="A2584"/>
    </row>
    <row r="2585" spans="1:1" x14ac:dyDescent="0.25">
      <c r="A2585"/>
    </row>
    <row r="2586" spans="1:1" x14ac:dyDescent="0.25">
      <c r="A2586"/>
    </row>
    <row r="2587" spans="1:1" x14ac:dyDescent="0.25">
      <c r="A2587"/>
    </row>
    <row r="2588" spans="1:1" x14ac:dyDescent="0.25">
      <c r="A2588"/>
    </row>
    <row r="2589" spans="1:1" x14ac:dyDescent="0.25">
      <c r="A2589"/>
    </row>
    <row r="2590" spans="1:1" x14ac:dyDescent="0.25">
      <c r="A2590"/>
    </row>
    <row r="2591" spans="1:1" x14ac:dyDescent="0.25">
      <c r="A2591"/>
    </row>
    <row r="2592" spans="1:1" x14ac:dyDescent="0.25">
      <c r="A2592"/>
    </row>
    <row r="2593" spans="1:1" x14ac:dyDescent="0.25">
      <c r="A2593"/>
    </row>
    <row r="2594" spans="1:1" x14ac:dyDescent="0.25">
      <c r="A2594"/>
    </row>
    <row r="2595" spans="1:1" x14ac:dyDescent="0.25">
      <c r="A2595"/>
    </row>
    <row r="2596" spans="1:1" x14ac:dyDescent="0.25">
      <c r="A2596"/>
    </row>
    <row r="2597" spans="1:1" x14ac:dyDescent="0.25">
      <c r="A2597"/>
    </row>
    <row r="2598" spans="1:1" x14ac:dyDescent="0.25">
      <c r="A2598"/>
    </row>
    <row r="2599" spans="1:1" x14ac:dyDescent="0.25">
      <c r="A2599"/>
    </row>
    <row r="2600" spans="1:1" x14ac:dyDescent="0.25">
      <c r="A2600"/>
    </row>
    <row r="2601" spans="1:1" x14ac:dyDescent="0.25">
      <c r="A2601"/>
    </row>
    <row r="2602" spans="1:1" x14ac:dyDescent="0.25">
      <c r="A2602"/>
    </row>
    <row r="2603" spans="1:1" x14ac:dyDescent="0.25">
      <c r="A2603"/>
    </row>
    <row r="2604" spans="1:1" x14ac:dyDescent="0.25">
      <c r="A2604"/>
    </row>
    <row r="2605" spans="1:1" x14ac:dyDescent="0.25">
      <c r="A2605"/>
    </row>
    <row r="2606" spans="1:1" x14ac:dyDescent="0.25">
      <c r="A2606"/>
    </row>
    <row r="2607" spans="1:1" x14ac:dyDescent="0.25">
      <c r="A2607"/>
    </row>
    <row r="2608" spans="1:1" x14ac:dyDescent="0.25">
      <c r="A2608"/>
    </row>
    <row r="2609" spans="1:1" x14ac:dyDescent="0.25">
      <c r="A2609"/>
    </row>
    <row r="2610" spans="1:1" x14ac:dyDescent="0.25">
      <c r="A2610"/>
    </row>
    <row r="2611" spans="1:1" x14ac:dyDescent="0.25">
      <c r="A2611"/>
    </row>
    <row r="2612" spans="1:1" x14ac:dyDescent="0.25">
      <c r="A2612"/>
    </row>
    <row r="2613" spans="1:1" x14ac:dyDescent="0.25">
      <c r="A2613"/>
    </row>
    <row r="2614" spans="1:1" x14ac:dyDescent="0.25">
      <c r="A2614"/>
    </row>
    <row r="2615" spans="1:1" x14ac:dyDescent="0.25">
      <c r="A2615"/>
    </row>
    <row r="2616" spans="1:1" x14ac:dyDescent="0.25">
      <c r="A2616"/>
    </row>
    <row r="2617" spans="1:1" x14ac:dyDescent="0.25">
      <c r="A2617"/>
    </row>
    <row r="2618" spans="1:1" x14ac:dyDescent="0.25">
      <c r="A2618"/>
    </row>
    <row r="2619" spans="1:1" x14ac:dyDescent="0.25">
      <c r="A2619"/>
    </row>
    <row r="2620" spans="1:1" x14ac:dyDescent="0.25">
      <c r="A2620"/>
    </row>
    <row r="2621" spans="1:1" x14ac:dyDescent="0.25">
      <c r="A2621"/>
    </row>
    <row r="2622" spans="1:1" x14ac:dyDescent="0.25">
      <c r="A2622"/>
    </row>
    <row r="2623" spans="1:1" x14ac:dyDescent="0.25">
      <c r="A2623"/>
    </row>
    <row r="2624" spans="1:1" x14ac:dyDescent="0.25">
      <c r="A2624"/>
    </row>
    <row r="2625" spans="1:1" x14ac:dyDescent="0.25">
      <c r="A2625"/>
    </row>
    <row r="2626" spans="1:1" x14ac:dyDescent="0.25">
      <c r="A2626"/>
    </row>
    <row r="2627" spans="1:1" x14ac:dyDescent="0.25">
      <c r="A2627"/>
    </row>
    <row r="2628" spans="1:1" x14ac:dyDescent="0.25">
      <c r="A2628"/>
    </row>
    <row r="2629" spans="1:1" x14ac:dyDescent="0.25">
      <c r="A2629"/>
    </row>
    <row r="2630" spans="1:1" x14ac:dyDescent="0.25">
      <c r="A2630"/>
    </row>
    <row r="2631" spans="1:1" x14ac:dyDescent="0.25">
      <c r="A2631"/>
    </row>
    <row r="2632" spans="1:1" x14ac:dyDescent="0.25">
      <c r="A2632"/>
    </row>
    <row r="2633" spans="1:1" x14ac:dyDescent="0.25">
      <c r="A2633"/>
    </row>
    <row r="2634" spans="1:1" x14ac:dyDescent="0.25">
      <c r="A2634"/>
    </row>
    <row r="2635" spans="1:1" x14ac:dyDescent="0.25">
      <c r="A2635"/>
    </row>
    <row r="2636" spans="1:1" x14ac:dyDescent="0.25">
      <c r="A2636"/>
    </row>
    <row r="2637" spans="1:1" x14ac:dyDescent="0.25">
      <c r="A2637"/>
    </row>
    <row r="2638" spans="1:1" x14ac:dyDescent="0.25">
      <c r="A2638"/>
    </row>
    <row r="2639" spans="1:1" x14ac:dyDescent="0.25">
      <c r="A2639"/>
    </row>
    <row r="2640" spans="1:1" x14ac:dyDescent="0.25">
      <c r="A2640"/>
    </row>
    <row r="2641" spans="1:1" x14ac:dyDescent="0.25">
      <c r="A2641"/>
    </row>
    <row r="2642" spans="1:1" x14ac:dyDescent="0.25">
      <c r="A2642"/>
    </row>
    <row r="2643" spans="1:1" x14ac:dyDescent="0.25">
      <c r="A2643"/>
    </row>
    <row r="2644" spans="1:1" x14ac:dyDescent="0.25">
      <c r="A2644"/>
    </row>
    <row r="2645" spans="1:1" x14ac:dyDescent="0.25">
      <c r="A2645"/>
    </row>
    <row r="2646" spans="1:1" x14ac:dyDescent="0.25">
      <c r="A2646"/>
    </row>
    <row r="2647" spans="1:1" x14ac:dyDescent="0.25">
      <c r="A2647"/>
    </row>
    <row r="2648" spans="1:1" x14ac:dyDescent="0.25">
      <c r="A2648"/>
    </row>
    <row r="2649" spans="1:1" x14ac:dyDescent="0.25">
      <c r="A2649"/>
    </row>
    <row r="2650" spans="1:1" x14ac:dyDescent="0.25">
      <c r="A2650"/>
    </row>
    <row r="2651" spans="1:1" x14ac:dyDescent="0.25">
      <c r="A2651"/>
    </row>
    <row r="2652" spans="1:1" x14ac:dyDescent="0.25">
      <c r="A2652"/>
    </row>
    <row r="2653" spans="1:1" x14ac:dyDescent="0.25">
      <c r="A2653"/>
    </row>
    <row r="2654" spans="1:1" x14ac:dyDescent="0.25">
      <c r="A2654"/>
    </row>
    <row r="2655" spans="1:1" x14ac:dyDescent="0.25">
      <c r="A2655"/>
    </row>
    <row r="2656" spans="1:1" x14ac:dyDescent="0.25">
      <c r="A2656"/>
    </row>
    <row r="2657" spans="1:1" x14ac:dyDescent="0.25">
      <c r="A2657"/>
    </row>
    <row r="2658" spans="1:1" x14ac:dyDescent="0.25">
      <c r="A2658"/>
    </row>
    <row r="2659" spans="1:1" x14ac:dyDescent="0.25">
      <c r="A2659"/>
    </row>
    <row r="2660" spans="1:1" x14ac:dyDescent="0.25">
      <c r="A2660"/>
    </row>
    <row r="2661" spans="1:1" x14ac:dyDescent="0.25">
      <c r="A2661"/>
    </row>
    <row r="2662" spans="1:1" x14ac:dyDescent="0.25">
      <c r="A2662"/>
    </row>
    <row r="2663" spans="1:1" x14ac:dyDescent="0.25">
      <c r="A2663"/>
    </row>
    <row r="2664" spans="1:1" x14ac:dyDescent="0.25">
      <c r="A2664"/>
    </row>
    <row r="2665" spans="1:1" x14ac:dyDescent="0.25">
      <c r="A2665"/>
    </row>
    <row r="2666" spans="1:1" x14ac:dyDescent="0.25">
      <c r="A2666"/>
    </row>
    <row r="2667" spans="1:1" x14ac:dyDescent="0.25">
      <c r="A2667"/>
    </row>
    <row r="2668" spans="1:1" x14ac:dyDescent="0.25">
      <c r="A2668"/>
    </row>
    <row r="2669" spans="1:1" x14ac:dyDescent="0.25">
      <c r="A2669"/>
    </row>
    <row r="2670" spans="1:1" x14ac:dyDescent="0.25">
      <c r="A2670"/>
    </row>
    <row r="2671" spans="1:1" x14ac:dyDescent="0.25">
      <c r="A2671"/>
    </row>
    <row r="2672" spans="1:1" x14ac:dyDescent="0.25">
      <c r="A2672"/>
    </row>
    <row r="2673" spans="1:1" x14ac:dyDescent="0.25">
      <c r="A2673"/>
    </row>
    <row r="2674" spans="1:1" x14ac:dyDescent="0.25">
      <c r="A2674"/>
    </row>
    <row r="2675" spans="1:1" x14ac:dyDescent="0.25">
      <c r="A2675"/>
    </row>
    <row r="2676" spans="1:1" x14ac:dyDescent="0.25">
      <c r="A2676"/>
    </row>
    <row r="2677" spans="1:1" x14ac:dyDescent="0.25">
      <c r="A2677"/>
    </row>
    <row r="2678" spans="1:1" x14ac:dyDescent="0.25">
      <c r="A2678"/>
    </row>
    <row r="2679" spans="1:1" x14ac:dyDescent="0.25">
      <c r="A2679"/>
    </row>
    <row r="2680" spans="1:1" x14ac:dyDescent="0.25">
      <c r="A2680"/>
    </row>
    <row r="2681" spans="1:1" x14ac:dyDescent="0.25">
      <c r="A2681"/>
    </row>
    <row r="2682" spans="1:1" x14ac:dyDescent="0.25">
      <c r="A2682"/>
    </row>
    <row r="2683" spans="1:1" x14ac:dyDescent="0.25">
      <c r="A2683"/>
    </row>
    <row r="2684" spans="1:1" x14ac:dyDescent="0.25">
      <c r="A2684"/>
    </row>
    <row r="2685" spans="1:1" x14ac:dyDescent="0.25">
      <c r="A2685"/>
    </row>
    <row r="2686" spans="1:1" x14ac:dyDescent="0.25">
      <c r="A2686"/>
    </row>
    <row r="2687" spans="1:1" x14ac:dyDescent="0.25">
      <c r="A2687"/>
    </row>
    <row r="2688" spans="1:1" x14ac:dyDescent="0.25">
      <c r="A2688"/>
    </row>
    <row r="2689" spans="1:1" x14ac:dyDescent="0.25">
      <c r="A2689"/>
    </row>
    <row r="2690" spans="1:1" x14ac:dyDescent="0.25">
      <c r="A2690"/>
    </row>
    <row r="2691" spans="1:1" x14ac:dyDescent="0.25">
      <c r="A2691"/>
    </row>
    <row r="2692" spans="1:1" x14ac:dyDescent="0.25">
      <c r="A2692"/>
    </row>
    <row r="2693" spans="1:1" x14ac:dyDescent="0.25">
      <c r="A2693"/>
    </row>
    <row r="2694" spans="1:1" x14ac:dyDescent="0.25">
      <c r="A2694"/>
    </row>
    <row r="2695" spans="1:1" x14ac:dyDescent="0.25">
      <c r="A2695"/>
    </row>
    <row r="2696" spans="1:1" x14ac:dyDescent="0.25">
      <c r="A2696"/>
    </row>
    <row r="2697" spans="1:1" x14ac:dyDescent="0.25">
      <c r="A2697"/>
    </row>
    <row r="2698" spans="1:1" x14ac:dyDescent="0.25">
      <c r="A2698"/>
    </row>
    <row r="2699" spans="1:1" x14ac:dyDescent="0.25">
      <c r="A2699"/>
    </row>
    <row r="2700" spans="1:1" x14ac:dyDescent="0.25">
      <c r="A2700"/>
    </row>
    <row r="2701" spans="1:1" x14ac:dyDescent="0.25">
      <c r="A2701"/>
    </row>
    <row r="2702" spans="1:1" x14ac:dyDescent="0.25">
      <c r="A2702"/>
    </row>
    <row r="2703" spans="1:1" x14ac:dyDescent="0.25">
      <c r="A2703"/>
    </row>
    <row r="2704" spans="1:1" x14ac:dyDescent="0.25">
      <c r="A2704"/>
    </row>
    <row r="2705" spans="1:1" x14ac:dyDescent="0.25">
      <c r="A2705"/>
    </row>
    <row r="2706" spans="1:1" x14ac:dyDescent="0.25">
      <c r="A2706"/>
    </row>
    <row r="2707" spans="1:1" x14ac:dyDescent="0.25">
      <c r="A2707"/>
    </row>
    <row r="2708" spans="1:1" x14ac:dyDescent="0.25">
      <c r="A2708"/>
    </row>
    <row r="2709" spans="1:1" x14ac:dyDescent="0.25">
      <c r="A2709"/>
    </row>
    <row r="2710" spans="1:1" x14ac:dyDescent="0.25">
      <c r="A2710"/>
    </row>
    <row r="2711" spans="1:1" x14ac:dyDescent="0.25">
      <c r="A2711"/>
    </row>
    <row r="2712" spans="1:1" x14ac:dyDescent="0.25">
      <c r="A2712"/>
    </row>
    <row r="2713" spans="1:1" x14ac:dyDescent="0.25">
      <c r="A2713"/>
    </row>
    <row r="2714" spans="1:1" x14ac:dyDescent="0.25">
      <c r="A2714"/>
    </row>
    <row r="2715" spans="1:1" x14ac:dyDescent="0.25">
      <c r="A2715"/>
    </row>
    <row r="2716" spans="1:1" x14ac:dyDescent="0.25">
      <c r="A2716"/>
    </row>
    <row r="2717" spans="1:1" x14ac:dyDescent="0.25">
      <c r="A2717"/>
    </row>
    <row r="2718" spans="1:1" x14ac:dyDescent="0.25">
      <c r="A2718"/>
    </row>
    <row r="2719" spans="1:1" x14ac:dyDescent="0.25">
      <c r="A2719"/>
    </row>
    <row r="2720" spans="1:1" x14ac:dyDescent="0.25">
      <c r="A2720"/>
    </row>
    <row r="2721" spans="1:1" x14ac:dyDescent="0.25">
      <c r="A2721"/>
    </row>
    <row r="2722" spans="1:1" x14ac:dyDescent="0.25">
      <c r="A2722"/>
    </row>
    <row r="2723" spans="1:1" x14ac:dyDescent="0.25">
      <c r="A2723"/>
    </row>
    <row r="2724" spans="1:1" x14ac:dyDescent="0.25">
      <c r="A2724"/>
    </row>
    <row r="2725" spans="1:1" x14ac:dyDescent="0.25">
      <c r="A2725"/>
    </row>
    <row r="2726" spans="1:1" x14ac:dyDescent="0.25">
      <c r="A2726"/>
    </row>
    <row r="2727" spans="1:1" x14ac:dyDescent="0.25">
      <c r="A2727"/>
    </row>
    <row r="2728" spans="1:1" x14ac:dyDescent="0.25">
      <c r="A2728"/>
    </row>
    <row r="2729" spans="1:1" x14ac:dyDescent="0.25">
      <c r="A2729"/>
    </row>
    <row r="2730" spans="1:1" x14ac:dyDescent="0.25">
      <c r="A2730"/>
    </row>
    <row r="2731" spans="1:1" x14ac:dyDescent="0.25">
      <c r="A2731"/>
    </row>
    <row r="2732" spans="1:1" x14ac:dyDescent="0.25">
      <c r="A2732"/>
    </row>
    <row r="2733" spans="1:1" x14ac:dyDescent="0.25">
      <c r="A2733"/>
    </row>
    <row r="2734" spans="1:1" x14ac:dyDescent="0.25">
      <c r="A2734"/>
    </row>
    <row r="2735" spans="1:1" x14ac:dyDescent="0.25">
      <c r="A2735"/>
    </row>
    <row r="2736" spans="1:1" x14ac:dyDescent="0.25">
      <c r="A2736"/>
    </row>
    <row r="2737" spans="1:1" x14ac:dyDescent="0.25">
      <c r="A2737"/>
    </row>
    <row r="2738" spans="1:1" x14ac:dyDescent="0.25">
      <c r="A2738"/>
    </row>
    <row r="2739" spans="1:1" x14ac:dyDescent="0.25">
      <c r="A2739"/>
    </row>
    <row r="2740" spans="1:1" x14ac:dyDescent="0.25">
      <c r="A2740"/>
    </row>
    <row r="2741" spans="1:1" x14ac:dyDescent="0.25">
      <c r="A2741"/>
    </row>
    <row r="2742" spans="1:1" x14ac:dyDescent="0.25">
      <c r="A2742"/>
    </row>
    <row r="2743" spans="1:1" x14ac:dyDescent="0.25">
      <c r="A2743"/>
    </row>
    <row r="2744" spans="1:1" x14ac:dyDescent="0.25">
      <c r="A2744"/>
    </row>
    <row r="2745" spans="1:1" x14ac:dyDescent="0.25">
      <c r="A2745"/>
    </row>
    <row r="2746" spans="1:1" x14ac:dyDescent="0.25">
      <c r="A2746"/>
    </row>
    <row r="2747" spans="1:1" x14ac:dyDescent="0.25">
      <c r="A2747"/>
    </row>
    <row r="2748" spans="1:1" x14ac:dyDescent="0.25">
      <c r="A2748"/>
    </row>
    <row r="2749" spans="1:1" x14ac:dyDescent="0.25">
      <c r="A2749"/>
    </row>
    <row r="2750" spans="1:1" x14ac:dyDescent="0.25">
      <c r="A2750"/>
    </row>
    <row r="2751" spans="1:1" x14ac:dyDescent="0.25">
      <c r="A2751"/>
    </row>
    <row r="2752" spans="1:1" x14ac:dyDescent="0.25">
      <c r="A2752"/>
    </row>
    <row r="2753" spans="1:1" x14ac:dyDescent="0.25">
      <c r="A2753"/>
    </row>
    <row r="2754" spans="1:1" x14ac:dyDescent="0.25">
      <c r="A2754"/>
    </row>
    <row r="2755" spans="1:1" x14ac:dyDescent="0.25">
      <c r="A2755"/>
    </row>
    <row r="2756" spans="1:1" x14ac:dyDescent="0.25">
      <c r="A2756"/>
    </row>
    <row r="2757" spans="1:1" x14ac:dyDescent="0.25">
      <c r="A2757"/>
    </row>
    <row r="2758" spans="1:1" x14ac:dyDescent="0.25">
      <c r="A2758"/>
    </row>
    <row r="2759" spans="1:1" x14ac:dyDescent="0.25">
      <c r="A2759"/>
    </row>
    <row r="2760" spans="1:1" x14ac:dyDescent="0.25">
      <c r="A2760"/>
    </row>
    <row r="2761" spans="1:1" x14ac:dyDescent="0.25">
      <c r="A2761"/>
    </row>
    <row r="2762" spans="1:1" x14ac:dyDescent="0.25">
      <c r="A2762"/>
    </row>
    <row r="2763" spans="1:1" x14ac:dyDescent="0.25">
      <c r="A2763"/>
    </row>
    <row r="2764" spans="1:1" x14ac:dyDescent="0.25">
      <c r="A2764"/>
    </row>
    <row r="2765" spans="1:1" x14ac:dyDescent="0.25">
      <c r="A2765"/>
    </row>
    <row r="2766" spans="1:1" x14ac:dyDescent="0.25">
      <c r="A2766"/>
    </row>
    <row r="2767" spans="1:1" x14ac:dyDescent="0.25">
      <c r="A2767"/>
    </row>
    <row r="2768" spans="1:1" x14ac:dyDescent="0.25">
      <c r="A2768"/>
    </row>
    <row r="2769" spans="1:1" x14ac:dyDescent="0.25">
      <c r="A2769"/>
    </row>
    <row r="2770" spans="1:1" x14ac:dyDescent="0.25">
      <c r="A2770"/>
    </row>
    <row r="2771" spans="1:1" x14ac:dyDescent="0.25">
      <c r="A2771"/>
    </row>
    <row r="2772" spans="1:1" x14ac:dyDescent="0.25">
      <c r="A2772"/>
    </row>
    <row r="2773" spans="1:1" x14ac:dyDescent="0.25">
      <c r="A2773"/>
    </row>
    <row r="2774" spans="1:1" x14ac:dyDescent="0.25">
      <c r="A2774"/>
    </row>
    <row r="2775" spans="1:1" x14ac:dyDescent="0.25">
      <c r="A2775"/>
    </row>
    <row r="2776" spans="1:1" x14ac:dyDescent="0.25">
      <c r="A2776"/>
    </row>
    <row r="2777" spans="1:1" x14ac:dyDescent="0.25">
      <c r="A2777"/>
    </row>
    <row r="2778" spans="1:1" x14ac:dyDescent="0.25">
      <c r="A2778"/>
    </row>
    <row r="2779" spans="1:1" x14ac:dyDescent="0.25">
      <c r="A2779"/>
    </row>
    <row r="2780" spans="1:1" x14ac:dyDescent="0.25">
      <c r="A2780"/>
    </row>
    <row r="2781" spans="1:1" x14ac:dyDescent="0.25">
      <c r="A2781"/>
    </row>
    <row r="2782" spans="1:1" x14ac:dyDescent="0.25">
      <c r="A2782"/>
    </row>
    <row r="2783" spans="1:1" x14ac:dyDescent="0.25">
      <c r="A2783"/>
    </row>
    <row r="2784" spans="1:1" x14ac:dyDescent="0.25">
      <c r="A2784"/>
    </row>
    <row r="2785" spans="1:1" x14ac:dyDescent="0.25">
      <c r="A2785"/>
    </row>
    <row r="2786" spans="1:1" x14ac:dyDescent="0.25">
      <c r="A2786"/>
    </row>
    <row r="2787" spans="1:1" x14ac:dyDescent="0.25">
      <c r="A2787"/>
    </row>
    <row r="2788" spans="1:1" x14ac:dyDescent="0.25">
      <c r="A2788"/>
    </row>
    <row r="2789" spans="1:1" x14ac:dyDescent="0.25">
      <c r="A2789"/>
    </row>
    <row r="2790" spans="1:1" x14ac:dyDescent="0.25">
      <c r="A2790"/>
    </row>
    <row r="2791" spans="1:1" x14ac:dyDescent="0.25">
      <c r="A2791"/>
    </row>
    <row r="2792" spans="1:1" x14ac:dyDescent="0.25">
      <c r="A2792"/>
    </row>
    <row r="2793" spans="1:1" x14ac:dyDescent="0.25">
      <c r="A2793"/>
    </row>
    <row r="2794" spans="1:1" x14ac:dyDescent="0.25">
      <c r="A2794"/>
    </row>
    <row r="2795" spans="1:1" x14ac:dyDescent="0.25">
      <c r="A2795"/>
    </row>
    <row r="2796" spans="1:1" x14ac:dyDescent="0.25">
      <c r="A2796"/>
    </row>
    <row r="2797" spans="1:1" x14ac:dyDescent="0.25">
      <c r="A2797"/>
    </row>
    <row r="2798" spans="1:1" x14ac:dyDescent="0.25">
      <c r="A2798"/>
    </row>
    <row r="2799" spans="1:1" x14ac:dyDescent="0.25">
      <c r="A2799"/>
    </row>
    <row r="2800" spans="1:1" x14ac:dyDescent="0.25">
      <c r="A2800"/>
    </row>
    <row r="2801" spans="1:1" x14ac:dyDescent="0.25">
      <c r="A2801"/>
    </row>
    <row r="2802" spans="1:1" x14ac:dyDescent="0.25">
      <c r="A2802"/>
    </row>
    <row r="2803" spans="1:1" x14ac:dyDescent="0.25">
      <c r="A2803"/>
    </row>
    <row r="2804" spans="1:1" x14ac:dyDescent="0.25">
      <c r="A2804"/>
    </row>
    <row r="2805" spans="1:1" x14ac:dyDescent="0.25">
      <c r="A2805"/>
    </row>
    <row r="2806" spans="1:1" x14ac:dyDescent="0.25">
      <c r="A2806"/>
    </row>
    <row r="2807" spans="1:1" x14ac:dyDescent="0.25">
      <c r="A2807"/>
    </row>
    <row r="2808" spans="1:1" x14ac:dyDescent="0.25">
      <c r="A2808"/>
    </row>
    <row r="2809" spans="1:1" x14ac:dyDescent="0.25">
      <c r="A2809"/>
    </row>
    <row r="2810" spans="1:1" x14ac:dyDescent="0.25">
      <c r="A2810"/>
    </row>
    <row r="2811" spans="1:1" x14ac:dyDescent="0.25">
      <c r="A2811"/>
    </row>
    <row r="2812" spans="1:1" x14ac:dyDescent="0.25">
      <c r="A2812"/>
    </row>
    <row r="2813" spans="1:1" x14ac:dyDescent="0.25">
      <c r="A2813"/>
    </row>
    <row r="2814" spans="1:1" x14ac:dyDescent="0.25">
      <c r="A2814"/>
    </row>
    <row r="2815" spans="1:1" x14ac:dyDescent="0.25">
      <c r="A2815"/>
    </row>
    <row r="2816" spans="1:1" x14ac:dyDescent="0.25">
      <c r="A2816"/>
    </row>
    <row r="2817" spans="1:1" x14ac:dyDescent="0.25">
      <c r="A2817"/>
    </row>
    <row r="2818" spans="1:1" x14ac:dyDescent="0.25">
      <c r="A2818"/>
    </row>
    <row r="2819" spans="1:1" x14ac:dyDescent="0.25">
      <c r="A2819"/>
    </row>
    <row r="2820" spans="1:1" x14ac:dyDescent="0.25">
      <c r="A2820"/>
    </row>
    <row r="2821" spans="1:1" x14ac:dyDescent="0.25">
      <c r="A2821"/>
    </row>
    <row r="2822" spans="1:1" x14ac:dyDescent="0.25">
      <c r="A2822"/>
    </row>
    <row r="2823" spans="1:1" x14ac:dyDescent="0.25">
      <c r="A2823"/>
    </row>
    <row r="2824" spans="1:1" x14ac:dyDescent="0.25">
      <c r="A2824"/>
    </row>
    <row r="2825" spans="1:1" x14ac:dyDescent="0.25">
      <c r="A2825"/>
    </row>
    <row r="2826" spans="1:1" x14ac:dyDescent="0.25">
      <c r="A2826"/>
    </row>
    <row r="2827" spans="1:1" x14ac:dyDescent="0.25">
      <c r="A2827"/>
    </row>
    <row r="2828" spans="1:1" x14ac:dyDescent="0.25">
      <c r="A2828"/>
    </row>
    <row r="2829" spans="1:1" x14ac:dyDescent="0.25">
      <c r="A2829"/>
    </row>
    <row r="2830" spans="1:1" x14ac:dyDescent="0.25">
      <c r="A2830"/>
    </row>
    <row r="2831" spans="1:1" x14ac:dyDescent="0.25">
      <c r="A2831"/>
    </row>
    <row r="2832" spans="1:1" x14ac:dyDescent="0.25">
      <c r="A2832"/>
    </row>
    <row r="2833" spans="1:1" x14ac:dyDescent="0.25">
      <c r="A2833"/>
    </row>
    <row r="2834" spans="1:1" x14ac:dyDescent="0.25">
      <c r="A2834"/>
    </row>
    <row r="2835" spans="1:1" x14ac:dyDescent="0.25">
      <c r="A2835"/>
    </row>
    <row r="2836" spans="1:1" x14ac:dyDescent="0.25">
      <c r="A2836"/>
    </row>
    <row r="2837" spans="1:1" x14ac:dyDescent="0.25">
      <c r="A2837"/>
    </row>
    <row r="2838" spans="1:1" x14ac:dyDescent="0.25">
      <c r="A2838"/>
    </row>
    <row r="2839" spans="1:1" x14ac:dyDescent="0.25">
      <c r="A2839"/>
    </row>
    <row r="2840" spans="1:1" x14ac:dyDescent="0.25">
      <c r="A2840"/>
    </row>
    <row r="2841" spans="1:1" x14ac:dyDescent="0.25">
      <c r="A2841"/>
    </row>
    <row r="2842" spans="1:1" x14ac:dyDescent="0.25">
      <c r="A2842"/>
    </row>
    <row r="2843" spans="1:1" x14ac:dyDescent="0.25">
      <c r="A2843"/>
    </row>
    <row r="2844" spans="1:1" x14ac:dyDescent="0.25">
      <c r="A2844"/>
    </row>
    <row r="2845" spans="1:1" x14ac:dyDescent="0.25">
      <c r="A2845"/>
    </row>
    <row r="2846" spans="1:1" x14ac:dyDescent="0.25">
      <c r="A2846"/>
    </row>
    <row r="2847" spans="1:1" x14ac:dyDescent="0.25">
      <c r="A2847"/>
    </row>
    <row r="2848" spans="1:1" x14ac:dyDescent="0.25">
      <c r="A2848"/>
    </row>
    <row r="2849" spans="1:1" x14ac:dyDescent="0.25">
      <c r="A2849"/>
    </row>
    <row r="2850" spans="1:1" x14ac:dyDescent="0.25">
      <c r="A2850"/>
    </row>
    <row r="2851" spans="1:1" x14ac:dyDescent="0.25">
      <c r="A2851"/>
    </row>
    <row r="2852" spans="1:1" x14ac:dyDescent="0.25">
      <c r="A2852"/>
    </row>
    <row r="2853" spans="1:1" x14ac:dyDescent="0.25">
      <c r="A2853"/>
    </row>
    <row r="2854" spans="1:1" x14ac:dyDescent="0.25">
      <c r="A2854"/>
    </row>
    <row r="2855" spans="1:1" x14ac:dyDescent="0.25">
      <c r="A2855"/>
    </row>
    <row r="2856" spans="1:1" x14ac:dyDescent="0.25">
      <c r="A2856"/>
    </row>
    <row r="2857" spans="1:1" x14ac:dyDescent="0.25">
      <c r="A2857"/>
    </row>
    <row r="2858" spans="1:1" x14ac:dyDescent="0.25">
      <c r="A2858"/>
    </row>
    <row r="2859" spans="1:1" x14ac:dyDescent="0.25">
      <c r="A2859"/>
    </row>
    <row r="2860" spans="1:1" x14ac:dyDescent="0.25">
      <c r="A2860"/>
    </row>
    <row r="2861" spans="1:1" x14ac:dyDescent="0.25">
      <c r="A2861"/>
    </row>
    <row r="2862" spans="1:1" x14ac:dyDescent="0.25">
      <c r="A2862"/>
    </row>
    <row r="2863" spans="1:1" x14ac:dyDescent="0.25">
      <c r="A2863"/>
    </row>
    <row r="2864" spans="1:1" x14ac:dyDescent="0.25">
      <c r="A2864"/>
    </row>
    <row r="2865" spans="1:1" x14ac:dyDescent="0.25">
      <c r="A2865"/>
    </row>
    <row r="2866" spans="1:1" x14ac:dyDescent="0.25">
      <c r="A2866"/>
    </row>
    <row r="2867" spans="1:1" x14ac:dyDescent="0.25">
      <c r="A2867"/>
    </row>
    <row r="2868" spans="1:1" x14ac:dyDescent="0.25">
      <c r="A2868"/>
    </row>
    <row r="2869" spans="1:1" x14ac:dyDescent="0.25">
      <c r="A2869"/>
    </row>
    <row r="2870" spans="1:1" x14ac:dyDescent="0.25">
      <c r="A2870"/>
    </row>
    <row r="2871" spans="1:1" x14ac:dyDescent="0.25">
      <c r="A2871"/>
    </row>
    <row r="2872" spans="1:1" x14ac:dyDescent="0.25">
      <c r="A2872"/>
    </row>
    <row r="2873" spans="1:1" x14ac:dyDescent="0.25">
      <c r="A2873"/>
    </row>
    <row r="2874" spans="1:1" x14ac:dyDescent="0.25">
      <c r="A2874"/>
    </row>
    <row r="2875" spans="1:1" x14ac:dyDescent="0.25">
      <c r="A2875"/>
    </row>
    <row r="2876" spans="1:1" x14ac:dyDescent="0.25">
      <c r="A2876"/>
    </row>
    <row r="2877" spans="1:1" x14ac:dyDescent="0.25">
      <c r="A2877"/>
    </row>
    <row r="2878" spans="1:1" x14ac:dyDescent="0.25">
      <c r="A2878"/>
    </row>
    <row r="2879" spans="1:1" x14ac:dyDescent="0.25">
      <c r="A2879"/>
    </row>
    <row r="2880" spans="1:1" x14ac:dyDescent="0.25">
      <c r="A2880"/>
    </row>
    <row r="2881" spans="1:1" x14ac:dyDescent="0.25">
      <c r="A2881"/>
    </row>
    <row r="2882" spans="1:1" x14ac:dyDescent="0.25">
      <c r="A2882"/>
    </row>
    <row r="2883" spans="1:1" x14ac:dyDescent="0.25">
      <c r="A2883"/>
    </row>
    <row r="2884" spans="1:1" x14ac:dyDescent="0.25">
      <c r="A2884"/>
    </row>
    <row r="2885" spans="1:1" x14ac:dyDescent="0.25">
      <c r="A2885"/>
    </row>
    <row r="2886" spans="1:1" x14ac:dyDescent="0.25">
      <c r="A2886"/>
    </row>
    <row r="2887" spans="1:1" x14ac:dyDescent="0.25">
      <c r="A2887"/>
    </row>
    <row r="2888" spans="1:1" x14ac:dyDescent="0.25">
      <c r="A2888"/>
    </row>
    <row r="2889" spans="1:1" x14ac:dyDescent="0.25">
      <c r="A2889"/>
    </row>
    <row r="2890" spans="1:1" x14ac:dyDescent="0.25">
      <c r="A2890"/>
    </row>
    <row r="2891" spans="1:1" x14ac:dyDescent="0.25">
      <c r="A2891"/>
    </row>
    <row r="2892" spans="1:1" x14ac:dyDescent="0.25">
      <c r="A2892"/>
    </row>
    <row r="2893" spans="1:1" x14ac:dyDescent="0.25">
      <c r="A2893"/>
    </row>
    <row r="2894" spans="1:1" x14ac:dyDescent="0.25">
      <c r="A2894"/>
    </row>
    <row r="2895" spans="1:1" x14ac:dyDescent="0.25">
      <c r="A2895"/>
    </row>
    <row r="2896" spans="1:1" x14ac:dyDescent="0.25">
      <c r="A2896"/>
    </row>
    <row r="2897" spans="1:1" x14ac:dyDescent="0.25">
      <c r="A2897"/>
    </row>
    <row r="2898" spans="1:1" x14ac:dyDescent="0.25">
      <c r="A2898"/>
    </row>
    <row r="2899" spans="1:1" x14ac:dyDescent="0.25">
      <c r="A2899"/>
    </row>
    <row r="2900" spans="1:1" x14ac:dyDescent="0.25">
      <c r="A2900"/>
    </row>
    <row r="2901" spans="1:1" x14ac:dyDescent="0.25">
      <c r="A2901"/>
    </row>
    <row r="2902" spans="1:1" x14ac:dyDescent="0.25">
      <c r="A2902"/>
    </row>
    <row r="2903" spans="1:1" x14ac:dyDescent="0.25">
      <c r="A2903"/>
    </row>
    <row r="2904" spans="1:1" x14ac:dyDescent="0.25">
      <c r="A2904"/>
    </row>
    <row r="2905" spans="1:1" x14ac:dyDescent="0.25">
      <c r="A2905"/>
    </row>
    <row r="2906" spans="1:1" x14ac:dyDescent="0.25">
      <c r="A2906"/>
    </row>
    <row r="2907" spans="1:1" x14ac:dyDescent="0.25">
      <c r="A2907"/>
    </row>
    <row r="2908" spans="1:1" x14ac:dyDescent="0.25">
      <c r="A2908"/>
    </row>
    <row r="2909" spans="1:1" x14ac:dyDescent="0.25">
      <c r="A2909"/>
    </row>
    <row r="2910" spans="1:1" x14ac:dyDescent="0.25">
      <c r="A2910"/>
    </row>
    <row r="2911" spans="1:1" x14ac:dyDescent="0.25">
      <c r="A2911"/>
    </row>
    <row r="2912" spans="1:1" x14ac:dyDescent="0.25">
      <c r="A2912"/>
    </row>
    <row r="2913" spans="1:1" x14ac:dyDescent="0.25">
      <c r="A2913"/>
    </row>
    <row r="2914" spans="1:1" x14ac:dyDescent="0.25">
      <c r="A2914"/>
    </row>
    <row r="2915" spans="1:1" x14ac:dyDescent="0.25">
      <c r="A2915"/>
    </row>
    <row r="2916" spans="1:1" x14ac:dyDescent="0.25">
      <c r="A2916"/>
    </row>
    <row r="2917" spans="1:1" x14ac:dyDescent="0.25">
      <c r="A2917"/>
    </row>
    <row r="2918" spans="1:1" x14ac:dyDescent="0.25">
      <c r="A2918"/>
    </row>
    <row r="2919" spans="1:1" x14ac:dyDescent="0.25">
      <c r="A2919"/>
    </row>
    <row r="2920" spans="1:1" x14ac:dyDescent="0.25">
      <c r="A2920"/>
    </row>
    <row r="2921" spans="1:1" x14ac:dyDescent="0.25">
      <c r="A2921"/>
    </row>
    <row r="2922" spans="1:1" x14ac:dyDescent="0.25">
      <c r="A2922"/>
    </row>
    <row r="2923" spans="1:1" x14ac:dyDescent="0.25">
      <c r="A2923"/>
    </row>
    <row r="2924" spans="1:1" x14ac:dyDescent="0.25">
      <c r="A2924"/>
    </row>
    <row r="2925" spans="1:1" x14ac:dyDescent="0.25">
      <c r="A2925"/>
    </row>
    <row r="2926" spans="1:1" x14ac:dyDescent="0.25">
      <c r="A2926"/>
    </row>
    <row r="2927" spans="1:1" x14ac:dyDescent="0.25">
      <c r="A2927"/>
    </row>
    <row r="2928" spans="1:1" x14ac:dyDescent="0.25">
      <c r="A2928"/>
    </row>
    <row r="2929" spans="1:1" x14ac:dyDescent="0.25">
      <c r="A2929"/>
    </row>
    <row r="2930" spans="1:1" x14ac:dyDescent="0.25">
      <c r="A2930"/>
    </row>
    <row r="2931" spans="1:1" x14ac:dyDescent="0.25">
      <c r="A2931"/>
    </row>
    <row r="2932" spans="1:1" x14ac:dyDescent="0.25">
      <c r="A2932"/>
    </row>
    <row r="2933" spans="1:1" x14ac:dyDescent="0.25">
      <c r="A2933"/>
    </row>
    <row r="2934" spans="1:1" x14ac:dyDescent="0.25">
      <c r="A2934"/>
    </row>
    <row r="2935" spans="1:1" x14ac:dyDescent="0.25">
      <c r="A2935"/>
    </row>
    <row r="2936" spans="1:1" x14ac:dyDescent="0.25">
      <c r="A2936"/>
    </row>
    <row r="2937" spans="1:1" x14ac:dyDescent="0.25">
      <c r="A2937"/>
    </row>
    <row r="2938" spans="1:1" x14ac:dyDescent="0.25">
      <c r="A2938"/>
    </row>
    <row r="2939" spans="1:1" x14ac:dyDescent="0.25">
      <c r="A2939"/>
    </row>
    <row r="2940" spans="1:1" x14ac:dyDescent="0.25">
      <c r="A2940"/>
    </row>
    <row r="2941" spans="1:1" x14ac:dyDescent="0.25">
      <c r="A2941"/>
    </row>
    <row r="2942" spans="1:1" x14ac:dyDescent="0.25">
      <c r="A2942"/>
    </row>
    <row r="2943" spans="1:1" x14ac:dyDescent="0.25">
      <c r="A2943"/>
    </row>
    <row r="2944" spans="1:1" x14ac:dyDescent="0.25">
      <c r="A2944"/>
    </row>
    <row r="2945" spans="1:1" x14ac:dyDescent="0.25">
      <c r="A2945"/>
    </row>
    <row r="2946" spans="1:1" x14ac:dyDescent="0.25">
      <c r="A2946"/>
    </row>
    <row r="2947" spans="1:1" x14ac:dyDescent="0.25">
      <c r="A2947"/>
    </row>
    <row r="2948" spans="1:1" x14ac:dyDescent="0.25">
      <c r="A2948"/>
    </row>
    <row r="2949" spans="1:1" x14ac:dyDescent="0.25">
      <c r="A2949"/>
    </row>
    <row r="2950" spans="1:1" x14ac:dyDescent="0.25">
      <c r="A2950"/>
    </row>
    <row r="2951" spans="1:1" x14ac:dyDescent="0.25">
      <c r="A2951"/>
    </row>
    <row r="2952" spans="1:1" x14ac:dyDescent="0.25">
      <c r="A2952"/>
    </row>
    <row r="2953" spans="1:1" x14ac:dyDescent="0.25">
      <c r="A2953"/>
    </row>
    <row r="2954" spans="1:1" x14ac:dyDescent="0.25">
      <c r="A2954"/>
    </row>
    <row r="2955" spans="1:1" x14ac:dyDescent="0.25">
      <c r="A2955"/>
    </row>
    <row r="2956" spans="1:1" x14ac:dyDescent="0.25">
      <c r="A2956"/>
    </row>
    <row r="2957" spans="1:1" x14ac:dyDescent="0.25">
      <c r="A2957"/>
    </row>
    <row r="2958" spans="1:1" x14ac:dyDescent="0.25">
      <c r="A2958"/>
    </row>
    <row r="2959" spans="1:1" x14ac:dyDescent="0.25">
      <c r="A2959"/>
    </row>
    <row r="2960" spans="1:1" x14ac:dyDescent="0.25">
      <c r="A2960"/>
    </row>
    <row r="2961" spans="1:1" x14ac:dyDescent="0.25">
      <c r="A2961"/>
    </row>
    <row r="2962" spans="1:1" x14ac:dyDescent="0.25">
      <c r="A2962"/>
    </row>
    <row r="2963" spans="1:1" x14ac:dyDescent="0.25">
      <c r="A2963"/>
    </row>
    <row r="2964" spans="1:1" x14ac:dyDescent="0.25">
      <c r="A2964"/>
    </row>
    <row r="2965" spans="1:1" x14ac:dyDescent="0.25">
      <c r="A2965"/>
    </row>
    <row r="2966" spans="1:1" x14ac:dyDescent="0.25">
      <c r="A2966"/>
    </row>
    <row r="2967" spans="1:1" x14ac:dyDescent="0.25">
      <c r="A2967"/>
    </row>
    <row r="2968" spans="1:1" x14ac:dyDescent="0.25">
      <c r="A2968"/>
    </row>
    <row r="2969" spans="1:1" x14ac:dyDescent="0.25">
      <c r="A2969"/>
    </row>
    <row r="2970" spans="1:1" x14ac:dyDescent="0.25">
      <c r="A2970"/>
    </row>
    <row r="2971" spans="1:1" x14ac:dyDescent="0.25">
      <c r="A2971"/>
    </row>
    <row r="2972" spans="1:1" x14ac:dyDescent="0.25">
      <c r="A2972"/>
    </row>
    <row r="2973" spans="1:1" x14ac:dyDescent="0.25">
      <c r="A2973"/>
    </row>
    <row r="2974" spans="1:1" x14ac:dyDescent="0.25">
      <c r="A2974"/>
    </row>
    <row r="2975" spans="1:1" x14ac:dyDescent="0.25">
      <c r="A2975"/>
    </row>
    <row r="2976" spans="1:1" x14ac:dyDescent="0.25">
      <c r="A2976"/>
    </row>
    <row r="2977" spans="1:1" x14ac:dyDescent="0.25">
      <c r="A2977"/>
    </row>
    <row r="2978" spans="1:1" x14ac:dyDescent="0.25">
      <c r="A2978"/>
    </row>
    <row r="2979" spans="1:1" x14ac:dyDescent="0.25">
      <c r="A2979"/>
    </row>
    <row r="2980" spans="1:1" x14ac:dyDescent="0.25">
      <c r="A2980"/>
    </row>
    <row r="2981" spans="1:1" x14ac:dyDescent="0.25">
      <c r="A2981"/>
    </row>
    <row r="2982" spans="1:1" x14ac:dyDescent="0.25">
      <c r="A2982"/>
    </row>
    <row r="2983" spans="1:1" x14ac:dyDescent="0.25">
      <c r="A2983"/>
    </row>
    <row r="2984" spans="1:1" x14ac:dyDescent="0.25">
      <c r="A2984"/>
    </row>
    <row r="2985" spans="1:1" x14ac:dyDescent="0.25">
      <c r="A2985"/>
    </row>
    <row r="2986" spans="1:1" x14ac:dyDescent="0.25">
      <c r="A2986"/>
    </row>
    <row r="2987" spans="1:1" x14ac:dyDescent="0.25">
      <c r="A2987"/>
    </row>
    <row r="2988" spans="1:1" x14ac:dyDescent="0.25">
      <c r="A2988"/>
    </row>
    <row r="2989" spans="1:1" x14ac:dyDescent="0.25">
      <c r="A2989"/>
    </row>
    <row r="2990" spans="1:1" x14ac:dyDescent="0.25">
      <c r="A2990"/>
    </row>
    <row r="2991" spans="1:1" x14ac:dyDescent="0.25">
      <c r="A2991"/>
    </row>
    <row r="2992" spans="1:1" x14ac:dyDescent="0.25">
      <c r="A2992"/>
    </row>
    <row r="2993" spans="1:1" x14ac:dyDescent="0.25">
      <c r="A2993"/>
    </row>
    <row r="2994" spans="1:1" x14ac:dyDescent="0.25">
      <c r="A2994"/>
    </row>
    <row r="2995" spans="1:1" x14ac:dyDescent="0.25">
      <c r="A2995"/>
    </row>
    <row r="2996" spans="1:1" x14ac:dyDescent="0.25">
      <c r="A2996"/>
    </row>
    <row r="2997" spans="1:1" x14ac:dyDescent="0.25">
      <c r="A2997"/>
    </row>
    <row r="2998" spans="1:1" x14ac:dyDescent="0.25">
      <c r="A2998"/>
    </row>
    <row r="2999" spans="1:1" x14ac:dyDescent="0.25">
      <c r="A2999"/>
    </row>
    <row r="3000" spans="1:1" x14ac:dyDescent="0.25">
      <c r="A3000"/>
    </row>
    <row r="3001" spans="1:1" x14ac:dyDescent="0.25">
      <c r="A3001"/>
    </row>
    <row r="3002" spans="1:1" x14ac:dyDescent="0.25">
      <c r="A3002"/>
    </row>
    <row r="3003" spans="1:1" x14ac:dyDescent="0.25">
      <c r="A3003"/>
    </row>
    <row r="3004" spans="1:1" x14ac:dyDescent="0.25">
      <c r="A3004"/>
    </row>
    <row r="3005" spans="1:1" x14ac:dyDescent="0.25">
      <c r="A3005"/>
    </row>
    <row r="3006" spans="1:1" x14ac:dyDescent="0.25">
      <c r="A3006"/>
    </row>
    <row r="3007" spans="1:1" x14ac:dyDescent="0.25">
      <c r="A3007"/>
    </row>
    <row r="3008" spans="1:1" x14ac:dyDescent="0.25">
      <c r="A3008"/>
    </row>
    <row r="3009" spans="1:1" x14ac:dyDescent="0.25">
      <c r="A3009"/>
    </row>
    <row r="3010" spans="1:1" x14ac:dyDescent="0.25">
      <c r="A3010"/>
    </row>
    <row r="3011" spans="1:1" x14ac:dyDescent="0.25">
      <c r="A3011"/>
    </row>
    <row r="3012" spans="1:1" x14ac:dyDescent="0.25">
      <c r="A3012"/>
    </row>
    <row r="3013" spans="1:1" x14ac:dyDescent="0.25">
      <c r="A3013"/>
    </row>
    <row r="3014" spans="1:1" x14ac:dyDescent="0.25">
      <c r="A3014"/>
    </row>
    <row r="3015" spans="1:1" x14ac:dyDescent="0.25">
      <c r="A3015"/>
    </row>
    <row r="3016" spans="1:1" x14ac:dyDescent="0.25">
      <c r="A3016"/>
    </row>
    <row r="3017" spans="1:1" x14ac:dyDescent="0.25">
      <c r="A3017"/>
    </row>
    <row r="3018" spans="1:1" x14ac:dyDescent="0.25">
      <c r="A3018"/>
    </row>
    <row r="3019" spans="1:1" x14ac:dyDescent="0.25">
      <c r="A3019"/>
    </row>
    <row r="3020" spans="1:1" x14ac:dyDescent="0.25">
      <c r="A3020"/>
    </row>
    <row r="3021" spans="1:1" x14ac:dyDescent="0.25">
      <c r="A3021"/>
    </row>
    <row r="3022" spans="1:1" x14ac:dyDescent="0.25">
      <c r="A3022"/>
    </row>
    <row r="3023" spans="1:1" x14ac:dyDescent="0.25">
      <c r="A3023"/>
    </row>
    <row r="3024" spans="1:1" x14ac:dyDescent="0.25">
      <c r="A3024"/>
    </row>
    <row r="3025" spans="1:1" x14ac:dyDescent="0.25">
      <c r="A3025"/>
    </row>
    <row r="3026" spans="1:1" x14ac:dyDescent="0.25">
      <c r="A3026"/>
    </row>
    <row r="3027" spans="1:1" x14ac:dyDescent="0.25">
      <c r="A3027"/>
    </row>
    <row r="3028" spans="1:1" x14ac:dyDescent="0.25">
      <c r="A3028"/>
    </row>
    <row r="3029" spans="1:1" x14ac:dyDescent="0.25">
      <c r="A3029"/>
    </row>
    <row r="3030" spans="1:1" x14ac:dyDescent="0.25">
      <c r="A3030"/>
    </row>
    <row r="3031" spans="1:1" x14ac:dyDescent="0.25">
      <c r="A3031"/>
    </row>
    <row r="3032" spans="1:1" x14ac:dyDescent="0.25">
      <c r="A3032"/>
    </row>
    <row r="3033" spans="1:1" x14ac:dyDescent="0.25">
      <c r="A3033"/>
    </row>
    <row r="3034" spans="1:1" x14ac:dyDescent="0.25">
      <c r="A3034"/>
    </row>
    <row r="3035" spans="1:1" x14ac:dyDescent="0.25">
      <c r="A3035"/>
    </row>
    <row r="3036" spans="1:1" x14ac:dyDescent="0.25">
      <c r="A3036"/>
    </row>
    <row r="3037" spans="1:1" x14ac:dyDescent="0.25">
      <c r="A3037"/>
    </row>
    <row r="3038" spans="1:1" x14ac:dyDescent="0.25">
      <c r="A3038"/>
    </row>
    <row r="3039" spans="1:1" x14ac:dyDescent="0.25">
      <c r="A3039"/>
    </row>
    <row r="3040" spans="1:1" x14ac:dyDescent="0.25">
      <c r="A3040"/>
    </row>
    <row r="3041" spans="1:1" x14ac:dyDescent="0.25">
      <c r="A3041"/>
    </row>
    <row r="3042" spans="1:1" x14ac:dyDescent="0.25">
      <c r="A3042"/>
    </row>
    <row r="3043" spans="1:1" x14ac:dyDescent="0.25">
      <c r="A3043"/>
    </row>
    <row r="3044" spans="1:1" x14ac:dyDescent="0.25">
      <c r="A3044"/>
    </row>
    <row r="3045" spans="1:1" x14ac:dyDescent="0.25">
      <c r="A3045"/>
    </row>
    <row r="3046" spans="1:1" x14ac:dyDescent="0.25">
      <c r="A3046"/>
    </row>
    <row r="3047" spans="1:1" x14ac:dyDescent="0.25">
      <c r="A3047"/>
    </row>
    <row r="3048" spans="1:1" x14ac:dyDescent="0.25">
      <c r="A3048"/>
    </row>
    <row r="3049" spans="1:1" x14ac:dyDescent="0.25">
      <c r="A3049"/>
    </row>
    <row r="3050" spans="1:1" x14ac:dyDescent="0.25">
      <c r="A3050"/>
    </row>
    <row r="3051" spans="1:1" x14ac:dyDescent="0.25">
      <c r="A3051"/>
    </row>
    <row r="3052" spans="1:1" x14ac:dyDescent="0.25">
      <c r="A3052"/>
    </row>
    <row r="3053" spans="1:1" x14ac:dyDescent="0.25">
      <c r="A3053"/>
    </row>
    <row r="3054" spans="1:1" x14ac:dyDescent="0.25">
      <c r="A3054"/>
    </row>
    <row r="3055" spans="1:1" x14ac:dyDescent="0.25">
      <c r="A3055"/>
    </row>
    <row r="3056" spans="1:1" x14ac:dyDescent="0.25">
      <c r="A3056"/>
    </row>
    <row r="3057" spans="1:1" x14ac:dyDescent="0.25">
      <c r="A3057"/>
    </row>
    <row r="3058" spans="1:1" x14ac:dyDescent="0.25">
      <c r="A3058"/>
    </row>
    <row r="3059" spans="1:1" x14ac:dyDescent="0.25">
      <c r="A3059"/>
    </row>
    <row r="3060" spans="1:1" x14ac:dyDescent="0.25">
      <c r="A3060"/>
    </row>
    <row r="3061" spans="1:1" x14ac:dyDescent="0.25">
      <c r="A3061"/>
    </row>
    <row r="3062" spans="1:1" x14ac:dyDescent="0.25">
      <c r="A3062"/>
    </row>
    <row r="3063" spans="1:1" x14ac:dyDescent="0.25">
      <c r="A3063"/>
    </row>
    <row r="3064" spans="1:1" x14ac:dyDescent="0.25">
      <c r="A3064"/>
    </row>
    <row r="3065" spans="1:1" x14ac:dyDescent="0.25">
      <c r="A3065"/>
    </row>
    <row r="3066" spans="1:1" x14ac:dyDescent="0.25">
      <c r="A3066"/>
    </row>
    <row r="3067" spans="1:1" x14ac:dyDescent="0.25">
      <c r="A3067"/>
    </row>
    <row r="3068" spans="1:1" x14ac:dyDescent="0.25">
      <c r="A3068"/>
    </row>
    <row r="3069" spans="1:1" x14ac:dyDescent="0.25">
      <c r="A3069"/>
    </row>
    <row r="3070" spans="1:1" x14ac:dyDescent="0.25">
      <c r="A3070"/>
    </row>
    <row r="3071" spans="1:1" x14ac:dyDescent="0.25">
      <c r="A3071"/>
    </row>
    <row r="3072" spans="1:1" x14ac:dyDescent="0.25">
      <c r="A3072"/>
    </row>
    <row r="3073" spans="1:1" x14ac:dyDescent="0.25">
      <c r="A3073"/>
    </row>
    <row r="3074" spans="1:1" x14ac:dyDescent="0.25">
      <c r="A3074"/>
    </row>
    <row r="3075" spans="1:1" x14ac:dyDescent="0.25">
      <c r="A3075"/>
    </row>
    <row r="3076" spans="1:1" x14ac:dyDescent="0.25">
      <c r="A3076"/>
    </row>
    <row r="3077" spans="1:1" x14ac:dyDescent="0.25">
      <c r="A3077"/>
    </row>
    <row r="3078" spans="1:1" x14ac:dyDescent="0.25">
      <c r="A3078"/>
    </row>
    <row r="3079" spans="1:1" x14ac:dyDescent="0.25">
      <c r="A3079"/>
    </row>
    <row r="3080" spans="1:1" x14ac:dyDescent="0.25">
      <c r="A3080"/>
    </row>
    <row r="3081" spans="1:1" x14ac:dyDescent="0.25">
      <c r="A3081"/>
    </row>
    <row r="3082" spans="1:1" x14ac:dyDescent="0.25">
      <c r="A3082"/>
    </row>
    <row r="3083" spans="1:1" x14ac:dyDescent="0.25">
      <c r="A3083"/>
    </row>
    <row r="3084" spans="1:1" x14ac:dyDescent="0.25">
      <c r="A3084"/>
    </row>
    <row r="3085" spans="1:1" x14ac:dyDescent="0.25">
      <c r="A3085"/>
    </row>
    <row r="3086" spans="1:1" x14ac:dyDescent="0.25">
      <c r="A3086"/>
    </row>
    <row r="3087" spans="1:1" x14ac:dyDescent="0.25">
      <c r="A3087"/>
    </row>
    <row r="3088" spans="1:1" x14ac:dyDescent="0.25">
      <c r="A3088"/>
    </row>
    <row r="3089" spans="1:1" x14ac:dyDescent="0.25">
      <c r="A3089"/>
    </row>
    <row r="3090" spans="1:1" x14ac:dyDescent="0.25">
      <c r="A3090"/>
    </row>
    <row r="3091" spans="1:1" x14ac:dyDescent="0.25">
      <c r="A3091"/>
    </row>
    <row r="3092" spans="1:1" x14ac:dyDescent="0.25">
      <c r="A3092"/>
    </row>
    <row r="3093" spans="1:1" x14ac:dyDescent="0.25">
      <c r="A3093"/>
    </row>
    <row r="3094" spans="1:1" x14ac:dyDescent="0.25">
      <c r="A3094"/>
    </row>
    <row r="3095" spans="1:1" x14ac:dyDescent="0.25">
      <c r="A3095"/>
    </row>
    <row r="3096" spans="1:1" x14ac:dyDescent="0.25">
      <c r="A3096"/>
    </row>
    <row r="3097" spans="1:1" x14ac:dyDescent="0.25">
      <c r="A3097"/>
    </row>
    <row r="3098" spans="1:1" x14ac:dyDescent="0.25">
      <c r="A3098"/>
    </row>
    <row r="3099" spans="1:1" x14ac:dyDescent="0.25">
      <c r="A3099"/>
    </row>
    <row r="3100" spans="1:1" x14ac:dyDescent="0.25">
      <c r="A3100"/>
    </row>
    <row r="3101" spans="1:1" x14ac:dyDescent="0.25">
      <c r="A3101"/>
    </row>
    <row r="3102" spans="1:1" x14ac:dyDescent="0.25">
      <c r="A3102"/>
    </row>
    <row r="3103" spans="1:1" x14ac:dyDescent="0.25">
      <c r="A3103"/>
    </row>
    <row r="3104" spans="1:1" x14ac:dyDescent="0.25">
      <c r="A3104"/>
    </row>
    <row r="3105" spans="1:1" x14ac:dyDescent="0.25">
      <c r="A3105"/>
    </row>
    <row r="3106" spans="1:1" x14ac:dyDescent="0.25">
      <c r="A3106"/>
    </row>
    <row r="3107" spans="1:1" x14ac:dyDescent="0.25">
      <c r="A3107"/>
    </row>
    <row r="3108" spans="1:1" x14ac:dyDescent="0.25">
      <c r="A3108"/>
    </row>
    <row r="3109" spans="1:1" x14ac:dyDescent="0.25">
      <c r="A3109"/>
    </row>
    <row r="3110" spans="1:1" x14ac:dyDescent="0.25">
      <c r="A3110"/>
    </row>
    <row r="3111" spans="1:1" x14ac:dyDescent="0.25">
      <c r="A3111"/>
    </row>
    <row r="3112" spans="1:1" x14ac:dyDescent="0.25">
      <c r="A3112"/>
    </row>
    <row r="3113" spans="1:1" x14ac:dyDescent="0.25">
      <c r="A3113"/>
    </row>
    <row r="3114" spans="1:1" x14ac:dyDescent="0.25">
      <c r="A3114"/>
    </row>
    <row r="3115" spans="1:1" x14ac:dyDescent="0.25">
      <c r="A3115"/>
    </row>
    <row r="3116" spans="1:1" x14ac:dyDescent="0.25">
      <c r="A3116"/>
    </row>
    <row r="3117" spans="1:1" x14ac:dyDescent="0.25">
      <c r="A3117"/>
    </row>
    <row r="3118" spans="1:1" x14ac:dyDescent="0.25">
      <c r="A3118"/>
    </row>
    <row r="3119" spans="1:1" x14ac:dyDescent="0.25">
      <c r="A3119"/>
    </row>
    <row r="3120" spans="1:1" x14ac:dyDescent="0.25">
      <c r="A3120"/>
    </row>
    <row r="3121" spans="1:1" x14ac:dyDescent="0.25">
      <c r="A3121"/>
    </row>
    <row r="3122" spans="1:1" x14ac:dyDescent="0.25">
      <c r="A3122"/>
    </row>
    <row r="3123" spans="1:1" x14ac:dyDescent="0.25">
      <c r="A3123"/>
    </row>
    <row r="3124" spans="1:1" x14ac:dyDescent="0.25">
      <c r="A3124"/>
    </row>
    <row r="3125" spans="1:1" x14ac:dyDescent="0.25">
      <c r="A3125"/>
    </row>
    <row r="3126" spans="1:1" x14ac:dyDescent="0.25">
      <c r="A3126"/>
    </row>
    <row r="3127" spans="1:1" x14ac:dyDescent="0.25">
      <c r="A3127"/>
    </row>
    <row r="3128" spans="1:1" x14ac:dyDescent="0.25">
      <c r="A3128"/>
    </row>
    <row r="3129" spans="1:1" x14ac:dyDescent="0.25">
      <c r="A3129"/>
    </row>
    <row r="3130" spans="1:1" x14ac:dyDescent="0.25">
      <c r="A3130"/>
    </row>
    <row r="3131" spans="1:1" x14ac:dyDescent="0.25">
      <c r="A3131"/>
    </row>
    <row r="3132" spans="1:1" x14ac:dyDescent="0.25">
      <c r="A3132"/>
    </row>
    <row r="3133" spans="1:1" x14ac:dyDescent="0.25">
      <c r="A3133"/>
    </row>
    <row r="3134" spans="1:1" x14ac:dyDescent="0.25">
      <c r="A3134"/>
    </row>
    <row r="3135" spans="1:1" x14ac:dyDescent="0.25">
      <c r="A3135"/>
    </row>
    <row r="3136" spans="1:1" x14ac:dyDescent="0.25">
      <c r="A3136"/>
    </row>
    <row r="3137" spans="1:1" x14ac:dyDescent="0.25">
      <c r="A3137"/>
    </row>
    <row r="3138" spans="1:1" x14ac:dyDescent="0.25">
      <c r="A3138"/>
    </row>
    <row r="3139" spans="1:1" x14ac:dyDescent="0.25">
      <c r="A3139"/>
    </row>
    <row r="3140" spans="1:1" x14ac:dyDescent="0.25">
      <c r="A3140"/>
    </row>
    <row r="3141" spans="1:1" x14ac:dyDescent="0.25">
      <c r="A3141"/>
    </row>
    <row r="3142" spans="1:1" x14ac:dyDescent="0.25">
      <c r="A3142"/>
    </row>
    <row r="3143" spans="1:1" x14ac:dyDescent="0.25">
      <c r="A3143"/>
    </row>
    <row r="3144" spans="1:1" x14ac:dyDescent="0.25">
      <c r="A3144"/>
    </row>
    <row r="3145" spans="1:1" x14ac:dyDescent="0.25">
      <c r="A3145"/>
    </row>
    <row r="3146" spans="1:1" x14ac:dyDescent="0.25">
      <c r="A3146"/>
    </row>
    <row r="3147" spans="1:1" x14ac:dyDescent="0.25">
      <c r="A3147"/>
    </row>
    <row r="3148" spans="1:1" x14ac:dyDescent="0.25">
      <c r="A3148"/>
    </row>
    <row r="3149" spans="1:1" x14ac:dyDescent="0.25">
      <c r="A3149"/>
    </row>
    <row r="3150" spans="1:1" x14ac:dyDescent="0.25">
      <c r="A3150"/>
    </row>
    <row r="3151" spans="1:1" x14ac:dyDescent="0.25">
      <c r="A3151"/>
    </row>
    <row r="3152" spans="1:1" x14ac:dyDescent="0.25">
      <c r="A3152"/>
    </row>
    <row r="3153" spans="1:1" x14ac:dyDescent="0.25">
      <c r="A3153"/>
    </row>
    <row r="3154" spans="1:1" x14ac:dyDescent="0.25">
      <c r="A3154"/>
    </row>
    <row r="3155" spans="1:1" x14ac:dyDescent="0.25">
      <c r="A3155"/>
    </row>
    <row r="3156" spans="1:1" x14ac:dyDescent="0.25">
      <c r="A3156"/>
    </row>
    <row r="3157" spans="1:1" x14ac:dyDescent="0.25">
      <c r="A3157"/>
    </row>
    <row r="3158" spans="1:1" x14ac:dyDescent="0.25">
      <c r="A3158"/>
    </row>
    <row r="3159" spans="1:1" x14ac:dyDescent="0.25">
      <c r="A3159"/>
    </row>
    <row r="3160" spans="1:1" x14ac:dyDescent="0.25">
      <c r="A3160"/>
    </row>
    <row r="3161" spans="1:1" x14ac:dyDescent="0.25">
      <c r="A3161"/>
    </row>
    <row r="3162" spans="1:1" x14ac:dyDescent="0.25">
      <c r="A3162"/>
    </row>
    <row r="3163" spans="1:1" x14ac:dyDescent="0.25">
      <c r="A3163"/>
    </row>
    <row r="3164" spans="1:1" x14ac:dyDescent="0.25">
      <c r="A3164"/>
    </row>
    <row r="3165" spans="1:1" x14ac:dyDescent="0.25">
      <c r="A3165"/>
    </row>
    <row r="3166" spans="1:1" x14ac:dyDescent="0.25">
      <c r="A3166"/>
    </row>
    <row r="3167" spans="1:1" x14ac:dyDescent="0.25">
      <c r="A3167"/>
    </row>
    <row r="3168" spans="1:1" x14ac:dyDescent="0.25">
      <c r="A3168"/>
    </row>
    <row r="3169" spans="1:1" x14ac:dyDescent="0.25">
      <c r="A3169"/>
    </row>
    <row r="3170" spans="1:1" x14ac:dyDescent="0.25">
      <c r="A3170"/>
    </row>
    <row r="3171" spans="1:1" x14ac:dyDescent="0.25">
      <c r="A3171"/>
    </row>
    <row r="3172" spans="1:1" x14ac:dyDescent="0.25">
      <c r="A3172"/>
    </row>
    <row r="3173" spans="1:1" x14ac:dyDescent="0.25">
      <c r="A3173"/>
    </row>
    <row r="3174" spans="1:1" x14ac:dyDescent="0.25">
      <c r="A3174"/>
    </row>
    <row r="3175" spans="1:1" x14ac:dyDescent="0.25">
      <c r="A3175"/>
    </row>
    <row r="3176" spans="1:1" x14ac:dyDescent="0.25">
      <c r="A3176"/>
    </row>
    <row r="3177" spans="1:1" x14ac:dyDescent="0.25">
      <c r="A3177"/>
    </row>
    <row r="3178" spans="1:1" x14ac:dyDescent="0.25">
      <c r="A3178"/>
    </row>
    <row r="3179" spans="1:1" x14ac:dyDescent="0.25">
      <c r="A3179"/>
    </row>
    <row r="3180" spans="1:1" x14ac:dyDescent="0.25">
      <c r="A3180"/>
    </row>
    <row r="3181" spans="1:1" x14ac:dyDescent="0.25">
      <c r="A3181"/>
    </row>
    <row r="3182" spans="1:1" x14ac:dyDescent="0.25">
      <c r="A3182"/>
    </row>
    <row r="3183" spans="1:1" x14ac:dyDescent="0.25">
      <c r="A3183"/>
    </row>
    <row r="3184" spans="1:1" x14ac:dyDescent="0.25">
      <c r="A3184"/>
    </row>
    <row r="3185" spans="1:1" x14ac:dyDescent="0.25">
      <c r="A3185"/>
    </row>
    <row r="3186" spans="1:1" x14ac:dyDescent="0.25">
      <c r="A3186"/>
    </row>
    <row r="3187" spans="1:1" x14ac:dyDescent="0.25">
      <c r="A3187"/>
    </row>
    <row r="3188" spans="1:1" x14ac:dyDescent="0.25">
      <c r="A3188"/>
    </row>
    <row r="3189" spans="1:1" x14ac:dyDescent="0.25">
      <c r="A3189"/>
    </row>
    <row r="3190" spans="1:1" x14ac:dyDescent="0.25">
      <c r="A3190"/>
    </row>
    <row r="3191" spans="1:1" x14ac:dyDescent="0.25">
      <c r="A3191"/>
    </row>
    <row r="3192" spans="1:1" x14ac:dyDescent="0.25">
      <c r="A3192"/>
    </row>
    <row r="3193" spans="1:1" x14ac:dyDescent="0.25">
      <c r="A3193"/>
    </row>
    <row r="3194" spans="1:1" x14ac:dyDescent="0.25">
      <c r="A3194"/>
    </row>
    <row r="3195" spans="1:1" x14ac:dyDescent="0.25">
      <c r="A3195"/>
    </row>
    <row r="3196" spans="1:1" x14ac:dyDescent="0.25">
      <c r="A3196"/>
    </row>
    <row r="3197" spans="1:1" x14ac:dyDescent="0.25">
      <c r="A3197"/>
    </row>
    <row r="3198" spans="1:1" x14ac:dyDescent="0.25">
      <c r="A3198"/>
    </row>
    <row r="3199" spans="1:1" x14ac:dyDescent="0.25">
      <c r="A3199"/>
    </row>
    <row r="3200" spans="1:1" x14ac:dyDescent="0.25">
      <c r="A3200"/>
    </row>
    <row r="3201" spans="1:1" x14ac:dyDescent="0.25">
      <c r="A3201"/>
    </row>
    <row r="3202" spans="1:1" x14ac:dyDescent="0.25">
      <c r="A3202"/>
    </row>
    <row r="3203" spans="1:1" x14ac:dyDescent="0.25">
      <c r="A3203"/>
    </row>
    <row r="3204" spans="1:1" x14ac:dyDescent="0.25">
      <c r="A3204"/>
    </row>
    <row r="3205" spans="1:1" x14ac:dyDescent="0.25">
      <c r="A3205"/>
    </row>
    <row r="3206" spans="1:1" x14ac:dyDescent="0.25">
      <c r="A3206"/>
    </row>
    <row r="3207" spans="1:1" x14ac:dyDescent="0.25">
      <c r="A3207"/>
    </row>
    <row r="3208" spans="1:1" x14ac:dyDescent="0.25">
      <c r="A3208"/>
    </row>
    <row r="3209" spans="1:1" x14ac:dyDescent="0.25">
      <c r="A3209"/>
    </row>
    <row r="3210" spans="1:1" x14ac:dyDescent="0.25">
      <c r="A3210"/>
    </row>
    <row r="3211" spans="1:1" x14ac:dyDescent="0.25">
      <c r="A3211"/>
    </row>
    <row r="3212" spans="1:1" x14ac:dyDescent="0.25">
      <c r="A3212"/>
    </row>
    <row r="3213" spans="1:1" x14ac:dyDescent="0.25">
      <c r="A3213"/>
    </row>
    <row r="3214" spans="1:1" x14ac:dyDescent="0.25">
      <c r="A3214"/>
    </row>
    <row r="3215" spans="1:1" x14ac:dyDescent="0.25">
      <c r="A3215"/>
    </row>
    <row r="3216" spans="1:1" x14ac:dyDescent="0.25">
      <c r="A3216"/>
    </row>
    <row r="3217" spans="1:1" x14ac:dyDescent="0.25">
      <c r="A3217"/>
    </row>
    <row r="3218" spans="1:1" x14ac:dyDescent="0.25">
      <c r="A3218"/>
    </row>
    <row r="3219" spans="1:1" x14ac:dyDescent="0.25">
      <c r="A3219"/>
    </row>
    <row r="3220" spans="1:1" x14ac:dyDescent="0.25">
      <c r="A3220"/>
    </row>
    <row r="3221" spans="1:1" x14ac:dyDescent="0.25">
      <c r="A3221"/>
    </row>
    <row r="3222" spans="1:1" x14ac:dyDescent="0.25">
      <c r="A3222"/>
    </row>
    <row r="3223" spans="1:1" x14ac:dyDescent="0.25">
      <c r="A3223"/>
    </row>
    <row r="3224" spans="1:1" x14ac:dyDescent="0.25">
      <c r="A3224"/>
    </row>
    <row r="3225" spans="1:1" x14ac:dyDescent="0.25">
      <c r="A3225"/>
    </row>
    <row r="3226" spans="1:1" x14ac:dyDescent="0.25">
      <c r="A3226"/>
    </row>
    <row r="3227" spans="1:1" x14ac:dyDescent="0.25">
      <c r="A3227"/>
    </row>
    <row r="3228" spans="1:1" x14ac:dyDescent="0.25">
      <c r="A3228"/>
    </row>
    <row r="3229" spans="1:1" x14ac:dyDescent="0.25">
      <c r="A3229"/>
    </row>
    <row r="3230" spans="1:1" x14ac:dyDescent="0.25">
      <c r="A3230"/>
    </row>
    <row r="3231" spans="1:1" x14ac:dyDescent="0.25">
      <c r="A3231"/>
    </row>
    <row r="3232" spans="1:1" x14ac:dyDescent="0.25">
      <c r="A3232"/>
    </row>
    <row r="3233" spans="1:1" x14ac:dyDescent="0.25">
      <c r="A3233"/>
    </row>
    <row r="3234" spans="1:1" x14ac:dyDescent="0.25">
      <c r="A3234"/>
    </row>
    <row r="3235" spans="1:1" x14ac:dyDescent="0.25">
      <c r="A3235"/>
    </row>
    <row r="3236" spans="1:1" x14ac:dyDescent="0.25">
      <c r="A3236"/>
    </row>
    <row r="3237" spans="1:1" x14ac:dyDescent="0.25">
      <c r="A3237"/>
    </row>
    <row r="3238" spans="1:1" x14ac:dyDescent="0.25">
      <c r="A3238"/>
    </row>
    <row r="3239" spans="1:1" x14ac:dyDescent="0.25">
      <c r="A3239"/>
    </row>
    <row r="3240" spans="1:1" x14ac:dyDescent="0.25">
      <c r="A3240"/>
    </row>
    <row r="3241" spans="1:1" x14ac:dyDescent="0.25">
      <c r="A3241"/>
    </row>
    <row r="3242" spans="1:1" x14ac:dyDescent="0.25">
      <c r="A3242"/>
    </row>
    <row r="3243" spans="1:1" x14ac:dyDescent="0.25">
      <c r="A3243"/>
    </row>
    <row r="3244" spans="1:1" x14ac:dyDescent="0.25">
      <c r="A3244"/>
    </row>
    <row r="3245" spans="1:1" x14ac:dyDescent="0.25">
      <c r="A3245"/>
    </row>
    <row r="3246" spans="1:1" x14ac:dyDescent="0.25">
      <c r="A3246"/>
    </row>
    <row r="3247" spans="1:1" x14ac:dyDescent="0.25">
      <c r="A3247"/>
    </row>
    <row r="3248" spans="1:1" x14ac:dyDescent="0.25">
      <c r="A3248"/>
    </row>
    <row r="3249" spans="1:1" x14ac:dyDescent="0.25">
      <c r="A3249"/>
    </row>
    <row r="3250" spans="1:1" x14ac:dyDescent="0.25">
      <c r="A3250"/>
    </row>
    <row r="3251" spans="1:1" x14ac:dyDescent="0.25">
      <c r="A3251"/>
    </row>
    <row r="3252" spans="1:1" x14ac:dyDescent="0.25">
      <c r="A3252"/>
    </row>
    <row r="3253" spans="1:1" x14ac:dyDescent="0.25">
      <c r="A3253"/>
    </row>
    <row r="3254" spans="1:1" x14ac:dyDescent="0.25">
      <c r="A3254"/>
    </row>
    <row r="3255" spans="1:1" x14ac:dyDescent="0.25">
      <c r="A3255"/>
    </row>
    <row r="3256" spans="1:1" x14ac:dyDescent="0.25">
      <c r="A3256"/>
    </row>
    <row r="3257" spans="1:1" x14ac:dyDescent="0.25">
      <c r="A3257"/>
    </row>
    <row r="3258" spans="1:1" x14ac:dyDescent="0.25">
      <c r="A3258"/>
    </row>
    <row r="3259" spans="1:1" x14ac:dyDescent="0.25">
      <c r="A3259"/>
    </row>
    <row r="3260" spans="1:1" x14ac:dyDescent="0.25">
      <c r="A3260"/>
    </row>
    <row r="3261" spans="1:1" x14ac:dyDescent="0.25">
      <c r="A3261"/>
    </row>
    <row r="3262" spans="1:1" x14ac:dyDescent="0.25">
      <c r="A3262"/>
    </row>
    <row r="3263" spans="1:1" x14ac:dyDescent="0.25">
      <c r="A3263"/>
    </row>
    <row r="3264" spans="1:1" x14ac:dyDescent="0.25">
      <c r="A3264"/>
    </row>
    <row r="3265" spans="1:1" x14ac:dyDescent="0.25">
      <c r="A3265"/>
    </row>
    <row r="3266" spans="1:1" x14ac:dyDescent="0.25">
      <c r="A3266"/>
    </row>
    <row r="3267" spans="1:1" x14ac:dyDescent="0.25">
      <c r="A3267"/>
    </row>
    <row r="3268" spans="1:1" x14ac:dyDescent="0.25">
      <c r="A3268"/>
    </row>
    <row r="3269" spans="1:1" x14ac:dyDescent="0.25">
      <c r="A3269"/>
    </row>
    <row r="3270" spans="1:1" x14ac:dyDescent="0.25">
      <c r="A3270"/>
    </row>
    <row r="3271" spans="1:1" x14ac:dyDescent="0.25">
      <c r="A3271"/>
    </row>
    <row r="3272" spans="1:1" x14ac:dyDescent="0.25">
      <c r="A3272"/>
    </row>
    <row r="3273" spans="1:1" x14ac:dyDescent="0.25">
      <c r="A3273"/>
    </row>
    <row r="3274" spans="1:1" x14ac:dyDescent="0.25">
      <c r="A3274"/>
    </row>
    <row r="3275" spans="1:1" x14ac:dyDescent="0.25">
      <c r="A3275"/>
    </row>
    <row r="3276" spans="1:1" x14ac:dyDescent="0.25">
      <c r="A3276"/>
    </row>
    <row r="3277" spans="1:1" x14ac:dyDescent="0.25">
      <c r="A3277"/>
    </row>
    <row r="3278" spans="1:1" x14ac:dyDescent="0.25">
      <c r="A3278"/>
    </row>
    <row r="3279" spans="1:1" x14ac:dyDescent="0.25">
      <c r="A3279"/>
    </row>
    <row r="3280" spans="1:1" x14ac:dyDescent="0.25">
      <c r="A3280"/>
    </row>
    <row r="3281" spans="1:1" x14ac:dyDescent="0.25">
      <c r="A3281"/>
    </row>
    <row r="3282" spans="1:1" x14ac:dyDescent="0.25">
      <c r="A3282"/>
    </row>
    <row r="3283" spans="1:1" x14ac:dyDescent="0.25">
      <c r="A3283"/>
    </row>
    <row r="3284" spans="1:1" x14ac:dyDescent="0.25">
      <c r="A3284"/>
    </row>
    <row r="3285" spans="1:1" x14ac:dyDescent="0.25">
      <c r="A3285"/>
    </row>
    <row r="3286" spans="1:1" x14ac:dyDescent="0.25">
      <c r="A3286"/>
    </row>
    <row r="3287" spans="1:1" x14ac:dyDescent="0.25">
      <c r="A3287"/>
    </row>
    <row r="3288" spans="1:1" x14ac:dyDescent="0.25">
      <c r="A3288"/>
    </row>
    <row r="3289" spans="1:1" x14ac:dyDescent="0.25">
      <c r="A3289"/>
    </row>
    <row r="3290" spans="1:1" x14ac:dyDescent="0.25">
      <c r="A3290"/>
    </row>
    <row r="3291" spans="1:1" x14ac:dyDescent="0.25">
      <c r="A3291"/>
    </row>
    <row r="3292" spans="1:1" x14ac:dyDescent="0.25">
      <c r="A3292"/>
    </row>
    <row r="3293" spans="1:1" x14ac:dyDescent="0.25">
      <c r="A3293"/>
    </row>
    <row r="3294" spans="1:1" x14ac:dyDescent="0.25">
      <c r="A3294"/>
    </row>
    <row r="3295" spans="1:1" x14ac:dyDescent="0.25">
      <c r="A3295"/>
    </row>
    <row r="3296" spans="1:1" x14ac:dyDescent="0.25">
      <c r="A3296"/>
    </row>
    <row r="3297" spans="1:1" x14ac:dyDescent="0.25">
      <c r="A3297"/>
    </row>
    <row r="3298" spans="1:1" x14ac:dyDescent="0.25">
      <c r="A3298"/>
    </row>
    <row r="3299" spans="1:1" x14ac:dyDescent="0.25">
      <c r="A3299"/>
    </row>
    <row r="3300" spans="1:1" x14ac:dyDescent="0.25">
      <c r="A3300"/>
    </row>
    <row r="3301" spans="1:1" x14ac:dyDescent="0.25">
      <c r="A3301"/>
    </row>
    <row r="3302" spans="1:1" x14ac:dyDescent="0.25">
      <c r="A3302"/>
    </row>
    <row r="3303" spans="1:1" x14ac:dyDescent="0.25">
      <c r="A3303"/>
    </row>
    <row r="3304" spans="1:1" x14ac:dyDescent="0.25">
      <c r="A3304"/>
    </row>
    <row r="3305" spans="1:1" x14ac:dyDescent="0.25">
      <c r="A3305"/>
    </row>
    <row r="3306" spans="1:1" x14ac:dyDescent="0.25">
      <c r="A3306"/>
    </row>
    <row r="3307" spans="1:1" x14ac:dyDescent="0.25">
      <c r="A3307"/>
    </row>
    <row r="3308" spans="1:1" x14ac:dyDescent="0.25">
      <c r="A3308"/>
    </row>
    <row r="3309" spans="1:1" x14ac:dyDescent="0.25">
      <c r="A3309"/>
    </row>
    <row r="3310" spans="1:1" x14ac:dyDescent="0.25">
      <c r="A3310"/>
    </row>
    <row r="3311" spans="1:1" x14ac:dyDescent="0.25">
      <c r="A3311"/>
    </row>
    <row r="3312" spans="1:1" x14ac:dyDescent="0.25">
      <c r="A3312"/>
    </row>
    <row r="3313" spans="1:1" x14ac:dyDescent="0.25">
      <c r="A3313"/>
    </row>
    <row r="3314" spans="1:1" x14ac:dyDescent="0.25">
      <c r="A3314"/>
    </row>
    <row r="3315" spans="1:1" x14ac:dyDescent="0.25">
      <c r="A3315"/>
    </row>
    <row r="3316" spans="1:1" x14ac:dyDescent="0.25">
      <c r="A3316"/>
    </row>
    <row r="3317" spans="1:1" x14ac:dyDescent="0.25">
      <c r="A3317"/>
    </row>
    <row r="3318" spans="1:1" x14ac:dyDescent="0.25">
      <c r="A3318"/>
    </row>
    <row r="3319" spans="1:1" x14ac:dyDescent="0.25">
      <c r="A3319"/>
    </row>
    <row r="3320" spans="1:1" x14ac:dyDescent="0.25">
      <c r="A3320"/>
    </row>
    <row r="3321" spans="1:1" x14ac:dyDescent="0.25">
      <c r="A3321"/>
    </row>
    <row r="3322" spans="1:1" x14ac:dyDescent="0.25">
      <c r="A3322"/>
    </row>
    <row r="3323" spans="1:1" x14ac:dyDescent="0.25">
      <c r="A3323"/>
    </row>
    <row r="3324" spans="1:1" x14ac:dyDescent="0.25">
      <c r="A3324"/>
    </row>
    <row r="3325" spans="1:1" x14ac:dyDescent="0.25">
      <c r="A3325"/>
    </row>
    <row r="3326" spans="1:1" x14ac:dyDescent="0.25">
      <c r="A3326"/>
    </row>
    <row r="3327" spans="1:1" x14ac:dyDescent="0.25">
      <c r="A3327"/>
    </row>
    <row r="3328" spans="1:1" x14ac:dyDescent="0.25">
      <c r="A3328"/>
    </row>
    <row r="3329" spans="1:1" x14ac:dyDescent="0.25">
      <c r="A3329"/>
    </row>
    <row r="3330" spans="1:1" x14ac:dyDescent="0.25">
      <c r="A3330"/>
    </row>
    <row r="3331" spans="1:1" x14ac:dyDescent="0.25">
      <c r="A3331"/>
    </row>
    <row r="3332" spans="1:1" x14ac:dyDescent="0.25">
      <c r="A3332"/>
    </row>
    <row r="3333" spans="1:1" x14ac:dyDescent="0.25">
      <c r="A3333"/>
    </row>
    <row r="3334" spans="1:1" x14ac:dyDescent="0.25">
      <c r="A3334"/>
    </row>
    <row r="3335" spans="1:1" x14ac:dyDescent="0.25">
      <c r="A3335"/>
    </row>
    <row r="3336" spans="1:1" x14ac:dyDescent="0.25">
      <c r="A3336"/>
    </row>
    <row r="3337" spans="1:1" x14ac:dyDescent="0.25">
      <c r="A3337"/>
    </row>
    <row r="3338" spans="1:1" x14ac:dyDescent="0.25">
      <c r="A3338"/>
    </row>
    <row r="3339" spans="1:1" x14ac:dyDescent="0.25">
      <c r="A3339"/>
    </row>
    <row r="3340" spans="1:1" x14ac:dyDescent="0.25">
      <c r="A3340"/>
    </row>
    <row r="3341" spans="1:1" x14ac:dyDescent="0.25">
      <c r="A3341"/>
    </row>
    <row r="3342" spans="1:1" x14ac:dyDescent="0.25">
      <c r="A3342"/>
    </row>
    <row r="3343" spans="1:1" x14ac:dyDescent="0.25">
      <c r="A3343"/>
    </row>
    <row r="3344" spans="1:1" x14ac:dyDescent="0.25">
      <c r="A3344"/>
    </row>
    <row r="3345" spans="1:1" x14ac:dyDescent="0.25">
      <c r="A3345"/>
    </row>
    <row r="3346" spans="1:1" x14ac:dyDescent="0.25">
      <c r="A3346"/>
    </row>
    <row r="3347" spans="1:1" x14ac:dyDescent="0.25">
      <c r="A3347"/>
    </row>
    <row r="3348" spans="1:1" x14ac:dyDescent="0.25">
      <c r="A3348"/>
    </row>
    <row r="3349" spans="1:1" x14ac:dyDescent="0.25">
      <c r="A3349"/>
    </row>
    <row r="3350" spans="1:1" x14ac:dyDescent="0.25">
      <c r="A3350"/>
    </row>
    <row r="3351" spans="1:1" x14ac:dyDescent="0.25">
      <c r="A3351"/>
    </row>
    <row r="3352" spans="1:1" x14ac:dyDescent="0.25">
      <c r="A3352"/>
    </row>
    <row r="3353" spans="1:1" x14ac:dyDescent="0.25">
      <c r="A3353"/>
    </row>
    <row r="3354" spans="1:1" x14ac:dyDescent="0.25">
      <c r="A3354"/>
    </row>
    <row r="3355" spans="1:1" x14ac:dyDescent="0.25">
      <c r="A3355"/>
    </row>
    <row r="3356" spans="1:1" x14ac:dyDescent="0.25">
      <c r="A3356"/>
    </row>
    <row r="3357" spans="1:1" x14ac:dyDescent="0.25">
      <c r="A3357"/>
    </row>
    <row r="3358" spans="1:1" x14ac:dyDescent="0.25">
      <c r="A3358"/>
    </row>
    <row r="3359" spans="1:1" x14ac:dyDescent="0.25">
      <c r="A3359"/>
    </row>
    <row r="3360" spans="1:1" x14ac:dyDescent="0.25">
      <c r="A3360"/>
    </row>
    <row r="3361" spans="1:1" x14ac:dyDescent="0.25">
      <c r="A3361"/>
    </row>
    <row r="3362" spans="1:1" x14ac:dyDescent="0.25">
      <c r="A3362"/>
    </row>
    <row r="3363" spans="1:1" x14ac:dyDescent="0.25">
      <c r="A3363"/>
    </row>
    <row r="3364" spans="1:1" x14ac:dyDescent="0.25">
      <c r="A3364"/>
    </row>
    <row r="3365" spans="1:1" x14ac:dyDescent="0.25">
      <c r="A3365"/>
    </row>
    <row r="3366" spans="1:1" x14ac:dyDescent="0.25">
      <c r="A3366"/>
    </row>
    <row r="3367" spans="1:1" x14ac:dyDescent="0.25">
      <c r="A3367"/>
    </row>
    <row r="3368" spans="1:1" x14ac:dyDescent="0.25">
      <c r="A3368"/>
    </row>
    <row r="3369" spans="1:1" x14ac:dyDescent="0.25">
      <c r="A3369"/>
    </row>
    <row r="3370" spans="1:1" x14ac:dyDescent="0.25">
      <c r="A3370"/>
    </row>
    <row r="3371" spans="1:1" x14ac:dyDescent="0.25">
      <c r="A3371"/>
    </row>
    <row r="3372" spans="1:1" x14ac:dyDescent="0.25">
      <c r="A3372"/>
    </row>
    <row r="3373" spans="1:1" x14ac:dyDescent="0.25">
      <c r="A3373"/>
    </row>
    <row r="3374" spans="1:1" x14ac:dyDescent="0.25">
      <c r="A3374"/>
    </row>
    <row r="3375" spans="1:1" x14ac:dyDescent="0.25">
      <c r="A3375"/>
    </row>
    <row r="3376" spans="1:1" x14ac:dyDescent="0.25">
      <c r="A3376"/>
    </row>
    <row r="3377" spans="1:1" x14ac:dyDescent="0.25">
      <c r="A3377"/>
    </row>
    <row r="3378" spans="1:1" x14ac:dyDescent="0.25">
      <c r="A3378"/>
    </row>
    <row r="3379" spans="1:1" x14ac:dyDescent="0.25">
      <c r="A3379"/>
    </row>
    <row r="3380" spans="1:1" x14ac:dyDescent="0.25">
      <c r="A3380"/>
    </row>
    <row r="3381" spans="1:1" x14ac:dyDescent="0.25">
      <c r="A3381"/>
    </row>
    <row r="3382" spans="1:1" x14ac:dyDescent="0.25">
      <c r="A3382"/>
    </row>
    <row r="3383" spans="1:1" x14ac:dyDescent="0.25">
      <c r="A3383"/>
    </row>
    <row r="3384" spans="1:1" x14ac:dyDescent="0.25">
      <c r="A3384"/>
    </row>
    <row r="3385" spans="1:1" x14ac:dyDescent="0.25">
      <c r="A3385"/>
    </row>
    <row r="3386" spans="1:1" x14ac:dyDescent="0.25">
      <c r="A3386"/>
    </row>
    <row r="3387" spans="1:1" x14ac:dyDescent="0.25">
      <c r="A3387"/>
    </row>
    <row r="3388" spans="1:1" x14ac:dyDescent="0.25">
      <c r="A3388"/>
    </row>
    <row r="3389" spans="1:1" x14ac:dyDescent="0.25">
      <c r="A3389"/>
    </row>
    <row r="3390" spans="1:1" x14ac:dyDescent="0.25">
      <c r="A3390"/>
    </row>
    <row r="3391" spans="1:1" x14ac:dyDescent="0.25">
      <c r="A3391"/>
    </row>
    <row r="3392" spans="1:1" x14ac:dyDescent="0.25">
      <c r="A3392"/>
    </row>
    <row r="3393" spans="1:1" x14ac:dyDescent="0.25">
      <c r="A3393"/>
    </row>
    <row r="3394" spans="1:1" x14ac:dyDescent="0.25">
      <c r="A3394"/>
    </row>
    <row r="3395" spans="1:1" x14ac:dyDescent="0.25">
      <c r="A3395"/>
    </row>
    <row r="3396" spans="1:1" x14ac:dyDescent="0.25">
      <c r="A3396"/>
    </row>
    <row r="3397" spans="1:1" x14ac:dyDescent="0.25">
      <c r="A3397"/>
    </row>
    <row r="3398" spans="1:1" x14ac:dyDescent="0.25">
      <c r="A3398"/>
    </row>
    <row r="3399" spans="1:1" x14ac:dyDescent="0.25">
      <c r="A3399"/>
    </row>
    <row r="3400" spans="1:1" x14ac:dyDescent="0.25">
      <c r="A3400"/>
    </row>
    <row r="3401" spans="1:1" x14ac:dyDescent="0.25">
      <c r="A3401"/>
    </row>
    <row r="3402" spans="1:1" x14ac:dyDescent="0.25">
      <c r="A3402"/>
    </row>
    <row r="3403" spans="1:1" x14ac:dyDescent="0.25">
      <c r="A3403"/>
    </row>
    <row r="3404" spans="1:1" x14ac:dyDescent="0.25">
      <c r="A3404"/>
    </row>
    <row r="3405" spans="1:1" x14ac:dyDescent="0.25">
      <c r="A3405"/>
    </row>
    <row r="3406" spans="1:1" x14ac:dyDescent="0.25">
      <c r="A3406"/>
    </row>
    <row r="3407" spans="1:1" x14ac:dyDescent="0.25">
      <c r="A3407"/>
    </row>
    <row r="3408" spans="1:1" x14ac:dyDescent="0.25">
      <c r="A3408"/>
    </row>
    <row r="3409" spans="1:1" x14ac:dyDescent="0.25">
      <c r="A3409"/>
    </row>
    <row r="3410" spans="1:1" x14ac:dyDescent="0.25">
      <c r="A3410"/>
    </row>
    <row r="3411" spans="1:1" x14ac:dyDescent="0.25">
      <c r="A3411"/>
    </row>
    <row r="3412" spans="1:1" x14ac:dyDescent="0.25">
      <c r="A3412"/>
    </row>
    <row r="3413" spans="1:1" x14ac:dyDescent="0.25">
      <c r="A3413"/>
    </row>
    <row r="3414" spans="1:1" x14ac:dyDescent="0.25">
      <c r="A3414"/>
    </row>
    <row r="3415" spans="1:1" x14ac:dyDescent="0.25">
      <c r="A3415"/>
    </row>
    <row r="3416" spans="1:1" x14ac:dyDescent="0.25">
      <c r="A3416"/>
    </row>
    <row r="3417" spans="1:1" x14ac:dyDescent="0.25">
      <c r="A3417"/>
    </row>
    <row r="3418" spans="1:1" x14ac:dyDescent="0.25">
      <c r="A3418"/>
    </row>
    <row r="3419" spans="1:1" x14ac:dyDescent="0.25">
      <c r="A3419"/>
    </row>
    <row r="3420" spans="1:1" x14ac:dyDescent="0.25">
      <c r="A3420"/>
    </row>
    <row r="3421" spans="1:1" x14ac:dyDescent="0.25">
      <c r="A3421"/>
    </row>
    <row r="3422" spans="1:1" x14ac:dyDescent="0.25">
      <c r="A3422"/>
    </row>
    <row r="3423" spans="1:1" x14ac:dyDescent="0.25">
      <c r="A3423"/>
    </row>
    <row r="3424" spans="1:1" x14ac:dyDescent="0.25">
      <c r="A3424"/>
    </row>
    <row r="3425" spans="1:1" x14ac:dyDescent="0.25">
      <c r="A3425"/>
    </row>
    <row r="3426" spans="1:1" x14ac:dyDescent="0.25">
      <c r="A3426"/>
    </row>
    <row r="3427" spans="1:1" x14ac:dyDescent="0.25">
      <c r="A3427"/>
    </row>
    <row r="3428" spans="1:1" x14ac:dyDescent="0.25">
      <c r="A3428"/>
    </row>
    <row r="3429" spans="1:1" x14ac:dyDescent="0.25">
      <c r="A3429"/>
    </row>
    <row r="3430" spans="1:1" x14ac:dyDescent="0.25">
      <c r="A3430"/>
    </row>
    <row r="3431" spans="1:1" x14ac:dyDescent="0.25">
      <c r="A3431"/>
    </row>
    <row r="3432" spans="1:1" x14ac:dyDescent="0.25">
      <c r="A3432"/>
    </row>
    <row r="3433" spans="1:1" x14ac:dyDescent="0.25">
      <c r="A3433"/>
    </row>
    <row r="3434" spans="1:1" x14ac:dyDescent="0.25">
      <c r="A3434"/>
    </row>
    <row r="3435" spans="1:1" x14ac:dyDescent="0.25">
      <c r="A3435"/>
    </row>
    <row r="3436" spans="1:1" x14ac:dyDescent="0.25">
      <c r="A3436"/>
    </row>
    <row r="3437" spans="1:1" x14ac:dyDescent="0.25">
      <c r="A3437"/>
    </row>
    <row r="3438" spans="1:1" x14ac:dyDescent="0.25">
      <c r="A3438"/>
    </row>
    <row r="3439" spans="1:1" x14ac:dyDescent="0.25">
      <c r="A3439"/>
    </row>
    <row r="3440" spans="1:1" x14ac:dyDescent="0.25">
      <c r="A3440"/>
    </row>
    <row r="3441" spans="1:1" x14ac:dyDescent="0.25">
      <c r="A3441"/>
    </row>
    <row r="3442" spans="1:1" x14ac:dyDescent="0.25">
      <c r="A3442"/>
    </row>
    <row r="3443" spans="1:1" x14ac:dyDescent="0.25">
      <c r="A3443"/>
    </row>
    <row r="3444" spans="1:1" x14ac:dyDescent="0.25">
      <c r="A3444"/>
    </row>
    <row r="3445" spans="1:1" x14ac:dyDescent="0.25">
      <c r="A3445"/>
    </row>
    <row r="3446" spans="1:1" x14ac:dyDescent="0.25">
      <c r="A3446"/>
    </row>
    <row r="3447" spans="1:1" x14ac:dyDescent="0.25">
      <c r="A3447"/>
    </row>
    <row r="3448" spans="1:1" x14ac:dyDescent="0.25">
      <c r="A3448"/>
    </row>
    <row r="3449" spans="1:1" x14ac:dyDescent="0.25">
      <c r="A3449"/>
    </row>
    <row r="3450" spans="1:1" x14ac:dyDescent="0.25">
      <c r="A3450"/>
    </row>
    <row r="3451" spans="1:1" x14ac:dyDescent="0.25">
      <c r="A3451"/>
    </row>
    <row r="3452" spans="1:1" x14ac:dyDescent="0.25">
      <c r="A3452"/>
    </row>
    <row r="3453" spans="1:1" x14ac:dyDescent="0.25">
      <c r="A3453"/>
    </row>
    <row r="3454" spans="1:1" x14ac:dyDescent="0.25">
      <c r="A3454"/>
    </row>
    <row r="3455" spans="1:1" x14ac:dyDescent="0.25">
      <c r="A3455"/>
    </row>
    <row r="3456" spans="1:1" x14ac:dyDescent="0.25">
      <c r="A3456"/>
    </row>
    <row r="3457" spans="1:1" x14ac:dyDescent="0.25">
      <c r="A3457"/>
    </row>
    <row r="3458" spans="1:1" x14ac:dyDescent="0.25">
      <c r="A3458"/>
    </row>
    <row r="3459" spans="1:1" x14ac:dyDescent="0.25">
      <c r="A3459"/>
    </row>
    <row r="3460" spans="1:1" x14ac:dyDescent="0.25">
      <c r="A3460"/>
    </row>
    <row r="3461" spans="1:1" x14ac:dyDescent="0.25">
      <c r="A3461"/>
    </row>
    <row r="3462" spans="1:1" x14ac:dyDescent="0.25">
      <c r="A3462"/>
    </row>
    <row r="3463" spans="1:1" x14ac:dyDescent="0.25">
      <c r="A3463"/>
    </row>
    <row r="3464" spans="1:1" x14ac:dyDescent="0.25">
      <c r="A3464"/>
    </row>
    <row r="3465" spans="1:1" x14ac:dyDescent="0.25">
      <c r="A3465"/>
    </row>
    <row r="3466" spans="1:1" x14ac:dyDescent="0.25">
      <c r="A3466"/>
    </row>
    <row r="3467" spans="1:1" x14ac:dyDescent="0.25">
      <c r="A3467"/>
    </row>
    <row r="3468" spans="1:1" x14ac:dyDescent="0.25">
      <c r="A3468"/>
    </row>
    <row r="3469" spans="1:1" x14ac:dyDescent="0.25">
      <c r="A3469"/>
    </row>
    <row r="3470" spans="1:1" x14ac:dyDescent="0.25">
      <c r="A3470"/>
    </row>
    <row r="3471" spans="1:1" x14ac:dyDescent="0.25">
      <c r="A3471"/>
    </row>
    <row r="3472" spans="1:1" x14ac:dyDescent="0.25">
      <c r="A3472"/>
    </row>
    <row r="3473" spans="1:1" x14ac:dyDescent="0.25">
      <c r="A3473"/>
    </row>
    <row r="3474" spans="1:1" x14ac:dyDescent="0.25">
      <c r="A3474"/>
    </row>
    <row r="3475" spans="1:1" x14ac:dyDescent="0.25">
      <c r="A3475"/>
    </row>
    <row r="3476" spans="1:1" x14ac:dyDescent="0.25">
      <c r="A3476"/>
    </row>
    <row r="3477" spans="1:1" x14ac:dyDescent="0.25">
      <c r="A3477"/>
    </row>
    <row r="3478" spans="1:1" x14ac:dyDescent="0.25">
      <c r="A3478"/>
    </row>
    <row r="3479" spans="1:1" x14ac:dyDescent="0.25">
      <c r="A3479"/>
    </row>
    <row r="3480" spans="1:1" x14ac:dyDescent="0.25">
      <c r="A3480"/>
    </row>
    <row r="3481" spans="1:1" x14ac:dyDescent="0.25">
      <c r="A3481"/>
    </row>
    <row r="3482" spans="1:1" x14ac:dyDescent="0.25">
      <c r="A3482"/>
    </row>
    <row r="3483" spans="1:1" x14ac:dyDescent="0.25">
      <c r="A3483"/>
    </row>
    <row r="3484" spans="1:1" x14ac:dyDescent="0.25">
      <c r="A3484"/>
    </row>
    <row r="3485" spans="1:1" x14ac:dyDescent="0.25">
      <c r="A3485"/>
    </row>
    <row r="3486" spans="1:1" x14ac:dyDescent="0.25">
      <c r="A3486"/>
    </row>
    <row r="3487" spans="1:1" x14ac:dyDescent="0.25">
      <c r="A3487"/>
    </row>
    <row r="3488" spans="1:1" x14ac:dyDescent="0.25">
      <c r="A3488"/>
    </row>
    <row r="3489" spans="1:1" x14ac:dyDescent="0.25">
      <c r="A3489"/>
    </row>
    <row r="3490" spans="1:1" x14ac:dyDescent="0.25">
      <c r="A3490"/>
    </row>
    <row r="3491" spans="1:1" x14ac:dyDescent="0.25">
      <c r="A3491"/>
    </row>
    <row r="3492" spans="1:1" x14ac:dyDescent="0.25">
      <c r="A3492"/>
    </row>
    <row r="3493" spans="1:1" x14ac:dyDescent="0.25">
      <c r="A3493"/>
    </row>
    <row r="3494" spans="1:1" x14ac:dyDescent="0.25">
      <c r="A3494"/>
    </row>
    <row r="3495" spans="1:1" x14ac:dyDescent="0.25">
      <c r="A3495"/>
    </row>
    <row r="3496" spans="1:1" x14ac:dyDescent="0.25">
      <c r="A3496"/>
    </row>
    <row r="3497" spans="1:1" x14ac:dyDescent="0.25">
      <c r="A3497"/>
    </row>
    <row r="3498" spans="1:1" x14ac:dyDescent="0.25">
      <c r="A3498"/>
    </row>
    <row r="3499" spans="1:1" x14ac:dyDescent="0.25">
      <c r="A3499"/>
    </row>
    <row r="3500" spans="1:1" x14ac:dyDescent="0.25">
      <c r="A3500"/>
    </row>
    <row r="3501" spans="1:1" x14ac:dyDescent="0.25">
      <c r="A3501"/>
    </row>
    <row r="3502" spans="1:1" x14ac:dyDescent="0.25">
      <c r="A3502"/>
    </row>
    <row r="3503" spans="1:1" x14ac:dyDescent="0.25">
      <c r="A3503"/>
    </row>
    <row r="3504" spans="1:1" x14ac:dyDescent="0.25">
      <c r="A3504"/>
    </row>
    <row r="3505" spans="1:1" x14ac:dyDescent="0.25">
      <c r="A3505"/>
    </row>
    <row r="3506" spans="1:1" x14ac:dyDescent="0.25">
      <c r="A3506"/>
    </row>
    <row r="3507" spans="1:1" x14ac:dyDescent="0.25">
      <c r="A3507"/>
    </row>
    <row r="3508" spans="1:1" x14ac:dyDescent="0.25">
      <c r="A3508"/>
    </row>
    <row r="3509" spans="1:1" x14ac:dyDescent="0.25">
      <c r="A3509"/>
    </row>
    <row r="3510" spans="1:1" x14ac:dyDescent="0.25">
      <c r="A3510"/>
    </row>
    <row r="3511" spans="1:1" x14ac:dyDescent="0.25">
      <c r="A3511"/>
    </row>
    <row r="3512" spans="1:1" x14ac:dyDescent="0.25">
      <c r="A3512"/>
    </row>
    <row r="3513" spans="1:1" x14ac:dyDescent="0.25">
      <c r="A3513"/>
    </row>
    <row r="3514" spans="1:1" x14ac:dyDescent="0.25">
      <c r="A3514"/>
    </row>
    <row r="3515" spans="1:1" x14ac:dyDescent="0.25">
      <c r="A3515"/>
    </row>
    <row r="3516" spans="1:1" x14ac:dyDescent="0.25">
      <c r="A3516"/>
    </row>
    <row r="3517" spans="1:1" x14ac:dyDescent="0.25">
      <c r="A3517"/>
    </row>
    <row r="3518" spans="1:1" x14ac:dyDescent="0.25">
      <c r="A3518"/>
    </row>
    <row r="3519" spans="1:1" x14ac:dyDescent="0.25">
      <c r="A3519"/>
    </row>
    <row r="3520" spans="1:1" x14ac:dyDescent="0.25">
      <c r="A3520"/>
    </row>
    <row r="3521" spans="1:1" x14ac:dyDescent="0.25">
      <c r="A3521"/>
    </row>
    <row r="3522" spans="1:1" x14ac:dyDescent="0.25">
      <c r="A3522"/>
    </row>
    <row r="3523" spans="1:1" x14ac:dyDescent="0.25">
      <c r="A3523"/>
    </row>
    <row r="3524" spans="1:1" x14ac:dyDescent="0.25">
      <c r="A3524"/>
    </row>
    <row r="3525" spans="1:1" x14ac:dyDescent="0.25">
      <c r="A3525"/>
    </row>
    <row r="3526" spans="1:1" x14ac:dyDescent="0.25">
      <c r="A3526"/>
    </row>
    <row r="3527" spans="1:1" x14ac:dyDescent="0.25">
      <c r="A3527"/>
    </row>
    <row r="3528" spans="1:1" x14ac:dyDescent="0.25">
      <c r="A3528"/>
    </row>
    <row r="3529" spans="1:1" x14ac:dyDescent="0.25">
      <c r="A3529"/>
    </row>
    <row r="3530" spans="1:1" x14ac:dyDescent="0.25">
      <c r="A3530"/>
    </row>
    <row r="3531" spans="1:1" x14ac:dyDescent="0.25">
      <c r="A3531"/>
    </row>
    <row r="3532" spans="1:1" x14ac:dyDescent="0.25">
      <c r="A3532"/>
    </row>
    <row r="3533" spans="1:1" x14ac:dyDescent="0.25">
      <c r="A3533"/>
    </row>
    <row r="3534" spans="1:1" x14ac:dyDescent="0.25">
      <c r="A3534"/>
    </row>
    <row r="3535" spans="1:1" x14ac:dyDescent="0.25">
      <c r="A3535"/>
    </row>
    <row r="3536" spans="1:1" x14ac:dyDescent="0.25">
      <c r="A3536"/>
    </row>
    <row r="3537" spans="1:1" x14ac:dyDescent="0.25">
      <c r="A3537"/>
    </row>
    <row r="3538" spans="1:1" x14ac:dyDescent="0.25">
      <c r="A3538"/>
    </row>
    <row r="3539" spans="1:1" x14ac:dyDescent="0.25">
      <c r="A3539"/>
    </row>
    <row r="3540" spans="1:1" x14ac:dyDescent="0.25">
      <c r="A3540"/>
    </row>
    <row r="3541" spans="1:1" x14ac:dyDescent="0.25">
      <c r="A3541"/>
    </row>
    <row r="3542" spans="1:1" x14ac:dyDescent="0.25">
      <c r="A3542"/>
    </row>
    <row r="3543" spans="1:1" x14ac:dyDescent="0.25">
      <c r="A3543"/>
    </row>
    <row r="3544" spans="1:1" x14ac:dyDescent="0.25">
      <c r="A3544"/>
    </row>
    <row r="3545" spans="1:1" x14ac:dyDescent="0.25">
      <c r="A3545"/>
    </row>
    <row r="3546" spans="1:1" x14ac:dyDescent="0.25">
      <c r="A3546"/>
    </row>
    <row r="3547" spans="1:1" x14ac:dyDescent="0.25">
      <c r="A3547"/>
    </row>
    <row r="3548" spans="1:1" x14ac:dyDescent="0.25">
      <c r="A3548"/>
    </row>
    <row r="3549" spans="1:1" x14ac:dyDescent="0.25">
      <c r="A3549"/>
    </row>
    <row r="3550" spans="1:1" x14ac:dyDescent="0.25">
      <c r="A3550"/>
    </row>
    <row r="3551" spans="1:1" x14ac:dyDescent="0.25">
      <c r="A3551"/>
    </row>
    <row r="3552" spans="1:1" x14ac:dyDescent="0.25">
      <c r="A3552"/>
    </row>
    <row r="3553" spans="1:1" x14ac:dyDescent="0.25">
      <c r="A3553"/>
    </row>
    <row r="3554" spans="1:1" x14ac:dyDescent="0.25">
      <c r="A3554"/>
    </row>
    <row r="3555" spans="1:1" x14ac:dyDescent="0.25">
      <c r="A3555"/>
    </row>
    <row r="3556" spans="1:1" x14ac:dyDescent="0.25">
      <c r="A3556"/>
    </row>
    <row r="3557" spans="1:1" x14ac:dyDescent="0.25">
      <c r="A3557"/>
    </row>
    <row r="3558" spans="1:1" x14ac:dyDescent="0.25">
      <c r="A3558"/>
    </row>
    <row r="3559" spans="1:1" x14ac:dyDescent="0.25">
      <c r="A3559"/>
    </row>
    <row r="3560" spans="1:1" x14ac:dyDescent="0.25">
      <c r="A3560"/>
    </row>
    <row r="3561" spans="1:1" x14ac:dyDescent="0.25">
      <c r="A3561"/>
    </row>
    <row r="3562" spans="1:1" x14ac:dyDescent="0.25">
      <c r="A3562"/>
    </row>
    <row r="3563" spans="1:1" x14ac:dyDescent="0.25">
      <c r="A3563"/>
    </row>
    <row r="3564" spans="1:1" x14ac:dyDescent="0.25">
      <c r="A3564"/>
    </row>
    <row r="3565" spans="1:1" x14ac:dyDescent="0.25">
      <c r="A3565"/>
    </row>
    <row r="3566" spans="1:1" x14ac:dyDescent="0.25">
      <c r="A3566"/>
    </row>
    <row r="3567" spans="1:1" x14ac:dyDescent="0.25">
      <c r="A3567"/>
    </row>
    <row r="3568" spans="1:1" x14ac:dyDescent="0.25">
      <c r="A3568"/>
    </row>
    <row r="3569" spans="1:1" x14ac:dyDescent="0.25">
      <c r="A3569"/>
    </row>
    <row r="3570" spans="1:1" x14ac:dyDescent="0.25">
      <c r="A3570"/>
    </row>
    <row r="3571" spans="1:1" x14ac:dyDescent="0.25">
      <c r="A3571"/>
    </row>
    <row r="3572" spans="1:1" x14ac:dyDescent="0.25">
      <c r="A3572"/>
    </row>
    <row r="3573" spans="1:1" x14ac:dyDescent="0.25">
      <c r="A3573"/>
    </row>
    <row r="3574" spans="1:1" x14ac:dyDescent="0.25">
      <c r="A3574"/>
    </row>
    <row r="3575" spans="1:1" x14ac:dyDescent="0.25">
      <c r="A3575"/>
    </row>
    <row r="3576" spans="1:1" x14ac:dyDescent="0.25">
      <c r="A3576"/>
    </row>
    <row r="3577" spans="1:1" x14ac:dyDescent="0.25">
      <c r="A3577"/>
    </row>
    <row r="3578" spans="1:1" x14ac:dyDescent="0.25">
      <c r="A3578"/>
    </row>
    <row r="3579" spans="1:1" x14ac:dyDescent="0.25">
      <c r="A3579"/>
    </row>
    <row r="3580" spans="1:1" x14ac:dyDescent="0.25">
      <c r="A3580"/>
    </row>
    <row r="3581" spans="1:1" x14ac:dyDescent="0.25">
      <c r="A3581"/>
    </row>
    <row r="3582" spans="1:1" x14ac:dyDescent="0.25">
      <c r="A3582"/>
    </row>
    <row r="3583" spans="1:1" x14ac:dyDescent="0.25">
      <c r="A3583"/>
    </row>
    <row r="3584" spans="1:1" x14ac:dyDescent="0.25">
      <c r="A3584"/>
    </row>
    <row r="3585" spans="1:1" x14ac:dyDescent="0.25">
      <c r="A3585"/>
    </row>
    <row r="3586" spans="1:1" x14ac:dyDescent="0.25">
      <c r="A3586"/>
    </row>
    <row r="3587" spans="1:1" x14ac:dyDescent="0.25">
      <c r="A3587"/>
    </row>
    <row r="3588" spans="1:1" x14ac:dyDescent="0.25">
      <c r="A3588"/>
    </row>
    <row r="3589" spans="1:1" x14ac:dyDescent="0.25">
      <c r="A3589"/>
    </row>
    <row r="3590" spans="1:1" x14ac:dyDescent="0.25">
      <c r="A3590"/>
    </row>
    <row r="3591" spans="1:1" x14ac:dyDescent="0.25">
      <c r="A3591"/>
    </row>
    <row r="3592" spans="1:1" x14ac:dyDescent="0.25">
      <c r="A3592"/>
    </row>
    <row r="3593" spans="1:1" x14ac:dyDescent="0.25">
      <c r="A3593"/>
    </row>
    <row r="3594" spans="1:1" x14ac:dyDescent="0.25">
      <c r="A3594"/>
    </row>
    <row r="3595" spans="1:1" x14ac:dyDescent="0.25">
      <c r="A3595"/>
    </row>
    <row r="3596" spans="1:1" x14ac:dyDescent="0.25">
      <c r="A3596"/>
    </row>
    <row r="3597" spans="1:1" x14ac:dyDescent="0.25">
      <c r="A3597"/>
    </row>
    <row r="3598" spans="1:1" x14ac:dyDescent="0.25">
      <c r="A3598"/>
    </row>
    <row r="3599" spans="1:1" x14ac:dyDescent="0.25">
      <c r="A3599"/>
    </row>
    <row r="3600" spans="1:1" x14ac:dyDescent="0.25">
      <c r="A3600"/>
    </row>
    <row r="3601" spans="1:1" x14ac:dyDescent="0.25">
      <c r="A3601"/>
    </row>
    <row r="3602" spans="1:1" x14ac:dyDescent="0.25">
      <c r="A3602"/>
    </row>
    <row r="3603" spans="1:1" x14ac:dyDescent="0.25">
      <c r="A3603"/>
    </row>
    <row r="3604" spans="1:1" x14ac:dyDescent="0.25">
      <c r="A3604"/>
    </row>
    <row r="3605" spans="1:1" x14ac:dyDescent="0.25">
      <c r="A3605"/>
    </row>
    <row r="3606" spans="1:1" x14ac:dyDescent="0.25">
      <c r="A3606"/>
    </row>
    <row r="3607" spans="1:1" x14ac:dyDescent="0.25">
      <c r="A3607"/>
    </row>
    <row r="3608" spans="1:1" x14ac:dyDescent="0.25">
      <c r="A3608"/>
    </row>
    <row r="3609" spans="1:1" x14ac:dyDescent="0.25">
      <c r="A3609"/>
    </row>
    <row r="3610" spans="1:1" x14ac:dyDescent="0.25">
      <c r="A3610"/>
    </row>
    <row r="3611" spans="1:1" x14ac:dyDescent="0.25">
      <c r="A3611"/>
    </row>
    <row r="3612" spans="1:1" x14ac:dyDescent="0.25">
      <c r="A3612"/>
    </row>
    <row r="3613" spans="1:1" x14ac:dyDescent="0.25">
      <c r="A3613"/>
    </row>
    <row r="3614" spans="1:1" x14ac:dyDescent="0.25">
      <c r="A3614"/>
    </row>
    <row r="3615" spans="1:1" x14ac:dyDescent="0.25">
      <c r="A3615"/>
    </row>
    <row r="3616" spans="1:1" x14ac:dyDescent="0.25">
      <c r="A3616"/>
    </row>
    <row r="3617" spans="1:1" x14ac:dyDescent="0.25">
      <c r="A3617"/>
    </row>
    <row r="3618" spans="1:1" x14ac:dyDescent="0.25">
      <c r="A3618"/>
    </row>
    <row r="3619" spans="1:1" x14ac:dyDescent="0.25">
      <c r="A3619"/>
    </row>
    <row r="3620" spans="1:1" x14ac:dyDescent="0.25">
      <c r="A3620"/>
    </row>
    <row r="3621" spans="1:1" x14ac:dyDescent="0.25">
      <c r="A3621"/>
    </row>
    <row r="3622" spans="1:1" x14ac:dyDescent="0.25">
      <c r="A3622"/>
    </row>
    <row r="3623" spans="1:1" x14ac:dyDescent="0.25">
      <c r="A3623"/>
    </row>
    <row r="3624" spans="1:1" x14ac:dyDescent="0.25">
      <c r="A3624"/>
    </row>
    <row r="3625" spans="1:1" x14ac:dyDescent="0.25">
      <c r="A3625"/>
    </row>
    <row r="3626" spans="1:1" x14ac:dyDescent="0.25">
      <c r="A3626"/>
    </row>
    <row r="3627" spans="1:1" x14ac:dyDescent="0.25">
      <c r="A3627"/>
    </row>
    <row r="3628" spans="1:1" x14ac:dyDescent="0.25">
      <c r="A3628"/>
    </row>
    <row r="3629" spans="1:1" x14ac:dyDescent="0.25">
      <c r="A3629"/>
    </row>
    <row r="3630" spans="1:1" x14ac:dyDescent="0.25">
      <c r="A3630"/>
    </row>
    <row r="3631" spans="1:1" x14ac:dyDescent="0.25">
      <c r="A3631"/>
    </row>
    <row r="3632" spans="1:1" x14ac:dyDescent="0.25">
      <c r="A3632"/>
    </row>
    <row r="3633" spans="1:1" x14ac:dyDescent="0.25">
      <c r="A3633"/>
    </row>
    <row r="3634" spans="1:1" x14ac:dyDescent="0.25">
      <c r="A3634"/>
    </row>
    <row r="3635" spans="1:1" x14ac:dyDescent="0.25">
      <c r="A3635"/>
    </row>
    <row r="3636" spans="1:1" x14ac:dyDescent="0.25">
      <c r="A3636"/>
    </row>
    <row r="3637" spans="1:1" x14ac:dyDescent="0.25">
      <c r="A3637"/>
    </row>
    <row r="3638" spans="1:1" x14ac:dyDescent="0.25">
      <c r="A3638"/>
    </row>
    <row r="3639" spans="1:1" x14ac:dyDescent="0.25">
      <c r="A3639"/>
    </row>
    <row r="3640" spans="1:1" x14ac:dyDescent="0.25">
      <c r="A3640"/>
    </row>
    <row r="3641" spans="1:1" x14ac:dyDescent="0.25">
      <c r="A3641"/>
    </row>
    <row r="3642" spans="1:1" x14ac:dyDescent="0.25">
      <c r="A3642"/>
    </row>
    <row r="3643" spans="1:1" x14ac:dyDescent="0.25">
      <c r="A3643"/>
    </row>
    <row r="3644" spans="1:1" x14ac:dyDescent="0.25">
      <c r="A3644"/>
    </row>
    <row r="3645" spans="1:1" x14ac:dyDescent="0.25">
      <c r="A3645"/>
    </row>
    <row r="3646" spans="1:1" x14ac:dyDescent="0.25">
      <c r="A3646"/>
    </row>
    <row r="3647" spans="1:1" x14ac:dyDescent="0.25">
      <c r="A3647"/>
    </row>
    <row r="3648" spans="1:1" x14ac:dyDescent="0.25">
      <c r="A3648"/>
    </row>
    <row r="3649" spans="1:1" x14ac:dyDescent="0.25">
      <c r="A3649"/>
    </row>
    <row r="3650" spans="1:1" x14ac:dyDescent="0.25">
      <c r="A3650"/>
    </row>
    <row r="3651" spans="1:1" x14ac:dyDescent="0.25">
      <c r="A3651"/>
    </row>
    <row r="3652" spans="1:1" x14ac:dyDescent="0.25">
      <c r="A3652"/>
    </row>
    <row r="3653" spans="1:1" x14ac:dyDescent="0.25">
      <c r="A3653"/>
    </row>
    <row r="3654" spans="1:1" x14ac:dyDescent="0.25">
      <c r="A3654"/>
    </row>
    <row r="3655" spans="1:1" x14ac:dyDescent="0.25">
      <c r="A3655"/>
    </row>
    <row r="3656" spans="1:1" x14ac:dyDescent="0.25">
      <c r="A3656"/>
    </row>
    <row r="3657" spans="1:1" x14ac:dyDescent="0.25">
      <c r="A3657"/>
    </row>
    <row r="3658" spans="1:1" x14ac:dyDescent="0.25">
      <c r="A3658"/>
    </row>
    <row r="3659" spans="1:1" x14ac:dyDescent="0.25">
      <c r="A3659"/>
    </row>
    <row r="3660" spans="1:1" x14ac:dyDescent="0.25">
      <c r="A3660"/>
    </row>
    <row r="3661" spans="1:1" x14ac:dyDescent="0.25">
      <c r="A3661"/>
    </row>
    <row r="3662" spans="1:1" x14ac:dyDescent="0.25">
      <c r="A3662"/>
    </row>
    <row r="3663" spans="1:1" x14ac:dyDescent="0.25">
      <c r="A3663"/>
    </row>
    <row r="3664" spans="1:1" x14ac:dyDescent="0.25">
      <c r="A3664"/>
    </row>
    <row r="3665" spans="1:1" x14ac:dyDescent="0.25">
      <c r="A3665"/>
    </row>
    <row r="3666" spans="1:1" x14ac:dyDescent="0.25">
      <c r="A3666"/>
    </row>
    <row r="3667" spans="1:1" x14ac:dyDescent="0.25">
      <c r="A3667"/>
    </row>
    <row r="3668" spans="1:1" x14ac:dyDescent="0.25">
      <c r="A3668"/>
    </row>
    <row r="3669" spans="1:1" x14ac:dyDescent="0.25">
      <c r="A3669"/>
    </row>
    <row r="3670" spans="1:1" x14ac:dyDescent="0.25">
      <c r="A3670"/>
    </row>
    <row r="3671" spans="1:1" x14ac:dyDescent="0.25">
      <c r="A3671"/>
    </row>
    <row r="3672" spans="1:1" x14ac:dyDescent="0.25">
      <c r="A3672"/>
    </row>
    <row r="3673" spans="1:1" x14ac:dyDescent="0.25">
      <c r="A3673"/>
    </row>
    <row r="3674" spans="1:1" x14ac:dyDescent="0.25">
      <c r="A3674"/>
    </row>
    <row r="3675" spans="1:1" x14ac:dyDescent="0.25">
      <c r="A3675"/>
    </row>
    <row r="3676" spans="1:1" x14ac:dyDescent="0.25">
      <c r="A3676"/>
    </row>
    <row r="3677" spans="1:1" x14ac:dyDescent="0.25">
      <c r="A3677"/>
    </row>
    <row r="3678" spans="1:1" x14ac:dyDescent="0.25">
      <c r="A3678"/>
    </row>
    <row r="3679" spans="1:1" x14ac:dyDescent="0.25">
      <c r="A3679"/>
    </row>
    <row r="3680" spans="1:1" x14ac:dyDescent="0.25">
      <c r="A3680"/>
    </row>
    <row r="3681" spans="1:1" x14ac:dyDescent="0.25">
      <c r="A3681"/>
    </row>
    <row r="3682" spans="1:1" x14ac:dyDescent="0.25">
      <c r="A3682"/>
    </row>
    <row r="3683" spans="1:1" x14ac:dyDescent="0.25">
      <c r="A3683"/>
    </row>
    <row r="3684" spans="1:1" x14ac:dyDescent="0.25">
      <c r="A3684"/>
    </row>
    <row r="3685" spans="1:1" x14ac:dyDescent="0.25">
      <c r="A3685"/>
    </row>
    <row r="3686" spans="1:1" x14ac:dyDescent="0.25">
      <c r="A3686"/>
    </row>
    <row r="3687" spans="1:1" x14ac:dyDescent="0.25">
      <c r="A3687"/>
    </row>
    <row r="3688" spans="1:1" x14ac:dyDescent="0.25">
      <c r="A3688"/>
    </row>
    <row r="3689" spans="1:1" x14ac:dyDescent="0.25">
      <c r="A3689"/>
    </row>
    <row r="3690" spans="1:1" x14ac:dyDescent="0.25">
      <c r="A3690"/>
    </row>
    <row r="3691" spans="1:1" x14ac:dyDescent="0.25">
      <c r="A3691"/>
    </row>
    <row r="3692" spans="1:1" x14ac:dyDescent="0.25">
      <c r="A3692"/>
    </row>
    <row r="3693" spans="1:1" x14ac:dyDescent="0.25">
      <c r="A3693"/>
    </row>
    <row r="3694" spans="1:1" x14ac:dyDescent="0.25">
      <c r="A3694"/>
    </row>
    <row r="3695" spans="1:1" x14ac:dyDescent="0.25">
      <c r="A3695"/>
    </row>
    <row r="3696" spans="1:1" x14ac:dyDescent="0.25">
      <c r="A3696"/>
    </row>
    <row r="3697" spans="1:1" x14ac:dyDescent="0.25">
      <c r="A3697"/>
    </row>
    <row r="3698" spans="1:1" x14ac:dyDescent="0.25">
      <c r="A3698"/>
    </row>
    <row r="3699" spans="1:1" x14ac:dyDescent="0.25">
      <c r="A3699"/>
    </row>
    <row r="3700" spans="1:1" x14ac:dyDescent="0.25">
      <c r="A3700"/>
    </row>
    <row r="3701" spans="1:1" x14ac:dyDescent="0.25">
      <c r="A3701"/>
    </row>
    <row r="3702" spans="1:1" x14ac:dyDescent="0.25">
      <c r="A3702"/>
    </row>
    <row r="3703" spans="1:1" x14ac:dyDescent="0.25">
      <c r="A3703"/>
    </row>
    <row r="3704" spans="1:1" x14ac:dyDescent="0.25">
      <c r="A3704"/>
    </row>
    <row r="3705" spans="1:1" x14ac:dyDescent="0.25">
      <c r="A3705"/>
    </row>
    <row r="3706" spans="1:1" x14ac:dyDescent="0.25">
      <c r="A3706"/>
    </row>
    <row r="3707" spans="1:1" x14ac:dyDescent="0.25">
      <c r="A3707"/>
    </row>
    <row r="3708" spans="1:1" x14ac:dyDescent="0.25">
      <c r="A3708"/>
    </row>
    <row r="3709" spans="1:1" x14ac:dyDescent="0.25">
      <c r="A3709"/>
    </row>
    <row r="3710" spans="1:1" x14ac:dyDescent="0.25">
      <c r="A3710"/>
    </row>
    <row r="3711" spans="1:1" x14ac:dyDescent="0.25">
      <c r="A3711"/>
    </row>
    <row r="3712" spans="1:1" x14ac:dyDescent="0.25">
      <c r="A3712"/>
    </row>
    <row r="3713" spans="1:1" x14ac:dyDescent="0.25">
      <c r="A3713"/>
    </row>
    <row r="3714" spans="1:1" x14ac:dyDescent="0.25">
      <c r="A3714"/>
    </row>
    <row r="3715" spans="1:1" x14ac:dyDescent="0.25">
      <c r="A3715"/>
    </row>
    <row r="3716" spans="1:1" x14ac:dyDescent="0.25">
      <c r="A3716"/>
    </row>
    <row r="3717" spans="1:1" x14ac:dyDescent="0.25">
      <c r="A3717"/>
    </row>
    <row r="3718" spans="1:1" x14ac:dyDescent="0.25">
      <c r="A3718"/>
    </row>
    <row r="3719" spans="1:1" x14ac:dyDescent="0.25">
      <c r="A3719"/>
    </row>
    <row r="3720" spans="1:1" x14ac:dyDescent="0.25">
      <c r="A3720"/>
    </row>
    <row r="3721" spans="1:1" x14ac:dyDescent="0.25">
      <c r="A3721"/>
    </row>
    <row r="3722" spans="1:1" x14ac:dyDescent="0.25">
      <c r="A3722"/>
    </row>
    <row r="3723" spans="1:1" x14ac:dyDescent="0.25">
      <c r="A3723"/>
    </row>
    <row r="3724" spans="1:1" x14ac:dyDescent="0.25">
      <c r="A3724"/>
    </row>
    <row r="3725" spans="1:1" x14ac:dyDescent="0.25">
      <c r="A3725"/>
    </row>
    <row r="3726" spans="1:1" x14ac:dyDescent="0.25">
      <c r="A3726"/>
    </row>
    <row r="3727" spans="1:1" x14ac:dyDescent="0.25">
      <c r="A3727"/>
    </row>
    <row r="3728" spans="1:1" x14ac:dyDescent="0.25">
      <c r="A3728"/>
    </row>
    <row r="3729" spans="1:1" x14ac:dyDescent="0.25">
      <c r="A3729"/>
    </row>
    <row r="3730" spans="1:1" x14ac:dyDescent="0.25">
      <c r="A3730"/>
    </row>
    <row r="3731" spans="1:1" x14ac:dyDescent="0.25">
      <c r="A3731"/>
    </row>
    <row r="3732" spans="1:1" x14ac:dyDescent="0.25">
      <c r="A3732"/>
    </row>
    <row r="3733" spans="1:1" x14ac:dyDescent="0.25">
      <c r="A3733"/>
    </row>
    <row r="3734" spans="1:1" x14ac:dyDescent="0.25">
      <c r="A3734"/>
    </row>
    <row r="3735" spans="1:1" x14ac:dyDescent="0.25">
      <c r="A3735"/>
    </row>
    <row r="3736" spans="1:1" x14ac:dyDescent="0.25">
      <c r="A3736"/>
    </row>
    <row r="3737" spans="1:1" x14ac:dyDescent="0.25">
      <c r="A3737"/>
    </row>
    <row r="3738" spans="1:1" x14ac:dyDescent="0.25">
      <c r="A3738"/>
    </row>
    <row r="3739" spans="1:1" x14ac:dyDescent="0.25">
      <c r="A3739"/>
    </row>
    <row r="3740" spans="1:1" x14ac:dyDescent="0.25">
      <c r="A3740"/>
    </row>
    <row r="3741" spans="1:1" x14ac:dyDescent="0.25">
      <c r="A3741"/>
    </row>
    <row r="3742" spans="1:1" x14ac:dyDescent="0.25">
      <c r="A3742"/>
    </row>
    <row r="3743" spans="1:1" x14ac:dyDescent="0.25">
      <c r="A3743"/>
    </row>
    <row r="3744" spans="1:1" x14ac:dyDescent="0.25">
      <c r="A3744"/>
    </row>
    <row r="3745" spans="1:1" x14ac:dyDescent="0.25">
      <c r="A3745"/>
    </row>
    <row r="3746" spans="1:1" x14ac:dyDescent="0.25">
      <c r="A3746"/>
    </row>
    <row r="3747" spans="1:1" x14ac:dyDescent="0.25">
      <c r="A3747"/>
    </row>
    <row r="3748" spans="1:1" x14ac:dyDescent="0.25">
      <c r="A3748"/>
    </row>
    <row r="3749" spans="1:1" x14ac:dyDescent="0.25">
      <c r="A3749"/>
    </row>
    <row r="3750" spans="1:1" x14ac:dyDescent="0.25">
      <c r="A3750"/>
    </row>
    <row r="3751" spans="1:1" x14ac:dyDescent="0.25">
      <c r="A3751"/>
    </row>
    <row r="3752" spans="1:1" x14ac:dyDescent="0.25">
      <c r="A3752"/>
    </row>
    <row r="3753" spans="1:1" x14ac:dyDescent="0.25">
      <c r="A3753"/>
    </row>
    <row r="3754" spans="1:1" x14ac:dyDescent="0.25">
      <c r="A3754"/>
    </row>
    <row r="3755" spans="1:1" x14ac:dyDescent="0.25">
      <c r="A3755"/>
    </row>
    <row r="3756" spans="1:1" x14ac:dyDescent="0.25">
      <c r="A3756"/>
    </row>
    <row r="3757" spans="1:1" x14ac:dyDescent="0.25">
      <c r="A3757"/>
    </row>
    <row r="3758" spans="1:1" x14ac:dyDescent="0.25">
      <c r="A3758"/>
    </row>
    <row r="3759" spans="1:1" x14ac:dyDescent="0.25">
      <c r="A3759"/>
    </row>
    <row r="3760" spans="1:1" x14ac:dyDescent="0.25">
      <c r="A3760"/>
    </row>
    <row r="3761" spans="1:1" x14ac:dyDescent="0.25">
      <c r="A3761"/>
    </row>
    <row r="3762" spans="1:1" x14ac:dyDescent="0.25">
      <c r="A3762"/>
    </row>
    <row r="3763" spans="1:1" x14ac:dyDescent="0.25">
      <c r="A3763"/>
    </row>
    <row r="3764" spans="1:1" x14ac:dyDescent="0.25">
      <c r="A3764"/>
    </row>
    <row r="3765" spans="1:1" x14ac:dyDescent="0.25">
      <c r="A3765"/>
    </row>
    <row r="3766" spans="1:1" x14ac:dyDescent="0.25">
      <c r="A3766"/>
    </row>
    <row r="3767" spans="1:1" x14ac:dyDescent="0.25">
      <c r="A3767"/>
    </row>
    <row r="3768" spans="1:1" x14ac:dyDescent="0.25">
      <c r="A3768"/>
    </row>
    <row r="3769" spans="1:1" x14ac:dyDescent="0.25">
      <c r="A3769"/>
    </row>
    <row r="3770" spans="1:1" x14ac:dyDescent="0.25">
      <c r="A3770"/>
    </row>
    <row r="3771" spans="1:1" x14ac:dyDescent="0.25">
      <c r="A3771"/>
    </row>
    <row r="3772" spans="1:1" x14ac:dyDescent="0.25">
      <c r="A3772"/>
    </row>
    <row r="3773" spans="1:1" x14ac:dyDescent="0.25">
      <c r="A3773"/>
    </row>
    <row r="3774" spans="1:1" x14ac:dyDescent="0.25">
      <c r="A3774"/>
    </row>
    <row r="3775" spans="1:1" x14ac:dyDescent="0.25">
      <c r="A3775"/>
    </row>
    <row r="3776" spans="1:1" x14ac:dyDescent="0.25">
      <c r="A3776"/>
    </row>
    <row r="3777" spans="1:1" x14ac:dyDescent="0.25">
      <c r="A3777"/>
    </row>
    <row r="3778" spans="1:1" x14ac:dyDescent="0.25">
      <c r="A3778"/>
    </row>
    <row r="3779" spans="1:1" x14ac:dyDescent="0.25">
      <c r="A3779"/>
    </row>
    <row r="3780" spans="1:1" x14ac:dyDescent="0.25">
      <c r="A3780"/>
    </row>
    <row r="3781" spans="1:1" x14ac:dyDescent="0.25">
      <c r="A3781"/>
    </row>
    <row r="3782" spans="1:1" x14ac:dyDescent="0.25">
      <c r="A3782"/>
    </row>
    <row r="3783" spans="1:1" x14ac:dyDescent="0.25">
      <c r="A3783"/>
    </row>
    <row r="3784" spans="1:1" x14ac:dyDescent="0.25">
      <c r="A3784"/>
    </row>
    <row r="3785" spans="1:1" x14ac:dyDescent="0.25">
      <c r="A3785"/>
    </row>
    <row r="3786" spans="1:1" x14ac:dyDescent="0.25">
      <c r="A3786"/>
    </row>
    <row r="3787" spans="1:1" x14ac:dyDescent="0.25">
      <c r="A3787"/>
    </row>
    <row r="3788" spans="1:1" x14ac:dyDescent="0.25">
      <c r="A3788"/>
    </row>
    <row r="3789" spans="1:1" x14ac:dyDescent="0.25">
      <c r="A3789"/>
    </row>
    <row r="3790" spans="1:1" x14ac:dyDescent="0.25">
      <c r="A3790"/>
    </row>
    <row r="3791" spans="1:1" x14ac:dyDescent="0.25">
      <c r="A3791"/>
    </row>
    <row r="3792" spans="1:1" x14ac:dyDescent="0.25">
      <c r="A3792"/>
    </row>
    <row r="3793" spans="1:1" x14ac:dyDescent="0.25">
      <c r="A3793"/>
    </row>
    <row r="3794" spans="1:1" x14ac:dyDescent="0.25">
      <c r="A3794"/>
    </row>
    <row r="3795" spans="1:1" x14ac:dyDescent="0.25">
      <c r="A3795"/>
    </row>
    <row r="3796" spans="1:1" x14ac:dyDescent="0.25">
      <c r="A3796"/>
    </row>
    <row r="3797" spans="1:1" x14ac:dyDescent="0.25">
      <c r="A3797"/>
    </row>
    <row r="3798" spans="1:1" x14ac:dyDescent="0.25">
      <c r="A3798"/>
    </row>
    <row r="3799" spans="1:1" x14ac:dyDescent="0.25">
      <c r="A3799"/>
    </row>
    <row r="3800" spans="1:1" x14ac:dyDescent="0.25">
      <c r="A3800"/>
    </row>
    <row r="3801" spans="1:1" x14ac:dyDescent="0.25">
      <c r="A3801"/>
    </row>
    <row r="3802" spans="1:1" x14ac:dyDescent="0.25">
      <c r="A3802"/>
    </row>
    <row r="3803" spans="1:1" x14ac:dyDescent="0.25">
      <c r="A3803"/>
    </row>
    <row r="3804" spans="1:1" x14ac:dyDescent="0.25">
      <c r="A3804"/>
    </row>
    <row r="3805" spans="1:1" x14ac:dyDescent="0.25">
      <c r="A3805"/>
    </row>
    <row r="3806" spans="1:1" x14ac:dyDescent="0.25">
      <c r="A3806"/>
    </row>
    <row r="3807" spans="1:1" x14ac:dyDescent="0.25">
      <c r="A3807"/>
    </row>
    <row r="3808" spans="1:1" x14ac:dyDescent="0.25">
      <c r="A3808"/>
    </row>
    <row r="3809" spans="1:1" x14ac:dyDescent="0.25">
      <c r="A3809"/>
    </row>
    <row r="3810" spans="1:1" x14ac:dyDescent="0.25">
      <c r="A3810"/>
    </row>
    <row r="3811" spans="1:1" x14ac:dyDescent="0.25">
      <c r="A3811"/>
    </row>
    <row r="3812" spans="1:1" x14ac:dyDescent="0.25">
      <c r="A3812"/>
    </row>
    <row r="3813" spans="1:1" x14ac:dyDescent="0.25">
      <c r="A3813"/>
    </row>
    <row r="3814" spans="1:1" x14ac:dyDescent="0.25">
      <c r="A3814"/>
    </row>
    <row r="3815" spans="1:1" x14ac:dyDescent="0.25">
      <c r="A3815"/>
    </row>
    <row r="3816" spans="1:1" x14ac:dyDescent="0.25">
      <c r="A3816"/>
    </row>
    <row r="3817" spans="1:1" x14ac:dyDescent="0.25">
      <c r="A3817"/>
    </row>
    <row r="3818" spans="1:1" x14ac:dyDescent="0.25">
      <c r="A3818"/>
    </row>
    <row r="3819" spans="1:1" x14ac:dyDescent="0.25">
      <c r="A3819"/>
    </row>
    <row r="3820" spans="1:1" x14ac:dyDescent="0.25">
      <c r="A3820"/>
    </row>
    <row r="3821" spans="1:1" x14ac:dyDescent="0.25">
      <c r="A3821"/>
    </row>
    <row r="3822" spans="1:1" x14ac:dyDescent="0.25">
      <c r="A3822"/>
    </row>
    <row r="3823" spans="1:1" x14ac:dyDescent="0.25">
      <c r="A3823"/>
    </row>
    <row r="3824" spans="1:1" x14ac:dyDescent="0.25">
      <c r="A3824"/>
    </row>
    <row r="3825" spans="1:1" x14ac:dyDescent="0.25">
      <c r="A3825"/>
    </row>
    <row r="3826" spans="1:1" x14ac:dyDescent="0.25">
      <c r="A3826"/>
    </row>
    <row r="3827" spans="1:1" x14ac:dyDescent="0.25">
      <c r="A3827"/>
    </row>
    <row r="3828" spans="1:1" x14ac:dyDescent="0.25">
      <c r="A3828"/>
    </row>
    <row r="3829" spans="1:1" x14ac:dyDescent="0.25">
      <c r="A3829"/>
    </row>
    <row r="3830" spans="1:1" x14ac:dyDescent="0.25">
      <c r="A3830"/>
    </row>
    <row r="3831" spans="1:1" x14ac:dyDescent="0.25">
      <c r="A3831"/>
    </row>
    <row r="3832" spans="1:1" x14ac:dyDescent="0.25">
      <c r="A3832"/>
    </row>
    <row r="3833" spans="1:1" x14ac:dyDescent="0.25">
      <c r="A3833"/>
    </row>
    <row r="3834" spans="1:1" x14ac:dyDescent="0.25">
      <c r="A3834"/>
    </row>
    <row r="3835" spans="1:1" x14ac:dyDescent="0.25">
      <c r="A3835"/>
    </row>
    <row r="3836" spans="1:1" x14ac:dyDescent="0.25">
      <c r="A3836"/>
    </row>
    <row r="3837" spans="1:1" x14ac:dyDescent="0.25">
      <c r="A3837"/>
    </row>
    <row r="3838" spans="1:1" x14ac:dyDescent="0.25">
      <c r="A3838"/>
    </row>
    <row r="3839" spans="1:1" x14ac:dyDescent="0.25">
      <c r="A3839"/>
    </row>
    <row r="3840" spans="1:1" x14ac:dyDescent="0.25">
      <c r="A3840"/>
    </row>
    <row r="3841" spans="1:1" x14ac:dyDescent="0.25">
      <c r="A3841"/>
    </row>
    <row r="3842" spans="1:1" x14ac:dyDescent="0.25">
      <c r="A3842"/>
    </row>
    <row r="3843" spans="1:1" x14ac:dyDescent="0.25">
      <c r="A3843"/>
    </row>
    <row r="3844" spans="1:1" x14ac:dyDescent="0.25">
      <c r="A3844"/>
    </row>
    <row r="3845" spans="1:1" x14ac:dyDescent="0.25">
      <c r="A3845"/>
    </row>
    <row r="3846" spans="1:1" x14ac:dyDescent="0.25">
      <c r="A3846"/>
    </row>
    <row r="3847" spans="1:1" x14ac:dyDescent="0.25">
      <c r="A3847"/>
    </row>
    <row r="3848" spans="1:1" x14ac:dyDescent="0.25">
      <c r="A3848"/>
    </row>
    <row r="3849" spans="1:1" x14ac:dyDescent="0.25">
      <c r="A3849"/>
    </row>
    <row r="3850" spans="1:1" x14ac:dyDescent="0.25">
      <c r="A3850"/>
    </row>
    <row r="3851" spans="1:1" x14ac:dyDescent="0.25">
      <c r="A3851"/>
    </row>
    <row r="3852" spans="1:1" x14ac:dyDescent="0.25">
      <c r="A3852"/>
    </row>
    <row r="3853" spans="1:1" x14ac:dyDescent="0.25">
      <c r="A3853"/>
    </row>
    <row r="3854" spans="1:1" x14ac:dyDescent="0.25">
      <c r="A3854"/>
    </row>
    <row r="3855" spans="1:1" x14ac:dyDescent="0.25">
      <c r="A3855"/>
    </row>
    <row r="3856" spans="1:1" x14ac:dyDescent="0.25">
      <c r="A3856"/>
    </row>
    <row r="3857" spans="1:1" x14ac:dyDescent="0.25">
      <c r="A3857"/>
    </row>
    <row r="3858" spans="1:1" x14ac:dyDescent="0.25">
      <c r="A3858"/>
    </row>
    <row r="3859" spans="1:1" x14ac:dyDescent="0.25">
      <c r="A3859"/>
    </row>
    <row r="3860" spans="1:1" x14ac:dyDescent="0.25">
      <c r="A3860"/>
    </row>
    <row r="3861" spans="1:1" x14ac:dyDescent="0.25">
      <c r="A3861"/>
    </row>
    <row r="3862" spans="1:1" x14ac:dyDescent="0.25">
      <c r="A3862"/>
    </row>
    <row r="3863" spans="1:1" x14ac:dyDescent="0.25">
      <c r="A3863"/>
    </row>
    <row r="3864" spans="1:1" x14ac:dyDescent="0.25">
      <c r="A3864"/>
    </row>
    <row r="3865" spans="1:1" x14ac:dyDescent="0.25">
      <c r="A3865"/>
    </row>
    <row r="3866" spans="1:1" x14ac:dyDescent="0.25">
      <c r="A3866"/>
    </row>
    <row r="3867" spans="1:1" x14ac:dyDescent="0.25">
      <c r="A3867"/>
    </row>
    <row r="3868" spans="1:1" x14ac:dyDescent="0.25">
      <c r="A3868"/>
    </row>
    <row r="3869" spans="1:1" x14ac:dyDescent="0.25">
      <c r="A3869"/>
    </row>
    <row r="3870" spans="1:1" x14ac:dyDescent="0.25">
      <c r="A3870"/>
    </row>
    <row r="3871" spans="1:1" x14ac:dyDescent="0.25">
      <c r="A3871"/>
    </row>
    <row r="3872" spans="1:1" x14ac:dyDescent="0.25">
      <c r="A3872"/>
    </row>
    <row r="3873" spans="1:1" x14ac:dyDescent="0.25">
      <c r="A3873"/>
    </row>
    <row r="3874" spans="1:1" x14ac:dyDescent="0.25">
      <c r="A3874"/>
    </row>
    <row r="3875" spans="1:1" x14ac:dyDescent="0.25">
      <c r="A3875"/>
    </row>
    <row r="3876" spans="1:1" x14ac:dyDescent="0.25">
      <c r="A3876"/>
    </row>
    <row r="3877" spans="1:1" x14ac:dyDescent="0.25">
      <c r="A3877"/>
    </row>
    <row r="3878" spans="1:1" x14ac:dyDescent="0.25">
      <c r="A3878"/>
    </row>
    <row r="3879" spans="1:1" x14ac:dyDescent="0.25">
      <c r="A3879"/>
    </row>
    <row r="3880" spans="1:1" x14ac:dyDescent="0.25">
      <c r="A3880"/>
    </row>
    <row r="3881" spans="1:1" x14ac:dyDescent="0.25">
      <c r="A3881"/>
    </row>
    <row r="3882" spans="1:1" x14ac:dyDescent="0.25">
      <c r="A3882"/>
    </row>
    <row r="3883" spans="1:1" x14ac:dyDescent="0.25">
      <c r="A3883"/>
    </row>
    <row r="3884" spans="1:1" x14ac:dyDescent="0.25">
      <c r="A3884"/>
    </row>
    <row r="3885" spans="1:1" x14ac:dyDescent="0.25">
      <c r="A3885"/>
    </row>
    <row r="3886" spans="1:1" x14ac:dyDescent="0.25">
      <c r="A3886"/>
    </row>
    <row r="3887" spans="1:1" x14ac:dyDescent="0.25">
      <c r="A3887"/>
    </row>
    <row r="3888" spans="1:1" x14ac:dyDescent="0.25">
      <c r="A3888"/>
    </row>
    <row r="3889" spans="1:1" x14ac:dyDescent="0.25">
      <c r="A3889"/>
    </row>
    <row r="3890" spans="1:1" x14ac:dyDescent="0.25">
      <c r="A3890"/>
    </row>
    <row r="3891" spans="1:1" x14ac:dyDescent="0.25">
      <c r="A3891"/>
    </row>
    <row r="3892" spans="1:1" x14ac:dyDescent="0.25">
      <c r="A3892"/>
    </row>
    <row r="3893" spans="1:1" x14ac:dyDescent="0.25">
      <c r="A3893"/>
    </row>
    <row r="3894" spans="1:1" x14ac:dyDescent="0.25">
      <c r="A3894"/>
    </row>
    <row r="3895" spans="1:1" x14ac:dyDescent="0.25">
      <c r="A3895"/>
    </row>
    <row r="3896" spans="1:1" x14ac:dyDescent="0.25">
      <c r="A3896"/>
    </row>
    <row r="3897" spans="1:1" x14ac:dyDescent="0.25">
      <c r="A3897"/>
    </row>
    <row r="3898" spans="1:1" x14ac:dyDescent="0.25">
      <c r="A3898"/>
    </row>
    <row r="3899" spans="1:1" x14ac:dyDescent="0.25">
      <c r="A3899"/>
    </row>
    <row r="3900" spans="1:1" x14ac:dyDescent="0.25">
      <c r="A3900"/>
    </row>
    <row r="3901" spans="1:1" x14ac:dyDescent="0.25">
      <c r="A3901"/>
    </row>
    <row r="3902" spans="1:1" x14ac:dyDescent="0.25">
      <c r="A3902"/>
    </row>
    <row r="3903" spans="1:1" x14ac:dyDescent="0.25">
      <c r="A3903"/>
    </row>
    <row r="3904" spans="1:1" x14ac:dyDescent="0.25">
      <c r="A3904"/>
    </row>
    <row r="3905" spans="1:1" x14ac:dyDescent="0.25">
      <c r="A3905"/>
    </row>
    <row r="3906" spans="1:1" x14ac:dyDescent="0.25">
      <c r="A3906"/>
    </row>
    <row r="3907" spans="1:1" x14ac:dyDescent="0.25">
      <c r="A3907"/>
    </row>
    <row r="3908" spans="1:1" x14ac:dyDescent="0.25">
      <c r="A3908"/>
    </row>
    <row r="3909" spans="1:1" x14ac:dyDescent="0.25">
      <c r="A3909"/>
    </row>
    <row r="3910" spans="1:1" x14ac:dyDescent="0.25">
      <c r="A3910"/>
    </row>
    <row r="3911" spans="1:1" x14ac:dyDescent="0.25">
      <c r="A3911"/>
    </row>
    <row r="3912" spans="1:1" x14ac:dyDescent="0.25">
      <c r="A3912"/>
    </row>
    <row r="3913" spans="1:1" x14ac:dyDescent="0.25">
      <c r="A3913"/>
    </row>
    <row r="3914" spans="1:1" x14ac:dyDescent="0.25">
      <c r="A3914"/>
    </row>
    <row r="3915" spans="1:1" x14ac:dyDescent="0.25">
      <c r="A3915"/>
    </row>
    <row r="3916" spans="1:1" x14ac:dyDescent="0.25">
      <c r="A3916"/>
    </row>
    <row r="3917" spans="1:1" x14ac:dyDescent="0.25">
      <c r="A3917"/>
    </row>
    <row r="3918" spans="1:1" x14ac:dyDescent="0.25">
      <c r="A3918"/>
    </row>
    <row r="3919" spans="1:1" x14ac:dyDescent="0.25">
      <c r="A3919"/>
    </row>
    <row r="3920" spans="1:1" x14ac:dyDescent="0.25">
      <c r="A3920"/>
    </row>
    <row r="3921" spans="1:1" x14ac:dyDescent="0.25">
      <c r="A3921"/>
    </row>
    <row r="3922" spans="1:1" x14ac:dyDescent="0.25">
      <c r="A3922"/>
    </row>
    <row r="3923" spans="1:1" x14ac:dyDescent="0.25">
      <c r="A3923"/>
    </row>
    <row r="3924" spans="1:1" x14ac:dyDescent="0.25">
      <c r="A3924"/>
    </row>
    <row r="3925" spans="1:1" x14ac:dyDescent="0.25">
      <c r="A3925"/>
    </row>
    <row r="3926" spans="1:1" x14ac:dyDescent="0.25">
      <c r="A3926"/>
    </row>
    <row r="3927" spans="1:1" x14ac:dyDescent="0.25">
      <c r="A3927"/>
    </row>
    <row r="3928" spans="1:1" x14ac:dyDescent="0.25">
      <c r="A3928"/>
    </row>
    <row r="3929" spans="1:1" x14ac:dyDescent="0.25">
      <c r="A3929"/>
    </row>
    <row r="3930" spans="1:1" x14ac:dyDescent="0.25">
      <c r="A3930"/>
    </row>
    <row r="3931" spans="1:1" x14ac:dyDescent="0.25">
      <c r="A3931"/>
    </row>
    <row r="3932" spans="1:1" x14ac:dyDescent="0.25">
      <c r="A3932"/>
    </row>
    <row r="3933" spans="1:1" x14ac:dyDescent="0.25">
      <c r="A3933"/>
    </row>
    <row r="3934" spans="1:1" x14ac:dyDescent="0.25">
      <c r="A3934"/>
    </row>
    <row r="3935" spans="1:1" x14ac:dyDescent="0.25">
      <c r="A3935"/>
    </row>
    <row r="3936" spans="1:1" x14ac:dyDescent="0.25">
      <c r="A3936"/>
    </row>
    <row r="3937" spans="1:1" x14ac:dyDescent="0.25">
      <c r="A3937"/>
    </row>
    <row r="3938" spans="1:1" x14ac:dyDescent="0.25">
      <c r="A3938"/>
    </row>
    <row r="3939" spans="1:1" x14ac:dyDescent="0.25">
      <c r="A3939"/>
    </row>
    <row r="3940" spans="1:1" x14ac:dyDescent="0.25">
      <c r="A3940"/>
    </row>
    <row r="3941" spans="1:1" x14ac:dyDescent="0.25">
      <c r="A3941"/>
    </row>
    <row r="3942" spans="1:1" x14ac:dyDescent="0.25">
      <c r="A3942"/>
    </row>
    <row r="3943" spans="1:1" x14ac:dyDescent="0.25">
      <c r="A3943"/>
    </row>
    <row r="3944" spans="1:1" x14ac:dyDescent="0.25">
      <c r="A3944"/>
    </row>
    <row r="3945" spans="1:1" x14ac:dyDescent="0.25">
      <c r="A3945"/>
    </row>
    <row r="3946" spans="1:1" x14ac:dyDescent="0.25">
      <c r="A3946"/>
    </row>
    <row r="3947" spans="1:1" x14ac:dyDescent="0.25">
      <c r="A3947"/>
    </row>
    <row r="3948" spans="1:1" x14ac:dyDescent="0.25">
      <c r="A3948"/>
    </row>
    <row r="3949" spans="1:1" x14ac:dyDescent="0.25">
      <c r="A3949"/>
    </row>
    <row r="3950" spans="1:1" x14ac:dyDescent="0.25">
      <c r="A3950"/>
    </row>
    <row r="3951" spans="1:1" x14ac:dyDescent="0.25">
      <c r="A3951"/>
    </row>
    <row r="3952" spans="1:1" x14ac:dyDescent="0.25">
      <c r="A3952"/>
    </row>
    <row r="3953" spans="1:1" x14ac:dyDescent="0.25">
      <c r="A3953"/>
    </row>
    <row r="3954" spans="1:1" x14ac:dyDescent="0.25">
      <c r="A3954"/>
    </row>
    <row r="3955" spans="1:1" x14ac:dyDescent="0.25">
      <c r="A3955"/>
    </row>
    <row r="3956" spans="1:1" x14ac:dyDescent="0.25">
      <c r="A3956"/>
    </row>
    <row r="3957" spans="1:1" x14ac:dyDescent="0.25">
      <c r="A3957"/>
    </row>
    <row r="3958" spans="1:1" x14ac:dyDescent="0.25">
      <c r="A3958"/>
    </row>
    <row r="3959" spans="1:1" x14ac:dyDescent="0.25">
      <c r="A3959"/>
    </row>
    <row r="3960" spans="1:1" x14ac:dyDescent="0.25">
      <c r="A3960"/>
    </row>
    <row r="3961" spans="1:1" x14ac:dyDescent="0.25">
      <c r="A3961"/>
    </row>
    <row r="3962" spans="1:1" x14ac:dyDescent="0.25">
      <c r="A3962"/>
    </row>
    <row r="3963" spans="1:1" x14ac:dyDescent="0.25">
      <c r="A3963"/>
    </row>
    <row r="3964" spans="1:1" x14ac:dyDescent="0.25">
      <c r="A3964"/>
    </row>
    <row r="3965" spans="1:1" x14ac:dyDescent="0.25">
      <c r="A3965"/>
    </row>
    <row r="3966" spans="1:1" x14ac:dyDescent="0.25">
      <c r="A3966"/>
    </row>
    <row r="3967" spans="1:1" x14ac:dyDescent="0.25">
      <c r="A3967"/>
    </row>
    <row r="3968" spans="1:1" x14ac:dyDescent="0.25">
      <c r="A3968"/>
    </row>
    <row r="3969" spans="1:1" x14ac:dyDescent="0.25">
      <c r="A3969"/>
    </row>
    <row r="3970" spans="1:1" x14ac:dyDescent="0.25">
      <c r="A3970"/>
    </row>
    <row r="3971" spans="1:1" x14ac:dyDescent="0.25">
      <c r="A3971"/>
    </row>
    <row r="3972" spans="1:1" x14ac:dyDescent="0.25">
      <c r="A3972"/>
    </row>
    <row r="3973" spans="1:1" x14ac:dyDescent="0.25">
      <c r="A3973"/>
    </row>
    <row r="3974" spans="1:1" x14ac:dyDescent="0.25">
      <c r="A3974"/>
    </row>
    <row r="3975" spans="1:1" x14ac:dyDescent="0.25">
      <c r="A3975"/>
    </row>
    <row r="3976" spans="1:1" x14ac:dyDescent="0.25">
      <c r="A3976"/>
    </row>
    <row r="3977" spans="1:1" x14ac:dyDescent="0.25">
      <c r="A3977"/>
    </row>
    <row r="3978" spans="1:1" x14ac:dyDescent="0.25">
      <c r="A3978"/>
    </row>
    <row r="3979" spans="1:1" x14ac:dyDescent="0.25">
      <c r="A3979"/>
    </row>
    <row r="3980" spans="1:1" x14ac:dyDescent="0.25">
      <c r="A3980"/>
    </row>
    <row r="3981" spans="1:1" x14ac:dyDescent="0.25">
      <c r="A3981"/>
    </row>
    <row r="3982" spans="1:1" x14ac:dyDescent="0.25">
      <c r="A3982"/>
    </row>
    <row r="3983" spans="1:1" x14ac:dyDescent="0.25">
      <c r="A3983"/>
    </row>
    <row r="3984" spans="1:1" x14ac:dyDescent="0.25">
      <c r="A3984"/>
    </row>
    <row r="3985" spans="1:1" x14ac:dyDescent="0.25">
      <c r="A3985"/>
    </row>
    <row r="3986" spans="1:1" x14ac:dyDescent="0.25">
      <c r="A3986"/>
    </row>
    <row r="3987" spans="1:1" x14ac:dyDescent="0.25">
      <c r="A3987"/>
    </row>
    <row r="3988" spans="1:1" x14ac:dyDescent="0.25">
      <c r="A3988"/>
    </row>
    <row r="3989" spans="1:1" x14ac:dyDescent="0.25">
      <c r="A3989"/>
    </row>
    <row r="3990" spans="1:1" x14ac:dyDescent="0.25">
      <c r="A3990"/>
    </row>
    <row r="3991" spans="1:1" x14ac:dyDescent="0.25">
      <c r="A3991"/>
    </row>
    <row r="3992" spans="1:1" x14ac:dyDescent="0.25">
      <c r="A3992"/>
    </row>
    <row r="3993" spans="1:1" x14ac:dyDescent="0.25">
      <c r="A3993"/>
    </row>
    <row r="3994" spans="1:1" x14ac:dyDescent="0.25">
      <c r="A3994"/>
    </row>
    <row r="3995" spans="1:1" x14ac:dyDescent="0.25">
      <c r="A3995"/>
    </row>
    <row r="3996" spans="1:1" x14ac:dyDescent="0.25">
      <c r="A3996"/>
    </row>
    <row r="3997" spans="1:1" x14ac:dyDescent="0.25">
      <c r="A3997"/>
    </row>
    <row r="3998" spans="1:1" x14ac:dyDescent="0.25">
      <c r="A3998"/>
    </row>
    <row r="3999" spans="1:1" x14ac:dyDescent="0.25">
      <c r="A3999"/>
    </row>
    <row r="4000" spans="1:1" x14ac:dyDescent="0.25">
      <c r="A4000"/>
    </row>
    <row r="4001" spans="1:1" x14ac:dyDescent="0.25">
      <c r="A4001"/>
    </row>
    <row r="4002" spans="1:1" x14ac:dyDescent="0.25">
      <c r="A4002"/>
    </row>
    <row r="4003" spans="1:1" x14ac:dyDescent="0.25">
      <c r="A4003"/>
    </row>
    <row r="4004" spans="1:1" x14ac:dyDescent="0.25">
      <c r="A4004"/>
    </row>
    <row r="4005" spans="1:1" x14ac:dyDescent="0.25">
      <c r="A4005"/>
    </row>
    <row r="4006" spans="1:1" x14ac:dyDescent="0.25">
      <c r="A4006"/>
    </row>
    <row r="4007" spans="1:1" x14ac:dyDescent="0.25">
      <c r="A4007"/>
    </row>
    <row r="4008" spans="1:1" x14ac:dyDescent="0.25">
      <c r="A4008"/>
    </row>
    <row r="4009" spans="1:1" x14ac:dyDescent="0.25">
      <c r="A4009"/>
    </row>
    <row r="4010" spans="1:1" x14ac:dyDescent="0.25">
      <c r="A4010"/>
    </row>
    <row r="4011" spans="1:1" x14ac:dyDescent="0.25">
      <c r="A4011"/>
    </row>
    <row r="4012" spans="1:1" x14ac:dyDescent="0.25">
      <c r="A4012"/>
    </row>
    <row r="4013" spans="1:1" x14ac:dyDescent="0.25">
      <c r="A4013"/>
    </row>
    <row r="4014" spans="1:1" x14ac:dyDescent="0.25">
      <c r="A4014"/>
    </row>
    <row r="4015" spans="1:1" x14ac:dyDescent="0.25">
      <c r="A4015"/>
    </row>
    <row r="4016" spans="1:1" x14ac:dyDescent="0.25">
      <c r="A4016"/>
    </row>
    <row r="4017" spans="1:1" x14ac:dyDescent="0.25">
      <c r="A4017"/>
    </row>
    <row r="4018" spans="1:1" x14ac:dyDescent="0.25">
      <c r="A4018"/>
    </row>
    <row r="4019" spans="1:1" x14ac:dyDescent="0.25">
      <c r="A4019"/>
    </row>
    <row r="4020" spans="1:1" x14ac:dyDescent="0.25">
      <c r="A4020"/>
    </row>
    <row r="4021" spans="1:1" x14ac:dyDescent="0.25">
      <c r="A4021"/>
    </row>
    <row r="4022" spans="1:1" x14ac:dyDescent="0.25">
      <c r="A4022"/>
    </row>
    <row r="4023" spans="1:1" x14ac:dyDescent="0.25">
      <c r="A4023"/>
    </row>
    <row r="4024" spans="1:1" x14ac:dyDescent="0.25">
      <c r="A4024"/>
    </row>
    <row r="4025" spans="1:1" x14ac:dyDescent="0.25">
      <c r="A4025"/>
    </row>
    <row r="4026" spans="1:1" x14ac:dyDescent="0.25">
      <c r="A4026"/>
    </row>
    <row r="4027" spans="1:1" x14ac:dyDescent="0.25">
      <c r="A4027"/>
    </row>
    <row r="4028" spans="1:1" x14ac:dyDescent="0.25">
      <c r="A4028"/>
    </row>
    <row r="4029" spans="1:1" x14ac:dyDescent="0.25">
      <c r="A4029"/>
    </row>
    <row r="4030" spans="1:1" x14ac:dyDescent="0.25">
      <c r="A4030"/>
    </row>
    <row r="4031" spans="1:1" x14ac:dyDescent="0.25">
      <c r="A4031"/>
    </row>
    <row r="4032" spans="1:1" x14ac:dyDescent="0.25">
      <c r="A4032"/>
    </row>
    <row r="4033" spans="1:1" x14ac:dyDescent="0.25">
      <c r="A4033"/>
    </row>
    <row r="4034" spans="1:1" x14ac:dyDescent="0.25">
      <c r="A4034"/>
    </row>
    <row r="4035" spans="1:1" x14ac:dyDescent="0.25">
      <c r="A4035"/>
    </row>
    <row r="4036" spans="1:1" x14ac:dyDescent="0.25">
      <c r="A4036"/>
    </row>
    <row r="4037" spans="1:1" x14ac:dyDescent="0.25">
      <c r="A4037"/>
    </row>
    <row r="4038" spans="1:1" x14ac:dyDescent="0.25">
      <c r="A4038"/>
    </row>
    <row r="4039" spans="1:1" x14ac:dyDescent="0.25">
      <c r="A4039"/>
    </row>
    <row r="4040" spans="1:1" x14ac:dyDescent="0.25">
      <c r="A4040"/>
    </row>
    <row r="4041" spans="1:1" x14ac:dyDescent="0.25">
      <c r="A4041"/>
    </row>
    <row r="4042" spans="1:1" x14ac:dyDescent="0.25">
      <c r="A4042"/>
    </row>
    <row r="4043" spans="1:1" x14ac:dyDescent="0.25">
      <c r="A4043"/>
    </row>
    <row r="4044" spans="1:1" x14ac:dyDescent="0.25">
      <c r="A4044"/>
    </row>
    <row r="4045" spans="1:1" x14ac:dyDescent="0.25">
      <c r="A4045"/>
    </row>
    <row r="4046" spans="1:1" x14ac:dyDescent="0.25">
      <c r="A4046"/>
    </row>
    <row r="4047" spans="1:1" x14ac:dyDescent="0.25">
      <c r="A4047"/>
    </row>
    <row r="4048" spans="1:1" x14ac:dyDescent="0.25">
      <c r="A4048"/>
    </row>
    <row r="4049" spans="1:1" x14ac:dyDescent="0.25">
      <c r="A4049"/>
    </row>
    <row r="4050" spans="1:1" x14ac:dyDescent="0.25">
      <c r="A4050"/>
    </row>
    <row r="4051" spans="1:1" x14ac:dyDescent="0.25">
      <c r="A4051"/>
    </row>
    <row r="4052" spans="1:1" x14ac:dyDescent="0.25">
      <c r="A4052"/>
    </row>
    <row r="4053" spans="1:1" x14ac:dyDescent="0.25">
      <c r="A4053"/>
    </row>
    <row r="4054" spans="1:1" x14ac:dyDescent="0.25">
      <c r="A4054"/>
    </row>
    <row r="4055" spans="1:1" x14ac:dyDescent="0.25">
      <c r="A4055"/>
    </row>
    <row r="4056" spans="1:1" x14ac:dyDescent="0.25">
      <c r="A4056"/>
    </row>
    <row r="4057" spans="1:1" x14ac:dyDescent="0.25">
      <c r="A4057"/>
    </row>
    <row r="4058" spans="1:1" x14ac:dyDescent="0.25">
      <c r="A4058"/>
    </row>
    <row r="4059" spans="1:1" x14ac:dyDescent="0.25">
      <c r="A4059"/>
    </row>
    <row r="4060" spans="1:1" x14ac:dyDescent="0.25">
      <c r="A4060"/>
    </row>
    <row r="4061" spans="1:1" x14ac:dyDescent="0.25">
      <c r="A4061"/>
    </row>
  </sheetData>
  <conditionalFormatting sqref="B2:AO41">
    <cfRule type="colorScale" priority="1">
      <colorScale>
        <cfvo type="num" val="0"/>
        <cfvo type="percent" val="50"/>
        <cfvo type="percentile" val="90"/>
        <color rgb="FFF8696B"/>
        <color rgb="FFFFEB84"/>
        <color rgb="FF63BE7B"/>
      </colorScale>
    </cfRule>
    <cfRule type="colorScale" priority="2">
      <colorScale>
        <cfvo type="percentile" val="10"/>
        <cfvo type="percentile" val="50"/>
        <cfvo type="percentile" val="90"/>
        <color rgb="FFF8696B"/>
        <color rgb="FFFFEB84"/>
        <color rgb="FF63BE7B"/>
      </colorScale>
    </cfRule>
    <cfRule type="colorScale" priority="3">
      <colorScale>
        <cfvo type="min"/>
        <cfvo type="percentile" val="50"/>
        <cfvo type="percentile" val="90"/>
        <color rgb="FFF8696B"/>
        <color rgb="FFFFEB84"/>
        <color rgb="FF63BE7B"/>
      </colorScale>
    </cfRule>
    <cfRule type="colorScale" priority="4">
      <colorScale>
        <cfvo type="min"/>
        <cfvo type="percentile" val="50"/>
        <cfvo type="max"/>
        <color rgb="FFF8696B"/>
        <color rgb="FFFFEB84"/>
        <color rgb="FF63BE7B"/>
      </colorScale>
    </cfRule>
    <cfRule type="colorScale" priority="5">
      <colorScale>
        <cfvo type="min"/>
        <cfvo type="percentile" val="50"/>
        <cfvo type="max"/>
        <color rgb="FFF8696B"/>
        <color rgb="FFFFEB84"/>
        <color rgb="FF63BE7B"/>
      </colorScale>
    </cfRule>
  </conditionalFormatting>
  <pageMargins left="0.7" right="0.7" top="0.78740157499999996" bottom="0.78740157499999996"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94E37-6D9A-4430-B90B-87AD92479A0C}">
  <sheetPr>
    <tabColor rgb="FF7030A0"/>
  </sheetPr>
  <dimension ref="A1:W122"/>
  <sheetViews>
    <sheetView topLeftCell="A109" workbookViewId="0">
      <selection activeCell="A82" sqref="A82:F122"/>
    </sheetView>
  </sheetViews>
  <sheetFormatPr baseColWidth="10" defaultRowHeight="15" x14ac:dyDescent="0.25"/>
  <cols>
    <col min="2" max="2" width="7.42578125" customWidth="1"/>
    <col min="3" max="3" width="12.7109375" customWidth="1"/>
    <col min="4" max="4" width="10" customWidth="1"/>
    <col min="5" max="5" width="6.28515625" customWidth="1"/>
    <col min="6" max="6" width="8.5703125" customWidth="1"/>
    <col min="7" max="7" width="6.140625" customWidth="1"/>
    <col min="8" max="8" width="6.42578125" customWidth="1"/>
    <col min="9" max="10" width="6.28515625" customWidth="1"/>
    <col min="11" max="11" width="6.42578125" customWidth="1"/>
    <col min="12" max="12" width="6.28515625" customWidth="1"/>
    <col min="13" max="13" width="6.5703125" customWidth="1"/>
    <col min="14" max="15" width="6.140625" customWidth="1"/>
    <col min="16" max="16" width="6.5703125" customWidth="1"/>
    <col min="17" max="17" width="10.7109375" customWidth="1"/>
    <col min="18" max="18" width="6.28515625" customWidth="1"/>
    <col min="19" max="19" width="6.140625" customWidth="1"/>
    <col min="20" max="20" width="20.7109375" customWidth="1"/>
    <col min="21" max="21" width="23.85546875" customWidth="1"/>
    <col min="22" max="22" width="18.42578125" customWidth="1"/>
    <col min="23" max="23" width="23" customWidth="1"/>
  </cols>
  <sheetData>
    <row r="1" spans="1:23" x14ac:dyDescent="0.25">
      <c r="A1" t="s">
        <v>6404</v>
      </c>
      <c r="B1" s="65" t="s">
        <v>53</v>
      </c>
      <c r="C1" s="65" t="s">
        <v>61</v>
      </c>
      <c r="D1" s="65" t="s">
        <v>69</v>
      </c>
      <c r="E1" s="65" t="s">
        <v>76</v>
      </c>
      <c r="F1" s="65" t="s">
        <v>83</v>
      </c>
      <c r="G1" s="65" t="s">
        <v>90</v>
      </c>
      <c r="H1" s="65" t="s">
        <v>98</v>
      </c>
      <c r="I1" s="65" t="s">
        <v>106</v>
      </c>
      <c r="J1" s="65" t="s">
        <v>112</v>
      </c>
      <c r="K1" s="65" t="s">
        <v>118</v>
      </c>
      <c r="L1" s="65" t="s">
        <v>125</v>
      </c>
      <c r="M1" s="65" t="s">
        <v>132</v>
      </c>
      <c r="N1" s="65" t="s">
        <v>140</v>
      </c>
      <c r="O1" s="65" t="s">
        <v>147</v>
      </c>
      <c r="P1" s="65" t="s">
        <v>154</v>
      </c>
      <c r="Q1" s="65" t="s">
        <v>161</v>
      </c>
      <c r="R1" s="65" t="s">
        <v>166</v>
      </c>
      <c r="S1" s="65" t="s">
        <v>174</v>
      </c>
      <c r="T1" s="70" t="s">
        <v>6353</v>
      </c>
      <c r="U1" s="71" t="s">
        <v>3</v>
      </c>
      <c r="V1" s="72" t="s">
        <v>6414</v>
      </c>
      <c r="W1" s="73" t="s">
        <v>6415</v>
      </c>
    </row>
    <row r="2" spans="1:23" x14ac:dyDescent="0.25">
      <c r="A2" s="64">
        <v>1</v>
      </c>
      <c r="B2">
        <v>0</v>
      </c>
      <c r="C2">
        <v>0</v>
      </c>
      <c r="D2">
        <v>0</v>
      </c>
      <c r="E2">
        <v>0</v>
      </c>
      <c r="F2">
        <v>0</v>
      </c>
      <c r="G2">
        <v>0</v>
      </c>
      <c r="H2">
        <v>0</v>
      </c>
      <c r="I2">
        <v>0</v>
      </c>
      <c r="J2">
        <v>0</v>
      </c>
      <c r="K2">
        <v>0</v>
      </c>
      <c r="L2">
        <v>0</v>
      </c>
      <c r="M2">
        <v>0</v>
      </c>
      <c r="N2">
        <v>0</v>
      </c>
      <c r="O2">
        <v>0</v>
      </c>
      <c r="P2">
        <v>0</v>
      </c>
      <c r="Q2">
        <v>0</v>
      </c>
      <c r="R2">
        <v>0</v>
      </c>
      <c r="S2">
        <v>0</v>
      </c>
      <c r="T2" s="67" t="s">
        <v>303</v>
      </c>
      <c r="U2" s="67" t="s">
        <v>240</v>
      </c>
      <c r="V2" s="67">
        <v>0</v>
      </c>
      <c r="W2" s="68">
        <v>0</v>
      </c>
    </row>
    <row r="3" spans="1:23" x14ac:dyDescent="0.25">
      <c r="A3" s="64">
        <v>2</v>
      </c>
      <c r="B3">
        <v>1</v>
      </c>
      <c r="C3">
        <v>1</v>
      </c>
      <c r="D3">
        <v>1</v>
      </c>
      <c r="E3">
        <v>1</v>
      </c>
      <c r="F3">
        <v>1</v>
      </c>
      <c r="G3">
        <v>1</v>
      </c>
      <c r="H3">
        <v>0</v>
      </c>
      <c r="I3">
        <v>1</v>
      </c>
      <c r="J3">
        <v>1</v>
      </c>
      <c r="K3">
        <v>0</v>
      </c>
      <c r="L3">
        <v>0</v>
      </c>
      <c r="M3">
        <v>1</v>
      </c>
      <c r="N3">
        <v>1</v>
      </c>
      <c r="O3">
        <v>1</v>
      </c>
      <c r="P3">
        <v>1</v>
      </c>
      <c r="Q3">
        <v>0</v>
      </c>
      <c r="R3">
        <v>0</v>
      </c>
      <c r="S3">
        <v>1</v>
      </c>
      <c r="T3" s="67" t="s">
        <v>306</v>
      </c>
      <c r="U3" s="67" t="s">
        <v>236</v>
      </c>
      <c r="V3" s="67">
        <v>13</v>
      </c>
      <c r="W3" s="68">
        <v>0.72222222222222221</v>
      </c>
    </row>
    <row r="4" spans="1:23" x14ac:dyDescent="0.25">
      <c r="A4" s="64">
        <v>3</v>
      </c>
      <c r="B4">
        <v>1</v>
      </c>
      <c r="C4">
        <v>1</v>
      </c>
      <c r="D4">
        <v>1</v>
      </c>
      <c r="E4">
        <v>1</v>
      </c>
      <c r="F4">
        <v>1</v>
      </c>
      <c r="G4">
        <v>1</v>
      </c>
      <c r="H4">
        <v>1</v>
      </c>
      <c r="I4">
        <v>1</v>
      </c>
      <c r="J4">
        <v>1</v>
      </c>
      <c r="K4">
        <v>0</v>
      </c>
      <c r="L4">
        <v>1</v>
      </c>
      <c r="M4">
        <v>1</v>
      </c>
      <c r="N4">
        <v>1</v>
      </c>
      <c r="O4">
        <v>1</v>
      </c>
      <c r="P4">
        <v>1</v>
      </c>
      <c r="Q4">
        <v>1</v>
      </c>
      <c r="R4">
        <v>0</v>
      </c>
      <c r="S4">
        <v>1</v>
      </c>
      <c r="T4" s="67" t="s">
        <v>311</v>
      </c>
      <c r="U4" s="67" t="s">
        <v>237</v>
      </c>
      <c r="V4" s="67">
        <v>16</v>
      </c>
      <c r="W4" s="68">
        <v>0.88888888888888884</v>
      </c>
    </row>
    <row r="5" spans="1:23" ht="30" x14ac:dyDescent="0.25">
      <c r="A5" s="64">
        <v>4</v>
      </c>
      <c r="B5">
        <v>1</v>
      </c>
      <c r="C5">
        <v>1</v>
      </c>
      <c r="D5">
        <v>1</v>
      </c>
      <c r="E5">
        <v>0</v>
      </c>
      <c r="F5">
        <v>1</v>
      </c>
      <c r="G5">
        <v>1</v>
      </c>
      <c r="H5">
        <v>1</v>
      </c>
      <c r="I5">
        <v>1</v>
      </c>
      <c r="J5">
        <v>1</v>
      </c>
      <c r="K5">
        <v>0</v>
      </c>
      <c r="L5">
        <v>1</v>
      </c>
      <c r="M5">
        <v>0</v>
      </c>
      <c r="N5">
        <v>1</v>
      </c>
      <c r="O5">
        <v>1</v>
      </c>
      <c r="P5">
        <v>1</v>
      </c>
      <c r="Q5">
        <v>1</v>
      </c>
      <c r="R5">
        <v>0</v>
      </c>
      <c r="S5">
        <v>1</v>
      </c>
      <c r="T5" s="67" t="s">
        <v>315</v>
      </c>
      <c r="U5" s="67" t="s">
        <v>242</v>
      </c>
      <c r="V5" s="67">
        <v>14</v>
      </c>
      <c r="W5" s="68">
        <v>0.77777777777777779</v>
      </c>
    </row>
    <row r="6" spans="1:23" ht="30" x14ac:dyDescent="0.25">
      <c r="A6" s="64">
        <v>5</v>
      </c>
      <c r="B6">
        <v>1</v>
      </c>
      <c r="C6">
        <v>1</v>
      </c>
      <c r="D6">
        <v>1</v>
      </c>
      <c r="E6">
        <v>0</v>
      </c>
      <c r="F6">
        <v>1</v>
      </c>
      <c r="G6">
        <v>1</v>
      </c>
      <c r="H6">
        <v>1</v>
      </c>
      <c r="I6">
        <v>1</v>
      </c>
      <c r="J6">
        <v>1</v>
      </c>
      <c r="K6">
        <v>0</v>
      </c>
      <c r="L6">
        <v>1</v>
      </c>
      <c r="M6">
        <v>1</v>
      </c>
      <c r="N6">
        <v>1</v>
      </c>
      <c r="O6">
        <v>1</v>
      </c>
      <c r="P6">
        <v>1</v>
      </c>
      <c r="Q6">
        <v>1</v>
      </c>
      <c r="R6">
        <v>1</v>
      </c>
      <c r="S6">
        <v>0</v>
      </c>
      <c r="T6" s="67" t="s">
        <v>318</v>
      </c>
      <c r="U6" s="67" t="s">
        <v>242</v>
      </c>
      <c r="V6" s="67">
        <v>15</v>
      </c>
      <c r="W6" s="68">
        <v>0.83333333333333337</v>
      </c>
    </row>
    <row r="7" spans="1:23" x14ac:dyDescent="0.25">
      <c r="A7" s="64">
        <v>6</v>
      </c>
      <c r="B7">
        <v>0</v>
      </c>
      <c r="C7">
        <v>0</v>
      </c>
      <c r="D7">
        <v>1</v>
      </c>
      <c r="E7">
        <v>0</v>
      </c>
      <c r="F7">
        <v>1</v>
      </c>
      <c r="G7">
        <v>1</v>
      </c>
      <c r="H7">
        <v>1</v>
      </c>
      <c r="I7">
        <v>0</v>
      </c>
      <c r="J7">
        <v>1</v>
      </c>
      <c r="K7">
        <v>0</v>
      </c>
      <c r="L7">
        <v>0</v>
      </c>
      <c r="M7">
        <v>1</v>
      </c>
      <c r="N7">
        <v>1</v>
      </c>
      <c r="O7">
        <v>0</v>
      </c>
      <c r="P7">
        <v>1</v>
      </c>
      <c r="Q7">
        <v>1</v>
      </c>
      <c r="R7">
        <v>0</v>
      </c>
      <c r="S7">
        <v>0</v>
      </c>
      <c r="T7" s="67" t="s">
        <v>321</v>
      </c>
      <c r="U7" s="67" t="s">
        <v>240</v>
      </c>
      <c r="V7" s="67">
        <v>9</v>
      </c>
      <c r="W7" s="68">
        <v>0.5</v>
      </c>
    </row>
    <row r="8" spans="1:23" x14ac:dyDescent="0.25">
      <c r="A8" s="64">
        <v>7</v>
      </c>
      <c r="B8">
        <v>1</v>
      </c>
      <c r="C8">
        <v>1</v>
      </c>
      <c r="D8">
        <v>1</v>
      </c>
      <c r="E8">
        <v>1</v>
      </c>
      <c r="F8">
        <v>1</v>
      </c>
      <c r="G8">
        <v>1</v>
      </c>
      <c r="H8">
        <v>1</v>
      </c>
      <c r="I8">
        <v>1</v>
      </c>
      <c r="J8">
        <v>1</v>
      </c>
      <c r="K8">
        <v>0</v>
      </c>
      <c r="L8">
        <v>0</v>
      </c>
      <c r="M8">
        <v>1</v>
      </c>
      <c r="N8">
        <v>1</v>
      </c>
      <c r="O8">
        <v>1</v>
      </c>
      <c r="P8">
        <v>0</v>
      </c>
      <c r="Q8">
        <v>1</v>
      </c>
      <c r="R8">
        <v>1</v>
      </c>
      <c r="S8">
        <v>1</v>
      </c>
      <c r="T8" s="67" t="s">
        <v>325</v>
      </c>
      <c r="U8" s="67" t="s">
        <v>236</v>
      </c>
      <c r="V8" s="67">
        <v>15</v>
      </c>
      <c r="W8" s="68">
        <v>0.83333333333333337</v>
      </c>
    </row>
    <row r="9" spans="1:23" ht="30" x14ac:dyDescent="0.25">
      <c r="A9" s="64">
        <v>8</v>
      </c>
      <c r="B9">
        <v>0</v>
      </c>
      <c r="C9">
        <v>0</v>
      </c>
      <c r="D9">
        <v>0</v>
      </c>
      <c r="E9">
        <v>0</v>
      </c>
      <c r="F9">
        <v>0</v>
      </c>
      <c r="G9">
        <v>0</v>
      </c>
      <c r="H9">
        <v>0</v>
      </c>
      <c r="I9">
        <v>0</v>
      </c>
      <c r="J9">
        <v>0</v>
      </c>
      <c r="K9">
        <v>0</v>
      </c>
      <c r="L9">
        <v>0</v>
      </c>
      <c r="M9">
        <v>0</v>
      </c>
      <c r="N9">
        <v>0</v>
      </c>
      <c r="O9">
        <v>0</v>
      </c>
      <c r="P9">
        <v>0</v>
      </c>
      <c r="Q9">
        <v>0</v>
      </c>
      <c r="R9">
        <v>0</v>
      </c>
      <c r="S9">
        <v>0</v>
      </c>
      <c r="T9" s="67" t="s">
        <v>327</v>
      </c>
      <c r="U9" s="67" t="s">
        <v>242</v>
      </c>
      <c r="V9" s="67">
        <v>0</v>
      </c>
      <c r="W9" s="68">
        <v>0</v>
      </c>
    </row>
    <row r="10" spans="1:23" x14ac:dyDescent="0.25">
      <c r="A10" s="64">
        <v>9</v>
      </c>
      <c r="B10">
        <v>1</v>
      </c>
      <c r="C10">
        <v>1</v>
      </c>
      <c r="D10">
        <v>1</v>
      </c>
      <c r="E10">
        <v>1</v>
      </c>
      <c r="F10">
        <v>1</v>
      </c>
      <c r="G10">
        <v>1</v>
      </c>
      <c r="H10">
        <v>1</v>
      </c>
      <c r="I10">
        <v>1</v>
      </c>
      <c r="J10">
        <v>1</v>
      </c>
      <c r="K10">
        <v>0</v>
      </c>
      <c r="L10">
        <v>0</v>
      </c>
      <c r="M10">
        <v>0</v>
      </c>
      <c r="N10">
        <v>0</v>
      </c>
      <c r="O10">
        <v>1</v>
      </c>
      <c r="P10">
        <v>1</v>
      </c>
      <c r="Q10">
        <v>1</v>
      </c>
      <c r="R10">
        <v>1</v>
      </c>
      <c r="S10">
        <v>1</v>
      </c>
      <c r="T10" s="67" t="s">
        <v>330</v>
      </c>
      <c r="U10" s="67" t="s">
        <v>237</v>
      </c>
      <c r="V10" s="67">
        <v>14</v>
      </c>
      <c r="W10" s="68">
        <v>0.77777777777777779</v>
      </c>
    </row>
    <row r="11" spans="1:23" x14ac:dyDescent="0.25">
      <c r="A11" s="64">
        <v>10</v>
      </c>
      <c r="B11">
        <v>0</v>
      </c>
      <c r="C11">
        <v>1</v>
      </c>
      <c r="D11">
        <v>1</v>
      </c>
      <c r="E11">
        <v>1</v>
      </c>
      <c r="F11">
        <v>1</v>
      </c>
      <c r="G11">
        <v>0</v>
      </c>
      <c r="H11">
        <v>0</v>
      </c>
      <c r="I11">
        <v>1</v>
      </c>
      <c r="J11">
        <v>0</v>
      </c>
      <c r="K11">
        <v>0</v>
      </c>
      <c r="L11">
        <v>0</v>
      </c>
      <c r="M11">
        <v>0</v>
      </c>
      <c r="N11">
        <v>1</v>
      </c>
      <c r="O11">
        <v>1</v>
      </c>
      <c r="P11">
        <v>1</v>
      </c>
      <c r="Q11">
        <v>0</v>
      </c>
      <c r="R11">
        <v>0</v>
      </c>
      <c r="S11">
        <v>0</v>
      </c>
      <c r="T11" s="67" t="s">
        <v>334</v>
      </c>
      <c r="U11" s="67" t="s">
        <v>236</v>
      </c>
      <c r="V11" s="67">
        <v>8</v>
      </c>
      <c r="W11" s="68">
        <v>0.44444444444444442</v>
      </c>
    </row>
    <row r="12" spans="1:23" x14ac:dyDescent="0.25">
      <c r="A12" s="64">
        <v>11</v>
      </c>
      <c r="B12">
        <v>0</v>
      </c>
      <c r="C12">
        <v>0</v>
      </c>
      <c r="D12">
        <v>0</v>
      </c>
      <c r="E12">
        <v>1</v>
      </c>
      <c r="F12">
        <v>1</v>
      </c>
      <c r="G12">
        <v>1</v>
      </c>
      <c r="H12">
        <v>1</v>
      </c>
      <c r="I12">
        <v>0</v>
      </c>
      <c r="J12">
        <v>1</v>
      </c>
      <c r="K12">
        <v>0</v>
      </c>
      <c r="L12">
        <v>0</v>
      </c>
      <c r="M12">
        <v>0</v>
      </c>
      <c r="N12">
        <v>0</v>
      </c>
      <c r="O12">
        <v>0</v>
      </c>
      <c r="P12">
        <v>1</v>
      </c>
      <c r="Q12">
        <v>0</v>
      </c>
      <c r="R12">
        <v>0</v>
      </c>
      <c r="S12">
        <v>0</v>
      </c>
      <c r="T12" s="67" t="s">
        <v>338</v>
      </c>
      <c r="U12" s="67" t="s">
        <v>236</v>
      </c>
      <c r="V12" s="67">
        <v>6</v>
      </c>
      <c r="W12" s="68">
        <v>0.33333333333333331</v>
      </c>
    </row>
    <row r="13" spans="1:23" x14ac:dyDescent="0.25">
      <c r="A13" s="64">
        <v>12</v>
      </c>
      <c r="B13">
        <v>1</v>
      </c>
      <c r="C13">
        <v>1</v>
      </c>
      <c r="D13">
        <v>1</v>
      </c>
      <c r="E13">
        <v>1</v>
      </c>
      <c r="F13">
        <v>1</v>
      </c>
      <c r="G13">
        <v>1</v>
      </c>
      <c r="H13">
        <v>1</v>
      </c>
      <c r="I13">
        <v>1</v>
      </c>
      <c r="J13">
        <v>1</v>
      </c>
      <c r="K13">
        <v>0</v>
      </c>
      <c r="L13">
        <v>1</v>
      </c>
      <c r="M13">
        <v>0</v>
      </c>
      <c r="N13">
        <v>0</v>
      </c>
      <c r="O13">
        <v>1</v>
      </c>
      <c r="P13">
        <v>1</v>
      </c>
      <c r="Q13">
        <v>1</v>
      </c>
      <c r="R13">
        <v>1</v>
      </c>
      <c r="S13">
        <v>0</v>
      </c>
      <c r="T13" s="67" t="s">
        <v>342</v>
      </c>
      <c r="U13" s="67" t="s">
        <v>237</v>
      </c>
      <c r="V13" s="67">
        <v>14</v>
      </c>
      <c r="W13" s="68">
        <v>0.77777777777777779</v>
      </c>
    </row>
    <row r="14" spans="1:23" x14ac:dyDescent="0.25">
      <c r="A14" s="64">
        <v>13</v>
      </c>
      <c r="B14">
        <v>0</v>
      </c>
      <c r="C14">
        <v>0</v>
      </c>
      <c r="D14">
        <v>1</v>
      </c>
      <c r="E14">
        <v>1</v>
      </c>
      <c r="F14">
        <v>1</v>
      </c>
      <c r="G14">
        <v>0</v>
      </c>
      <c r="H14">
        <v>0</v>
      </c>
      <c r="I14">
        <v>0</v>
      </c>
      <c r="J14">
        <v>1</v>
      </c>
      <c r="K14">
        <v>0</v>
      </c>
      <c r="L14">
        <v>0</v>
      </c>
      <c r="M14">
        <v>0</v>
      </c>
      <c r="N14">
        <v>0</v>
      </c>
      <c r="O14">
        <v>1</v>
      </c>
      <c r="P14">
        <v>0</v>
      </c>
      <c r="Q14">
        <v>1</v>
      </c>
      <c r="R14">
        <v>0</v>
      </c>
      <c r="S14">
        <v>0</v>
      </c>
      <c r="T14" s="67" t="s">
        <v>344</v>
      </c>
      <c r="U14" s="67" t="s">
        <v>237</v>
      </c>
      <c r="V14" s="67">
        <v>6</v>
      </c>
      <c r="W14" s="68">
        <v>0.33333333333333331</v>
      </c>
    </row>
    <row r="15" spans="1:23" ht="30" x14ac:dyDescent="0.25">
      <c r="A15" s="64">
        <v>14</v>
      </c>
      <c r="B15">
        <v>0</v>
      </c>
      <c r="C15">
        <v>0</v>
      </c>
      <c r="D15">
        <v>0</v>
      </c>
      <c r="E15">
        <v>0</v>
      </c>
      <c r="F15">
        <v>0</v>
      </c>
      <c r="G15">
        <v>0</v>
      </c>
      <c r="H15">
        <v>0</v>
      </c>
      <c r="I15">
        <v>0</v>
      </c>
      <c r="J15">
        <v>0</v>
      </c>
      <c r="K15">
        <v>0</v>
      </c>
      <c r="L15">
        <v>0</v>
      </c>
      <c r="M15">
        <v>0</v>
      </c>
      <c r="N15">
        <v>0</v>
      </c>
      <c r="O15">
        <v>0</v>
      </c>
      <c r="P15">
        <v>0</v>
      </c>
      <c r="Q15">
        <v>0</v>
      </c>
      <c r="R15">
        <v>0</v>
      </c>
      <c r="S15">
        <v>0</v>
      </c>
      <c r="T15" s="67" t="s">
        <v>348</v>
      </c>
      <c r="U15" s="67" t="s">
        <v>243</v>
      </c>
      <c r="V15" s="67">
        <v>0</v>
      </c>
      <c r="W15" s="68">
        <v>0</v>
      </c>
    </row>
    <row r="16" spans="1:23" x14ac:dyDescent="0.25">
      <c r="A16" s="64">
        <v>15</v>
      </c>
      <c r="B16">
        <v>1</v>
      </c>
      <c r="C16">
        <v>1</v>
      </c>
      <c r="D16">
        <v>1</v>
      </c>
      <c r="E16">
        <v>1</v>
      </c>
      <c r="F16">
        <v>1</v>
      </c>
      <c r="G16">
        <v>1</v>
      </c>
      <c r="H16">
        <v>1</v>
      </c>
      <c r="I16">
        <v>1</v>
      </c>
      <c r="J16">
        <v>1</v>
      </c>
      <c r="K16">
        <v>1</v>
      </c>
      <c r="L16">
        <v>1</v>
      </c>
      <c r="M16">
        <v>1</v>
      </c>
      <c r="N16">
        <v>1</v>
      </c>
      <c r="O16">
        <v>1</v>
      </c>
      <c r="P16">
        <v>1</v>
      </c>
      <c r="Q16">
        <v>1</v>
      </c>
      <c r="R16">
        <v>1</v>
      </c>
      <c r="S16">
        <v>1</v>
      </c>
      <c r="T16" s="67" t="s">
        <v>352</v>
      </c>
      <c r="U16" s="67" t="s">
        <v>241</v>
      </c>
      <c r="V16" s="67">
        <v>18</v>
      </c>
      <c r="W16" s="68">
        <v>1</v>
      </c>
    </row>
    <row r="17" spans="1:23" x14ac:dyDescent="0.25">
      <c r="A17" s="64">
        <v>16</v>
      </c>
      <c r="B17">
        <v>0</v>
      </c>
      <c r="C17">
        <v>0</v>
      </c>
      <c r="D17">
        <v>0</v>
      </c>
      <c r="E17">
        <v>0</v>
      </c>
      <c r="F17">
        <v>0</v>
      </c>
      <c r="G17">
        <v>0</v>
      </c>
      <c r="H17">
        <v>0</v>
      </c>
      <c r="I17">
        <v>0</v>
      </c>
      <c r="J17">
        <v>0</v>
      </c>
      <c r="K17">
        <v>0</v>
      </c>
      <c r="L17">
        <v>0</v>
      </c>
      <c r="M17">
        <v>0</v>
      </c>
      <c r="N17">
        <v>0</v>
      </c>
      <c r="O17">
        <v>0</v>
      </c>
      <c r="P17">
        <v>0</v>
      </c>
      <c r="Q17">
        <v>0</v>
      </c>
      <c r="R17">
        <v>0</v>
      </c>
      <c r="S17">
        <v>0</v>
      </c>
      <c r="T17" s="67" t="s">
        <v>356</v>
      </c>
      <c r="U17" s="67" t="s">
        <v>241</v>
      </c>
      <c r="V17" s="67">
        <v>0</v>
      </c>
      <c r="W17" s="68">
        <v>0</v>
      </c>
    </row>
    <row r="18" spans="1:23" x14ac:dyDescent="0.25">
      <c r="A18" s="64">
        <v>17</v>
      </c>
      <c r="B18">
        <v>1</v>
      </c>
      <c r="C18">
        <v>1</v>
      </c>
      <c r="D18">
        <v>1</v>
      </c>
      <c r="E18">
        <v>1</v>
      </c>
      <c r="F18">
        <v>1</v>
      </c>
      <c r="G18">
        <v>1</v>
      </c>
      <c r="H18">
        <v>1</v>
      </c>
      <c r="I18">
        <v>1</v>
      </c>
      <c r="J18">
        <v>1</v>
      </c>
      <c r="K18">
        <v>1</v>
      </c>
      <c r="L18">
        <v>1</v>
      </c>
      <c r="M18">
        <v>0</v>
      </c>
      <c r="N18">
        <v>1</v>
      </c>
      <c r="O18">
        <v>1</v>
      </c>
      <c r="P18">
        <v>1</v>
      </c>
      <c r="Q18">
        <v>1</v>
      </c>
      <c r="R18">
        <v>1</v>
      </c>
      <c r="S18">
        <v>1</v>
      </c>
      <c r="T18" s="67" t="s">
        <v>359</v>
      </c>
      <c r="U18" s="67" t="s">
        <v>238</v>
      </c>
      <c r="V18" s="67">
        <v>17</v>
      </c>
      <c r="W18" s="68">
        <v>0.94444444444444442</v>
      </c>
    </row>
    <row r="19" spans="1:23" ht="30" x14ac:dyDescent="0.25">
      <c r="A19" s="64">
        <v>18</v>
      </c>
      <c r="B19">
        <v>0</v>
      </c>
      <c r="C19">
        <v>0</v>
      </c>
      <c r="D19">
        <v>0</v>
      </c>
      <c r="E19">
        <v>0</v>
      </c>
      <c r="F19">
        <v>0</v>
      </c>
      <c r="G19">
        <v>0</v>
      </c>
      <c r="H19">
        <v>0</v>
      </c>
      <c r="I19">
        <v>0</v>
      </c>
      <c r="J19">
        <v>0</v>
      </c>
      <c r="K19">
        <v>0</v>
      </c>
      <c r="L19">
        <v>0</v>
      </c>
      <c r="M19">
        <v>0</v>
      </c>
      <c r="N19">
        <v>0</v>
      </c>
      <c r="O19">
        <v>0</v>
      </c>
      <c r="P19">
        <v>0</v>
      </c>
      <c r="Q19">
        <v>0</v>
      </c>
      <c r="R19">
        <v>0</v>
      </c>
      <c r="S19">
        <v>0</v>
      </c>
      <c r="T19" s="67" t="s">
        <v>363</v>
      </c>
      <c r="U19" s="67" t="s">
        <v>238</v>
      </c>
      <c r="V19" s="67">
        <v>0</v>
      </c>
      <c r="W19" s="68">
        <v>0</v>
      </c>
    </row>
    <row r="20" spans="1:23" x14ac:dyDescent="0.25">
      <c r="A20" s="64">
        <v>19</v>
      </c>
      <c r="B20">
        <v>1</v>
      </c>
      <c r="C20">
        <v>1</v>
      </c>
      <c r="D20">
        <v>1</v>
      </c>
      <c r="E20">
        <v>0</v>
      </c>
      <c r="F20">
        <v>1</v>
      </c>
      <c r="G20">
        <v>1</v>
      </c>
      <c r="H20">
        <v>1</v>
      </c>
      <c r="I20">
        <v>1</v>
      </c>
      <c r="J20">
        <v>0</v>
      </c>
      <c r="K20">
        <v>0</v>
      </c>
      <c r="L20">
        <v>1</v>
      </c>
      <c r="M20">
        <v>1</v>
      </c>
      <c r="N20">
        <v>1</v>
      </c>
      <c r="O20">
        <v>1</v>
      </c>
      <c r="P20">
        <v>1</v>
      </c>
      <c r="Q20">
        <v>0</v>
      </c>
      <c r="R20">
        <v>1</v>
      </c>
      <c r="S20">
        <v>0</v>
      </c>
      <c r="T20" s="67" t="s">
        <v>367</v>
      </c>
      <c r="U20" s="67" t="s">
        <v>236</v>
      </c>
      <c r="V20" s="67">
        <v>13</v>
      </c>
      <c r="W20" s="68">
        <v>0.72222222222222221</v>
      </c>
    </row>
    <row r="21" spans="1:23" x14ac:dyDescent="0.25">
      <c r="A21" s="64">
        <v>20</v>
      </c>
      <c r="B21">
        <v>0</v>
      </c>
      <c r="C21">
        <v>0</v>
      </c>
      <c r="D21">
        <v>1</v>
      </c>
      <c r="E21">
        <v>0</v>
      </c>
      <c r="F21">
        <v>0</v>
      </c>
      <c r="G21">
        <v>1</v>
      </c>
      <c r="H21">
        <v>1</v>
      </c>
      <c r="I21">
        <v>0</v>
      </c>
      <c r="J21">
        <v>0</v>
      </c>
      <c r="K21">
        <v>0</v>
      </c>
      <c r="L21">
        <v>0</v>
      </c>
      <c r="M21">
        <v>0</v>
      </c>
      <c r="N21">
        <v>0</v>
      </c>
      <c r="O21">
        <v>1</v>
      </c>
      <c r="P21">
        <v>1</v>
      </c>
      <c r="Q21">
        <v>0</v>
      </c>
      <c r="R21">
        <v>0</v>
      </c>
      <c r="S21">
        <v>0</v>
      </c>
      <c r="T21" s="67" t="s">
        <v>371</v>
      </c>
      <c r="U21" s="67" t="s">
        <v>237</v>
      </c>
      <c r="V21" s="67">
        <v>5</v>
      </c>
      <c r="W21" s="68">
        <v>0.27777777777777779</v>
      </c>
    </row>
    <row r="22" spans="1:23" x14ac:dyDescent="0.25">
      <c r="A22" s="64">
        <v>21</v>
      </c>
      <c r="B22">
        <v>0</v>
      </c>
      <c r="C22">
        <v>0</v>
      </c>
      <c r="D22">
        <v>0</v>
      </c>
      <c r="E22">
        <v>0</v>
      </c>
      <c r="F22">
        <v>0</v>
      </c>
      <c r="G22">
        <v>0</v>
      </c>
      <c r="H22">
        <v>0</v>
      </c>
      <c r="I22">
        <v>0</v>
      </c>
      <c r="J22">
        <v>0</v>
      </c>
      <c r="K22">
        <v>0</v>
      </c>
      <c r="L22">
        <v>0</v>
      </c>
      <c r="M22">
        <v>0</v>
      </c>
      <c r="N22">
        <v>0</v>
      </c>
      <c r="O22">
        <v>0</v>
      </c>
      <c r="P22">
        <v>0</v>
      </c>
      <c r="Q22">
        <v>0</v>
      </c>
      <c r="R22">
        <v>0</v>
      </c>
      <c r="S22">
        <v>0</v>
      </c>
      <c r="T22" s="67" t="s">
        <v>373</v>
      </c>
      <c r="U22" s="67" t="s">
        <v>242</v>
      </c>
      <c r="V22" s="67">
        <v>0</v>
      </c>
      <c r="W22" s="68">
        <v>0</v>
      </c>
    </row>
    <row r="23" spans="1:23" x14ac:dyDescent="0.25">
      <c r="A23" s="64">
        <v>22</v>
      </c>
      <c r="B23">
        <v>1</v>
      </c>
      <c r="C23">
        <v>1</v>
      </c>
      <c r="D23">
        <v>1</v>
      </c>
      <c r="E23">
        <v>0</v>
      </c>
      <c r="F23">
        <v>0</v>
      </c>
      <c r="G23">
        <v>0</v>
      </c>
      <c r="H23">
        <v>0</v>
      </c>
      <c r="I23">
        <v>1</v>
      </c>
      <c r="J23">
        <v>1</v>
      </c>
      <c r="K23">
        <v>0</v>
      </c>
      <c r="L23">
        <v>0</v>
      </c>
      <c r="M23">
        <v>0</v>
      </c>
      <c r="N23">
        <v>0</v>
      </c>
      <c r="O23">
        <v>0</v>
      </c>
      <c r="P23">
        <v>1</v>
      </c>
      <c r="Q23">
        <v>0</v>
      </c>
      <c r="R23">
        <v>0</v>
      </c>
      <c r="S23">
        <v>0</v>
      </c>
      <c r="T23" s="67" t="s">
        <v>377</v>
      </c>
      <c r="U23" s="67" t="s">
        <v>242</v>
      </c>
      <c r="V23" s="67">
        <v>6</v>
      </c>
      <c r="W23" s="68">
        <v>0.33333333333333331</v>
      </c>
    </row>
    <row r="24" spans="1:23" x14ac:dyDescent="0.25">
      <c r="A24" s="64">
        <v>23</v>
      </c>
      <c r="B24">
        <v>1</v>
      </c>
      <c r="C24">
        <v>1</v>
      </c>
      <c r="D24">
        <v>1</v>
      </c>
      <c r="E24">
        <v>1</v>
      </c>
      <c r="F24">
        <v>1</v>
      </c>
      <c r="G24">
        <v>1</v>
      </c>
      <c r="H24">
        <v>1</v>
      </c>
      <c r="I24">
        <v>1</v>
      </c>
      <c r="J24">
        <v>0</v>
      </c>
      <c r="K24">
        <v>0</v>
      </c>
      <c r="L24">
        <v>0</v>
      </c>
      <c r="M24">
        <v>1</v>
      </c>
      <c r="N24">
        <v>1</v>
      </c>
      <c r="O24">
        <v>1</v>
      </c>
      <c r="P24">
        <v>1</v>
      </c>
      <c r="Q24">
        <v>0</v>
      </c>
      <c r="R24">
        <v>0</v>
      </c>
      <c r="S24">
        <v>1</v>
      </c>
      <c r="T24" s="67" t="s">
        <v>380</v>
      </c>
      <c r="U24" s="67" t="s">
        <v>238</v>
      </c>
      <c r="V24" s="67">
        <v>13</v>
      </c>
      <c r="W24" s="68">
        <v>0.72222222222222221</v>
      </c>
    </row>
    <row r="25" spans="1:23" x14ac:dyDescent="0.25">
      <c r="A25" s="64">
        <v>24</v>
      </c>
      <c r="B25">
        <v>1</v>
      </c>
      <c r="C25">
        <v>0</v>
      </c>
      <c r="D25">
        <v>1</v>
      </c>
      <c r="E25">
        <v>1</v>
      </c>
      <c r="F25">
        <v>1</v>
      </c>
      <c r="G25">
        <v>1</v>
      </c>
      <c r="H25">
        <v>1</v>
      </c>
      <c r="I25">
        <v>1</v>
      </c>
      <c r="J25">
        <v>1</v>
      </c>
      <c r="K25">
        <v>0</v>
      </c>
      <c r="L25">
        <v>0</v>
      </c>
      <c r="M25">
        <v>0</v>
      </c>
      <c r="N25">
        <v>1</v>
      </c>
      <c r="O25">
        <v>1</v>
      </c>
      <c r="P25">
        <v>1</v>
      </c>
      <c r="Q25">
        <v>1</v>
      </c>
      <c r="R25">
        <v>0</v>
      </c>
      <c r="S25">
        <v>0</v>
      </c>
      <c r="T25" s="67" t="s">
        <v>384</v>
      </c>
      <c r="U25" s="67" t="s">
        <v>236</v>
      </c>
      <c r="V25" s="67">
        <v>12</v>
      </c>
      <c r="W25" s="68">
        <v>0.66666666666666663</v>
      </c>
    </row>
    <row r="26" spans="1:23" x14ac:dyDescent="0.25">
      <c r="A26" s="64">
        <v>25</v>
      </c>
      <c r="B26">
        <v>1</v>
      </c>
      <c r="C26">
        <v>1</v>
      </c>
      <c r="D26">
        <v>1</v>
      </c>
      <c r="E26">
        <v>1</v>
      </c>
      <c r="F26">
        <v>1</v>
      </c>
      <c r="G26">
        <v>1</v>
      </c>
      <c r="H26">
        <v>1</v>
      </c>
      <c r="I26">
        <v>1</v>
      </c>
      <c r="J26">
        <v>1</v>
      </c>
      <c r="K26">
        <v>0</v>
      </c>
      <c r="L26">
        <v>1</v>
      </c>
      <c r="M26">
        <v>1</v>
      </c>
      <c r="N26">
        <v>1</v>
      </c>
      <c r="O26">
        <v>1</v>
      </c>
      <c r="P26">
        <v>1</v>
      </c>
      <c r="Q26">
        <v>1</v>
      </c>
      <c r="R26">
        <v>0</v>
      </c>
      <c r="S26">
        <v>1</v>
      </c>
      <c r="T26" s="67" t="s">
        <v>386</v>
      </c>
      <c r="U26" s="67" t="s">
        <v>242</v>
      </c>
      <c r="V26" s="67">
        <v>16</v>
      </c>
      <c r="W26" s="68">
        <v>0.88888888888888884</v>
      </c>
    </row>
    <row r="27" spans="1:23" x14ac:dyDescent="0.25">
      <c r="A27" s="64">
        <v>26</v>
      </c>
      <c r="B27">
        <v>0</v>
      </c>
      <c r="C27">
        <v>0</v>
      </c>
      <c r="D27">
        <v>0</v>
      </c>
      <c r="E27">
        <v>0</v>
      </c>
      <c r="F27">
        <v>0</v>
      </c>
      <c r="G27">
        <v>0</v>
      </c>
      <c r="H27">
        <v>0</v>
      </c>
      <c r="I27">
        <v>0</v>
      </c>
      <c r="J27">
        <v>0</v>
      </c>
      <c r="K27">
        <v>0</v>
      </c>
      <c r="L27">
        <v>0</v>
      </c>
      <c r="M27">
        <v>0</v>
      </c>
      <c r="N27">
        <v>0</v>
      </c>
      <c r="O27">
        <v>0</v>
      </c>
      <c r="P27">
        <v>0</v>
      </c>
      <c r="Q27">
        <v>0</v>
      </c>
      <c r="R27">
        <v>0</v>
      </c>
      <c r="S27">
        <v>0</v>
      </c>
      <c r="T27" s="67" t="s">
        <v>389</v>
      </c>
      <c r="U27" s="67" t="s">
        <v>236</v>
      </c>
      <c r="V27" s="67">
        <v>0</v>
      </c>
      <c r="W27" s="68">
        <v>0</v>
      </c>
    </row>
    <row r="28" spans="1:23" x14ac:dyDescent="0.25">
      <c r="A28" s="64">
        <v>27</v>
      </c>
      <c r="B28">
        <v>0</v>
      </c>
      <c r="C28">
        <v>0</v>
      </c>
      <c r="D28">
        <v>1</v>
      </c>
      <c r="E28">
        <v>1</v>
      </c>
      <c r="F28">
        <v>1</v>
      </c>
      <c r="G28">
        <v>0</v>
      </c>
      <c r="H28">
        <v>0</v>
      </c>
      <c r="I28">
        <v>0</v>
      </c>
      <c r="J28">
        <v>0</v>
      </c>
      <c r="K28">
        <v>0</v>
      </c>
      <c r="L28">
        <v>0</v>
      </c>
      <c r="M28">
        <v>0</v>
      </c>
      <c r="N28">
        <v>1</v>
      </c>
      <c r="O28">
        <v>1</v>
      </c>
      <c r="P28">
        <v>1</v>
      </c>
      <c r="Q28">
        <v>1</v>
      </c>
      <c r="R28">
        <v>0</v>
      </c>
      <c r="S28">
        <v>1</v>
      </c>
      <c r="T28" s="67" t="s">
        <v>393</v>
      </c>
      <c r="U28" s="67" t="s">
        <v>237</v>
      </c>
      <c r="V28" s="67">
        <v>8</v>
      </c>
      <c r="W28" s="68">
        <v>0.44444444444444442</v>
      </c>
    </row>
    <row r="29" spans="1:23" ht="30" x14ac:dyDescent="0.25">
      <c r="A29" s="64">
        <v>28</v>
      </c>
      <c r="B29">
        <v>0</v>
      </c>
      <c r="C29">
        <v>0</v>
      </c>
      <c r="D29">
        <v>0</v>
      </c>
      <c r="E29">
        <v>0</v>
      </c>
      <c r="F29">
        <v>0</v>
      </c>
      <c r="G29">
        <v>0</v>
      </c>
      <c r="H29">
        <v>0</v>
      </c>
      <c r="I29">
        <v>0</v>
      </c>
      <c r="J29">
        <v>0</v>
      </c>
      <c r="K29">
        <v>0</v>
      </c>
      <c r="L29">
        <v>0</v>
      </c>
      <c r="M29">
        <v>0</v>
      </c>
      <c r="N29">
        <v>0</v>
      </c>
      <c r="O29">
        <v>0</v>
      </c>
      <c r="P29">
        <v>0</v>
      </c>
      <c r="Q29">
        <v>0</v>
      </c>
      <c r="R29">
        <v>0</v>
      </c>
      <c r="S29">
        <v>0</v>
      </c>
      <c r="T29" s="67" t="s">
        <v>396</v>
      </c>
      <c r="U29" s="67" t="s">
        <v>236</v>
      </c>
      <c r="V29" s="67">
        <v>0</v>
      </c>
      <c r="W29" s="68">
        <v>0</v>
      </c>
    </row>
    <row r="30" spans="1:23" x14ac:dyDescent="0.25">
      <c r="A30" s="64">
        <v>29</v>
      </c>
      <c r="B30">
        <v>0</v>
      </c>
      <c r="C30">
        <v>0</v>
      </c>
      <c r="D30">
        <v>0</v>
      </c>
      <c r="E30">
        <v>0</v>
      </c>
      <c r="F30">
        <v>0</v>
      </c>
      <c r="G30">
        <v>0</v>
      </c>
      <c r="H30">
        <v>0</v>
      </c>
      <c r="I30">
        <v>0</v>
      </c>
      <c r="J30">
        <v>0</v>
      </c>
      <c r="K30">
        <v>0</v>
      </c>
      <c r="L30">
        <v>0</v>
      </c>
      <c r="M30">
        <v>0</v>
      </c>
      <c r="N30">
        <v>0</v>
      </c>
      <c r="O30">
        <v>0</v>
      </c>
      <c r="P30">
        <v>0</v>
      </c>
      <c r="Q30">
        <v>0</v>
      </c>
      <c r="R30">
        <v>0</v>
      </c>
      <c r="S30">
        <v>0</v>
      </c>
      <c r="T30" s="67" t="s">
        <v>399</v>
      </c>
      <c r="U30" s="67" t="s">
        <v>238</v>
      </c>
      <c r="V30" s="67">
        <v>0</v>
      </c>
      <c r="W30" s="68">
        <v>0</v>
      </c>
    </row>
    <row r="31" spans="1:23" x14ac:dyDescent="0.25">
      <c r="A31" s="64">
        <v>30</v>
      </c>
      <c r="B31">
        <v>0</v>
      </c>
      <c r="C31">
        <v>0</v>
      </c>
      <c r="D31">
        <v>0</v>
      </c>
      <c r="E31">
        <v>0</v>
      </c>
      <c r="F31">
        <v>0</v>
      </c>
      <c r="G31">
        <v>0</v>
      </c>
      <c r="H31">
        <v>0</v>
      </c>
      <c r="I31">
        <v>0</v>
      </c>
      <c r="J31">
        <v>0</v>
      </c>
      <c r="K31">
        <v>0</v>
      </c>
      <c r="L31">
        <v>0</v>
      </c>
      <c r="M31">
        <v>0</v>
      </c>
      <c r="N31">
        <v>0</v>
      </c>
      <c r="O31">
        <v>0</v>
      </c>
      <c r="P31">
        <v>0</v>
      </c>
      <c r="Q31">
        <v>0</v>
      </c>
      <c r="R31">
        <v>0</v>
      </c>
      <c r="S31">
        <v>0</v>
      </c>
      <c r="T31" s="67" t="s">
        <v>402</v>
      </c>
      <c r="U31" s="67" t="s">
        <v>236</v>
      </c>
      <c r="V31" s="67">
        <v>0</v>
      </c>
      <c r="W31" s="68">
        <v>0</v>
      </c>
    </row>
    <row r="32" spans="1:23" x14ac:dyDescent="0.25">
      <c r="A32" s="64">
        <v>31</v>
      </c>
      <c r="B32">
        <v>1</v>
      </c>
      <c r="C32">
        <v>0</v>
      </c>
      <c r="D32">
        <v>1</v>
      </c>
      <c r="E32">
        <v>1</v>
      </c>
      <c r="F32">
        <v>1</v>
      </c>
      <c r="G32">
        <v>1</v>
      </c>
      <c r="H32">
        <v>1</v>
      </c>
      <c r="I32">
        <v>1</v>
      </c>
      <c r="J32">
        <v>1</v>
      </c>
      <c r="K32">
        <v>0</v>
      </c>
      <c r="L32">
        <v>0</v>
      </c>
      <c r="M32">
        <v>1</v>
      </c>
      <c r="N32">
        <v>1</v>
      </c>
      <c r="O32">
        <v>1</v>
      </c>
      <c r="P32">
        <v>1</v>
      </c>
      <c r="Q32">
        <v>1</v>
      </c>
      <c r="R32">
        <v>0</v>
      </c>
      <c r="S32">
        <v>1</v>
      </c>
      <c r="T32" s="67" t="s">
        <v>406</v>
      </c>
      <c r="U32" s="67" t="s">
        <v>241</v>
      </c>
      <c r="V32" s="67">
        <v>14</v>
      </c>
      <c r="W32" s="68">
        <v>0.77777777777777779</v>
      </c>
    </row>
    <row r="33" spans="1:23" x14ac:dyDescent="0.25">
      <c r="A33" s="64">
        <v>32</v>
      </c>
      <c r="B33">
        <v>1</v>
      </c>
      <c r="C33">
        <v>1</v>
      </c>
      <c r="D33">
        <v>1</v>
      </c>
      <c r="E33">
        <v>1</v>
      </c>
      <c r="F33">
        <v>1</v>
      </c>
      <c r="G33">
        <v>1</v>
      </c>
      <c r="H33">
        <v>1</v>
      </c>
      <c r="I33">
        <v>1</v>
      </c>
      <c r="J33">
        <v>1</v>
      </c>
      <c r="K33">
        <v>1</v>
      </c>
      <c r="L33">
        <v>1</v>
      </c>
      <c r="M33">
        <v>1</v>
      </c>
      <c r="N33">
        <v>1</v>
      </c>
      <c r="O33">
        <v>1</v>
      </c>
      <c r="P33">
        <v>1</v>
      </c>
      <c r="Q33">
        <v>1</v>
      </c>
      <c r="R33">
        <v>0</v>
      </c>
      <c r="S33">
        <v>1</v>
      </c>
      <c r="T33" s="67" t="s">
        <v>407</v>
      </c>
      <c r="U33" s="67" t="s">
        <v>238</v>
      </c>
      <c r="V33" s="67">
        <v>17</v>
      </c>
      <c r="W33" s="68">
        <v>0.94444444444444442</v>
      </c>
    </row>
    <row r="34" spans="1:23" x14ac:dyDescent="0.25">
      <c r="A34" s="64">
        <v>33</v>
      </c>
      <c r="B34">
        <v>0</v>
      </c>
      <c r="C34">
        <v>0</v>
      </c>
      <c r="D34">
        <v>0</v>
      </c>
      <c r="E34">
        <v>0</v>
      </c>
      <c r="F34">
        <v>0</v>
      </c>
      <c r="G34">
        <v>0</v>
      </c>
      <c r="H34">
        <v>0</v>
      </c>
      <c r="I34">
        <v>0</v>
      </c>
      <c r="J34">
        <v>0</v>
      </c>
      <c r="K34">
        <v>0</v>
      </c>
      <c r="L34">
        <v>0</v>
      </c>
      <c r="M34">
        <v>0</v>
      </c>
      <c r="N34">
        <v>0</v>
      </c>
      <c r="O34">
        <v>0</v>
      </c>
      <c r="P34">
        <v>0</v>
      </c>
      <c r="Q34">
        <v>0</v>
      </c>
      <c r="R34">
        <v>0</v>
      </c>
      <c r="S34">
        <v>0</v>
      </c>
      <c r="T34" s="67" t="s">
        <v>410</v>
      </c>
      <c r="U34" s="67" t="s">
        <v>238</v>
      </c>
      <c r="V34" s="67">
        <v>0</v>
      </c>
      <c r="W34" s="68">
        <v>0</v>
      </c>
    </row>
    <row r="35" spans="1:23" x14ac:dyDescent="0.25">
      <c r="A35" s="64">
        <v>34</v>
      </c>
      <c r="B35">
        <v>1</v>
      </c>
      <c r="C35">
        <v>1</v>
      </c>
      <c r="D35">
        <v>1</v>
      </c>
      <c r="E35">
        <v>1</v>
      </c>
      <c r="F35">
        <v>1</v>
      </c>
      <c r="G35">
        <v>1</v>
      </c>
      <c r="H35">
        <v>1</v>
      </c>
      <c r="I35">
        <v>1</v>
      </c>
      <c r="J35">
        <v>1</v>
      </c>
      <c r="K35">
        <v>0</v>
      </c>
      <c r="L35">
        <v>1</v>
      </c>
      <c r="M35">
        <v>1</v>
      </c>
      <c r="N35">
        <v>1</v>
      </c>
      <c r="O35">
        <v>1</v>
      </c>
      <c r="P35">
        <v>1</v>
      </c>
      <c r="Q35">
        <v>1</v>
      </c>
      <c r="R35">
        <v>0</v>
      </c>
      <c r="S35">
        <v>0</v>
      </c>
      <c r="T35" s="67" t="s">
        <v>413</v>
      </c>
      <c r="U35" s="67" t="s">
        <v>236</v>
      </c>
      <c r="V35" s="67">
        <v>15</v>
      </c>
      <c r="W35" s="68">
        <v>0.83333333333333337</v>
      </c>
    </row>
    <row r="36" spans="1:23" x14ac:dyDescent="0.25">
      <c r="A36" s="64">
        <v>35</v>
      </c>
      <c r="B36">
        <v>0</v>
      </c>
      <c r="C36">
        <v>0</v>
      </c>
      <c r="D36">
        <v>0</v>
      </c>
      <c r="E36">
        <v>0</v>
      </c>
      <c r="F36">
        <v>0</v>
      </c>
      <c r="G36">
        <v>0</v>
      </c>
      <c r="H36">
        <v>0</v>
      </c>
      <c r="I36">
        <v>0</v>
      </c>
      <c r="J36">
        <v>0</v>
      </c>
      <c r="K36">
        <v>0</v>
      </c>
      <c r="L36">
        <v>0</v>
      </c>
      <c r="M36">
        <v>0</v>
      </c>
      <c r="N36">
        <v>0</v>
      </c>
      <c r="O36">
        <v>0</v>
      </c>
      <c r="P36">
        <v>0</v>
      </c>
      <c r="Q36">
        <v>0</v>
      </c>
      <c r="R36">
        <v>0</v>
      </c>
      <c r="S36">
        <v>0</v>
      </c>
      <c r="T36" s="67" t="s">
        <v>416</v>
      </c>
      <c r="U36" s="67" t="s">
        <v>236</v>
      </c>
      <c r="V36" s="67">
        <v>0</v>
      </c>
      <c r="W36" s="68">
        <v>0</v>
      </c>
    </row>
    <row r="37" spans="1:23" x14ac:dyDescent="0.25">
      <c r="A37" s="64">
        <v>36</v>
      </c>
      <c r="B37">
        <v>1</v>
      </c>
      <c r="C37">
        <v>1</v>
      </c>
      <c r="D37">
        <v>1</v>
      </c>
      <c r="E37">
        <v>0</v>
      </c>
      <c r="F37">
        <v>0</v>
      </c>
      <c r="G37">
        <v>1</v>
      </c>
      <c r="H37">
        <v>1</v>
      </c>
      <c r="I37">
        <v>1</v>
      </c>
      <c r="J37">
        <v>1</v>
      </c>
      <c r="K37">
        <v>0</v>
      </c>
      <c r="L37">
        <v>1</v>
      </c>
      <c r="M37">
        <v>0</v>
      </c>
      <c r="N37">
        <v>1</v>
      </c>
      <c r="O37">
        <v>1</v>
      </c>
      <c r="P37">
        <v>1</v>
      </c>
      <c r="Q37">
        <v>1</v>
      </c>
      <c r="R37">
        <v>0</v>
      </c>
      <c r="S37">
        <v>0</v>
      </c>
      <c r="T37" s="67" t="s">
        <v>420</v>
      </c>
      <c r="U37" s="67" t="s">
        <v>238</v>
      </c>
      <c r="V37" s="67">
        <v>12</v>
      </c>
      <c r="W37" s="68">
        <v>0.66666666666666663</v>
      </c>
    </row>
    <row r="38" spans="1:23" x14ac:dyDescent="0.25">
      <c r="A38" s="64">
        <v>37</v>
      </c>
      <c r="B38">
        <v>0</v>
      </c>
      <c r="C38">
        <v>0</v>
      </c>
      <c r="D38">
        <v>0</v>
      </c>
      <c r="E38">
        <v>0</v>
      </c>
      <c r="F38">
        <v>0</v>
      </c>
      <c r="G38">
        <v>0</v>
      </c>
      <c r="H38">
        <v>0</v>
      </c>
      <c r="I38">
        <v>0</v>
      </c>
      <c r="J38">
        <v>0</v>
      </c>
      <c r="K38">
        <v>0</v>
      </c>
      <c r="L38">
        <v>0</v>
      </c>
      <c r="M38">
        <v>0</v>
      </c>
      <c r="N38">
        <v>0</v>
      </c>
      <c r="O38">
        <v>0</v>
      </c>
      <c r="P38">
        <v>0</v>
      </c>
      <c r="Q38">
        <v>0</v>
      </c>
      <c r="R38">
        <v>0</v>
      </c>
      <c r="S38">
        <v>0</v>
      </c>
      <c r="T38" s="67" t="s">
        <v>422</v>
      </c>
      <c r="U38" s="67" t="s">
        <v>240</v>
      </c>
      <c r="V38" s="67">
        <v>0</v>
      </c>
      <c r="W38" s="68">
        <v>0</v>
      </c>
    </row>
    <row r="39" spans="1:23" x14ac:dyDescent="0.25">
      <c r="A39" s="64">
        <v>38</v>
      </c>
      <c r="B39">
        <v>1</v>
      </c>
      <c r="C39">
        <v>1</v>
      </c>
      <c r="D39">
        <v>1</v>
      </c>
      <c r="E39">
        <v>0</v>
      </c>
      <c r="F39">
        <v>1</v>
      </c>
      <c r="G39">
        <v>1</v>
      </c>
      <c r="H39">
        <v>0</v>
      </c>
      <c r="I39">
        <v>1</v>
      </c>
      <c r="J39">
        <v>1</v>
      </c>
      <c r="K39">
        <v>0</v>
      </c>
      <c r="L39">
        <v>0</v>
      </c>
      <c r="M39">
        <v>1</v>
      </c>
      <c r="N39">
        <v>0</v>
      </c>
      <c r="O39">
        <v>0</v>
      </c>
      <c r="P39">
        <v>1</v>
      </c>
      <c r="Q39">
        <v>0</v>
      </c>
      <c r="R39">
        <v>0</v>
      </c>
      <c r="S39">
        <v>1</v>
      </c>
      <c r="T39" s="67" t="s">
        <v>425</v>
      </c>
      <c r="U39" s="67" t="s">
        <v>236</v>
      </c>
      <c r="V39" s="67">
        <v>10</v>
      </c>
      <c r="W39" s="68">
        <v>0.55555555555555558</v>
      </c>
    </row>
    <row r="40" spans="1:23" x14ac:dyDescent="0.25">
      <c r="A40" s="64">
        <v>39</v>
      </c>
      <c r="B40">
        <v>0</v>
      </c>
      <c r="C40">
        <v>0</v>
      </c>
      <c r="D40">
        <v>0</v>
      </c>
      <c r="E40">
        <v>0</v>
      </c>
      <c r="F40">
        <v>0</v>
      </c>
      <c r="G40">
        <v>0</v>
      </c>
      <c r="H40">
        <v>0</v>
      </c>
      <c r="I40">
        <v>0</v>
      </c>
      <c r="J40">
        <v>0</v>
      </c>
      <c r="K40">
        <v>0</v>
      </c>
      <c r="L40">
        <v>0</v>
      </c>
      <c r="M40">
        <v>0</v>
      </c>
      <c r="N40">
        <v>0</v>
      </c>
      <c r="O40">
        <v>0</v>
      </c>
      <c r="P40">
        <v>0</v>
      </c>
      <c r="Q40">
        <v>0</v>
      </c>
      <c r="R40">
        <v>0</v>
      </c>
      <c r="S40">
        <v>0</v>
      </c>
      <c r="T40" s="67" t="s">
        <v>427</v>
      </c>
      <c r="U40" s="67" t="s">
        <v>240</v>
      </c>
      <c r="V40" s="67">
        <v>0</v>
      </c>
      <c r="W40" s="68">
        <v>0</v>
      </c>
    </row>
    <row r="41" spans="1:23" x14ac:dyDescent="0.25">
      <c r="A41" s="64">
        <v>40</v>
      </c>
      <c r="B41">
        <v>1</v>
      </c>
      <c r="C41">
        <v>1</v>
      </c>
      <c r="D41">
        <v>1</v>
      </c>
      <c r="E41">
        <v>1</v>
      </c>
      <c r="F41">
        <v>1</v>
      </c>
      <c r="G41">
        <v>1</v>
      </c>
      <c r="H41">
        <v>0</v>
      </c>
      <c r="I41">
        <v>1</v>
      </c>
      <c r="J41">
        <v>1</v>
      </c>
      <c r="K41">
        <v>0</v>
      </c>
      <c r="L41">
        <v>0</v>
      </c>
      <c r="M41">
        <v>0</v>
      </c>
      <c r="N41">
        <v>0</v>
      </c>
      <c r="O41">
        <v>1</v>
      </c>
      <c r="P41">
        <v>1</v>
      </c>
      <c r="Q41">
        <v>1</v>
      </c>
      <c r="R41">
        <v>0</v>
      </c>
      <c r="S41">
        <v>0</v>
      </c>
      <c r="T41" s="67" t="s">
        <v>431</v>
      </c>
      <c r="U41" s="67" t="s">
        <v>240</v>
      </c>
      <c r="V41" s="67">
        <v>11</v>
      </c>
      <c r="W41" s="68">
        <v>0.61111111111111116</v>
      </c>
    </row>
    <row r="44" spans="1:23" ht="45" x14ac:dyDescent="0.25">
      <c r="A44" s="66" t="s">
        <v>21</v>
      </c>
      <c r="B44" s="66" t="s">
        <v>6405</v>
      </c>
      <c r="C44" s="66" t="s">
        <v>6406</v>
      </c>
      <c r="D44" s="66" t="s">
        <v>6407</v>
      </c>
      <c r="E44" s="66" t="s">
        <v>6408</v>
      </c>
      <c r="F44" s="66" t="s">
        <v>6409</v>
      </c>
      <c r="G44" s="66" t="s">
        <v>6410</v>
      </c>
      <c r="H44" s="66" t="s">
        <v>6411</v>
      </c>
      <c r="I44" s="66" t="s">
        <v>6412</v>
      </c>
      <c r="J44" s="66" t="s">
        <v>6413</v>
      </c>
      <c r="M44" s="66" t="s">
        <v>6426</v>
      </c>
      <c r="N44" s="66" t="s">
        <v>6406</v>
      </c>
      <c r="O44" s="66" t="s">
        <v>6405</v>
      </c>
      <c r="Q44" s="66" t="s">
        <v>37</v>
      </c>
      <c r="R44" s="66" t="s">
        <v>6420</v>
      </c>
    </row>
    <row r="45" spans="1:23" x14ac:dyDescent="0.25">
      <c r="A45" s="67" t="s">
        <v>53</v>
      </c>
      <c r="B45" s="67">
        <v>20</v>
      </c>
      <c r="C45" s="68">
        <v>0.5</v>
      </c>
      <c r="D45" s="69">
        <v>2.4</v>
      </c>
      <c r="E45" s="67">
        <v>3</v>
      </c>
      <c r="F45" s="68">
        <v>0.15</v>
      </c>
      <c r="G45" s="67">
        <v>6</v>
      </c>
      <c r="H45" s="68">
        <v>0.3</v>
      </c>
      <c r="I45" s="67">
        <v>11</v>
      </c>
      <c r="J45" s="68">
        <v>0.55000000000000004</v>
      </c>
      <c r="M45" s="67" t="s">
        <v>69</v>
      </c>
      <c r="N45" s="68">
        <v>0.625</v>
      </c>
      <c r="O45" s="67">
        <v>25</v>
      </c>
      <c r="Q45" s="67" t="s">
        <v>186</v>
      </c>
      <c r="R45" s="68">
        <v>0.35</v>
      </c>
    </row>
    <row r="46" spans="1:23" x14ac:dyDescent="0.25">
      <c r="A46" s="67" t="s">
        <v>61</v>
      </c>
      <c r="B46" s="67">
        <v>19</v>
      </c>
      <c r="C46" s="68">
        <v>0.47499999999999998</v>
      </c>
      <c r="D46" s="69">
        <v>2.263157894736842</v>
      </c>
      <c r="E46" s="67">
        <v>3</v>
      </c>
      <c r="F46" s="68">
        <v>0.15789473684210531</v>
      </c>
      <c r="G46" s="67">
        <v>8</v>
      </c>
      <c r="H46" s="68">
        <v>0.42105263157894729</v>
      </c>
      <c r="I46" s="67">
        <v>8</v>
      </c>
      <c r="J46" s="68">
        <v>0.42105263157894729</v>
      </c>
      <c r="M46" s="67" t="s">
        <v>154</v>
      </c>
      <c r="N46" s="68">
        <v>0.6</v>
      </c>
      <c r="O46" s="67">
        <v>24</v>
      </c>
      <c r="Q46" s="67" t="s">
        <v>192</v>
      </c>
      <c r="R46" s="68">
        <v>0.5</v>
      </c>
    </row>
    <row r="47" spans="1:23" x14ac:dyDescent="0.25">
      <c r="A47" s="67" t="s">
        <v>69</v>
      </c>
      <c r="B47" s="67">
        <v>25</v>
      </c>
      <c r="C47" s="68">
        <v>0.625</v>
      </c>
      <c r="D47" s="69">
        <v>1.88</v>
      </c>
      <c r="E47" s="67">
        <v>10</v>
      </c>
      <c r="F47" s="68">
        <v>0.4</v>
      </c>
      <c r="G47" s="67">
        <v>8</v>
      </c>
      <c r="H47" s="68">
        <v>0.32</v>
      </c>
      <c r="I47" s="67">
        <v>7</v>
      </c>
      <c r="J47" s="68">
        <v>0.28000000000000003</v>
      </c>
      <c r="M47" s="67" t="s">
        <v>83</v>
      </c>
      <c r="N47" s="68">
        <v>0.57499999999999996</v>
      </c>
      <c r="O47" s="67">
        <v>23</v>
      </c>
      <c r="Q47" s="67" t="s">
        <v>198</v>
      </c>
      <c r="R47" s="68">
        <v>0.52500000000000002</v>
      </c>
    </row>
    <row r="48" spans="1:23" x14ac:dyDescent="0.25">
      <c r="A48" s="67" t="s">
        <v>76</v>
      </c>
      <c r="B48" s="67">
        <v>18</v>
      </c>
      <c r="C48" s="68">
        <v>0.45</v>
      </c>
      <c r="D48" s="69">
        <v>2</v>
      </c>
      <c r="E48" s="67">
        <v>6</v>
      </c>
      <c r="F48" s="68">
        <v>0.33333333333333331</v>
      </c>
      <c r="G48" s="67">
        <v>6</v>
      </c>
      <c r="H48" s="68">
        <v>0.33333333333333331</v>
      </c>
      <c r="I48" s="67">
        <v>6</v>
      </c>
      <c r="J48" s="68">
        <v>0.33333333333333331</v>
      </c>
      <c r="M48" s="67" t="s">
        <v>90</v>
      </c>
      <c r="N48" s="68">
        <v>0.55000000000000004</v>
      </c>
      <c r="O48" s="67">
        <v>22</v>
      </c>
      <c r="Q48" s="67" t="s">
        <v>204</v>
      </c>
      <c r="R48" s="68">
        <v>0.125</v>
      </c>
    </row>
    <row r="49" spans="1:18" x14ac:dyDescent="0.25">
      <c r="A49" s="67" t="s">
        <v>83</v>
      </c>
      <c r="B49" s="67">
        <v>23</v>
      </c>
      <c r="C49" s="68">
        <v>0.57499999999999996</v>
      </c>
      <c r="D49" s="69">
        <v>2.043478260869565</v>
      </c>
      <c r="E49" s="67">
        <v>7</v>
      </c>
      <c r="F49" s="68">
        <v>0.30434782608695649</v>
      </c>
      <c r="G49" s="67">
        <v>8</v>
      </c>
      <c r="H49" s="68">
        <v>0.34782608695652167</v>
      </c>
      <c r="I49" s="67">
        <v>8</v>
      </c>
      <c r="J49" s="68">
        <v>0.34782608695652167</v>
      </c>
      <c r="M49" s="67" t="s">
        <v>147</v>
      </c>
      <c r="N49" s="68">
        <v>0.55000000000000004</v>
      </c>
      <c r="O49" s="67">
        <v>22</v>
      </c>
      <c r="Q49" s="67" t="s">
        <v>210</v>
      </c>
      <c r="R49" s="68">
        <v>0.17499999999999999</v>
      </c>
    </row>
    <row r="50" spans="1:18" x14ac:dyDescent="0.25">
      <c r="A50" s="67" t="s">
        <v>90</v>
      </c>
      <c r="B50" s="67">
        <v>22</v>
      </c>
      <c r="C50" s="68">
        <v>0.55000000000000004</v>
      </c>
      <c r="D50" s="69">
        <v>2.2272727272727271</v>
      </c>
      <c r="E50" s="67">
        <v>6</v>
      </c>
      <c r="F50" s="68">
        <v>0.27272727272727271</v>
      </c>
      <c r="G50" s="67">
        <v>5</v>
      </c>
      <c r="H50" s="68">
        <v>0.22727272727272729</v>
      </c>
      <c r="I50" s="67">
        <v>11</v>
      </c>
      <c r="J50" s="68">
        <v>0.5</v>
      </c>
      <c r="M50" s="67" t="s">
        <v>106</v>
      </c>
      <c r="N50" s="68">
        <v>0.52500000000000002</v>
      </c>
      <c r="O50" s="67">
        <v>21</v>
      </c>
      <c r="Q50" s="67" t="s">
        <v>215</v>
      </c>
      <c r="R50" s="68">
        <v>0.125</v>
      </c>
    </row>
    <row r="51" spans="1:18" x14ac:dyDescent="0.25">
      <c r="A51" s="67" t="s">
        <v>98</v>
      </c>
      <c r="B51" s="67">
        <v>19</v>
      </c>
      <c r="C51" s="68">
        <v>0.47499999999999998</v>
      </c>
      <c r="D51" s="69">
        <v>2.1052631578947372</v>
      </c>
      <c r="E51" s="67">
        <v>6</v>
      </c>
      <c r="F51" s="68">
        <v>0.31578947368421051</v>
      </c>
      <c r="G51" s="67">
        <v>5</v>
      </c>
      <c r="H51" s="68">
        <v>0.26315789473684209</v>
      </c>
      <c r="I51" s="67">
        <v>8</v>
      </c>
      <c r="J51" s="68">
        <v>0.42105263157894729</v>
      </c>
      <c r="M51" s="67" t="s">
        <v>112</v>
      </c>
      <c r="N51" s="68">
        <v>0.52500000000000002</v>
      </c>
      <c r="O51" s="67">
        <v>21</v>
      </c>
      <c r="Q51" s="67" t="s">
        <v>221</v>
      </c>
      <c r="R51" s="68">
        <v>2.5000000000000001E-2</v>
      </c>
    </row>
    <row r="52" spans="1:18" x14ac:dyDescent="0.25">
      <c r="A52" s="67" t="s">
        <v>106</v>
      </c>
      <c r="B52" s="67">
        <v>21</v>
      </c>
      <c r="C52" s="68">
        <v>0.52500000000000002</v>
      </c>
      <c r="D52" s="69">
        <v>2.047619047619047</v>
      </c>
      <c r="E52" s="67">
        <v>6</v>
      </c>
      <c r="F52" s="68">
        <v>0.2857142857142857</v>
      </c>
      <c r="G52" s="67">
        <v>8</v>
      </c>
      <c r="H52" s="68">
        <v>0.38095238095238088</v>
      </c>
      <c r="I52" s="67">
        <v>7</v>
      </c>
      <c r="J52" s="68">
        <v>0.33333333333333331</v>
      </c>
      <c r="M52" s="67" t="s">
        <v>53</v>
      </c>
      <c r="N52" s="68">
        <v>0.5</v>
      </c>
      <c r="O52" s="67">
        <v>20</v>
      </c>
    </row>
    <row r="53" spans="1:18" x14ac:dyDescent="0.25">
      <c r="A53" s="67" t="s">
        <v>112</v>
      </c>
      <c r="B53" s="67">
        <v>21</v>
      </c>
      <c r="C53" s="68">
        <v>0.52500000000000002</v>
      </c>
      <c r="D53" s="69">
        <v>2.285714285714286</v>
      </c>
      <c r="E53" s="67">
        <v>5</v>
      </c>
      <c r="F53" s="68">
        <v>0.23809523809523811</v>
      </c>
      <c r="G53" s="67">
        <v>5</v>
      </c>
      <c r="H53" s="68">
        <v>0.23809523809523811</v>
      </c>
      <c r="I53" s="67">
        <v>11</v>
      </c>
      <c r="J53" s="68">
        <v>0.52380952380952384</v>
      </c>
      <c r="M53" s="67" t="s">
        <v>61</v>
      </c>
      <c r="N53" s="68">
        <v>0.47499999999999998</v>
      </c>
      <c r="O53" s="67">
        <v>19</v>
      </c>
    </row>
    <row r="54" spans="1:18" x14ac:dyDescent="0.25">
      <c r="A54" s="67" t="s">
        <v>118</v>
      </c>
      <c r="B54" s="67">
        <v>3</v>
      </c>
      <c r="C54" s="68">
        <v>7.4999999999999997E-2</v>
      </c>
      <c r="D54" s="69">
        <v>2.666666666666667</v>
      </c>
      <c r="E54" s="67">
        <v>0</v>
      </c>
      <c r="F54" s="68">
        <v>0</v>
      </c>
      <c r="G54" s="67">
        <v>1</v>
      </c>
      <c r="H54" s="68">
        <v>0.33333333333333331</v>
      </c>
      <c r="I54" s="67">
        <v>2</v>
      </c>
      <c r="J54" s="68">
        <v>0.66666666666666663</v>
      </c>
      <c r="M54" s="67" t="s">
        <v>98</v>
      </c>
      <c r="N54" s="68">
        <v>0.47499999999999998</v>
      </c>
      <c r="O54" s="67">
        <v>19</v>
      </c>
    </row>
    <row r="55" spans="1:18" x14ac:dyDescent="0.25">
      <c r="A55" s="67" t="s">
        <v>125</v>
      </c>
      <c r="B55" s="67">
        <v>11</v>
      </c>
      <c r="C55" s="68">
        <v>0.27500000000000002</v>
      </c>
      <c r="D55" s="69">
        <v>1.7272727272727271</v>
      </c>
      <c r="E55" s="67">
        <v>6</v>
      </c>
      <c r="F55" s="68">
        <v>0.54545454545454541</v>
      </c>
      <c r="G55" s="67">
        <v>2</v>
      </c>
      <c r="H55" s="68">
        <v>0.1818181818181818</v>
      </c>
      <c r="I55" s="67">
        <v>3</v>
      </c>
      <c r="J55" s="68">
        <v>0.27272727272727271</v>
      </c>
    </row>
    <row r="56" spans="1:18" x14ac:dyDescent="0.25">
      <c r="A56" s="67" t="s">
        <v>132</v>
      </c>
      <c r="B56" s="67">
        <v>13</v>
      </c>
      <c r="C56" s="68">
        <v>0.32500000000000001</v>
      </c>
      <c r="D56" s="69">
        <v>1.615384615384615</v>
      </c>
      <c r="E56" s="67">
        <v>7</v>
      </c>
      <c r="F56" s="68">
        <v>0.53846153846153844</v>
      </c>
      <c r="G56" s="67">
        <v>4</v>
      </c>
      <c r="H56" s="68">
        <v>0.30769230769230771</v>
      </c>
      <c r="I56" s="67">
        <v>2</v>
      </c>
      <c r="J56" s="68">
        <v>0.15384615384615391</v>
      </c>
    </row>
    <row r="57" spans="1:18" x14ac:dyDescent="0.25">
      <c r="A57" s="67" t="s">
        <v>140</v>
      </c>
      <c r="B57" s="67">
        <v>18</v>
      </c>
      <c r="C57" s="68">
        <v>0.45</v>
      </c>
      <c r="D57" s="69">
        <v>1.1111111111111109</v>
      </c>
      <c r="E57" s="67">
        <v>16</v>
      </c>
      <c r="F57" s="68">
        <v>0.88888888888888884</v>
      </c>
      <c r="G57" s="67">
        <v>2</v>
      </c>
      <c r="H57" s="68">
        <v>0.1111111111111111</v>
      </c>
      <c r="I57" s="67">
        <v>0</v>
      </c>
      <c r="J57" s="68">
        <v>0</v>
      </c>
    </row>
    <row r="58" spans="1:18" x14ac:dyDescent="0.25">
      <c r="A58" s="67" t="s">
        <v>147</v>
      </c>
      <c r="B58" s="67">
        <v>22</v>
      </c>
      <c r="C58" s="68">
        <v>0.55000000000000004</v>
      </c>
      <c r="D58" s="69">
        <v>2.1363636363636358</v>
      </c>
      <c r="E58" s="67">
        <v>4</v>
      </c>
      <c r="F58" s="68">
        <v>0.1818181818181818</v>
      </c>
      <c r="G58" s="67">
        <v>11</v>
      </c>
      <c r="H58" s="68">
        <v>0.5</v>
      </c>
      <c r="I58" s="67">
        <v>7</v>
      </c>
      <c r="J58" s="68">
        <v>0.31818181818181818</v>
      </c>
    </row>
    <row r="59" spans="1:18" x14ac:dyDescent="0.25">
      <c r="A59" s="67" t="s">
        <v>154</v>
      </c>
      <c r="B59" s="67">
        <v>24</v>
      </c>
      <c r="C59" s="68">
        <v>0.6</v>
      </c>
      <c r="D59" s="69">
        <v>1.708333333333333</v>
      </c>
      <c r="E59" s="67">
        <v>9</v>
      </c>
      <c r="F59" s="68">
        <v>0.375</v>
      </c>
      <c r="G59" s="67">
        <v>13</v>
      </c>
      <c r="H59" s="68">
        <v>0.54166666666666663</v>
      </c>
      <c r="I59" s="67">
        <v>2</v>
      </c>
      <c r="J59" s="68">
        <v>8.3333333333333329E-2</v>
      </c>
    </row>
    <row r="60" spans="1:18" x14ac:dyDescent="0.25">
      <c r="A60" s="67" t="s">
        <v>161</v>
      </c>
      <c r="B60" s="67">
        <v>18</v>
      </c>
      <c r="C60" s="68">
        <v>0.45</v>
      </c>
      <c r="D60" s="69">
        <v>2.333333333333333</v>
      </c>
      <c r="E60" s="67">
        <v>5</v>
      </c>
      <c r="F60" s="68">
        <v>0.27777777777777779</v>
      </c>
      <c r="G60" s="67">
        <v>2</v>
      </c>
      <c r="H60" s="68">
        <v>0.1111111111111111</v>
      </c>
      <c r="I60" s="67">
        <v>11</v>
      </c>
      <c r="J60" s="68">
        <v>0.61111111111111116</v>
      </c>
    </row>
    <row r="61" spans="1:18" x14ac:dyDescent="0.25">
      <c r="A61" s="67" t="s">
        <v>166</v>
      </c>
      <c r="B61" s="67">
        <v>7</v>
      </c>
      <c r="C61" s="68">
        <v>0.17499999999999999</v>
      </c>
      <c r="D61" s="69">
        <v>1.857142857142857</v>
      </c>
      <c r="E61" s="67">
        <v>2</v>
      </c>
      <c r="F61" s="68">
        <v>0.2857142857142857</v>
      </c>
      <c r="G61" s="67">
        <v>4</v>
      </c>
      <c r="H61" s="68">
        <v>0.5714285714285714</v>
      </c>
      <c r="I61" s="67">
        <v>1</v>
      </c>
      <c r="J61" s="68">
        <v>0.14285714285714279</v>
      </c>
    </row>
    <row r="62" spans="1:18" x14ac:dyDescent="0.25">
      <c r="A62" s="67" t="s">
        <v>174</v>
      </c>
      <c r="B62" s="67">
        <v>13</v>
      </c>
      <c r="C62" s="68">
        <v>0.32500000000000001</v>
      </c>
      <c r="D62" s="69">
        <v>1.6923076923076921</v>
      </c>
      <c r="E62" s="67">
        <v>6</v>
      </c>
      <c r="F62" s="68">
        <v>0.46153846153846162</v>
      </c>
      <c r="G62" s="67">
        <v>5</v>
      </c>
      <c r="H62" s="68">
        <v>0.38461538461538458</v>
      </c>
      <c r="I62" s="67">
        <v>2</v>
      </c>
      <c r="J62" s="68">
        <v>0.15384615384615391</v>
      </c>
    </row>
    <row r="64" spans="1:18" ht="30" x14ac:dyDescent="0.25">
      <c r="A64" s="66" t="s">
        <v>37</v>
      </c>
      <c r="B64" s="66" t="s">
        <v>6416</v>
      </c>
      <c r="C64" s="66" t="s">
        <v>6417</v>
      </c>
      <c r="D64" s="66" t="s">
        <v>6418</v>
      </c>
      <c r="E64" s="66" t="s">
        <v>6419</v>
      </c>
      <c r="F64" s="66" t="s">
        <v>6420</v>
      </c>
      <c r="H64" s="66" t="s">
        <v>0</v>
      </c>
      <c r="I64" s="66" t="s">
        <v>6353</v>
      </c>
      <c r="J64" s="66" t="s">
        <v>3</v>
      </c>
      <c r="K64" s="66" t="s">
        <v>6414</v>
      </c>
      <c r="L64" s="66" t="s">
        <v>6415</v>
      </c>
    </row>
    <row r="65" spans="1:12" x14ac:dyDescent="0.25">
      <c r="A65" s="67" t="s">
        <v>186</v>
      </c>
      <c r="B65" s="67">
        <v>24</v>
      </c>
      <c r="C65" s="67">
        <v>2</v>
      </c>
      <c r="D65" s="67">
        <v>14</v>
      </c>
      <c r="E65" s="67">
        <v>0</v>
      </c>
      <c r="F65" s="68">
        <v>0.35</v>
      </c>
      <c r="H65" s="67">
        <v>15</v>
      </c>
      <c r="I65" s="67" t="s">
        <v>352</v>
      </c>
      <c r="J65" s="67" t="s">
        <v>241</v>
      </c>
      <c r="K65" s="67">
        <v>18</v>
      </c>
      <c r="L65" s="68">
        <v>1</v>
      </c>
    </row>
    <row r="66" spans="1:12" x14ac:dyDescent="0.25">
      <c r="A66" s="67" t="s">
        <v>192</v>
      </c>
      <c r="B66" s="67">
        <v>16</v>
      </c>
      <c r="C66" s="67">
        <v>4</v>
      </c>
      <c r="D66" s="67">
        <v>19</v>
      </c>
      <c r="E66" s="67">
        <v>1</v>
      </c>
      <c r="F66" s="68">
        <v>0.5</v>
      </c>
      <c r="H66" s="67">
        <v>17</v>
      </c>
      <c r="I66" s="67" t="s">
        <v>359</v>
      </c>
      <c r="J66" s="67" t="s">
        <v>238</v>
      </c>
      <c r="K66" s="67">
        <v>17</v>
      </c>
      <c r="L66" s="68">
        <v>0.94444444444444442</v>
      </c>
    </row>
    <row r="67" spans="1:12" x14ac:dyDescent="0.25">
      <c r="A67" s="67" t="s">
        <v>198</v>
      </c>
      <c r="B67" s="67">
        <v>18</v>
      </c>
      <c r="C67" s="67">
        <v>1</v>
      </c>
      <c r="D67" s="67">
        <v>20</v>
      </c>
      <c r="E67" s="67">
        <v>1</v>
      </c>
      <c r="F67" s="68">
        <v>0.52500000000000002</v>
      </c>
      <c r="H67" s="67">
        <v>32</v>
      </c>
      <c r="I67" s="67" t="s">
        <v>407</v>
      </c>
      <c r="J67" s="67" t="s">
        <v>238</v>
      </c>
      <c r="K67" s="67">
        <v>17</v>
      </c>
      <c r="L67" s="68">
        <v>0.94444444444444442</v>
      </c>
    </row>
    <row r="68" spans="1:12" x14ac:dyDescent="0.25">
      <c r="A68" s="67" t="s">
        <v>204</v>
      </c>
      <c r="B68" s="67">
        <v>30</v>
      </c>
      <c r="C68" s="67">
        <v>5</v>
      </c>
      <c r="D68" s="67">
        <v>4</v>
      </c>
      <c r="E68" s="67">
        <v>1</v>
      </c>
      <c r="F68" s="68">
        <v>0.125</v>
      </c>
      <c r="H68" s="67">
        <v>3</v>
      </c>
      <c r="I68" s="67" t="s">
        <v>311</v>
      </c>
      <c r="J68" s="67" t="s">
        <v>237</v>
      </c>
      <c r="K68" s="67">
        <v>16</v>
      </c>
      <c r="L68" s="68">
        <v>0.88888888888888884</v>
      </c>
    </row>
    <row r="69" spans="1:12" x14ac:dyDescent="0.25">
      <c r="A69" s="67" t="s">
        <v>210</v>
      </c>
      <c r="B69" s="67">
        <v>25</v>
      </c>
      <c r="C69" s="67">
        <v>8</v>
      </c>
      <c r="D69" s="67">
        <v>4</v>
      </c>
      <c r="E69" s="67">
        <v>3</v>
      </c>
      <c r="F69" s="68">
        <v>0.17499999999999999</v>
      </c>
      <c r="H69" s="67">
        <v>25</v>
      </c>
      <c r="I69" s="67" t="s">
        <v>386</v>
      </c>
      <c r="J69" s="67" t="s">
        <v>242</v>
      </c>
      <c r="K69" s="67">
        <v>16</v>
      </c>
      <c r="L69" s="68">
        <v>0.88888888888888884</v>
      </c>
    </row>
    <row r="70" spans="1:12" x14ac:dyDescent="0.25">
      <c r="A70" s="67" t="s">
        <v>215</v>
      </c>
      <c r="B70" s="67">
        <v>30</v>
      </c>
      <c r="C70" s="67">
        <v>5</v>
      </c>
      <c r="D70" s="67">
        <v>4</v>
      </c>
      <c r="E70" s="67">
        <v>1</v>
      </c>
      <c r="F70" s="68">
        <v>0.125</v>
      </c>
    </row>
    <row r="71" spans="1:12" x14ac:dyDescent="0.25">
      <c r="A71" s="67" t="s">
        <v>221</v>
      </c>
      <c r="B71" s="67">
        <v>33</v>
      </c>
      <c r="C71" s="67">
        <v>6</v>
      </c>
      <c r="D71" s="67">
        <v>1</v>
      </c>
      <c r="E71" s="67">
        <v>0</v>
      </c>
      <c r="F71" s="68">
        <v>2.5000000000000001E-2</v>
      </c>
    </row>
    <row r="73" spans="1:12" ht="30" x14ac:dyDescent="0.25">
      <c r="A73" s="66" t="s">
        <v>3</v>
      </c>
      <c r="B73" s="66" t="s">
        <v>6421</v>
      </c>
      <c r="C73" s="66" t="s">
        <v>6422</v>
      </c>
      <c r="D73" s="66" t="s">
        <v>6423</v>
      </c>
      <c r="E73" s="66" t="s">
        <v>6424</v>
      </c>
      <c r="F73" s="66" t="s">
        <v>6425</v>
      </c>
    </row>
    <row r="74" spans="1:12" x14ac:dyDescent="0.25">
      <c r="A74" s="67" t="s">
        <v>240</v>
      </c>
      <c r="B74" s="67">
        <v>5</v>
      </c>
      <c r="C74" s="80">
        <v>4</v>
      </c>
      <c r="D74" s="80">
        <v>0</v>
      </c>
      <c r="E74" s="80">
        <v>16.19047619047619</v>
      </c>
      <c r="F74" s="80">
        <v>0</v>
      </c>
    </row>
    <row r="75" spans="1:12" x14ac:dyDescent="0.25">
      <c r="A75" s="67" t="s">
        <v>237</v>
      </c>
      <c r="B75" s="67">
        <v>6</v>
      </c>
      <c r="C75" s="80">
        <v>10.5</v>
      </c>
      <c r="D75" s="80">
        <v>11</v>
      </c>
      <c r="E75" s="80">
        <v>34.920634920634917</v>
      </c>
      <c r="F75" s="80">
        <v>40.476190476190467</v>
      </c>
    </row>
    <row r="76" spans="1:12" x14ac:dyDescent="0.25">
      <c r="A76" s="67" t="s">
        <v>236</v>
      </c>
      <c r="B76" s="67">
        <v>12</v>
      </c>
      <c r="C76" s="80">
        <v>7.666666666666667</v>
      </c>
      <c r="D76" s="80">
        <v>9</v>
      </c>
      <c r="E76" s="80">
        <v>14.285714285714279</v>
      </c>
      <c r="F76" s="80">
        <v>7.1428571428571423</v>
      </c>
    </row>
    <row r="77" spans="1:12" ht="30" x14ac:dyDescent="0.25">
      <c r="A77" s="67" t="s">
        <v>242</v>
      </c>
      <c r="B77" s="67">
        <v>6</v>
      </c>
      <c r="C77" s="80">
        <v>8.5</v>
      </c>
      <c r="D77" s="80">
        <v>10</v>
      </c>
      <c r="E77" s="80">
        <v>25.396825396825399</v>
      </c>
      <c r="F77" s="80">
        <v>16.666666666666661</v>
      </c>
    </row>
    <row r="78" spans="1:12" ht="30" x14ac:dyDescent="0.25">
      <c r="A78" s="67" t="s">
        <v>243</v>
      </c>
      <c r="B78" s="67">
        <v>1</v>
      </c>
      <c r="C78" s="80">
        <v>0</v>
      </c>
      <c r="D78" s="80">
        <v>0</v>
      </c>
      <c r="E78" s="80">
        <v>0</v>
      </c>
      <c r="F78" s="80">
        <v>0</v>
      </c>
    </row>
    <row r="79" spans="1:12" x14ac:dyDescent="0.25">
      <c r="A79" s="67" t="s">
        <v>238</v>
      </c>
      <c r="B79" s="67">
        <v>7</v>
      </c>
      <c r="C79" s="80">
        <v>8.4285714285714288</v>
      </c>
      <c r="D79" s="80">
        <v>12</v>
      </c>
      <c r="E79" s="80">
        <v>24.489795918367349</v>
      </c>
      <c r="F79" s="80">
        <v>23.80952380952381</v>
      </c>
    </row>
    <row r="80" spans="1:12" x14ac:dyDescent="0.25">
      <c r="A80" s="67" t="s">
        <v>241</v>
      </c>
      <c r="B80" s="67">
        <v>3</v>
      </c>
      <c r="C80" s="80">
        <v>10.66666666666667</v>
      </c>
      <c r="D80" s="80">
        <v>14</v>
      </c>
      <c r="E80" s="80">
        <v>30.158730158730162</v>
      </c>
      <c r="F80" s="80">
        <v>19.047619047619051</v>
      </c>
    </row>
    <row r="82" spans="1:6" ht="60" x14ac:dyDescent="0.25">
      <c r="A82" s="66" t="s">
        <v>0</v>
      </c>
      <c r="B82" s="66" t="s">
        <v>6353</v>
      </c>
      <c r="C82" s="66" t="s">
        <v>3</v>
      </c>
      <c r="D82" s="66" t="s">
        <v>6414</v>
      </c>
      <c r="E82" s="66" t="s">
        <v>6415</v>
      </c>
      <c r="F82" s="66" t="s">
        <v>6427</v>
      </c>
    </row>
    <row r="83" spans="1:6" x14ac:dyDescent="0.25">
      <c r="A83" s="67">
        <v>1</v>
      </c>
      <c r="B83" s="67" t="s">
        <v>303</v>
      </c>
      <c r="C83" s="67" t="s">
        <v>240</v>
      </c>
      <c r="D83" s="67">
        <v>0</v>
      </c>
      <c r="E83" s="68">
        <v>0</v>
      </c>
      <c r="F83" s="69">
        <v>0</v>
      </c>
    </row>
    <row r="84" spans="1:6" ht="30" x14ac:dyDescent="0.25">
      <c r="A84" s="67">
        <v>6</v>
      </c>
      <c r="B84" s="67" t="s">
        <v>321</v>
      </c>
      <c r="C84" s="67" t="s">
        <v>240</v>
      </c>
      <c r="D84" s="67">
        <v>9</v>
      </c>
      <c r="E84" s="68">
        <v>0.5</v>
      </c>
      <c r="F84" s="69">
        <v>33.333333333333329</v>
      </c>
    </row>
    <row r="85" spans="1:6" ht="30" x14ac:dyDescent="0.25">
      <c r="A85" s="67">
        <v>37</v>
      </c>
      <c r="B85" s="67" t="s">
        <v>422</v>
      </c>
      <c r="C85" s="67" t="s">
        <v>240</v>
      </c>
      <c r="D85" s="67">
        <v>0</v>
      </c>
      <c r="E85" s="68">
        <v>0</v>
      </c>
      <c r="F85" s="69">
        <v>0</v>
      </c>
    </row>
    <row r="86" spans="1:6" ht="30" x14ac:dyDescent="0.25">
      <c r="A86" s="67">
        <v>39</v>
      </c>
      <c r="B86" s="67" t="s">
        <v>427</v>
      </c>
      <c r="C86" s="67" t="s">
        <v>240</v>
      </c>
      <c r="D86" s="67">
        <v>0</v>
      </c>
      <c r="E86" s="68">
        <v>0</v>
      </c>
      <c r="F86" s="69">
        <v>0</v>
      </c>
    </row>
    <row r="87" spans="1:6" ht="30" x14ac:dyDescent="0.25">
      <c r="A87" s="67">
        <v>40</v>
      </c>
      <c r="B87" s="67" t="s">
        <v>431</v>
      </c>
      <c r="C87" s="67" t="s">
        <v>240</v>
      </c>
      <c r="D87" s="67">
        <v>11</v>
      </c>
      <c r="E87" s="68">
        <v>0.61111111111111116</v>
      </c>
      <c r="F87" s="69">
        <v>47.619047619047613</v>
      </c>
    </row>
    <row r="88" spans="1:6" x14ac:dyDescent="0.25">
      <c r="A88" s="67">
        <v>3</v>
      </c>
      <c r="B88" s="67" t="s">
        <v>311</v>
      </c>
      <c r="C88" s="67" t="s">
        <v>237</v>
      </c>
      <c r="D88" s="67">
        <v>16</v>
      </c>
      <c r="E88" s="68">
        <v>0.88888888888888884</v>
      </c>
      <c r="F88" s="69">
        <v>52.380952380952387</v>
      </c>
    </row>
    <row r="89" spans="1:6" ht="45" x14ac:dyDescent="0.25">
      <c r="A89" s="67">
        <v>9</v>
      </c>
      <c r="B89" s="67" t="s">
        <v>330</v>
      </c>
      <c r="C89" s="67" t="s">
        <v>237</v>
      </c>
      <c r="D89" s="67">
        <v>14</v>
      </c>
      <c r="E89" s="68">
        <v>0.77777777777777779</v>
      </c>
      <c r="F89" s="69">
        <v>42.857142857142847</v>
      </c>
    </row>
    <row r="90" spans="1:6" ht="45" x14ac:dyDescent="0.25">
      <c r="A90" s="67">
        <v>12</v>
      </c>
      <c r="B90" s="67" t="s">
        <v>342</v>
      </c>
      <c r="C90" s="67" t="s">
        <v>237</v>
      </c>
      <c r="D90" s="67">
        <v>14</v>
      </c>
      <c r="E90" s="68">
        <v>0.77777777777777779</v>
      </c>
      <c r="F90" s="69">
        <v>38.095238095238088</v>
      </c>
    </row>
    <row r="91" spans="1:6" ht="45" x14ac:dyDescent="0.25">
      <c r="A91" s="67">
        <v>13</v>
      </c>
      <c r="B91" s="67" t="s">
        <v>344</v>
      </c>
      <c r="C91" s="67" t="s">
        <v>237</v>
      </c>
      <c r="D91" s="67">
        <v>6</v>
      </c>
      <c r="E91" s="68">
        <v>0.33333333333333331</v>
      </c>
      <c r="F91" s="69">
        <v>19.047619047619051</v>
      </c>
    </row>
    <row r="92" spans="1:6" ht="45" x14ac:dyDescent="0.25">
      <c r="A92" s="67">
        <v>20</v>
      </c>
      <c r="B92" s="67" t="s">
        <v>371</v>
      </c>
      <c r="C92" s="67" t="s">
        <v>237</v>
      </c>
      <c r="D92" s="67">
        <v>5</v>
      </c>
      <c r="E92" s="68">
        <v>0.27777777777777779</v>
      </c>
      <c r="F92" s="69">
        <v>4.7619047619047619</v>
      </c>
    </row>
    <row r="93" spans="1:6" ht="45" x14ac:dyDescent="0.25">
      <c r="A93" s="67">
        <v>27</v>
      </c>
      <c r="B93" s="67" t="s">
        <v>393</v>
      </c>
      <c r="C93" s="67" t="s">
        <v>237</v>
      </c>
      <c r="D93" s="67">
        <v>8</v>
      </c>
      <c r="E93" s="68">
        <v>0.44444444444444442</v>
      </c>
      <c r="F93" s="69">
        <v>52.380952380952387</v>
      </c>
    </row>
    <row r="94" spans="1:6" x14ac:dyDescent="0.25">
      <c r="A94" s="67">
        <v>2</v>
      </c>
      <c r="B94" s="67" t="s">
        <v>306</v>
      </c>
      <c r="C94" s="67" t="s">
        <v>236</v>
      </c>
      <c r="D94" s="67">
        <v>13</v>
      </c>
      <c r="E94" s="68">
        <v>0.72222222222222221</v>
      </c>
      <c r="F94" s="69">
        <v>19.047619047619051</v>
      </c>
    </row>
    <row r="95" spans="1:6" x14ac:dyDescent="0.25">
      <c r="A95" s="67">
        <v>7</v>
      </c>
      <c r="B95" s="67" t="s">
        <v>325</v>
      </c>
      <c r="C95" s="67" t="s">
        <v>236</v>
      </c>
      <c r="D95" s="67">
        <v>15</v>
      </c>
      <c r="E95" s="68">
        <v>0.83333333333333337</v>
      </c>
      <c r="F95" s="69">
        <v>38.095238095238088</v>
      </c>
    </row>
    <row r="96" spans="1:6" ht="30" x14ac:dyDescent="0.25">
      <c r="A96" s="67">
        <v>10</v>
      </c>
      <c r="B96" s="67" t="s">
        <v>334</v>
      </c>
      <c r="C96" s="67" t="s">
        <v>236</v>
      </c>
      <c r="D96" s="67">
        <v>8</v>
      </c>
      <c r="E96" s="68">
        <v>0.44444444444444442</v>
      </c>
      <c r="F96" s="69">
        <v>9.5238095238095237</v>
      </c>
    </row>
    <row r="97" spans="1:6" ht="30" x14ac:dyDescent="0.25">
      <c r="A97" s="67">
        <v>11</v>
      </c>
      <c r="B97" s="67" t="s">
        <v>338</v>
      </c>
      <c r="C97" s="67" t="s">
        <v>236</v>
      </c>
      <c r="D97" s="67">
        <v>6</v>
      </c>
      <c r="E97" s="68">
        <v>0.33333333333333331</v>
      </c>
      <c r="F97" s="69">
        <v>4.7619047619047619</v>
      </c>
    </row>
    <row r="98" spans="1:6" ht="30" x14ac:dyDescent="0.25">
      <c r="A98" s="67">
        <v>19</v>
      </c>
      <c r="B98" s="67" t="s">
        <v>367</v>
      </c>
      <c r="C98" s="67" t="s">
        <v>236</v>
      </c>
      <c r="D98" s="67">
        <v>13</v>
      </c>
      <c r="E98" s="68">
        <v>0.72222222222222221</v>
      </c>
      <c r="F98" s="69">
        <v>42.857142857142847</v>
      </c>
    </row>
    <row r="99" spans="1:6" ht="60" x14ac:dyDescent="0.25">
      <c r="A99" s="67">
        <v>24</v>
      </c>
      <c r="B99" s="67" t="s">
        <v>384</v>
      </c>
      <c r="C99" s="67" t="s">
        <v>236</v>
      </c>
      <c r="D99" s="67">
        <v>12</v>
      </c>
      <c r="E99" s="68">
        <v>0.66666666666666663</v>
      </c>
      <c r="F99" s="69">
        <v>19.047619047619051</v>
      </c>
    </row>
    <row r="100" spans="1:6" ht="60" x14ac:dyDescent="0.25">
      <c r="A100" s="67">
        <v>26</v>
      </c>
      <c r="B100" s="67" t="s">
        <v>389</v>
      </c>
      <c r="C100" s="67" t="s">
        <v>236</v>
      </c>
      <c r="D100" s="67">
        <v>0</v>
      </c>
      <c r="E100" s="68">
        <v>0</v>
      </c>
      <c r="F100" s="69">
        <v>0</v>
      </c>
    </row>
    <row r="101" spans="1:6" ht="90" x14ac:dyDescent="0.25">
      <c r="A101" s="67">
        <v>28</v>
      </c>
      <c r="B101" s="67" t="s">
        <v>396</v>
      </c>
      <c r="C101" s="67" t="s">
        <v>236</v>
      </c>
      <c r="D101" s="67">
        <v>0</v>
      </c>
      <c r="E101" s="68">
        <v>0</v>
      </c>
      <c r="F101" s="69">
        <v>0</v>
      </c>
    </row>
    <row r="102" spans="1:6" ht="30" x14ac:dyDescent="0.25">
      <c r="A102" s="67">
        <v>30</v>
      </c>
      <c r="B102" s="67" t="s">
        <v>402</v>
      </c>
      <c r="C102" s="67" t="s">
        <v>236</v>
      </c>
      <c r="D102" s="67">
        <v>0</v>
      </c>
      <c r="E102" s="68">
        <v>0</v>
      </c>
      <c r="F102" s="69">
        <v>0</v>
      </c>
    </row>
    <row r="103" spans="1:6" ht="30" x14ac:dyDescent="0.25">
      <c r="A103" s="67">
        <v>34</v>
      </c>
      <c r="B103" s="67" t="s">
        <v>413</v>
      </c>
      <c r="C103" s="67" t="s">
        <v>236</v>
      </c>
      <c r="D103" s="67">
        <v>15</v>
      </c>
      <c r="E103" s="68">
        <v>0.83333333333333337</v>
      </c>
      <c r="F103" s="69">
        <v>38.095238095238088</v>
      </c>
    </row>
    <row r="104" spans="1:6" ht="45" x14ac:dyDescent="0.25">
      <c r="A104" s="67">
        <v>35</v>
      </c>
      <c r="B104" s="67" t="s">
        <v>416</v>
      </c>
      <c r="C104" s="67" t="s">
        <v>236</v>
      </c>
      <c r="D104" s="67">
        <v>0</v>
      </c>
      <c r="E104" s="68">
        <v>0</v>
      </c>
      <c r="F104" s="69">
        <v>0</v>
      </c>
    </row>
    <row r="105" spans="1:6" ht="30" x14ac:dyDescent="0.25">
      <c r="A105" s="67">
        <v>38</v>
      </c>
      <c r="B105" s="67" t="s">
        <v>425</v>
      </c>
      <c r="C105" s="67" t="s">
        <v>236</v>
      </c>
      <c r="D105" s="67">
        <v>10</v>
      </c>
      <c r="E105" s="68">
        <v>0.55555555555555558</v>
      </c>
      <c r="F105" s="69">
        <v>0</v>
      </c>
    </row>
    <row r="106" spans="1:6" ht="30" x14ac:dyDescent="0.25">
      <c r="A106" s="67">
        <v>4</v>
      </c>
      <c r="B106" s="67" t="s">
        <v>315</v>
      </c>
      <c r="C106" s="67" t="s">
        <v>242</v>
      </c>
      <c r="D106" s="67">
        <v>14</v>
      </c>
      <c r="E106" s="68">
        <v>0.77777777777777779</v>
      </c>
      <c r="F106" s="69">
        <v>28.571428571428569</v>
      </c>
    </row>
    <row r="107" spans="1:6" ht="30" x14ac:dyDescent="0.25">
      <c r="A107" s="67">
        <v>5</v>
      </c>
      <c r="B107" s="67" t="s">
        <v>318</v>
      </c>
      <c r="C107" s="67" t="s">
        <v>242</v>
      </c>
      <c r="D107" s="67">
        <v>15</v>
      </c>
      <c r="E107" s="68">
        <v>0.83333333333333337</v>
      </c>
      <c r="F107" s="69">
        <v>42.857142857142847</v>
      </c>
    </row>
    <row r="108" spans="1:6" ht="30" x14ac:dyDescent="0.25">
      <c r="A108" s="67">
        <v>8</v>
      </c>
      <c r="B108" s="67" t="s">
        <v>327</v>
      </c>
      <c r="C108" s="67" t="s">
        <v>242</v>
      </c>
      <c r="D108" s="67">
        <v>0</v>
      </c>
      <c r="E108" s="68">
        <v>0</v>
      </c>
      <c r="F108" s="69">
        <v>0</v>
      </c>
    </row>
    <row r="109" spans="1:6" ht="60" x14ac:dyDescent="0.25">
      <c r="A109" s="67">
        <v>21</v>
      </c>
      <c r="B109" s="67" t="s">
        <v>373</v>
      </c>
      <c r="C109" s="67" t="s">
        <v>242</v>
      </c>
      <c r="D109" s="67">
        <v>0</v>
      </c>
      <c r="E109" s="68">
        <v>0</v>
      </c>
      <c r="F109" s="69">
        <v>0</v>
      </c>
    </row>
    <row r="110" spans="1:6" ht="30" x14ac:dyDescent="0.25">
      <c r="A110" s="67">
        <v>22</v>
      </c>
      <c r="B110" s="67" t="s">
        <v>377</v>
      </c>
      <c r="C110" s="67" t="s">
        <v>242</v>
      </c>
      <c r="D110" s="67">
        <v>6</v>
      </c>
      <c r="E110" s="68">
        <v>0.33333333333333331</v>
      </c>
      <c r="F110" s="69">
        <v>4.7619047619047619</v>
      </c>
    </row>
    <row r="111" spans="1:6" ht="30" x14ac:dyDescent="0.25">
      <c r="A111" s="67">
        <v>25</v>
      </c>
      <c r="B111" s="67" t="s">
        <v>386</v>
      </c>
      <c r="C111" s="67" t="s">
        <v>242</v>
      </c>
      <c r="D111" s="67">
        <v>16</v>
      </c>
      <c r="E111" s="68">
        <v>0.88888888888888884</v>
      </c>
      <c r="F111" s="69">
        <v>76.19047619047619</v>
      </c>
    </row>
    <row r="112" spans="1:6" ht="30" x14ac:dyDescent="0.25">
      <c r="A112" s="67">
        <v>14</v>
      </c>
      <c r="B112" s="67" t="s">
        <v>348</v>
      </c>
      <c r="C112" s="67" t="s">
        <v>243</v>
      </c>
      <c r="D112" s="67">
        <v>0</v>
      </c>
      <c r="E112" s="68">
        <v>0</v>
      </c>
      <c r="F112" s="69">
        <v>0</v>
      </c>
    </row>
    <row r="113" spans="1:6" ht="30" x14ac:dyDescent="0.25">
      <c r="A113" s="67">
        <v>17</v>
      </c>
      <c r="B113" s="67" t="s">
        <v>359</v>
      </c>
      <c r="C113" s="67" t="s">
        <v>238</v>
      </c>
      <c r="D113" s="67">
        <v>17</v>
      </c>
      <c r="E113" s="68">
        <v>0.94444444444444442</v>
      </c>
      <c r="F113" s="69">
        <v>33.333333333333329</v>
      </c>
    </row>
    <row r="114" spans="1:6" ht="60" x14ac:dyDescent="0.25">
      <c r="A114" s="67">
        <v>18</v>
      </c>
      <c r="B114" s="67" t="s">
        <v>363</v>
      </c>
      <c r="C114" s="67" t="s">
        <v>238</v>
      </c>
      <c r="D114" s="67">
        <v>0</v>
      </c>
      <c r="E114" s="68">
        <v>0</v>
      </c>
      <c r="F114" s="69">
        <v>0</v>
      </c>
    </row>
    <row r="115" spans="1:6" ht="30" x14ac:dyDescent="0.25">
      <c r="A115" s="67">
        <v>23</v>
      </c>
      <c r="B115" s="67" t="s">
        <v>380</v>
      </c>
      <c r="C115" s="67" t="s">
        <v>238</v>
      </c>
      <c r="D115" s="67">
        <v>13</v>
      </c>
      <c r="E115" s="68">
        <v>0.72222222222222221</v>
      </c>
      <c r="F115" s="69">
        <v>47.619047619047613</v>
      </c>
    </row>
    <row r="116" spans="1:6" x14ac:dyDescent="0.25">
      <c r="A116" s="67">
        <v>29</v>
      </c>
      <c r="B116" s="67" t="s">
        <v>399</v>
      </c>
      <c r="C116" s="67" t="s">
        <v>238</v>
      </c>
      <c r="D116" s="67">
        <v>0</v>
      </c>
      <c r="E116" s="68">
        <v>0</v>
      </c>
      <c r="F116" s="69">
        <v>0</v>
      </c>
    </row>
    <row r="117" spans="1:6" x14ac:dyDescent="0.25">
      <c r="A117" s="67">
        <v>32</v>
      </c>
      <c r="B117" s="67" t="s">
        <v>407</v>
      </c>
      <c r="C117" s="67" t="s">
        <v>238</v>
      </c>
      <c r="D117" s="67">
        <v>17</v>
      </c>
      <c r="E117" s="68">
        <v>0.94444444444444442</v>
      </c>
      <c r="F117" s="69">
        <v>66.666666666666657</v>
      </c>
    </row>
    <row r="118" spans="1:6" ht="30" x14ac:dyDescent="0.25">
      <c r="A118" s="67">
        <v>33</v>
      </c>
      <c r="B118" s="67" t="s">
        <v>410</v>
      </c>
      <c r="C118" s="67" t="s">
        <v>238</v>
      </c>
      <c r="D118" s="67">
        <v>0</v>
      </c>
      <c r="E118" s="68">
        <v>0</v>
      </c>
      <c r="F118" s="69">
        <v>0</v>
      </c>
    </row>
    <row r="119" spans="1:6" ht="60" x14ac:dyDescent="0.25">
      <c r="A119" s="67">
        <v>36</v>
      </c>
      <c r="B119" s="67" t="s">
        <v>420</v>
      </c>
      <c r="C119" s="67" t="s">
        <v>238</v>
      </c>
      <c r="D119" s="67">
        <v>12</v>
      </c>
      <c r="E119" s="68">
        <v>0.66666666666666663</v>
      </c>
      <c r="F119" s="69">
        <v>23.80952380952381</v>
      </c>
    </row>
    <row r="120" spans="1:6" ht="60" x14ac:dyDescent="0.25">
      <c r="A120" s="67">
        <v>15</v>
      </c>
      <c r="B120" s="67" t="s">
        <v>352</v>
      </c>
      <c r="C120" s="67" t="s">
        <v>241</v>
      </c>
      <c r="D120" s="67">
        <v>18</v>
      </c>
      <c r="E120" s="68">
        <v>1</v>
      </c>
      <c r="F120" s="69">
        <v>71.428571428571431</v>
      </c>
    </row>
    <row r="121" spans="1:6" x14ac:dyDescent="0.25">
      <c r="A121" s="67">
        <v>16</v>
      </c>
      <c r="B121" s="67" t="s">
        <v>356</v>
      </c>
      <c r="C121" s="67" t="s">
        <v>241</v>
      </c>
      <c r="D121" s="67">
        <v>0</v>
      </c>
      <c r="E121" s="68">
        <v>0</v>
      </c>
      <c r="F121" s="69">
        <v>0</v>
      </c>
    </row>
    <row r="122" spans="1:6" x14ac:dyDescent="0.25">
      <c r="A122" s="67">
        <v>31</v>
      </c>
      <c r="B122" s="67" t="s">
        <v>406</v>
      </c>
      <c r="C122" s="67" t="s">
        <v>241</v>
      </c>
      <c r="D122" s="67">
        <v>14</v>
      </c>
      <c r="E122" s="68">
        <v>0.77777777777777779</v>
      </c>
      <c r="F122" s="69">
        <v>19.047619047619051</v>
      </c>
    </row>
  </sheetData>
  <conditionalFormatting sqref="B2:S41">
    <cfRule type="colorScale" priority="1">
      <colorScale>
        <cfvo type="min"/>
        <cfvo type="percentile" val="50"/>
        <cfvo type="max"/>
        <color rgb="FFF8696B"/>
        <color rgb="FFFFEB84"/>
        <color rgb="FF63BE7B"/>
      </colorScale>
    </cfRule>
  </conditionalFormatting>
  <pageMargins left="0.7" right="0.7" top="0.78740157499999996" bottom="0.78740157499999996"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033ED-7F16-4883-9AC1-BB25620DC571}">
  <sheetPr>
    <tabColor rgb="FF7030A0"/>
  </sheetPr>
  <dimension ref="A1:BA867"/>
  <sheetViews>
    <sheetView topLeftCell="A80" workbookViewId="0">
      <selection activeCell="J87" sqref="J87:N867"/>
    </sheetView>
  </sheetViews>
  <sheetFormatPr baseColWidth="10" defaultRowHeight="15" x14ac:dyDescent="0.25"/>
  <sheetData>
    <row r="1" spans="1:53" ht="45" x14ac:dyDescent="0.25">
      <c r="A1" s="74" t="s">
        <v>0</v>
      </c>
      <c r="B1" s="74" t="s">
        <v>6353</v>
      </c>
      <c r="C1" s="74" t="s">
        <v>6428</v>
      </c>
      <c r="D1" s="74" t="s">
        <v>6429</v>
      </c>
      <c r="E1" s="74" t="s">
        <v>6430</v>
      </c>
      <c r="F1" s="74" t="s">
        <v>6431</v>
      </c>
      <c r="G1" s="74" t="s">
        <v>35</v>
      </c>
      <c r="H1" s="74" t="s">
        <v>6434</v>
      </c>
      <c r="I1" s="74" t="s">
        <v>6435</v>
      </c>
      <c r="J1" s="74" t="s">
        <v>6436</v>
      </c>
      <c r="K1" s="74" t="s">
        <v>6438</v>
      </c>
      <c r="L1" s="74" t="s">
        <v>6437</v>
      </c>
      <c r="O1" s="74" t="s">
        <v>6439</v>
      </c>
      <c r="P1" s="74" t="s">
        <v>6440</v>
      </c>
      <c r="Q1" s="74" t="s">
        <v>6441</v>
      </c>
      <c r="R1" s="74" t="s">
        <v>6442</v>
      </c>
      <c r="S1" s="74" t="s">
        <v>6443</v>
      </c>
      <c r="T1" s="74" t="s">
        <v>6444</v>
      </c>
      <c r="U1" s="74" t="s">
        <v>6445</v>
      </c>
      <c r="V1" s="74" t="s">
        <v>6446</v>
      </c>
      <c r="W1" s="74" t="s">
        <v>6447</v>
      </c>
      <c r="Y1" s="74" t="s">
        <v>6439</v>
      </c>
      <c r="Z1" s="74" t="s">
        <v>6440</v>
      </c>
      <c r="AA1" s="74" t="s">
        <v>6441</v>
      </c>
      <c r="AB1" s="74" t="s">
        <v>6442</v>
      </c>
      <c r="AC1" s="74" t="s">
        <v>6443</v>
      </c>
      <c r="AD1" s="74" t="s">
        <v>6444</v>
      </c>
      <c r="AE1" s="74" t="s">
        <v>6445</v>
      </c>
      <c r="AF1" s="74" t="s">
        <v>6446</v>
      </c>
      <c r="AG1" s="74" t="s">
        <v>6447</v>
      </c>
      <c r="AI1" s="74" t="s">
        <v>6541</v>
      </c>
      <c r="AJ1" s="74" t="s">
        <v>6542</v>
      </c>
      <c r="AK1" s="74" t="s">
        <v>6543</v>
      </c>
      <c r="AL1" s="74" t="s">
        <v>21</v>
      </c>
      <c r="AM1" s="74" t="s">
        <v>6544</v>
      </c>
      <c r="AO1" s="74" t="s">
        <v>6541</v>
      </c>
      <c r="AP1" s="74" t="s">
        <v>6542</v>
      </c>
      <c r="AQ1" s="74" t="s">
        <v>6543</v>
      </c>
      <c r="AR1" s="74" t="s">
        <v>37</v>
      </c>
      <c r="AS1" s="74" t="s">
        <v>6545</v>
      </c>
      <c r="AT1" s="74" t="s">
        <v>6546</v>
      </c>
      <c r="AU1" s="74" t="s">
        <v>6420</v>
      </c>
      <c r="AW1" s="74" t="s">
        <v>6547</v>
      </c>
      <c r="AX1" s="74" t="s">
        <v>6541</v>
      </c>
      <c r="AY1" s="74" t="s">
        <v>6542</v>
      </c>
      <c r="AZ1" s="74" t="s">
        <v>6543</v>
      </c>
      <c r="BA1" s="74" t="s">
        <v>6548</v>
      </c>
    </row>
    <row r="2" spans="1:53" ht="105" x14ac:dyDescent="0.25">
      <c r="A2" s="75">
        <v>1</v>
      </c>
      <c r="B2" s="76" t="s">
        <v>303</v>
      </c>
      <c r="C2" s="75"/>
      <c r="D2" s="75"/>
      <c r="E2" s="75"/>
      <c r="F2" s="75">
        <v>1</v>
      </c>
      <c r="G2" s="76" t="s">
        <v>6432</v>
      </c>
      <c r="H2" s="75">
        <v>1</v>
      </c>
      <c r="I2" s="75">
        <v>1</v>
      </c>
      <c r="J2" s="75">
        <v>1</v>
      </c>
      <c r="K2" s="75">
        <v>0</v>
      </c>
      <c r="L2" s="76" t="s">
        <v>6433</v>
      </c>
      <c r="O2" s="75">
        <v>1</v>
      </c>
      <c r="P2" s="75">
        <v>1</v>
      </c>
      <c r="Q2" s="75">
        <v>18</v>
      </c>
      <c r="R2" s="76" t="s">
        <v>6448</v>
      </c>
      <c r="S2" s="76" t="s">
        <v>6449</v>
      </c>
      <c r="T2" s="75">
        <v>0</v>
      </c>
      <c r="U2" s="75">
        <v>26</v>
      </c>
      <c r="V2" s="76" t="s">
        <v>6450</v>
      </c>
      <c r="W2" s="75">
        <v>2</v>
      </c>
      <c r="Y2" s="75">
        <v>1</v>
      </c>
      <c r="Z2" s="75">
        <v>0</v>
      </c>
      <c r="AA2" s="75">
        <v>7</v>
      </c>
      <c r="AB2" s="76" t="s">
        <v>6499</v>
      </c>
      <c r="AC2" s="76" t="s">
        <v>6500</v>
      </c>
      <c r="AD2" s="75">
        <v>0</v>
      </c>
      <c r="AE2" s="75">
        <v>40</v>
      </c>
      <c r="AF2" s="76" t="s">
        <v>6480</v>
      </c>
      <c r="AG2" s="75">
        <v>2</v>
      </c>
      <c r="AI2" s="75">
        <v>3</v>
      </c>
      <c r="AJ2" s="75">
        <v>1</v>
      </c>
      <c r="AK2" s="75">
        <v>24</v>
      </c>
      <c r="AL2" s="76" t="s">
        <v>53</v>
      </c>
      <c r="AM2" s="75">
        <v>0.83333333333333337</v>
      </c>
      <c r="AO2" s="75">
        <v>3</v>
      </c>
      <c r="AP2" s="75">
        <v>1</v>
      </c>
      <c r="AQ2" s="75">
        <v>19</v>
      </c>
      <c r="AR2" s="76" t="s">
        <v>186</v>
      </c>
      <c r="AS2" s="75">
        <v>0</v>
      </c>
      <c r="AT2" s="75">
        <v>0</v>
      </c>
      <c r="AU2" s="75">
        <v>0</v>
      </c>
      <c r="AW2" s="76" t="s">
        <v>6549</v>
      </c>
      <c r="AX2" s="75">
        <v>3</v>
      </c>
      <c r="AY2" s="75">
        <v>1</v>
      </c>
      <c r="AZ2" s="75">
        <v>24</v>
      </c>
      <c r="BA2" s="75">
        <v>0</v>
      </c>
    </row>
    <row r="3" spans="1:53" ht="45" x14ac:dyDescent="0.25">
      <c r="A3" s="77">
        <v>2</v>
      </c>
      <c r="B3" s="78" t="s">
        <v>306</v>
      </c>
      <c r="C3" s="77">
        <v>1</v>
      </c>
      <c r="D3" s="77">
        <v>1</v>
      </c>
      <c r="E3" s="77">
        <v>1</v>
      </c>
      <c r="F3" s="77">
        <v>0</v>
      </c>
      <c r="G3" s="78" t="s">
        <v>6433</v>
      </c>
      <c r="H3" s="77">
        <v>3</v>
      </c>
      <c r="I3" s="77">
        <v>3</v>
      </c>
      <c r="J3" s="77">
        <v>3</v>
      </c>
      <c r="K3" s="77">
        <v>0</v>
      </c>
      <c r="L3" s="78" t="s">
        <v>6433</v>
      </c>
      <c r="O3" s="77">
        <v>2</v>
      </c>
      <c r="P3" s="77">
        <v>11</v>
      </c>
      <c r="Q3" s="77">
        <v>21</v>
      </c>
      <c r="R3" s="78" t="s">
        <v>6451</v>
      </c>
      <c r="S3" s="78" t="s">
        <v>6452</v>
      </c>
      <c r="T3" s="77">
        <v>5.555555555555558E-2</v>
      </c>
      <c r="U3" s="77">
        <v>27</v>
      </c>
      <c r="V3" s="78" t="s">
        <v>6453</v>
      </c>
      <c r="W3" s="77">
        <v>2</v>
      </c>
      <c r="Y3" s="77">
        <v>2</v>
      </c>
      <c r="Z3" s="77">
        <v>1</v>
      </c>
      <c r="AA3" s="77">
        <v>23</v>
      </c>
      <c r="AB3" s="78" t="s">
        <v>6465</v>
      </c>
      <c r="AC3" s="78" t="s">
        <v>6471</v>
      </c>
      <c r="AD3" s="77">
        <v>0</v>
      </c>
      <c r="AE3" s="77">
        <v>41</v>
      </c>
      <c r="AF3" s="78" t="s">
        <v>6481</v>
      </c>
      <c r="AG3" s="77">
        <v>2</v>
      </c>
      <c r="AI3" s="77">
        <v>3</v>
      </c>
      <c r="AJ3" s="77">
        <v>1</v>
      </c>
      <c r="AK3" s="77">
        <v>24</v>
      </c>
      <c r="AL3" s="78" t="s">
        <v>61</v>
      </c>
      <c r="AM3" s="77">
        <v>0.79166666666666663</v>
      </c>
      <c r="AO3" s="77">
        <v>3</v>
      </c>
      <c r="AP3" s="77">
        <v>1</v>
      </c>
      <c r="AQ3" s="77">
        <v>19</v>
      </c>
      <c r="AR3" s="78" t="s">
        <v>192</v>
      </c>
      <c r="AS3" s="77">
        <v>0.15789473684210531</v>
      </c>
      <c r="AT3" s="77">
        <v>0</v>
      </c>
      <c r="AU3" s="77">
        <v>0</v>
      </c>
      <c r="AW3" s="78" t="s">
        <v>6549</v>
      </c>
      <c r="AX3" s="77">
        <v>3</v>
      </c>
      <c r="AY3" s="77">
        <v>2</v>
      </c>
      <c r="AZ3" s="77">
        <v>1</v>
      </c>
      <c r="BA3" s="77">
        <v>1</v>
      </c>
    </row>
    <row r="4" spans="1:53" ht="30" x14ac:dyDescent="0.25">
      <c r="A4" s="75">
        <v>3</v>
      </c>
      <c r="B4" s="76" t="s">
        <v>311</v>
      </c>
      <c r="C4" s="75">
        <v>1</v>
      </c>
      <c r="D4" s="75">
        <v>1</v>
      </c>
      <c r="E4" s="75">
        <v>1</v>
      </c>
      <c r="F4" s="75">
        <v>0</v>
      </c>
      <c r="G4" s="76" t="s">
        <v>6433</v>
      </c>
      <c r="H4" s="75">
        <v>3</v>
      </c>
      <c r="I4" s="75">
        <v>4</v>
      </c>
      <c r="J4" s="75">
        <v>5</v>
      </c>
      <c r="K4" s="75">
        <v>0</v>
      </c>
      <c r="L4" s="76" t="s">
        <v>6433</v>
      </c>
      <c r="O4" s="75">
        <v>3</v>
      </c>
      <c r="P4" s="75">
        <v>22</v>
      </c>
      <c r="Q4" s="75">
        <v>26</v>
      </c>
      <c r="R4" s="76" t="s">
        <v>6454</v>
      </c>
      <c r="S4" s="76" t="s">
        <v>6450</v>
      </c>
      <c r="T4" s="75">
        <v>6.25E-2</v>
      </c>
      <c r="U4" s="75">
        <v>28</v>
      </c>
      <c r="V4" s="76" t="s">
        <v>6455</v>
      </c>
      <c r="W4" s="75">
        <v>3</v>
      </c>
      <c r="Y4" s="75">
        <v>3</v>
      </c>
      <c r="Z4" s="75">
        <v>30</v>
      </c>
      <c r="AA4" s="75">
        <v>41</v>
      </c>
      <c r="AB4" s="76" t="s">
        <v>6472</v>
      </c>
      <c r="AC4" s="76" t="s">
        <v>6481</v>
      </c>
      <c r="AD4" s="75">
        <v>0</v>
      </c>
      <c r="AE4" s="75">
        <v>42</v>
      </c>
      <c r="AF4" s="76" t="s">
        <v>6482</v>
      </c>
      <c r="AG4" s="75">
        <v>3</v>
      </c>
      <c r="AI4" s="75">
        <v>3</v>
      </c>
      <c r="AJ4" s="75">
        <v>1</v>
      </c>
      <c r="AK4" s="75">
        <v>24</v>
      </c>
      <c r="AL4" s="76" t="s">
        <v>69</v>
      </c>
      <c r="AM4" s="75">
        <v>1</v>
      </c>
      <c r="AO4" s="75">
        <v>3</v>
      </c>
      <c r="AP4" s="75">
        <v>1</v>
      </c>
      <c r="AQ4" s="75">
        <v>19</v>
      </c>
      <c r="AR4" s="76" t="s">
        <v>198</v>
      </c>
      <c r="AS4" s="75">
        <v>5.2631578947368418E-2</v>
      </c>
      <c r="AT4" s="75">
        <v>0</v>
      </c>
      <c r="AU4" s="75">
        <v>0</v>
      </c>
      <c r="AW4" s="76" t="s">
        <v>6549</v>
      </c>
      <c r="AX4" s="75">
        <v>3</v>
      </c>
      <c r="AY4" s="75">
        <v>3</v>
      </c>
      <c r="AZ4" s="75">
        <v>1</v>
      </c>
      <c r="BA4" s="75">
        <v>1</v>
      </c>
    </row>
    <row r="5" spans="1:53" ht="45" x14ac:dyDescent="0.25">
      <c r="A5" s="77">
        <v>4</v>
      </c>
      <c r="B5" s="78" t="s">
        <v>315</v>
      </c>
      <c r="C5" s="77">
        <v>1</v>
      </c>
      <c r="D5" s="77">
        <v>1</v>
      </c>
      <c r="E5" s="77">
        <v>1</v>
      </c>
      <c r="F5" s="77">
        <v>0</v>
      </c>
      <c r="G5" s="78" t="s">
        <v>6433</v>
      </c>
      <c r="H5" s="77">
        <v>3</v>
      </c>
      <c r="I5" s="77">
        <v>3</v>
      </c>
      <c r="J5" s="77">
        <v>3</v>
      </c>
      <c r="K5" s="77">
        <v>0</v>
      </c>
      <c r="L5" s="78" t="s">
        <v>6433</v>
      </c>
      <c r="O5" s="77">
        <v>4</v>
      </c>
      <c r="P5" s="77">
        <v>12</v>
      </c>
      <c r="Q5" s="77">
        <v>27</v>
      </c>
      <c r="R5" s="78" t="s">
        <v>6456</v>
      </c>
      <c r="S5" s="78" t="s">
        <v>6453</v>
      </c>
      <c r="T5" s="77">
        <v>8.333333333333337E-2</v>
      </c>
      <c r="U5" s="77">
        <v>29</v>
      </c>
      <c r="V5" s="78" t="s">
        <v>6457</v>
      </c>
      <c r="W5" s="77">
        <v>3</v>
      </c>
      <c r="Y5" s="77">
        <v>4</v>
      </c>
      <c r="Z5" s="77">
        <v>11</v>
      </c>
      <c r="AA5" s="77">
        <v>33</v>
      </c>
      <c r="AB5" s="78" t="s">
        <v>6463</v>
      </c>
      <c r="AC5" s="78" t="s">
        <v>6454</v>
      </c>
      <c r="AD5" s="77">
        <v>0</v>
      </c>
      <c r="AE5" s="77">
        <v>43</v>
      </c>
      <c r="AF5" s="78" t="s">
        <v>6485</v>
      </c>
      <c r="AG5" s="77">
        <v>2</v>
      </c>
      <c r="AI5" s="77">
        <v>3</v>
      </c>
      <c r="AJ5" s="77">
        <v>1</v>
      </c>
      <c r="AK5" s="77">
        <v>24</v>
      </c>
      <c r="AL5" s="78" t="s">
        <v>76</v>
      </c>
      <c r="AM5" s="77">
        <v>0.70833333333333337</v>
      </c>
      <c r="AO5" s="77">
        <v>3</v>
      </c>
      <c r="AP5" s="77">
        <v>1</v>
      </c>
      <c r="AQ5" s="77">
        <v>19</v>
      </c>
      <c r="AR5" s="78" t="s">
        <v>204</v>
      </c>
      <c r="AS5" s="77">
        <v>0</v>
      </c>
      <c r="AT5" s="77">
        <v>0</v>
      </c>
      <c r="AU5" s="77">
        <v>0</v>
      </c>
      <c r="AW5" s="78" t="s">
        <v>6549</v>
      </c>
      <c r="AX5" s="77">
        <v>4</v>
      </c>
      <c r="AY5" s="77">
        <v>1</v>
      </c>
      <c r="AZ5" s="77">
        <v>21</v>
      </c>
      <c r="BA5" s="77">
        <v>0</v>
      </c>
    </row>
    <row r="6" spans="1:53" ht="45" x14ac:dyDescent="0.25">
      <c r="A6" s="75">
        <v>5</v>
      </c>
      <c r="B6" s="76" t="s">
        <v>318</v>
      </c>
      <c r="C6" s="75">
        <v>1</v>
      </c>
      <c r="D6" s="75">
        <v>1</v>
      </c>
      <c r="E6" s="75">
        <v>1</v>
      </c>
      <c r="F6" s="75">
        <v>0</v>
      </c>
      <c r="G6" s="76" t="s">
        <v>6433</v>
      </c>
      <c r="H6" s="75">
        <v>3</v>
      </c>
      <c r="I6" s="75">
        <v>4</v>
      </c>
      <c r="J6" s="75">
        <v>4</v>
      </c>
      <c r="K6" s="75">
        <v>0</v>
      </c>
      <c r="L6" s="76" t="s">
        <v>6433</v>
      </c>
      <c r="O6" s="75">
        <v>5</v>
      </c>
      <c r="P6" s="75">
        <v>28</v>
      </c>
      <c r="Q6" s="75">
        <v>29</v>
      </c>
      <c r="R6" s="76" t="s">
        <v>6455</v>
      </c>
      <c r="S6" s="76" t="s">
        <v>6457</v>
      </c>
      <c r="T6" s="75">
        <v>0.13108206245461149</v>
      </c>
      <c r="U6" s="75">
        <v>30</v>
      </c>
      <c r="V6" s="76" t="s">
        <v>6458</v>
      </c>
      <c r="W6" s="75">
        <v>6</v>
      </c>
      <c r="Y6" s="75">
        <v>5</v>
      </c>
      <c r="Z6" s="75">
        <v>13</v>
      </c>
      <c r="AA6" s="75">
        <v>40</v>
      </c>
      <c r="AB6" s="76" t="s">
        <v>6501</v>
      </c>
      <c r="AC6" s="76" t="s">
        <v>6480</v>
      </c>
      <c r="AD6" s="75">
        <v>0</v>
      </c>
      <c r="AE6" s="75">
        <v>44</v>
      </c>
      <c r="AF6" s="76" t="s">
        <v>6488</v>
      </c>
      <c r="AG6" s="75">
        <v>3</v>
      </c>
      <c r="AI6" s="75">
        <v>3</v>
      </c>
      <c r="AJ6" s="75">
        <v>1</v>
      </c>
      <c r="AK6" s="75">
        <v>24</v>
      </c>
      <c r="AL6" s="76" t="s">
        <v>83</v>
      </c>
      <c r="AM6" s="75">
        <v>0.91666666666666663</v>
      </c>
      <c r="AO6" s="75">
        <v>3</v>
      </c>
      <c r="AP6" s="75">
        <v>1</v>
      </c>
      <c r="AQ6" s="75">
        <v>19</v>
      </c>
      <c r="AR6" s="76" t="s">
        <v>210</v>
      </c>
      <c r="AS6" s="75">
        <v>0</v>
      </c>
      <c r="AT6" s="75">
        <v>0</v>
      </c>
      <c r="AU6" s="75">
        <v>0</v>
      </c>
      <c r="AW6" s="76" t="s">
        <v>6549</v>
      </c>
      <c r="AX6" s="75">
        <v>4</v>
      </c>
      <c r="AY6" s="75">
        <v>2</v>
      </c>
      <c r="AZ6" s="75">
        <v>3</v>
      </c>
      <c r="BA6" s="75">
        <v>0</v>
      </c>
    </row>
    <row r="7" spans="1:53" ht="45" x14ac:dyDescent="0.25">
      <c r="A7" s="77">
        <v>6</v>
      </c>
      <c r="B7" s="78" t="s">
        <v>321</v>
      </c>
      <c r="C7" s="77">
        <v>1</v>
      </c>
      <c r="D7" s="77">
        <v>1</v>
      </c>
      <c r="E7" s="77">
        <v>1</v>
      </c>
      <c r="F7" s="77">
        <v>0</v>
      </c>
      <c r="G7" s="78" t="s">
        <v>6433</v>
      </c>
      <c r="H7" s="77">
        <v>3</v>
      </c>
      <c r="I7" s="77">
        <v>4</v>
      </c>
      <c r="J7" s="77">
        <v>5</v>
      </c>
      <c r="K7" s="77">
        <v>0</v>
      </c>
      <c r="L7" s="78" t="s">
        <v>6433</v>
      </c>
      <c r="O7" s="77">
        <v>6</v>
      </c>
      <c r="P7" s="77">
        <v>3</v>
      </c>
      <c r="Q7" s="77">
        <v>13</v>
      </c>
      <c r="R7" s="78" t="s">
        <v>6459</v>
      </c>
      <c r="S7" s="78" t="s">
        <v>6460</v>
      </c>
      <c r="T7" s="77">
        <v>0.1333333333333333</v>
      </c>
      <c r="U7" s="77">
        <v>31</v>
      </c>
      <c r="V7" s="78" t="s">
        <v>6461</v>
      </c>
      <c r="W7" s="77">
        <v>2</v>
      </c>
      <c r="Y7" s="77">
        <v>6</v>
      </c>
      <c r="Z7" s="77">
        <v>10</v>
      </c>
      <c r="AA7" s="77">
        <v>19</v>
      </c>
      <c r="AB7" s="78" t="s">
        <v>6495</v>
      </c>
      <c r="AC7" s="78" t="s">
        <v>6496</v>
      </c>
      <c r="AD7" s="77">
        <v>0</v>
      </c>
      <c r="AE7" s="77">
        <v>45</v>
      </c>
      <c r="AF7" s="78" t="s">
        <v>6490</v>
      </c>
      <c r="AG7" s="77">
        <v>2</v>
      </c>
      <c r="AI7" s="77">
        <v>3</v>
      </c>
      <c r="AJ7" s="77">
        <v>1</v>
      </c>
      <c r="AK7" s="77">
        <v>24</v>
      </c>
      <c r="AL7" s="78" t="s">
        <v>90</v>
      </c>
      <c r="AM7" s="77">
        <v>0.83333333333333337</v>
      </c>
      <c r="AO7" s="77">
        <v>3</v>
      </c>
      <c r="AP7" s="77">
        <v>1</v>
      </c>
      <c r="AQ7" s="77">
        <v>19</v>
      </c>
      <c r="AR7" s="78" t="s">
        <v>215</v>
      </c>
      <c r="AS7" s="77">
        <v>5.2631578947368418E-2</v>
      </c>
      <c r="AT7" s="77">
        <v>0</v>
      </c>
      <c r="AU7" s="77">
        <v>0</v>
      </c>
      <c r="AW7" s="78" t="s">
        <v>6549</v>
      </c>
      <c r="AX7" s="77">
        <v>4</v>
      </c>
      <c r="AY7" s="77">
        <v>3</v>
      </c>
      <c r="AZ7" s="77">
        <v>1</v>
      </c>
      <c r="BA7" s="77">
        <v>1</v>
      </c>
    </row>
    <row r="8" spans="1:53" ht="45" x14ac:dyDescent="0.25">
      <c r="A8" s="75">
        <v>7</v>
      </c>
      <c r="B8" s="76" t="s">
        <v>325</v>
      </c>
      <c r="C8" s="75">
        <v>1</v>
      </c>
      <c r="D8" s="75">
        <v>1</v>
      </c>
      <c r="E8" s="75">
        <v>1</v>
      </c>
      <c r="F8" s="75">
        <v>0</v>
      </c>
      <c r="G8" s="76" t="s">
        <v>6433</v>
      </c>
      <c r="H8" s="75">
        <v>3</v>
      </c>
      <c r="I8" s="75">
        <v>4</v>
      </c>
      <c r="J8" s="75">
        <v>5</v>
      </c>
      <c r="K8" s="75">
        <v>0</v>
      </c>
      <c r="L8" s="76" t="s">
        <v>6433</v>
      </c>
      <c r="O8" s="75">
        <v>7</v>
      </c>
      <c r="P8" s="75">
        <v>6</v>
      </c>
      <c r="Q8" s="75">
        <v>9</v>
      </c>
      <c r="R8" s="76" t="s">
        <v>6462</v>
      </c>
      <c r="S8" s="76" t="s">
        <v>6463</v>
      </c>
      <c r="T8" s="75">
        <v>0.1333333333333333</v>
      </c>
      <c r="U8" s="75">
        <v>32</v>
      </c>
      <c r="V8" s="76" t="s">
        <v>6464</v>
      </c>
      <c r="W8" s="75">
        <v>2</v>
      </c>
      <c r="Y8" s="75">
        <v>7</v>
      </c>
      <c r="Z8" s="75">
        <v>15</v>
      </c>
      <c r="AA8" s="75">
        <v>44</v>
      </c>
      <c r="AB8" s="76" t="s">
        <v>6502</v>
      </c>
      <c r="AC8" s="76" t="s">
        <v>6488</v>
      </c>
      <c r="AD8" s="75">
        <v>0</v>
      </c>
      <c r="AE8" s="75">
        <v>46</v>
      </c>
      <c r="AF8" s="76" t="s">
        <v>6491</v>
      </c>
      <c r="AG8" s="75">
        <v>4</v>
      </c>
      <c r="AI8" s="75">
        <v>3</v>
      </c>
      <c r="AJ8" s="75">
        <v>1</v>
      </c>
      <c r="AK8" s="75">
        <v>24</v>
      </c>
      <c r="AL8" s="76" t="s">
        <v>98</v>
      </c>
      <c r="AM8" s="75">
        <v>0.70833333333333337</v>
      </c>
      <c r="AO8" s="75">
        <v>3</v>
      </c>
      <c r="AP8" s="75">
        <v>1</v>
      </c>
      <c r="AQ8" s="75">
        <v>19</v>
      </c>
      <c r="AR8" s="76" t="s">
        <v>221</v>
      </c>
      <c r="AS8" s="75">
        <v>0</v>
      </c>
      <c r="AT8" s="75">
        <v>0</v>
      </c>
      <c r="AU8" s="75">
        <v>0</v>
      </c>
      <c r="AW8" s="76" t="s">
        <v>6549</v>
      </c>
      <c r="AX8" s="75">
        <v>4</v>
      </c>
      <c r="AY8" s="75">
        <v>4</v>
      </c>
      <c r="AZ8" s="75">
        <v>1</v>
      </c>
      <c r="BA8" s="75">
        <v>1</v>
      </c>
    </row>
    <row r="9" spans="1:53" ht="105" x14ac:dyDescent="0.25">
      <c r="A9" s="77">
        <v>8</v>
      </c>
      <c r="B9" s="78" t="s">
        <v>327</v>
      </c>
      <c r="C9" s="77"/>
      <c r="D9" s="77"/>
      <c r="E9" s="77"/>
      <c r="F9" s="77">
        <v>1</v>
      </c>
      <c r="G9" s="78" t="s">
        <v>6432</v>
      </c>
      <c r="H9" s="77">
        <v>1</v>
      </c>
      <c r="I9" s="77">
        <v>1</v>
      </c>
      <c r="J9" s="77">
        <v>1</v>
      </c>
      <c r="K9" s="77">
        <v>0</v>
      </c>
      <c r="L9" s="78" t="s">
        <v>6433</v>
      </c>
      <c r="O9" s="77">
        <v>8</v>
      </c>
      <c r="P9" s="77">
        <v>0</v>
      </c>
      <c r="Q9" s="77">
        <v>16</v>
      </c>
      <c r="R9" s="78" t="s">
        <v>6465</v>
      </c>
      <c r="S9" s="78" t="s">
        <v>6466</v>
      </c>
      <c r="T9" s="77">
        <v>0.1428571428571429</v>
      </c>
      <c r="U9" s="77">
        <v>33</v>
      </c>
      <c r="V9" s="78" t="s">
        <v>6467</v>
      </c>
      <c r="W9" s="77">
        <v>2</v>
      </c>
      <c r="Y9" s="77">
        <v>8</v>
      </c>
      <c r="Z9" s="77">
        <v>17</v>
      </c>
      <c r="AA9" s="77">
        <v>46</v>
      </c>
      <c r="AB9" s="78" t="s">
        <v>6503</v>
      </c>
      <c r="AC9" s="78" t="s">
        <v>6491</v>
      </c>
      <c r="AD9" s="77">
        <v>0</v>
      </c>
      <c r="AE9" s="77">
        <v>47</v>
      </c>
      <c r="AF9" s="78" t="s">
        <v>6493</v>
      </c>
      <c r="AG9" s="77">
        <v>5</v>
      </c>
      <c r="AI9" s="77">
        <v>3</v>
      </c>
      <c r="AJ9" s="77">
        <v>1</v>
      </c>
      <c r="AK9" s="77">
        <v>24</v>
      </c>
      <c r="AL9" s="78" t="s">
        <v>106</v>
      </c>
      <c r="AM9" s="77">
        <v>0.875</v>
      </c>
      <c r="AO9" s="77">
        <v>3</v>
      </c>
      <c r="AP9" s="77">
        <v>2</v>
      </c>
      <c r="AQ9" s="77">
        <v>3</v>
      </c>
      <c r="AR9" s="78" t="s">
        <v>186</v>
      </c>
      <c r="AS9" s="77">
        <v>2</v>
      </c>
      <c r="AT9" s="77">
        <v>2</v>
      </c>
      <c r="AU9" s="77">
        <v>1</v>
      </c>
      <c r="AW9" s="78" t="s">
        <v>6549</v>
      </c>
      <c r="AX9" s="77">
        <v>5</v>
      </c>
      <c r="AY9" s="77">
        <v>1</v>
      </c>
      <c r="AZ9" s="77">
        <v>21</v>
      </c>
      <c r="BA9" s="77">
        <v>0</v>
      </c>
    </row>
    <row r="10" spans="1:53" ht="60" x14ac:dyDescent="0.25">
      <c r="A10" s="75">
        <v>9</v>
      </c>
      <c r="B10" s="76" t="s">
        <v>330</v>
      </c>
      <c r="C10" s="75">
        <v>1</v>
      </c>
      <c r="D10" s="75">
        <v>1</v>
      </c>
      <c r="E10" s="75">
        <v>1</v>
      </c>
      <c r="F10" s="75">
        <v>0</v>
      </c>
      <c r="G10" s="76" t="s">
        <v>6433</v>
      </c>
      <c r="H10" s="75">
        <v>3</v>
      </c>
      <c r="I10" s="75">
        <v>4</v>
      </c>
      <c r="J10" s="75">
        <v>4</v>
      </c>
      <c r="K10" s="75">
        <v>0</v>
      </c>
      <c r="L10" s="76" t="s">
        <v>6433</v>
      </c>
      <c r="O10" s="75">
        <v>9</v>
      </c>
      <c r="P10" s="75">
        <v>2</v>
      </c>
      <c r="Q10" s="75">
        <v>23</v>
      </c>
      <c r="R10" s="76" t="s">
        <v>6468</v>
      </c>
      <c r="S10" s="76" t="s">
        <v>6469</v>
      </c>
      <c r="T10" s="75">
        <v>0.1428571428571429</v>
      </c>
      <c r="U10" s="75">
        <v>34</v>
      </c>
      <c r="V10" s="76" t="s">
        <v>6470</v>
      </c>
      <c r="W10" s="75">
        <v>2</v>
      </c>
      <c r="Y10" s="75">
        <v>9</v>
      </c>
      <c r="Z10" s="75">
        <v>20</v>
      </c>
      <c r="AA10" s="75">
        <v>47</v>
      </c>
      <c r="AB10" s="76" t="s">
        <v>6504</v>
      </c>
      <c r="AC10" s="76" t="s">
        <v>6493</v>
      </c>
      <c r="AD10" s="75">
        <v>0</v>
      </c>
      <c r="AE10" s="75">
        <v>48</v>
      </c>
      <c r="AF10" s="76" t="s">
        <v>6494</v>
      </c>
      <c r="AG10" s="75">
        <v>6</v>
      </c>
      <c r="AI10" s="75">
        <v>3</v>
      </c>
      <c r="AJ10" s="75">
        <v>1</v>
      </c>
      <c r="AK10" s="75">
        <v>24</v>
      </c>
      <c r="AL10" s="76" t="s">
        <v>112</v>
      </c>
      <c r="AM10" s="75">
        <v>0.83333333333333337</v>
      </c>
      <c r="AO10" s="75">
        <v>3</v>
      </c>
      <c r="AP10" s="75">
        <v>2</v>
      </c>
      <c r="AQ10" s="75">
        <v>3</v>
      </c>
      <c r="AR10" s="76" t="s">
        <v>192</v>
      </c>
      <c r="AS10" s="75">
        <v>2.333333333333333</v>
      </c>
      <c r="AT10" s="75">
        <v>2</v>
      </c>
      <c r="AU10" s="75">
        <v>1</v>
      </c>
      <c r="AW10" s="76" t="s">
        <v>6549</v>
      </c>
      <c r="AX10" s="75">
        <v>5</v>
      </c>
      <c r="AY10" s="75">
        <v>2</v>
      </c>
      <c r="AZ10" s="75">
        <v>2</v>
      </c>
      <c r="BA10" s="75">
        <v>1</v>
      </c>
    </row>
    <row r="11" spans="1:53" ht="45" x14ac:dyDescent="0.25">
      <c r="A11" s="77">
        <v>10</v>
      </c>
      <c r="B11" s="78" t="s">
        <v>334</v>
      </c>
      <c r="C11" s="77">
        <v>1</v>
      </c>
      <c r="D11" s="77">
        <v>2</v>
      </c>
      <c r="E11" s="77">
        <v>2</v>
      </c>
      <c r="F11" s="77">
        <v>0</v>
      </c>
      <c r="G11" s="78" t="s">
        <v>6433</v>
      </c>
      <c r="H11" s="77">
        <v>1</v>
      </c>
      <c r="I11" s="77">
        <v>1</v>
      </c>
      <c r="J11" s="77">
        <v>1</v>
      </c>
      <c r="K11" s="77">
        <v>0</v>
      </c>
      <c r="L11" s="78" t="s">
        <v>6433</v>
      </c>
      <c r="O11" s="77">
        <v>10</v>
      </c>
      <c r="P11" s="77">
        <v>17</v>
      </c>
      <c r="Q11" s="77">
        <v>20</v>
      </c>
      <c r="R11" s="78" t="s">
        <v>6471</v>
      </c>
      <c r="S11" s="78" t="s">
        <v>6472</v>
      </c>
      <c r="T11" s="77">
        <v>0.1428571428571429</v>
      </c>
      <c r="U11" s="77">
        <v>35</v>
      </c>
      <c r="V11" s="78" t="s">
        <v>6473</v>
      </c>
      <c r="W11" s="77">
        <v>2</v>
      </c>
      <c r="Y11" s="77">
        <v>10</v>
      </c>
      <c r="Z11" s="77">
        <v>25</v>
      </c>
      <c r="AA11" s="77">
        <v>48</v>
      </c>
      <c r="AB11" s="78" t="s">
        <v>6505</v>
      </c>
      <c r="AC11" s="78" t="s">
        <v>6494</v>
      </c>
      <c r="AD11" s="77">
        <v>0</v>
      </c>
      <c r="AE11" s="77">
        <v>49</v>
      </c>
      <c r="AF11" s="78" t="s">
        <v>6497</v>
      </c>
      <c r="AG11" s="77">
        <v>7</v>
      </c>
      <c r="AI11" s="77">
        <v>3</v>
      </c>
      <c r="AJ11" s="77">
        <v>1</v>
      </c>
      <c r="AK11" s="77">
        <v>24</v>
      </c>
      <c r="AL11" s="78" t="s">
        <v>118</v>
      </c>
      <c r="AM11" s="77">
        <v>0.125</v>
      </c>
      <c r="AO11" s="77">
        <v>3</v>
      </c>
      <c r="AP11" s="77">
        <v>2</v>
      </c>
      <c r="AQ11" s="77">
        <v>3</v>
      </c>
      <c r="AR11" s="78" t="s">
        <v>198</v>
      </c>
      <c r="AS11" s="77">
        <v>2.333333333333333</v>
      </c>
      <c r="AT11" s="77">
        <v>2</v>
      </c>
      <c r="AU11" s="77">
        <v>1</v>
      </c>
      <c r="AW11" s="78" t="s">
        <v>6549</v>
      </c>
      <c r="AX11" s="77">
        <v>5</v>
      </c>
      <c r="AY11" s="77">
        <v>3</v>
      </c>
      <c r="AZ11" s="77">
        <v>1</v>
      </c>
      <c r="BA11" s="77">
        <v>1</v>
      </c>
    </row>
    <row r="12" spans="1:53" ht="60" x14ac:dyDescent="0.25">
      <c r="A12" s="75">
        <v>11</v>
      </c>
      <c r="B12" s="76" t="s">
        <v>338</v>
      </c>
      <c r="C12" s="75">
        <v>2</v>
      </c>
      <c r="D12" s="75">
        <v>3</v>
      </c>
      <c r="E12" s="75">
        <v>4</v>
      </c>
      <c r="F12" s="75">
        <v>0</v>
      </c>
      <c r="G12" s="76" t="s">
        <v>6433</v>
      </c>
      <c r="H12" s="75">
        <v>1</v>
      </c>
      <c r="I12" s="75">
        <v>1</v>
      </c>
      <c r="J12" s="75">
        <v>1</v>
      </c>
      <c r="K12" s="75">
        <v>0</v>
      </c>
      <c r="L12" s="76" t="s">
        <v>6433</v>
      </c>
      <c r="O12" s="75">
        <v>11</v>
      </c>
      <c r="P12" s="75">
        <v>5</v>
      </c>
      <c r="Q12" s="75">
        <v>30</v>
      </c>
      <c r="R12" s="76" t="s">
        <v>6474</v>
      </c>
      <c r="S12" s="76" t="s">
        <v>6458</v>
      </c>
      <c r="T12" s="75">
        <v>0.19989106753812641</v>
      </c>
      <c r="U12" s="75">
        <v>36</v>
      </c>
      <c r="V12" s="76" t="s">
        <v>6475</v>
      </c>
      <c r="W12" s="75">
        <v>7</v>
      </c>
      <c r="Y12" s="75">
        <v>11</v>
      </c>
      <c r="Z12" s="75">
        <v>27</v>
      </c>
      <c r="AA12" s="75">
        <v>49</v>
      </c>
      <c r="AB12" s="76" t="s">
        <v>6506</v>
      </c>
      <c r="AC12" s="76" t="s">
        <v>6497</v>
      </c>
      <c r="AD12" s="75">
        <v>0</v>
      </c>
      <c r="AE12" s="75">
        <v>50</v>
      </c>
      <c r="AF12" s="76" t="s">
        <v>6498</v>
      </c>
      <c r="AG12" s="75">
        <v>8</v>
      </c>
      <c r="AI12" s="75">
        <v>3</v>
      </c>
      <c r="AJ12" s="75">
        <v>1</v>
      </c>
      <c r="AK12" s="75">
        <v>24</v>
      </c>
      <c r="AL12" s="76" t="s">
        <v>125</v>
      </c>
      <c r="AM12" s="75">
        <v>0.45833333333333331</v>
      </c>
      <c r="AO12" s="75">
        <v>3</v>
      </c>
      <c r="AP12" s="75">
        <v>2</v>
      </c>
      <c r="AQ12" s="75">
        <v>3</v>
      </c>
      <c r="AR12" s="76" t="s">
        <v>204</v>
      </c>
      <c r="AS12" s="75">
        <v>2.333333333333333</v>
      </c>
      <c r="AT12" s="75">
        <v>2</v>
      </c>
      <c r="AU12" s="75">
        <v>1</v>
      </c>
      <c r="AW12" s="76" t="s">
        <v>6549</v>
      </c>
      <c r="AX12" s="75">
        <v>5</v>
      </c>
      <c r="AY12" s="75">
        <v>4</v>
      </c>
      <c r="AZ12" s="75">
        <v>1</v>
      </c>
      <c r="BA12" s="75">
        <v>1</v>
      </c>
    </row>
    <row r="13" spans="1:53" ht="30" x14ac:dyDescent="0.25">
      <c r="A13" s="77">
        <v>12</v>
      </c>
      <c r="B13" s="78" t="s">
        <v>342</v>
      </c>
      <c r="C13" s="77">
        <v>1</v>
      </c>
      <c r="D13" s="77">
        <v>1</v>
      </c>
      <c r="E13" s="77">
        <v>1</v>
      </c>
      <c r="F13" s="77">
        <v>0</v>
      </c>
      <c r="G13" s="78" t="s">
        <v>6433</v>
      </c>
      <c r="H13" s="77">
        <v>3</v>
      </c>
      <c r="I13" s="77">
        <v>4</v>
      </c>
      <c r="J13" s="77">
        <v>4</v>
      </c>
      <c r="K13" s="77">
        <v>0</v>
      </c>
      <c r="L13" s="78" t="s">
        <v>6433</v>
      </c>
      <c r="O13" s="77">
        <v>12</v>
      </c>
      <c r="P13" s="77">
        <v>25</v>
      </c>
      <c r="Q13" s="77">
        <v>32</v>
      </c>
      <c r="R13" s="78" t="s">
        <v>6476</v>
      </c>
      <c r="S13" s="78" t="s">
        <v>6464</v>
      </c>
      <c r="T13" s="77">
        <v>0.2142857142857143</v>
      </c>
      <c r="U13" s="77">
        <v>37</v>
      </c>
      <c r="V13" s="78" t="s">
        <v>6477</v>
      </c>
      <c r="W13" s="77">
        <v>3</v>
      </c>
      <c r="Y13" s="77">
        <v>12</v>
      </c>
      <c r="Z13" s="77">
        <v>28</v>
      </c>
      <c r="AA13" s="77">
        <v>50</v>
      </c>
      <c r="AB13" s="78" t="s">
        <v>6507</v>
      </c>
      <c r="AC13" s="78" t="s">
        <v>6498</v>
      </c>
      <c r="AD13" s="77">
        <v>0</v>
      </c>
      <c r="AE13" s="77">
        <v>51</v>
      </c>
      <c r="AF13" s="78" t="s">
        <v>6508</v>
      </c>
      <c r="AG13" s="77">
        <v>9</v>
      </c>
      <c r="AI13" s="77">
        <v>3</v>
      </c>
      <c r="AJ13" s="77">
        <v>1</v>
      </c>
      <c r="AK13" s="77">
        <v>24</v>
      </c>
      <c r="AL13" s="78" t="s">
        <v>132</v>
      </c>
      <c r="AM13" s="77">
        <v>0.54166666666666663</v>
      </c>
      <c r="AO13" s="77">
        <v>3</v>
      </c>
      <c r="AP13" s="77">
        <v>2</v>
      </c>
      <c r="AQ13" s="77">
        <v>3</v>
      </c>
      <c r="AR13" s="78" t="s">
        <v>210</v>
      </c>
      <c r="AS13" s="77">
        <v>2.666666666666667</v>
      </c>
      <c r="AT13" s="77">
        <v>3</v>
      </c>
      <c r="AU13" s="77">
        <v>1</v>
      </c>
      <c r="AW13" s="78" t="s">
        <v>6549</v>
      </c>
      <c r="AX13" s="77">
        <v>5</v>
      </c>
      <c r="AY13" s="77">
        <v>5</v>
      </c>
      <c r="AZ13" s="77">
        <v>1</v>
      </c>
      <c r="BA13" s="77">
        <v>1</v>
      </c>
    </row>
    <row r="14" spans="1:53" ht="45" x14ac:dyDescent="0.25">
      <c r="A14" s="75">
        <v>13</v>
      </c>
      <c r="B14" s="76" t="s">
        <v>344</v>
      </c>
      <c r="C14" s="75">
        <v>1</v>
      </c>
      <c r="D14" s="75">
        <v>2</v>
      </c>
      <c r="E14" s="75">
        <v>3</v>
      </c>
      <c r="F14" s="75">
        <v>0</v>
      </c>
      <c r="G14" s="76" t="s">
        <v>6433</v>
      </c>
      <c r="H14" s="75">
        <v>3</v>
      </c>
      <c r="I14" s="75">
        <v>3</v>
      </c>
      <c r="J14" s="75">
        <v>3</v>
      </c>
      <c r="K14" s="75">
        <v>0</v>
      </c>
      <c r="L14" s="76" t="s">
        <v>6433</v>
      </c>
      <c r="O14" s="75">
        <v>13</v>
      </c>
      <c r="P14" s="75">
        <v>35</v>
      </c>
      <c r="Q14" s="75">
        <v>36</v>
      </c>
      <c r="R14" s="76" t="s">
        <v>6473</v>
      </c>
      <c r="S14" s="76" t="s">
        <v>6475</v>
      </c>
      <c r="T14" s="75">
        <v>0.23110994397759099</v>
      </c>
      <c r="U14" s="75">
        <v>38</v>
      </c>
      <c r="V14" s="76" t="s">
        <v>6478</v>
      </c>
      <c r="W14" s="75">
        <v>9</v>
      </c>
      <c r="Y14" s="75">
        <v>13</v>
      </c>
      <c r="Z14" s="75">
        <v>29</v>
      </c>
      <c r="AA14" s="75">
        <v>51</v>
      </c>
      <c r="AB14" s="76" t="s">
        <v>6509</v>
      </c>
      <c r="AC14" s="76" t="s">
        <v>6508</v>
      </c>
      <c r="AD14" s="75">
        <v>0</v>
      </c>
      <c r="AE14" s="75">
        <v>52</v>
      </c>
      <c r="AF14" s="76" t="s">
        <v>6510</v>
      </c>
      <c r="AG14" s="75">
        <v>10</v>
      </c>
      <c r="AI14" s="75">
        <v>3</v>
      </c>
      <c r="AJ14" s="75">
        <v>1</v>
      </c>
      <c r="AK14" s="75">
        <v>24</v>
      </c>
      <c r="AL14" s="76" t="s">
        <v>140</v>
      </c>
      <c r="AM14" s="75">
        <v>0.75</v>
      </c>
      <c r="AO14" s="75">
        <v>3</v>
      </c>
      <c r="AP14" s="75">
        <v>2</v>
      </c>
      <c r="AQ14" s="75">
        <v>3</v>
      </c>
      <c r="AR14" s="76" t="s">
        <v>215</v>
      </c>
      <c r="AS14" s="75">
        <v>2.333333333333333</v>
      </c>
      <c r="AT14" s="75">
        <v>2</v>
      </c>
      <c r="AU14" s="75">
        <v>1</v>
      </c>
      <c r="AW14" s="76" t="s">
        <v>6550</v>
      </c>
      <c r="AX14" s="75">
        <v>3</v>
      </c>
      <c r="AY14" s="75">
        <v>1</v>
      </c>
      <c r="AZ14" s="75">
        <v>19</v>
      </c>
      <c r="BA14" s="75">
        <v>0</v>
      </c>
    </row>
    <row r="15" spans="1:53" ht="105" x14ac:dyDescent="0.25">
      <c r="A15" s="77">
        <v>14</v>
      </c>
      <c r="B15" s="78" t="s">
        <v>348</v>
      </c>
      <c r="C15" s="77"/>
      <c r="D15" s="77"/>
      <c r="E15" s="77"/>
      <c r="F15" s="77">
        <v>1</v>
      </c>
      <c r="G15" s="78" t="s">
        <v>6432</v>
      </c>
      <c r="H15" s="77">
        <v>1</v>
      </c>
      <c r="I15" s="77">
        <v>1</v>
      </c>
      <c r="J15" s="77">
        <v>1</v>
      </c>
      <c r="K15" s="77">
        <v>0</v>
      </c>
      <c r="L15" s="78" t="s">
        <v>6433</v>
      </c>
      <c r="O15" s="77">
        <v>14</v>
      </c>
      <c r="P15" s="77">
        <v>33</v>
      </c>
      <c r="Q15" s="77">
        <v>38</v>
      </c>
      <c r="R15" s="78" t="s">
        <v>6467</v>
      </c>
      <c r="S15" s="78" t="s">
        <v>6478</v>
      </c>
      <c r="T15" s="77">
        <v>0.25052650689905592</v>
      </c>
      <c r="U15" s="77">
        <v>39</v>
      </c>
      <c r="V15" s="78" t="s">
        <v>6479</v>
      </c>
      <c r="W15" s="77">
        <v>11</v>
      </c>
      <c r="Y15" s="77">
        <v>14</v>
      </c>
      <c r="Z15" s="77">
        <v>32</v>
      </c>
      <c r="AA15" s="77">
        <v>52</v>
      </c>
      <c r="AB15" s="78" t="s">
        <v>6511</v>
      </c>
      <c r="AC15" s="78" t="s">
        <v>6510</v>
      </c>
      <c r="AD15" s="77">
        <v>0</v>
      </c>
      <c r="AE15" s="77">
        <v>53</v>
      </c>
      <c r="AF15" s="78" t="s">
        <v>6512</v>
      </c>
      <c r="AG15" s="77">
        <v>11</v>
      </c>
      <c r="AI15" s="77">
        <v>3</v>
      </c>
      <c r="AJ15" s="77">
        <v>1</v>
      </c>
      <c r="AK15" s="77">
        <v>24</v>
      </c>
      <c r="AL15" s="78" t="s">
        <v>147</v>
      </c>
      <c r="AM15" s="77">
        <v>0.875</v>
      </c>
      <c r="AO15" s="77">
        <v>3</v>
      </c>
      <c r="AP15" s="77">
        <v>2</v>
      </c>
      <c r="AQ15" s="77">
        <v>3</v>
      </c>
      <c r="AR15" s="78" t="s">
        <v>221</v>
      </c>
      <c r="AS15" s="77">
        <v>1</v>
      </c>
      <c r="AT15" s="77">
        <v>1</v>
      </c>
      <c r="AU15" s="77">
        <v>0.33333333333333331</v>
      </c>
      <c r="AW15" s="78" t="s">
        <v>6550</v>
      </c>
      <c r="AX15" s="77">
        <v>3</v>
      </c>
      <c r="AY15" s="77">
        <v>2</v>
      </c>
      <c r="AZ15" s="77">
        <v>3</v>
      </c>
      <c r="BA15" s="77">
        <v>0</v>
      </c>
    </row>
    <row r="16" spans="1:53" ht="45" x14ac:dyDescent="0.25">
      <c r="A16" s="75">
        <v>15</v>
      </c>
      <c r="B16" s="76" t="s">
        <v>352</v>
      </c>
      <c r="C16" s="75">
        <v>1</v>
      </c>
      <c r="D16" s="75">
        <v>1</v>
      </c>
      <c r="E16" s="75">
        <v>1</v>
      </c>
      <c r="F16" s="75">
        <v>0</v>
      </c>
      <c r="G16" s="76" t="s">
        <v>6433</v>
      </c>
      <c r="H16" s="75">
        <v>2</v>
      </c>
      <c r="I16" s="75">
        <v>2</v>
      </c>
      <c r="J16" s="75">
        <v>2</v>
      </c>
      <c r="K16" s="75">
        <v>0</v>
      </c>
      <c r="L16" s="76" t="s">
        <v>6433</v>
      </c>
      <c r="O16" s="75">
        <v>15</v>
      </c>
      <c r="P16" s="75">
        <v>31</v>
      </c>
      <c r="Q16" s="75">
        <v>34</v>
      </c>
      <c r="R16" s="76" t="s">
        <v>6461</v>
      </c>
      <c r="S16" s="76" t="s">
        <v>6470</v>
      </c>
      <c r="T16" s="75">
        <v>0.2583333333333333</v>
      </c>
      <c r="U16" s="75">
        <v>40</v>
      </c>
      <c r="V16" s="76" t="s">
        <v>6480</v>
      </c>
      <c r="W16" s="75">
        <v>4</v>
      </c>
      <c r="Y16" s="75">
        <v>15</v>
      </c>
      <c r="Z16" s="75">
        <v>34</v>
      </c>
      <c r="AA16" s="75">
        <v>53</v>
      </c>
      <c r="AB16" s="76" t="s">
        <v>6513</v>
      </c>
      <c r="AC16" s="76" t="s">
        <v>6512</v>
      </c>
      <c r="AD16" s="75">
        <v>0</v>
      </c>
      <c r="AE16" s="75">
        <v>54</v>
      </c>
      <c r="AF16" s="76" t="s">
        <v>6514</v>
      </c>
      <c r="AG16" s="75">
        <v>12</v>
      </c>
      <c r="AI16" s="75">
        <v>3</v>
      </c>
      <c r="AJ16" s="75">
        <v>1</v>
      </c>
      <c r="AK16" s="75">
        <v>24</v>
      </c>
      <c r="AL16" s="76" t="s">
        <v>154</v>
      </c>
      <c r="AM16" s="75">
        <v>0.91666666666666663</v>
      </c>
      <c r="AO16" s="75">
        <v>3</v>
      </c>
      <c r="AP16" s="75">
        <v>3</v>
      </c>
      <c r="AQ16" s="75">
        <v>18</v>
      </c>
      <c r="AR16" s="76" t="s">
        <v>186</v>
      </c>
      <c r="AS16" s="75">
        <v>1.333333333333333</v>
      </c>
      <c r="AT16" s="75">
        <v>2</v>
      </c>
      <c r="AU16" s="75">
        <v>0.61111111111111116</v>
      </c>
      <c r="AW16" s="76" t="s">
        <v>6550</v>
      </c>
      <c r="AX16" s="75">
        <v>3</v>
      </c>
      <c r="AY16" s="75">
        <v>3</v>
      </c>
      <c r="AZ16" s="75">
        <v>18</v>
      </c>
      <c r="BA16" s="75">
        <v>0</v>
      </c>
    </row>
    <row r="17" spans="1:53" ht="105" x14ac:dyDescent="0.25">
      <c r="A17" s="77">
        <v>16</v>
      </c>
      <c r="B17" s="78" t="s">
        <v>356</v>
      </c>
      <c r="C17" s="77"/>
      <c r="D17" s="77"/>
      <c r="E17" s="77"/>
      <c r="F17" s="77">
        <v>1</v>
      </c>
      <c r="G17" s="78" t="s">
        <v>6432</v>
      </c>
      <c r="H17" s="77">
        <v>1</v>
      </c>
      <c r="I17" s="77">
        <v>1</v>
      </c>
      <c r="J17" s="77">
        <v>1</v>
      </c>
      <c r="K17" s="77">
        <v>0</v>
      </c>
      <c r="L17" s="78" t="s">
        <v>6433</v>
      </c>
      <c r="O17" s="77">
        <v>16</v>
      </c>
      <c r="P17" s="77">
        <v>39</v>
      </c>
      <c r="Q17" s="77">
        <v>40</v>
      </c>
      <c r="R17" s="78" t="s">
        <v>6479</v>
      </c>
      <c r="S17" s="78" t="s">
        <v>6480</v>
      </c>
      <c r="T17" s="77">
        <v>0.27911122782446313</v>
      </c>
      <c r="U17" s="77">
        <v>41</v>
      </c>
      <c r="V17" s="78" t="s">
        <v>6481</v>
      </c>
      <c r="W17" s="77">
        <v>15</v>
      </c>
      <c r="Y17" s="77">
        <v>16</v>
      </c>
      <c r="Z17" s="77">
        <v>36</v>
      </c>
      <c r="AA17" s="77">
        <v>54</v>
      </c>
      <c r="AB17" s="78" t="s">
        <v>6515</v>
      </c>
      <c r="AC17" s="78" t="s">
        <v>6514</v>
      </c>
      <c r="AD17" s="77">
        <v>0</v>
      </c>
      <c r="AE17" s="77">
        <v>55</v>
      </c>
      <c r="AF17" s="78" t="s">
        <v>6516</v>
      </c>
      <c r="AG17" s="77">
        <v>13</v>
      </c>
      <c r="AI17" s="77">
        <v>3</v>
      </c>
      <c r="AJ17" s="77">
        <v>1</v>
      </c>
      <c r="AK17" s="77">
        <v>24</v>
      </c>
      <c r="AL17" s="78" t="s">
        <v>161</v>
      </c>
      <c r="AM17" s="77">
        <v>0.75</v>
      </c>
      <c r="AO17" s="77">
        <v>3</v>
      </c>
      <c r="AP17" s="77">
        <v>3</v>
      </c>
      <c r="AQ17" s="77">
        <v>18</v>
      </c>
      <c r="AR17" s="78" t="s">
        <v>192</v>
      </c>
      <c r="AS17" s="77">
        <v>1.944444444444444</v>
      </c>
      <c r="AT17" s="77">
        <v>2</v>
      </c>
      <c r="AU17" s="77">
        <v>0.94444444444444442</v>
      </c>
      <c r="AW17" s="78" t="s">
        <v>6550</v>
      </c>
      <c r="AX17" s="77">
        <v>4</v>
      </c>
      <c r="AY17" s="77">
        <v>1</v>
      </c>
      <c r="AZ17" s="77">
        <v>19</v>
      </c>
      <c r="BA17" s="77">
        <v>0</v>
      </c>
    </row>
    <row r="18" spans="1:53" ht="45" x14ac:dyDescent="0.25">
      <c r="A18" s="75">
        <v>17</v>
      </c>
      <c r="B18" s="76" t="s">
        <v>359</v>
      </c>
      <c r="C18" s="75">
        <v>1</v>
      </c>
      <c r="D18" s="75">
        <v>1</v>
      </c>
      <c r="E18" s="75">
        <v>1</v>
      </c>
      <c r="F18" s="75">
        <v>0</v>
      </c>
      <c r="G18" s="76" t="s">
        <v>6433</v>
      </c>
      <c r="H18" s="75">
        <v>3</v>
      </c>
      <c r="I18" s="75">
        <v>4</v>
      </c>
      <c r="J18" s="75">
        <v>5</v>
      </c>
      <c r="K18" s="75">
        <v>0</v>
      </c>
      <c r="L18" s="76" t="s">
        <v>6433</v>
      </c>
      <c r="O18" s="75">
        <v>17</v>
      </c>
      <c r="P18" s="75">
        <v>37</v>
      </c>
      <c r="Q18" s="75">
        <v>41</v>
      </c>
      <c r="R18" s="76" t="s">
        <v>6477</v>
      </c>
      <c r="S18" s="76" t="s">
        <v>6481</v>
      </c>
      <c r="T18" s="75">
        <v>0.29703192958094921</v>
      </c>
      <c r="U18" s="75">
        <v>42</v>
      </c>
      <c r="V18" s="76" t="s">
        <v>6482</v>
      </c>
      <c r="W18" s="75">
        <v>18</v>
      </c>
      <c r="Y18" s="75">
        <v>17</v>
      </c>
      <c r="Z18" s="75">
        <v>37</v>
      </c>
      <c r="AA18" s="75">
        <v>55</v>
      </c>
      <c r="AB18" s="76" t="s">
        <v>6484</v>
      </c>
      <c r="AC18" s="76" t="s">
        <v>6516</v>
      </c>
      <c r="AD18" s="75">
        <v>0</v>
      </c>
      <c r="AE18" s="75">
        <v>56</v>
      </c>
      <c r="AF18" s="76" t="s">
        <v>6517</v>
      </c>
      <c r="AG18" s="75">
        <v>14</v>
      </c>
      <c r="AI18" s="75">
        <v>3</v>
      </c>
      <c r="AJ18" s="75">
        <v>1</v>
      </c>
      <c r="AK18" s="75">
        <v>24</v>
      </c>
      <c r="AL18" s="76" t="s">
        <v>166</v>
      </c>
      <c r="AM18" s="75">
        <v>0.29166666666666669</v>
      </c>
      <c r="AO18" s="75">
        <v>3</v>
      </c>
      <c r="AP18" s="75">
        <v>3</v>
      </c>
      <c r="AQ18" s="75">
        <v>18</v>
      </c>
      <c r="AR18" s="76" t="s">
        <v>198</v>
      </c>
      <c r="AS18" s="75">
        <v>2</v>
      </c>
      <c r="AT18" s="75">
        <v>2</v>
      </c>
      <c r="AU18" s="75">
        <v>1</v>
      </c>
      <c r="AW18" s="76" t="s">
        <v>6550</v>
      </c>
      <c r="AX18" s="75">
        <v>4</v>
      </c>
      <c r="AY18" s="75">
        <v>2</v>
      </c>
      <c r="AZ18" s="75">
        <v>3</v>
      </c>
      <c r="BA18" s="75">
        <v>0</v>
      </c>
    </row>
    <row r="19" spans="1:53" ht="105" x14ac:dyDescent="0.25">
      <c r="A19" s="77">
        <v>18</v>
      </c>
      <c r="B19" s="78" t="s">
        <v>363</v>
      </c>
      <c r="C19" s="77"/>
      <c r="D19" s="77"/>
      <c r="E19" s="77"/>
      <c r="F19" s="77">
        <v>1</v>
      </c>
      <c r="G19" s="78" t="s">
        <v>6432</v>
      </c>
      <c r="H19" s="77">
        <v>1</v>
      </c>
      <c r="I19" s="77">
        <v>1</v>
      </c>
      <c r="J19" s="77">
        <v>1</v>
      </c>
      <c r="K19" s="77">
        <v>0</v>
      </c>
      <c r="L19" s="78" t="s">
        <v>6433</v>
      </c>
      <c r="O19" s="77">
        <v>18</v>
      </c>
      <c r="P19" s="77">
        <v>15</v>
      </c>
      <c r="Q19" s="77">
        <v>24</v>
      </c>
      <c r="R19" s="78" t="s">
        <v>6483</v>
      </c>
      <c r="S19" s="78" t="s">
        <v>6484</v>
      </c>
      <c r="T19" s="77">
        <v>0.4</v>
      </c>
      <c r="U19" s="77">
        <v>43</v>
      </c>
      <c r="V19" s="78" t="s">
        <v>6485</v>
      </c>
      <c r="W19" s="77">
        <v>2</v>
      </c>
      <c r="Y19" s="77">
        <v>18</v>
      </c>
      <c r="Z19" s="77">
        <v>38</v>
      </c>
      <c r="AA19" s="77">
        <v>56</v>
      </c>
      <c r="AB19" s="78" t="s">
        <v>6518</v>
      </c>
      <c r="AC19" s="78" t="s">
        <v>6517</v>
      </c>
      <c r="AD19" s="77">
        <v>0</v>
      </c>
      <c r="AE19" s="77">
        <v>57</v>
      </c>
      <c r="AF19" s="78" t="s">
        <v>6519</v>
      </c>
      <c r="AG19" s="77">
        <v>15</v>
      </c>
      <c r="AI19" s="77">
        <v>3</v>
      </c>
      <c r="AJ19" s="77">
        <v>1</v>
      </c>
      <c r="AK19" s="77">
        <v>24</v>
      </c>
      <c r="AL19" s="78" t="s">
        <v>174</v>
      </c>
      <c r="AM19" s="77">
        <v>0.54166666666666663</v>
      </c>
      <c r="AO19" s="77">
        <v>3</v>
      </c>
      <c r="AP19" s="77">
        <v>3</v>
      </c>
      <c r="AQ19" s="77">
        <v>18</v>
      </c>
      <c r="AR19" s="78" t="s">
        <v>204</v>
      </c>
      <c r="AS19" s="77">
        <v>0.5</v>
      </c>
      <c r="AT19" s="77">
        <v>0</v>
      </c>
      <c r="AU19" s="77">
        <v>0.1111111111111111</v>
      </c>
      <c r="AW19" s="78" t="s">
        <v>6550</v>
      </c>
      <c r="AX19" s="77">
        <v>4</v>
      </c>
      <c r="AY19" s="77">
        <v>3</v>
      </c>
      <c r="AZ19" s="77">
        <v>6</v>
      </c>
      <c r="BA19" s="77">
        <v>0</v>
      </c>
    </row>
    <row r="20" spans="1:53" ht="45" x14ac:dyDescent="0.25">
      <c r="A20" s="75">
        <v>19</v>
      </c>
      <c r="B20" s="76" t="s">
        <v>367</v>
      </c>
      <c r="C20" s="75">
        <v>1</v>
      </c>
      <c r="D20" s="75">
        <v>1</v>
      </c>
      <c r="E20" s="75">
        <v>1</v>
      </c>
      <c r="F20" s="75">
        <v>0</v>
      </c>
      <c r="G20" s="76" t="s">
        <v>6433</v>
      </c>
      <c r="H20" s="75">
        <v>3</v>
      </c>
      <c r="I20" s="75">
        <v>4</v>
      </c>
      <c r="J20" s="75">
        <v>4</v>
      </c>
      <c r="K20" s="75">
        <v>0</v>
      </c>
      <c r="L20" s="76" t="s">
        <v>6433</v>
      </c>
      <c r="O20" s="75">
        <v>19</v>
      </c>
      <c r="P20" s="75">
        <v>7</v>
      </c>
      <c r="Q20" s="75">
        <v>19</v>
      </c>
      <c r="R20" s="76" t="s">
        <v>6486</v>
      </c>
      <c r="S20" s="76" t="s">
        <v>6487</v>
      </c>
      <c r="T20" s="75">
        <v>0.4</v>
      </c>
      <c r="U20" s="75">
        <v>44</v>
      </c>
      <c r="V20" s="76" t="s">
        <v>6488</v>
      </c>
      <c r="W20" s="75">
        <v>2</v>
      </c>
      <c r="Y20" s="75">
        <v>19</v>
      </c>
      <c r="Z20" s="75">
        <v>5</v>
      </c>
      <c r="AA20" s="75">
        <v>6</v>
      </c>
      <c r="AB20" s="76" t="s">
        <v>6489</v>
      </c>
      <c r="AC20" s="76" t="s">
        <v>6474</v>
      </c>
      <c r="AD20" s="75">
        <v>1.0633635547027009</v>
      </c>
      <c r="AE20" s="75">
        <v>58</v>
      </c>
      <c r="AF20" s="76" t="s">
        <v>6520</v>
      </c>
      <c r="AG20" s="75">
        <v>2</v>
      </c>
      <c r="AI20" s="75">
        <v>3</v>
      </c>
      <c r="AJ20" s="75">
        <v>2</v>
      </c>
      <c r="AK20" s="75">
        <v>1</v>
      </c>
      <c r="AL20" s="76" t="s">
        <v>53</v>
      </c>
      <c r="AM20" s="75">
        <v>0</v>
      </c>
      <c r="AO20" s="75">
        <v>3</v>
      </c>
      <c r="AP20" s="75">
        <v>3</v>
      </c>
      <c r="AQ20" s="75">
        <v>18</v>
      </c>
      <c r="AR20" s="76" t="s">
        <v>210</v>
      </c>
      <c r="AS20" s="75">
        <v>0.94444444444444442</v>
      </c>
      <c r="AT20" s="75">
        <v>1</v>
      </c>
      <c r="AU20" s="75">
        <v>0.22222222222222221</v>
      </c>
      <c r="AW20" s="76" t="s">
        <v>6550</v>
      </c>
      <c r="AX20" s="75">
        <v>4</v>
      </c>
      <c r="AY20" s="75">
        <v>4</v>
      </c>
      <c r="AZ20" s="75">
        <v>12</v>
      </c>
      <c r="BA20" s="75">
        <v>0</v>
      </c>
    </row>
    <row r="21" spans="1:53" ht="45" x14ac:dyDescent="0.25">
      <c r="A21" s="77">
        <v>20</v>
      </c>
      <c r="B21" s="78" t="s">
        <v>371</v>
      </c>
      <c r="C21" s="77">
        <v>3</v>
      </c>
      <c r="D21" s="77">
        <v>4</v>
      </c>
      <c r="E21" s="77">
        <v>5</v>
      </c>
      <c r="F21" s="77">
        <v>0</v>
      </c>
      <c r="G21" s="78" t="s">
        <v>6433</v>
      </c>
      <c r="H21" s="77">
        <v>1</v>
      </c>
      <c r="I21" s="77">
        <v>1</v>
      </c>
      <c r="J21" s="77">
        <v>1</v>
      </c>
      <c r="K21" s="77">
        <v>0</v>
      </c>
      <c r="L21" s="78" t="s">
        <v>6433</v>
      </c>
      <c r="O21" s="77">
        <v>20</v>
      </c>
      <c r="P21" s="77">
        <v>4</v>
      </c>
      <c r="Q21" s="77">
        <v>42</v>
      </c>
      <c r="R21" s="78" t="s">
        <v>6489</v>
      </c>
      <c r="S21" s="78" t="s">
        <v>6482</v>
      </c>
      <c r="T21" s="77">
        <v>0.48366651503906399</v>
      </c>
      <c r="U21" s="77">
        <v>45</v>
      </c>
      <c r="V21" s="78" t="s">
        <v>6490</v>
      </c>
      <c r="W21" s="77">
        <v>19</v>
      </c>
      <c r="Y21" s="77">
        <v>20</v>
      </c>
      <c r="Z21" s="77">
        <v>8</v>
      </c>
      <c r="AA21" s="77">
        <v>39</v>
      </c>
      <c r="AB21" s="78" t="s">
        <v>6462</v>
      </c>
      <c r="AC21" s="78" t="s">
        <v>6476</v>
      </c>
      <c r="AD21" s="77">
        <v>1.0633635547027009</v>
      </c>
      <c r="AE21" s="77">
        <v>59</v>
      </c>
      <c r="AF21" s="78" t="s">
        <v>6521</v>
      </c>
      <c r="AG21" s="77">
        <v>2</v>
      </c>
      <c r="AI21" s="77">
        <v>3</v>
      </c>
      <c r="AJ21" s="77">
        <v>2</v>
      </c>
      <c r="AK21" s="77">
        <v>1</v>
      </c>
      <c r="AL21" s="78" t="s">
        <v>61</v>
      </c>
      <c r="AM21" s="77">
        <v>0</v>
      </c>
      <c r="AO21" s="77">
        <v>3</v>
      </c>
      <c r="AP21" s="77">
        <v>3</v>
      </c>
      <c r="AQ21" s="77">
        <v>18</v>
      </c>
      <c r="AR21" s="78" t="s">
        <v>215</v>
      </c>
      <c r="AS21" s="77">
        <v>0.44444444444444442</v>
      </c>
      <c r="AT21" s="77">
        <v>0</v>
      </c>
      <c r="AU21" s="77">
        <v>0.1111111111111111</v>
      </c>
      <c r="AW21" s="78" t="s">
        <v>6550</v>
      </c>
      <c r="AX21" s="77">
        <v>5</v>
      </c>
      <c r="AY21" s="77">
        <v>1</v>
      </c>
      <c r="AZ21" s="77">
        <v>19</v>
      </c>
      <c r="BA21" s="77">
        <v>0</v>
      </c>
    </row>
    <row r="22" spans="1:53" ht="105" x14ac:dyDescent="0.25">
      <c r="A22" s="75">
        <v>21</v>
      </c>
      <c r="B22" s="76" t="s">
        <v>373</v>
      </c>
      <c r="C22" s="75"/>
      <c r="D22" s="75"/>
      <c r="E22" s="75"/>
      <c r="F22" s="75">
        <v>1</v>
      </c>
      <c r="G22" s="76" t="s">
        <v>6432</v>
      </c>
      <c r="H22" s="75">
        <v>1</v>
      </c>
      <c r="I22" s="75">
        <v>1</v>
      </c>
      <c r="J22" s="75">
        <v>1</v>
      </c>
      <c r="K22" s="75">
        <v>0</v>
      </c>
      <c r="L22" s="76" t="s">
        <v>6433</v>
      </c>
      <c r="O22" s="75">
        <v>21</v>
      </c>
      <c r="P22" s="75">
        <v>43</v>
      </c>
      <c r="Q22" s="75">
        <v>45</v>
      </c>
      <c r="R22" s="76" t="s">
        <v>6485</v>
      </c>
      <c r="S22" s="76" t="s">
        <v>6490</v>
      </c>
      <c r="T22" s="75">
        <v>0.52069405482718167</v>
      </c>
      <c r="U22" s="75">
        <v>46</v>
      </c>
      <c r="V22" s="76" t="s">
        <v>6491</v>
      </c>
      <c r="W22" s="75">
        <v>21</v>
      </c>
      <c r="Y22" s="75">
        <v>21</v>
      </c>
      <c r="Z22" s="75">
        <v>4</v>
      </c>
      <c r="AA22" s="75">
        <v>22</v>
      </c>
      <c r="AB22" s="76" t="s">
        <v>6459</v>
      </c>
      <c r="AC22" s="76" t="s">
        <v>6466</v>
      </c>
      <c r="AD22" s="75">
        <v>1.301889109808239</v>
      </c>
      <c r="AE22" s="75">
        <v>60</v>
      </c>
      <c r="AF22" s="76" t="s">
        <v>6522</v>
      </c>
      <c r="AG22" s="75">
        <v>2</v>
      </c>
      <c r="AI22" s="75">
        <v>3</v>
      </c>
      <c r="AJ22" s="75">
        <v>2</v>
      </c>
      <c r="AK22" s="75">
        <v>1</v>
      </c>
      <c r="AL22" s="76" t="s">
        <v>69</v>
      </c>
      <c r="AM22" s="75">
        <v>0</v>
      </c>
      <c r="AO22" s="75">
        <v>3</v>
      </c>
      <c r="AP22" s="75">
        <v>3</v>
      </c>
      <c r="AQ22" s="75">
        <v>18</v>
      </c>
      <c r="AR22" s="76" t="s">
        <v>221</v>
      </c>
      <c r="AS22" s="75">
        <v>0.27777777777777779</v>
      </c>
      <c r="AT22" s="75">
        <v>0</v>
      </c>
      <c r="AU22" s="75">
        <v>0</v>
      </c>
      <c r="AW22" s="76" t="s">
        <v>6550</v>
      </c>
      <c r="AX22" s="75">
        <v>5</v>
      </c>
      <c r="AY22" s="75">
        <v>2</v>
      </c>
      <c r="AZ22" s="75">
        <v>3</v>
      </c>
      <c r="BA22" s="75">
        <v>0</v>
      </c>
    </row>
    <row r="23" spans="1:53" ht="45" x14ac:dyDescent="0.25">
      <c r="A23" s="77">
        <v>22</v>
      </c>
      <c r="B23" s="78" t="s">
        <v>377</v>
      </c>
      <c r="C23" s="77">
        <v>1</v>
      </c>
      <c r="D23" s="77">
        <v>1</v>
      </c>
      <c r="E23" s="77">
        <v>1</v>
      </c>
      <c r="F23" s="77">
        <v>0</v>
      </c>
      <c r="G23" s="78" t="s">
        <v>6433</v>
      </c>
      <c r="H23" s="77">
        <v>1</v>
      </c>
      <c r="I23" s="77">
        <v>1</v>
      </c>
      <c r="J23" s="77">
        <v>1</v>
      </c>
      <c r="K23" s="77">
        <v>0</v>
      </c>
      <c r="L23" s="78" t="s">
        <v>6433</v>
      </c>
      <c r="O23" s="77">
        <v>22</v>
      </c>
      <c r="P23" s="77">
        <v>10</v>
      </c>
      <c r="Q23" s="77">
        <v>44</v>
      </c>
      <c r="R23" s="78" t="s">
        <v>6492</v>
      </c>
      <c r="S23" s="78" t="s">
        <v>6488</v>
      </c>
      <c r="T23" s="77">
        <v>0.52222222222222214</v>
      </c>
      <c r="U23" s="77">
        <v>47</v>
      </c>
      <c r="V23" s="78" t="s">
        <v>6493</v>
      </c>
      <c r="W23" s="77">
        <v>3</v>
      </c>
      <c r="Y23" s="77">
        <v>22</v>
      </c>
      <c r="Z23" s="77">
        <v>21</v>
      </c>
      <c r="AA23" s="77">
        <v>57</v>
      </c>
      <c r="AB23" s="78" t="s">
        <v>6483</v>
      </c>
      <c r="AC23" s="78" t="s">
        <v>6519</v>
      </c>
      <c r="AD23" s="77">
        <v>1.3427153888239369</v>
      </c>
      <c r="AE23" s="77">
        <v>61</v>
      </c>
      <c r="AF23" s="78" t="s">
        <v>6523</v>
      </c>
      <c r="AG23" s="77">
        <v>16</v>
      </c>
      <c r="AI23" s="77">
        <v>3</v>
      </c>
      <c r="AJ23" s="77">
        <v>2</v>
      </c>
      <c r="AK23" s="77">
        <v>1</v>
      </c>
      <c r="AL23" s="78" t="s">
        <v>76</v>
      </c>
      <c r="AM23" s="77">
        <v>1</v>
      </c>
      <c r="AO23" s="77">
        <v>4</v>
      </c>
      <c r="AP23" s="77">
        <v>1</v>
      </c>
      <c r="AQ23" s="77">
        <v>19</v>
      </c>
      <c r="AR23" s="78" t="s">
        <v>186</v>
      </c>
      <c r="AS23" s="77">
        <v>0</v>
      </c>
      <c r="AT23" s="77">
        <v>0</v>
      </c>
      <c r="AU23" s="77">
        <v>0</v>
      </c>
      <c r="AW23" s="78" t="s">
        <v>6550</v>
      </c>
      <c r="AX23" s="77">
        <v>5</v>
      </c>
      <c r="AY23" s="77">
        <v>3</v>
      </c>
      <c r="AZ23" s="77">
        <v>6</v>
      </c>
      <c r="BA23" s="77">
        <v>0</v>
      </c>
    </row>
    <row r="24" spans="1:53" ht="45" x14ac:dyDescent="0.25">
      <c r="A24" s="75">
        <v>23</v>
      </c>
      <c r="B24" s="76" t="s">
        <v>380</v>
      </c>
      <c r="C24" s="75">
        <v>1</v>
      </c>
      <c r="D24" s="75">
        <v>1</v>
      </c>
      <c r="E24" s="75">
        <v>1</v>
      </c>
      <c r="F24" s="75">
        <v>0</v>
      </c>
      <c r="G24" s="76" t="s">
        <v>6433</v>
      </c>
      <c r="H24" s="75">
        <v>3</v>
      </c>
      <c r="I24" s="75">
        <v>4</v>
      </c>
      <c r="J24" s="75">
        <v>4</v>
      </c>
      <c r="K24" s="75">
        <v>0</v>
      </c>
      <c r="L24" s="76" t="s">
        <v>6433</v>
      </c>
      <c r="O24" s="75">
        <v>23</v>
      </c>
      <c r="P24" s="75">
        <v>46</v>
      </c>
      <c r="Q24" s="75">
        <v>47</v>
      </c>
      <c r="R24" s="76" t="s">
        <v>6491</v>
      </c>
      <c r="S24" s="76" t="s">
        <v>6493</v>
      </c>
      <c r="T24" s="75">
        <v>0.57936640727256972</v>
      </c>
      <c r="U24" s="75">
        <v>48</v>
      </c>
      <c r="V24" s="76" t="s">
        <v>6494</v>
      </c>
      <c r="W24" s="75">
        <v>24</v>
      </c>
      <c r="Y24" s="75">
        <v>23</v>
      </c>
      <c r="Z24" s="75">
        <v>3</v>
      </c>
      <c r="AA24" s="75">
        <v>12</v>
      </c>
      <c r="AB24" s="76" t="s">
        <v>6468</v>
      </c>
      <c r="AC24" s="76" t="s">
        <v>6492</v>
      </c>
      <c r="AD24" s="75">
        <v>1.474139520650243</v>
      </c>
      <c r="AE24" s="75">
        <v>62</v>
      </c>
      <c r="AF24" s="76" t="s">
        <v>6524</v>
      </c>
      <c r="AG24" s="75">
        <v>2</v>
      </c>
      <c r="AI24" s="75">
        <v>3</v>
      </c>
      <c r="AJ24" s="75">
        <v>2</v>
      </c>
      <c r="AK24" s="75">
        <v>1</v>
      </c>
      <c r="AL24" s="76" t="s">
        <v>83</v>
      </c>
      <c r="AM24" s="75">
        <v>1</v>
      </c>
      <c r="AO24" s="75">
        <v>4</v>
      </c>
      <c r="AP24" s="75">
        <v>1</v>
      </c>
      <c r="AQ24" s="75">
        <v>19</v>
      </c>
      <c r="AR24" s="76" t="s">
        <v>192</v>
      </c>
      <c r="AS24" s="75">
        <v>0.15789473684210531</v>
      </c>
      <c r="AT24" s="75">
        <v>0</v>
      </c>
      <c r="AU24" s="75">
        <v>0</v>
      </c>
      <c r="AW24" s="76" t="s">
        <v>6550</v>
      </c>
      <c r="AX24" s="75">
        <v>5</v>
      </c>
      <c r="AY24" s="75">
        <v>4</v>
      </c>
      <c r="AZ24" s="75">
        <v>7</v>
      </c>
      <c r="BA24" s="75">
        <v>0</v>
      </c>
    </row>
    <row r="25" spans="1:53" ht="45" x14ac:dyDescent="0.25">
      <c r="A25" s="77">
        <v>24</v>
      </c>
      <c r="B25" s="78" t="s">
        <v>384</v>
      </c>
      <c r="C25" s="77">
        <v>1</v>
      </c>
      <c r="D25" s="77">
        <v>1</v>
      </c>
      <c r="E25" s="77">
        <v>1</v>
      </c>
      <c r="F25" s="77">
        <v>0</v>
      </c>
      <c r="G25" s="78" t="s">
        <v>6433</v>
      </c>
      <c r="H25" s="77">
        <v>3</v>
      </c>
      <c r="I25" s="77">
        <v>3</v>
      </c>
      <c r="J25" s="77">
        <v>3</v>
      </c>
      <c r="K25" s="77">
        <v>0</v>
      </c>
      <c r="L25" s="78" t="s">
        <v>6433</v>
      </c>
      <c r="O25" s="77">
        <v>24</v>
      </c>
      <c r="P25" s="77">
        <v>8</v>
      </c>
      <c r="Q25" s="77">
        <v>14</v>
      </c>
      <c r="R25" s="78" t="s">
        <v>6495</v>
      </c>
      <c r="S25" s="78" t="s">
        <v>6496</v>
      </c>
      <c r="T25" s="77">
        <v>0.625</v>
      </c>
      <c r="U25" s="77">
        <v>49</v>
      </c>
      <c r="V25" s="78" t="s">
        <v>6497</v>
      </c>
      <c r="W25" s="77">
        <v>2</v>
      </c>
      <c r="Y25" s="77">
        <v>24</v>
      </c>
      <c r="Z25" s="77">
        <v>9</v>
      </c>
      <c r="AA25" s="77">
        <v>45</v>
      </c>
      <c r="AB25" s="78" t="s">
        <v>6486</v>
      </c>
      <c r="AC25" s="78" t="s">
        <v>6490</v>
      </c>
      <c r="AD25" s="77">
        <v>1.503292056005658</v>
      </c>
      <c r="AE25" s="77">
        <v>63</v>
      </c>
      <c r="AF25" s="78" t="s">
        <v>6525</v>
      </c>
      <c r="AG25" s="77">
        <v>3</v>
      </c>
      <c r="AI25" s="77">
        <v>3</v>
      </c>
      <c r="AJ25" s="77">
        <v>2</v>
      </c>
      <c r="AK25" s="77">
        <v>1</v>
      </c>
      <c r="AL25" s="78" t="s">
        <v>90</v>
      </c>
      <c r="AM25" s="77">
        <v>1</v>
      </c>
      <c r="AO25" s="77">
        <v>4</v>
      </c>
      <c r="AP25" s="77">
        <v>1</v>
      </c>
      <c r="AQ25" s="77">
        <v>19</v>
      </c>
      <c r="AR25" s="78" t="s">
        <v>198</v>
      </c>
      <c r="AS25" s="77">
        <v>5.2631578947368418E-2</v>
      </c>
      <c r="AT25" s="77">
        <v>0</v>
      </c>
      <c r="AU25" s="77">
        <v>0</v>
      </c>
      <c r="AW25" s="78" t="s">
        <v>6550</v>
      </c>
      <c r="AX25" s="77">
        <v>5</v>
      </c>
      <c r="AY25" s="77">
        <v>5</v>
      </c>
      <c r="AZ25" s="77">
        <v>5</v>
      </c>
      <c r="BA25" s="77">
        <v>0</v>
      </c>
    </row>
    <row r="26" spans="1:53" ht="60" x14ac:dyDescent="0.25">
      <c r="A26" s="75">
        <v>25</v>
      </c>
      <c r="B26" s="76" t="s">
        <v>386</v>
      </c>
      <c r="C26" s="75">
        <v>1</v>
      </c>
      <c r="D26" s="75">
        <v>1</v>
      </c>
      <c r="E26" s="75">
        <v>1</v>
      </c>
      <c r="F26" s="75">
        <v>0</v>
      </c>
      <c r="G26" s="76" t="s">
        <v>6433</v>
      </c>
      <c r="H26" s="75">
        <v>2</v>
      </c>
      <c r="I26" s="75">
        <v>2</v>
      </c>
      <c r="J26" s="75">
        <v>2</v>
      </c>
      <c r="K26" s="75">
        <v>0</v>
      </c>
      <c r="L26" s="76" t="s">
        <v>6433</v>
      </c>
      <c r="O26" s="75">
        <v>25</v>
      </c>
      <c r="P26" s="75">
        <v>48</v>
      </c>
      <c r="Q26" s="75">
        <v>49</v>
      </c>
      <c r="R26" s="76" t="s">
        <v>6494</v>
      </c>
      <c r="S26" s="76" t="s">
        <v>6497</v>
      </c>
      <c r="T26" s="75">
        <v>0.66081197533403413</v>
      </c>
      <c r="U26" s="75">
        <v>50</v>
      </c>
      <c r="V26" s="76" t="s">
        <v>6498</v>
      </c>
      <c r="W26" s="75">
        <v>26</v>
      </c>
      <c r="Y26" s="75">
        <v>25</v>
      </c>
      <c r="Z26" s="75">
        <v>35</v>
      </c>
      <c r="AA26" s="75">
        <v>42</v>
      </c>
      <c r="AB26" s="76" t="s">
        <v>6469</v>
      </c>
      <c r="AC26" s="76" t="s">
        <v>6482</v>
      </c>
      <c r="AD26" s="75">
        <v>1.5944820103582009</v>
      </c>
      <c r="AE26" s="75">
        <v>64</v>
      </c>
      <c r="AF26" s="76" t="s">
        <v>6526</v>
      </c>
      <c r="AG26" s="75">
        <v>4</v>
      </c>
      <c r="AI26" s="75">
        <v>3</v>
      </c>
      <c r="AJ26" s="75">
        <v>2</v>
      </c>
      <c r="AK26" s="75">
        <v>1</v>
      </c>
      <c r="AL26" s="76" t="s">
        <v>98</v>
      </c>
      <c r="AM26" s="75">
        <v>1</v>
      </c>
      <c r="AO26" s="75">
        <v>4</v>
      </c>
      <c r="AP26" s="75">
        <v>1</v>
      </c>
      <c r="AQ26" s="75">
        <v>19</v>
      </c>
      <c r="AR26" s="76" t="s">
        <v>204</v>
      </c>
      <c r="AS26" s="75">
        <v>0</v>
      </c>
      <c r="AT26" s="75">
        <v>0</v>
      </c>
      <c r="AU26" s="75">
        <v>0</v>
      </c>
    </row>
    <row r="27" spans="1:53" ht="105" x14ac:dyDescent="0.25">
      <c r="A27" s="77">
        <v>26</v>
      </c>
      <c r="B27" s="78" t="s">
        <v>389</v>
      </c>
      <c r="C27" s="77"/>
      <c r="D27" s="77"/>
      <c r="E27" s="77"/>
      <c r="F27" s="77">
        <v>1</v>
      </c>
      <c r="G27" s="78" t="s">
        <v>6432</v>
      </c>
      <c r="H27" s="77">
        <v>1</v>
      </c>
      <c r="I27" s="77">
        <v>1</v>
      </c>
      <c r="J27" s="77">
        <v>1</v>
      </c>
      <c r="K27" s="77">
        <v>0</v>
      </c>
      <c r="L27" s="78" t="s">
        <v>6433</v>
      </c>
      <c r="Y27" s="77">
        <v>26</v>
      </c>
      <c r="Z27" s="77">
        <v>2</v>
      </c>
      <c r="AA27" s="77">
        <v>26</v>
      </c>
      <c r="AB27" s="78" t="s">
        <v>6448</v>
      </c>
      <c r="AC27" s="78" t="s">
        <v>6487</v>
      </c>
      <c r="AD27" s="77">
        <v>1.680969156084446</v>
      </c>
      <c r="AE27" s="77">
        <v>65</v>
      </c>
      <c r="AF27" s="78" t="s">
        <v>6527</v>
      </c>
      <c r="AG27" s="77">
        <v>2</v>
      </c>
      <c r="AI27" s="77">
        <v>3</v>
      </c>
      <c r="AJ27" s="77">
        <v>2</v>
      </c>
      <c r="AK27" s="77">
        <v>1</v>
      </c>
      <c r="AL27" s="78" t="s">
        <v>106</v>
      </c>
      <c r="AM27" s="77">
        <v>0</v>
      </c>
      <c r="AO27" s="77">
        <v>4</v>
      </c>
      <c r="AP27" s="77">
        <v>1</v>
      </c>
      <c r="AQ27" s="77">
        <v>19</v>
      </c>
      <c r="AR27" s="78" t="s">
        <v>210</v>
      </c>
      <c r="AS27" s="77">
        <v>0</v>
      </c>
      <c r="AT27" s="77">
        <v>0</v>
      </c>
      <c r="AU27" s="77">
        <v>0</v>
      </c>
    </row>
    <row r="28" spans="1:53" ht="30" x14ac:dyDescent="0.25">
      <c r="A28" s="75">
        <v>27</v>
      </c>
      <c r="B28" s="76" t="s">
        <v>393</v>
      </c>
      <c r="C28" s="75">
        <v>1</v>
      </c>
      <c r="D28" s="75">
        <v>2</v>
      </c>
      <c r="E28" s="75">
        <v>2</v>
      </c>
      <c r="F28" s="75">
        <v>0</v>
      </c>
      <c r="G28" s="76" t="s">
        <v>6433</v>
      </c>
      <c r="H28" s="75">
        <v>3</v>
      </c>
      <c r="I28" s="75">
        <v>4</v>
      </c>
      <c r="J28" s="75">
        <v>5</v>
      </c>
      <c r="K28" s="75">
        <v>0</v>
      </c>
      <c r="L28" s="76" t="s">
        <v>6433</v>
      </c>
      <c r="Y28" s="75">
        <v>27</v>
      </c>
      <c r="Z28" s="75">
        <v>43</v>
      </c>
      <c r="AA28" s="75">
        <v>59</v>
      </c>
      <c r="AB28" s="76" t="s">
        <v>6485</v>
      </c>
      <c r="AC28" s="76" t="s">
        <v>6521</v>
      </c>
      <c r="AD28" s="75">
        <v>1.988768848612015</v>
      </c>
      <c r="AE28" s="75">
        <v>66</v>
      </c>
      <c r="AF28" s="76" t="s">
        <v>6528</v>
      </c>
      <c r="AG28" s="75">
        <v>4</v>
      </c>
      <c r="AI28" s="75">
        <v>3</v>
      </c>
      <c r="AJ28" s="75">
        <v>2</v>
      </c>
      <c r="AK28" s="75">
        <v>1</v>
      </c>
      <c r="AL28" s="76" t="s">
        <v>112</v>
      </c>
      <c r="AM28" s="75">
        <v>1</v>
      </c>
      <c r="AO28" s="75">
        <v>4</v>
      </c>
      <c r="AP28" s="75">
        <v>1</v>
      </c>
      <c r="AQ28" s="75">
        <v>19</v>
      </c>
      <c r="AR28" s="76" t="s">
        <v>215</v>
      </c>
      <c r="AS28" s="75">
        <v>5.2631578947368418E-2</v>
      </c>
      <c r="AT28" s="75">
        <v>0</v>
      </c>
      <c r="AU28" s="75">
        <v>0</v>
      </c>
    </row>
    <row r="29" spans="1:53" ht="105" x14ac:dyDescent="0.25">
      <c r="A29" s="77">
        <v>28</v>
      </c>
      <c r="B29" s="78" t="s">
        <v>396</v>
      </c>
      <c r="C29" s="77"/>
      <c r="D29" s="77"/>
      <c r="E29" s="77"/>
      <c r="F29" s="77">
        <v>1</v>
      </c>
      <c r="G29" s="78" t="s">
        <v>6432</v>
      </c>
      <c r="H29" s="77">
        <v>1</v>
      </c>
      <c r="I29" s="77">
        <v>1</v>
      </c>
      <c r="J29" s="77">
        <v>1</v>
      </c>
      <c r="K29" s="77">
        <v>0</v>
      </c>
      <c r="L29" s="78" t="s">
        <v>6433</v>
      </c>
      <c r="Y29" s="77">
        <v>28</v>
      </c>
      <c r="Z29" s="77">
        <v>18</v>
      </c>
      <c r="AA29" s="77">
        <v>60</v>
      </c>
      <c r="AB29" s="78" t="s">
        <v>6460</v>
      </c>
      <c r="AC29" s="78" t="s">
        <v>6522</v>
      </c>
      <c r="AD29" s="77">
        <v>2.0814693903639561</v>
      </c>
      <c r="AE29" s="77">
        <v>67</v>
      </c>
      <c r="AF29" s="78" t="s">
        <v>6529</v>
      </c>
      <c r="AG29" s="77">
        <v>3</v>
      </c>
      <c r="AI29" s="77">
        <v>3</v>
      </c>
      <c r="AJ29" s="77">
        <v>2</v>
      </c>
      <c r="AK29" s="77">
        <v>1</v>
      </c>
      <c r="AL29" s="78" t="s">
        <v>118</v>
      </c>
      <c r="AM29" s="77">
        <v>0</v>
      </c>
      <c r="AO29" s="77">
        <v>4</v>
      </c>
      <c r="AP29" s="77">
        <v>1</v>
      </c>
      <c r="AQ29" s="77">
        <v>19</v>
      </c>
      <c r="AR29" s="78" t="s">
        <v>221</v>
      </c>
      <c r="AS29" s="77">
        <v>0</v>
      </c>
      <c r="AT29" s="77">
        <v>0</v>
      </c>
      <c r="AU29" s="77">
        <v>0</v>
      </c>
    </row>
    <row r="30" spans="1:53" ht="105" x14ac:dyDescent="0.25">
      <c r="A30" s="75">
        <v>29</v>
      </c>
      <c r="B30" s="76" t="s">
        <v>399</v>
      </c>
      <c r="C30" s="75"/>
      <c r="D30" s="75"/>
      <c r="E30" s="75"/>
      <c r="F30" s="75">
        <v>1</v>
      </c>
      <c r="G30" s="76" t="s">
        <v>6432</v>
      </c>
      <c r="H30" s="75">
        <v>1</v>
      </c>
      <c r="I30" s="75">
        <v>1</v>
      </c>
      <c r="J30" s="75">
        <v>1</v>
      </c>
      <c r="K30" s="75">
        <v>0</v>
      </c>
      <c r="L30" s="76" t="s">
        <v>6433</v>
      </c>
      <c r="Y30" s="75">
        <v>29</v>
      </c>
      <c r="Z30" s="75">
        <v>62</v>
      </c>
      <c r="AA30" s="75">
        <v>64</v>
      </c>
      <c r="AB30" s="76" t="s">
        <v>6524</v>
      </c>
      <c r="AC30" s="76" t="s">
        <v>6526</v>
      </c>
      <c r="AD30" s="75">
        <v>2.1762135914508911</v>
      </c>
      <c r="AE30" s="75">
        <v>68</v>
      </c>
      <c r="AF30" s="76" t="s">
        <v>6530</v>
      </c>
      <c r="AG30" s="75">
        <v>6</v>
      </c>
      <c r="AI30" s="75">
        <v>3</v>
      </c>
      <c r="AJ30" s="75">
        <v>2</v>
      </c>
      <c r="AK30" s="75">
        <v>1</v>
      </c>
      <c r="AL30" s="76" t="s">
        <v>125</v>
      </c>
      <c r="AM30" s="75">
        <v>0</v>
      </c>
      <c r="AO30" s="75">
        <v>4</v>
      </c>
      <c r="AP30" s="75">
        <v>2</v>
      </c>
      <c r="AQ30" s="75">
        <v>3</v>
      </c>
      <c r="AR30" s="76" t="s">
        <v>186</v>
      </c>
      <c r="AS30" s="75">
        <v>2</v>
      </c>
      <c r="AT30" s="75">
        <v>2</v>
      </c>
      <c r="AU30" s="75">
        <v>1</v>
      </c>
    </row>
    <row r="31" spans="1:53" ht="105" x14ac:dyDescent="0.25">
      <c r="A31" s="77">
        <v>30</v>
      </c>
      <c r="B31" s="78" t="s">
        <v>402</v>
      </c>
      <c r="C31" s="77"/>
      <c r="D31" s="77"/>
      <c r="E31" s="77"/>
      <c r="F31" s="77">
        <v>1</v>
      </c>
      <c r="G31" s="78" t="s">
        <v>6432</v>
      </c>
      <c r="H31" s="77">
        <v>1</v>
      </c>
      <c r="I31" s="77">
        <v>1</v>
      </c>
      <c r="J31" s="77">
        <v>1</v>
      </c>
      <c r="K31" s="77">
        <v>0</v>
      </c>
      <c r="L31" s="78" t="s">
        <v>6433</v>
      </c>
      <c r="Y31" s="77">
        <v>30</v>
      </c>
      <c r="Z31" s="77">
        <v>61</v>
      </c>
      <c r="AA31" s="77">
        <v>63</v>
      </c>
      <c r="AB31" s="78" t="s">
        <v>6523</v>
      </c>
      <c r="AC31" s="78" t="s">
        <v>6525</v>
      </c>
      <c r="AD31" s="77">
        <v>2.49741781960656</v>
      </c>
      <c r="AE31" s="77">
        <v>69</v>
      </c>
      <c r="AF31" s="78" t="s">
        <v>6531</v>
      </c>
      <c r="AG31" s="77">
        <v>19</v>
      </c>
      <c r="AI31" s="77">
        <v>3</v>
      </c>
      <c r="AJ31" s="77">
        <v>2</v>
      </c>
      <c r="AK31" s="77">
        <v>1</v>
      </c>
      <c r="AL31" s="78" t="s">
        <v>132</v>
      </c>
      <c r="AM31" s="77">
        <v>0</v>
      </c>
      <c r="AO31" s="77">
        <v>4</v>
      </c>
      <c r="AP31" s="77">
        <v>2</v>
      </c>
      <c r="AQ31" s="77">
        <v>3</v>
      </c>
      <c r="AR31" s="78" t="s">
        <v>192</v>
      </c>
      <c r="AS31" s="77">
        <v>2.333333333333333</v>
      </c>
      <c r="AT31" s="77">
        <v>2</v>
      </c>
      <c r="AU31" s="77">
        <v>1</v>
      </c>
    </row>
    <row r="32" spans="1:53" ht="45" x14ac:dyDescent="0.25">
      <c r="A32" s="75">
        <v>31</v>
      </c>
      <c r="B32" s="76" t="s">
        <v>406</v>
      </c>
      <c r="C32" s="75">
        <v>1</v>
      </c>
      <c r="D32" s="75">
        <v>1</v>
      </c>
      <c r="E32" s="75">
        <v>1</v>
      </c>
      <c r="F32" s="75">
        <v>0</v>
      </c>
      <c r="G32" s="76" t="s">
        <v>6433</v>
      </c>
      <c r="H32" s="75">
        <v>3</v>
      </c>
      <c r="I32" s="75">
        <v>3</v>
      </c>
      <c r="J32" s="75">
        <v>3</v>
      </c>
      <c r="K32" s="75">
        <v>0</v>
      </c>
      <c r="L32" s="76" t="s">
        <v>6433</v>
      </c>
      <c r="Y32" s="75">
        <v>31</v>
      </c>
      <c r="Z32" s="75">
        <v>14</v>
      </c>
      <c r="AA32" s="75">
        <v>31</v>
      </c>
      <c r="AB32" s="76" t="s">
        <v>6451</v>
      </c>
      <c r="AC32" s="76" t="s">
        <v>6452</v>
      </c>
      <c r="AD32" s="75">
        <v>2.7545529701953479</v>
      </c>
      <c r="AE32" s="75">
        <v>70</v>
      </c>
      <c r="AF32" s="76" t="s">
        <v>6532</v>
      </c>
      <c r="AG32" s="75">
        <v>2</v>
      </c>
      <c r="AI32" s="75">
        <v>3</v>
      </c>
      <c r="AJ32" s="75">
        <v>2</v>
      </c>
      <c r="AK32" s="75">
        <v>1</v>
      </c>
      <c r="AL32" s="76" t="s">
        <v>140</v>
      </c>
      <c r="AM32" s="75">
        <v>0</v>
      </c>
      <c r="AO32" s="75">
        <v>4</v>
      </c>
      <c r="AP32" s="75">
        <v>2</v>
      </c>
      <c r="AQ32" s="75">
        <v>3</v>
      </c>
      <c r="AR32" s="76" t="s">
        <v>198</v>
      </c>
      <c r="AS32" s="75">
        <v>2.333333333333333</v>
      </c>
      <c r="AT32" s="75">
        <v>2</v>
      </c>
      <c r="AU32" s="75">
        <v>1</v>
      </c>
    </row>
    <row r="33" spans="1:47" ht="30" x14ac:dyDescent="0.25">
      <c r="A33" s="77">
        <v>32</v>
      </c>
      <c r="B33" s="78" t="s">
        <v>407</v>
      </c>
      <c r="C33" s="77">
        <v>1</v>
      </c>
      <c r="D33" s="77">
        <v>1</v>
      </c>
      <c r="E33" s="77">
        <v>1</v>
      </c>
      <c r="F33" s="77">
        <v>0</v>
      </c>
      <c r="G33" s="78" t="s">
        <v>6433</v>
      </c>
      <c r="H33" s="77">
        <v>2</v>
      </c>
      <c r="I33" s="77">
        <v>2</v>
      </c>
      <c r="J33" s="77">
        <v>2</v>
      </c>
      <c r="K33" s="77">
        <v>0</v>
      </c>
      <c r="L33" s="78" t="s">
        <v>6433</v>
      </c>
      <c r="Y33" s="77">
        <v>32</v>
      </c>
      <c r="Z33" s="77">
        <v>16</v>
      </c>
      <c r="AA33" s="77">
        <v>58</v>
      </c>
      <c r="AB33" s="78" t="s">
        <v>6456</v>
      </c>
      <c r="AC33" s="78" t="s">
        <v>6520</v>
      </c>
      <c r="AD33" s="77">
        <v>2.940440561123657</v>
      </c>
      <c r="AE33" s="77">
        <v>71</v>
      </c>
      <c r="AF33" s="78" t="s">
        <v>6533</v>
      </c>
      <c r="AG33" s="77">
        <v>3</v>
      </c>
      <c r="AI33" s="77">
        <v>3</v>
      </c>
      <c r="AJ33" s="77">
        <v>2</v>
      </c>
      <c r="AK33" s="77">
        <v>1</v>
      </c>
      <c r="AL33" s="78" t="s">
        <v>147</v>
      </c>
      <c r="AM33" s="77">
        <v>0</v>
      </c>
      <c r="AO33" s="77">
        <v>4</v>
      </c>
      <c r="AP33" s="77">
        <v>2</v>
      </c>
      <c r="AQ33" s="77">
        <v>3</v>
      </c>
      <c r="AR33" s="78" t="s">
        <v>204</v>
      </c>
      <c r="AS33" s="77">
        <v>2.333333333333333</v>
      </c>
      <c r="AT33" s="77">
        <v>2</v>
      </c>
      <c r="AU33" s="77">
        <v>1</v>
      </c>
    </row>
    <row r="34" spans="1:47" ht="105" x14ac:dyDescent="0.25">
      <c r="A34" s="75">
        <v>33</v>
      </c>
      <c r="B34" s="76" t="s">
        <v>410</v>
      </c>
      <c r="C34" s="75"/>
      <c r="D34" s="75"/>
      <c r="E34" s="75"/>
      <c r="F34" s="75">
        <v>1</v>
      </c>
      <c r="G34" s="76" t="s">
        <v>6432</v>
      </c>
      <c r="H34" s="75">
        <v>1</v>
      </c>
      <c r="I34" s="75">
        <v>1</v>
      </c>
      <c r="J34" s="75">
        <v>1</v>
      </c>
      <c r="K34" s="75">
        <v>0</v>
      </c>
      <c r="L34" s="76" t="s">
        <v>6433</v>
      </c>
      <c r="Y34" s="75">
        <v>33</v>
      </c>
      <c r="Z34" s="75">
        <v>66</v>
      </c>
      <c r="AA34" s="75">
        <v>67</v>
      </c>
      <c r="AB34" s="76" t="s">
        <v>6528</v>
      </c>
      <c r="AC34" s="76" t="s">
        <v>6529</v>
      </c>
      <c r="AD34" s="75">
        <v>3.793856476682445</v>
      </c>
      <c r="AE34" s="75">
        <v>72</v>
      </c>
      <c r="AF34" s="76" t="s">
        <v>6534</v>
      </c>
      <c r="AG34" s="75">
        <v>7</v>
      </c>
      <c r="AI34" s="75">
        <v>3</v>
      </c>
      <c r="AJ34" s="75">
        <v>2</v>
      </c>
      <c r="AK34" s="75">
        <v>1</v>
      </c>
      <c r="AL34" s="76" t="s">
        <v>154</v>
      </c>
      <c r="AM34" s="75">
        <v>1</v>
      </c>
      <c r="AO34" s="75">
        <v>4</v>
      </c>
      <c r="AP34" s="75">
        <v>2</v>
      </c>
      <c r="AQ34" s="75">
        <v>3</v>
      </c>
      <c r="AR34" s="76" t="s">
        <v>210</v>
      </c>
      <c r="AS34" s="75">
        <v>2.666666666666667</v>
      </c>
      <c r="AT34" s="75">
        <v>3</v>
      </c>
      <c r="AU34" s="75">
        <v>1</v>
      </c>
    </row>
    <row r="35" spans="1:47" x14ac:dyDescent="0.25">
      <c r="A35" s="77">
        <v>34</v>
      </c>
      <c r="B35" s="78" t="s">
        <v>413</v>
      </c>
      <c r="C35" s="77">
        <v>1</v>
      </c>
      <c r="D35" s="77">
        <v>1</v>
      </c>
      <c r="E35" s="77">
        <v>1</v>
      </c>
      <c r="F35" s="77">
        <v>0</v>
      </c>
      <c r="G35" s="78" t="s">
        <v>6433</v>
      </c>
      <c r="H35" s="77">
        <v>3</v>
      </c>
      <c r="I35" s="77">
        <v>4</v>
      </c>
      <c r="J35" s="77">
        <v>4</v>
      </c>
      <c r="K35" s="77">
        <v>0</v>
      </c>
      <c r="L35" s="78" t="s">
        <v>6433</v>
      </c>
      <c r="Y35" s="77">
        <v>34</v>
      </c>
      <c r="Z35" s="77">
        <v>65</v>
      </c>
      <c r="AA35" s="77">
        <v>71</v>
      </c>
      <c r="AB35" s="78" t="s">
        <v>6527</v>
      </c>
      <c r="AC35" s="78" t="s">
        <v>6533</v>
      </c>
      <c r="AD35" s="77">
        <v>3.9824515436062522</v>
      </c>
      <c r="AE35" s="77">
        <v>73</v>
      </c>
      <c r="AF35" s="78" t="s">
        <v>6535</v>
      </c>
      <c r="AG35" s="77">
        <v>5</v>
      </c>
      <c r="AI35" s="77">
        <v>3</v>
      </c>
      <c r="AJ35" s="77">
        <v>2</v>
      </c>
      <c r="AK35" s="77">
        <v>1</v>
      </c>
      <c r="AL35" s="78" t="s">
        <v>161</v>
      </c>
      <c r="AM35" s="77">
        <v>0</v>
      </c>
      <c r="AO35" s="77">
        <v>4</v>
      </c>
      <c r="AP35" s="77">
        <v>2</v>
      </c>
      <c r="AQ35" s="77">
        <v>3</v>
      </c>
      <c r="AR35" s="78" t="s">
        <v>215</v>
      </c>
      <c r="AS35" s="77">
        <v>2.333333333333333</v>
      </c>
      <c r="AT35" s="77">
        <v>2</v>
      </c>
      <c r="AU35" s="77">
        <v>1</v>
      </c>
    </row>
    <row r="36" spans="1:47" ht="105" x14ac:dyDescent="0.25">
      <c r="A36" s="75">
        <v>35</v>
      </c>
      <c r="B36" s="76" t="s">
        <v>416</v>
      </c>
      <c r="C36" s="75"/>
      <c r="D36" s="75"/>
      <c r="E36" s="75"/>
      <c r="F36" s="75">
        <v>1</v>
      </c>
      <c r="G36" s="76" t="s">
        <v>6432</v>
      </c>
      <c r="H36" s="75">
        <v>1</v>
      </c>
      <c r="I36" s="75">
        <v>1</v>
      </c>
      <c r="J36" s="75">
        <v>1</v>
      </c>
      <c r="K36" s="75">
        <v>0</v>
      </c>
      <c r="L36" s="76" t="s">
        <v>6433</v>
      </c>
      <c r="Y36" s="75">
        <v>35</v>
      </c>
      <c r="Z36" s="75">
        <v>24</v>
      </c>
      <c r="AA36" s="75">
        <v>70</v>
      </c>
      <c r="AB36" s="76" t="s">
        <v>6449</v>
      </c>
      <c r="AC36" s="76" t="s">
        <v>6532</v>
      </c>
      <c r="AD36" s="75">
        <v>4.4899144806794471</v>
      </c>
      <c r="AE36" s="75">
        <v>74</v>
      </c>
      <c r="AF36" s="76" t="s">
        <v>6536</v>
      </c>
      <c r="AG36" s="75">
        <v>3</v>
      </c>
      <c r="AI36" s="75">
        <v>3</v>
      </c>
      <c r="AJ36" s="75">
        <v>2</v>
      </c>
      <c r="AK36" s="75">
        <v>1</v>
      </c>
      <c r="AL36" s="76" t="s">
        <v>166</v>
      </c>
      <c r="AM36" s="75">
        <v>0</v>
      </c>
      <c r="AO36" s="75">
        <v>4</v>
      </c>
      <c r="AP36" s="75">
        <v>2</v>
      </c>
      <c r="AQ36" s="75">
        <v>3</v>
      </c>
      <c r="AR36" s="76" t="s">
        <v>221</v>
      </c>
      <c r="AS36" s="75">
        <v>1</v>
      </c>
      <c r="AT36" s="75">
        <v>1</v>
      </c>
      <c r="AU36" s="75">
        <v>0.33333333333333331</v>
      </c>
    </row>
    <row r="37" spans="1:47" ht="45" x14ac:dyDescent="0.25">
      <c r="A37" s="77">
        <v>36</v>
      </c>
      <c r="B37" s="78" t="s">
        <v>420</v>
      </c>
      <c r="C37" s="77">
        <v>1</v>
      </c>
      <c r="D37" s="77">
        <v>1</v>
      </c>
      <c r="E37" s="77">
        <v>1</v>
      </c>
      <c r="F37" s="77">
        <v>0</v>
      </c>
      <c r="G37" s="78" t="s">
        <v>6433</v>
      </c>
      <c r="H37" s="77">
        <v>3</v>
      </c>
      <c r="I37" s="77">
        <v>3</v>
      </c>
      <c r="J37" s="77">
        <v>3</v>
      </c>
      <c r="K37" s="77">
        <v>0</v>
      </c>
      <c r="L37" s="78" t="s">
        <v>6433</v>
      </c>
      <c r="Y37" s="77">
        <v>36</v>
      </c>
      <c r="Z37" s="77">
        <v>72</v>
      </c>
      <c r="AA37" s="77">
        <v>73</v>
      </c>
      <c r="AB37" s="78" t="s">
        <v>6534</v>
      </c>
      <c r="AC37" s="78" t="s">
        <v>6535</v>
      </c>
      <c r="AD37" s="77">
        <v>6.5073618601580163</v>
      </c>
      <c r="AE37" s="77">
        <v>75</v>
      </c>
      <c r="AF37" s="78" t="s">
        <v>6537</v>
      </c>
      <c r="AG37" s="77">
        <v>12</v>
      </c>
      <c r="AI37" s="77">
        <v>3</v>
      </c>
      <c r="AJ37" s="77">
        <v>2</v>
      </c>
      <c r="AK37" s="77">
        <v>1</v>
      </c>
      <c r="AL37" s="78" t="s">
        <v>174</v>
      </c>
      <c r="AM37" s="77">
        <v>0</v>
      </c>
      <c r="AO37" s="77">
        <v>4</v>
      </c>
      <c r="AP37" s="77">
        <v>3</v>
      </c>
      <c r="AQ37" s="77">
        <v>6</v>
      </c>
      <c r="AR37" s="78" t="s">
        <v>186</v>
      </c>
      <c r="AS37" s="77">
        <v>0.33333333333333331</v>
      </c>
      <c r="AT37" s="77">
        <v>0</v>
      </c>
      <c r="AU37" s="77">
        <v>0</v>
      </c>
    </row>
    <row r="38" spans="1:47" ht="105" x14ac:dyDescent="0.25">
      <c r="A38" s="75">
        <v>37</v>
      </c>
      <c r="B38" s="76" t="s">
        <v>422</v>
      </c>
      <c r="C38" s="75"/>
      <c r="D38" s="75"/>
      <c r="E38" s="75"/>
      <c r="F38" s="75">
        <v>1</v>
      </c>
      <c r="G38" s="76" t="s">
        <v>6432</v>
      </c>
      <c r="H38" s="75">
        <v>1</v>
      </c>
      <c r="I38" s="75">
        <v>1</v>
      </c>
      <c r="J38" s="75">
        <v>1</v>
      </c>
      <c r="K38" s="75">
        <v>0</v>
      </c>
      <c r="L38" s="76" t="s">
        <v>6433</v>
      </c>
      <c r="Y38" s="75">
        <v>37</v>
      </c>
      <c r="Z38" s="75">
        <v>68</v>
      </c>
      <c r="AA38" s="75">
        <v>75</v>
      </c>
      <c r="AB38" s="76" t="s">
        <v>6530</v>
      </c>
      <c r="AC38" s="76" t="s">
        <v>6537</v>
      </c>
      <c r="AD38" s="75">
        <v>6.9896923704765426</v>
      </c>
      <c r="AE38" s="75">
        <v>76</v>
      </c>
      <c r="AF38" s="76" t="s">
        <v>6538</v>
      </c>
      <c r="AG38" s="75">
        <v>18</v>
      </c>
      <c r="AI38" s="75">
        <v>3</v>
      </c>
      <c r="AJ38" s="75">
        <v>3</v>
      </c>
      <c r="AK38" s="75">
        <v>1</v>
      </c>
      <c r="AL38" s="76" t="s">
        <v>53</v>
      </c>
      <c r="AM38" s="75">
        <v>0</v>
      </c>
      <c r="AO38" s="75">
        <v>4</v>
      </c>
      <c r="AP38" s="75">
        <v>3</v>
      </c>
      <c r="AQ38" s="75">
        <v>6</v>
      </c>
      <c r="AR38" s="76" t="s">
        <v>192</v>
      </c>
      <c r="AS38" s="75">
        <v>1.833333333333333</v>
      </c>
      <c r="AT38" s="75">
        <v>2</v>
      </c>
      <c r="AU38" s="75">
        <v>0.83333333333333337</v>
      </c>
    </row>
    <row r="39" spans="1:47" ht="30" x14ac:dyDescent="0.25">
      <c r="A39" s="77">
        <v>38</v>
      </c>
      <c r="B39" s="78" t="s">
        <v>425</v>
      </c>
      <c r="C39" s="77">
        <v>1</v>
      </c>
      <c r="D39" s="77">
        <v>1</v>
      </c>
      <c r="E39" s="77">
        <v>1</v>
      </c>
      <c r="F39" s="77">
        <v>0</v>
      </c>
      <c r="G39" s="78" t="s">
        <v>6433</v>
      </c>
      <c r="H39" s="77">
        <v>1</v>
      </c>
      <c r="I39" s="77">
        <v>1</v>
      </c>
      <c r="J39" s="77">
        <v>1</v>
      </c>
      <c r="K39" s="77">
        <v>0</v>
      </c>
      <c r="L39" s="78" t="s">
        <v>6433</v>
      </c>
      <c r="Y39" s="77">
        <v>38</v>
      </c>
      <c r="Z39" s="77">
        <v>74</v>
      </c>
      <c r="AA39" s="77">
        <v>76</v>
      </c>
      <c r="AB39" s="78" t="s">
        <v>6536</v>
      </c>
      <c r="AC39" s="78" t="s">
        <v>6538</v>
      </c>
      <c r="AD39" s="77">
        <v>9.7137062257852858</v>
      </c>
      <c r="AE39" s="77">
        <v>77</v>
      </c>
      <c r="AF39" s="78" t="s">
        <v>6539</v>
      </c>
      <c r="AG39" s="77">
        <v>21</v>
      </c>
      <c r="AI39" s="77">
        <v>3</v>
      </c>
      <c r="AJ39" s="77">
        <v>3</v>
      </c>
      <c r="AK39" s="77">
        <v>1</v>
      </c>
      <c r="AL39" s="78" t="s">
        <v>61</v>
      </c>
      <c r="AM39" s="77">
        <v>0</v>
      </c>
      <c r="AO39" s="77">
        <v>4</v>
      </c>
      <c r="AP39" s="77">
        <v>3</v>
      </c>
      <c r="AQ39" s="77">
        <v>6</v>
      </c>
      <c r="AR39" s="78" t="s">
        <v>198</v>
      </c>
      <c r="AS39" s="77">
        <v>2</v>
      </c>
      <c r="AT39" s="77">
        <v>2</v>
      </c>
      <c r="AU39" s="77">
        <v>1</v>
      </c>
    </row>
    <row r="40" spans="1:47" ht="105" x14ac:dyDescent="0.25">
      <c r="A40" s="75">
        <v>39</v>
      </c>
      <c r="B40" s="76" t="s">
        <v>427</v>
      </c>
      <c r="C40" s="75"/>
      <c r="D40" s="75"/>
      <c r="E40" s="75"/>
      <c r="F40" s="75">
        <v>1</v>
      </c>
      <c r="G40" s="76" t="s">
        <v>6432</v>
      </c>
      <c r="H40" s="75">
        <v>1</v>
      </c>
      <c r="I40" s="75">
        <v>1</v>
      </c>
      <c r="J40" s="75">
        <v>1</v>
      </c>
      <c r="K40" s="75">
        <v>0</v>
      </c>
      <c r="L40" s="76" t="s">
        <v>6433</v>
      </c>
      <c r="Y40" s="75">
        <v>39</v>
      </c>
      <c r="Z40" s="75">
        <v>69</v>
      </c>
      <c r="AA40" s="75">
        <v>77</v>
      </c>
      <c r="AB40" s="76" t="s">
        <v>6531</v>
      </c>
      <c r="AC40" s="76" t="s">
        <v>6539</v>
      </c>
      <c r="AD40" s="75">
        <v>16.521954947199319</v>
      </c>
      <c r="AE40" s="75">
        <v>78</v>
      </c>
      <c r="AF40" s="76" t="s">
        <v>6540</v>
      </c>
      <c r="AG40" s="75">
        <v>40</v>
      </c>
      <c r="AI40" s="75">
        <v>3</v>
      </c>
      <c r="AJ40" s="75">
        <v>3</v>
      </c>
      <c r="AK40" s="75">
        <v>1</v>
      </c>
      <c r="AL40" s="76" t="s">
        <v>69</v>
      </c>
      <c r="AM40" s="75">
        <v>1</v>
      </c>
      <c r="AO40" s="75">
        <v>4</v>
      </c>
      <c r="AP40" s="75">
        <v>3</v>
      </c>
      <c r="AQ40" s="75">
        <v>6</v>
      </c>
      <c r="AR40" s="76" t="s">
        <v>204</v>
      </c>
      <c r="AS40" s="75">
        <v>0.16666666666666671</v>
      </c>
      <c r="AT40" s="75">
        <v>0</v>
      </c>
      <c r="AU40" s="75">
        <v>0</v>
      </c>
    </row>
    <row r="41" spans="1:47" x14ac:dyDescent="0.25">
      <c r="A41" s="77">
        <v>40</v>
      </c>
      <c r="B41" s="78" t="s">
        <v>431</v>
      </c>
      <c r="C41" s="77">
        <v>1</v>
      </c>
      <c r="D41" s="77">
        <v>1</v>
      </c>
      <c r="E41" s="77">
        <v>1</v>
      </c>
      <c r="F41" s="77">
        <v>0</v>
      </c>
      <c r="G41" s="78" t="s">
        <v>6433</v>
      </c>
      <c r="H41" s="77">
        <v>3</v>
      </c>
      <c r="I41" s="77">
        <v>4</v>
      </c>
      <c r="J41" s="77">
        <v>4</v>
      </c>
      <c r="K41" s="77">
        <v>0</v>
      </c>
      <c r="L41" s="78" t="s">
        <v>6433</v>
      </c>
      <c r="AI41" s="77">
        <v>3</v>
      </c>
      <c r="AJ41" s="77">
        <v>3</v>
      </c>
      <c r="AK41" s="77">
        <v>1</v>
      </c>
      <c r="AL41" s="78" t="s">
        <v>76</v>
      </c>
      <c r="AM41" s="77">
        <v>0</v>
      </c>
      <c r="AO41" s="77">
        <v>4</v>
      </c>
      <c r="AP41" s="77">
        <v>3</v>
      </c>
      <c r="AQ41" s="77">
        <v>6</v>
      </c>
      <c r="AR41" s="78" t="s">
        <v>210</v>
      </c>
      <c r="AS41" s="77">
        <v>0.16666666666666671</v>
      </c>
      <c r="AT41" s="77">
        <v>0</v>
      </c>
      <c r="AU41" s="77">
        <v>0</v>
      </c>
    </row>
    <row r="42" spans="1:47" x14ac:dyDescent="0.25">
      <c r="AI42" s="75">
        <v>3</v>
      </c>
      <c r="AJ42" s="75">
        <v>3</v>
      </c>
      <c r="AK42" s="75">
        <v>1</v>
      </c>
      <c r="AL42" s="76" t="s">
        <v>83</v>
      </c>
      <c r="AM42" s="75">
        <v>0</v>
      </c>
      <c r="AO42" s="75">
        <v>4</v>
      </c>
      <c r="AP42" s="75">
        <v>3</v>
      </c>
      <c r="AQ42" s="75">
        <v>6</v>
      </c>
      <c r="AR42" s="76" t="s">
        <v>215</v>
      </c>
      <c r="AS42" s="75">
        <v>0</v>
      </c>
      <c r="AT42" s="75">
        <v>0</v>
      </c>
      <c r="AU42" s="75">
        <v>0</v>
      </c>
    </row>
    <row r="43" spans="1:47" ht="30" x14ac:dyDescent="0.25">
      <c r="A43" s="74" t="s">
        <v>6541</v>
      </c>
      <c r="B43" s="74" t="s">
        <v>6551</v>
      </c>
      <c r="C43" s="74" t="s">
        <v>6552</v>
      </c>
      <c r="D43" s="74" t="s">
        <v>6553</v>
      </c>
      <c r="F43" s="74" t="s">
        <v>6554</v>
      </c>
      <c r="G43" s="74" t="s">
        <v>0</v>
      </c>
      <c r="H43" s="74" t="s">
        <v>6353</v>
      </c>
      <c r="J43" s="74" t="s">
        <v>6554</v>
      </c>
      <c r="K43" s="74" t="s">
        <v>0</v>
      </c>
      <c r="L43" s="74" t="s">
        <v>6353</v>
      </c>
      <c r="AI43" s="77">
        <v>3</v>
      </c>
      <c r="AJ43" s="77">
        <v>3</v>
      </c>
      <c r="AK43" s="77">
        <v>1</v>
      </c>
      <c r="AL43" s="78" t="s">
        <v>90</v>
      </c>
      <c r="AM43" s="77">
        <v>1</v>
      </c>
      <c r="AO43" s="77">
        <v>4</v>
      </c>
      <c r="AP43" s="77">
        <v>3</v>
      </c>
      <c r="AQ43" s="77">
        <v>6</v>
      </c>
      <c r="AR43" s="78" t="s">
        <v>221</v>
      </c>
      <c r="AS43" s="77">
        <v>0</v>
      </c>
      <c r="AT43" s="77">
        <v>0</v>
      </c>
      <c r="AU43" s="77">
        <v>0</v>
      </c>
    </row>
    <row r="44" spans="1:47" x14ac:dyDescent="0.25">
      <c r="A44" s="75">
        <v>3</v>
      </c>
      <c r="B44" s="75">
        <v>1</v>
      </c>
      <c r="C44" s="75">
        <v>1</v>
      </c>
      <c r="D44" s="75">
        <v>3</v>
      </c>
      <c r="F44" s="75">
        <v>0</v>
      </c>
      <c r="G44" s="75">
        <v>2</v>
      </c>
      <c r="H44" s="76" t="s">
        <v>306</v>
      </c>
      <c r="J44" s="75">
        <v>0</v>
      </c>
      <c r="K44" s="75">
        <v>1</v>
      </c>
      <c r="L44" s="76" t="s">
        <v>303</v>
      </c>
      <c r="AI44" s="75">
        <v>3</v>
      </c>
      <c r="AJ44" s="75">
        <v>3</v>
      </c>
      <c r="AK44" s="75">
        <v>1</v>
      </c>
      <c r="AL44" s="76" t="s">
        <v>98</v>
      </c>
      <c r="AM44" s="75">
        <v>1</v>
      </c>
      <c r="AO44" s="75">
        <v>4</v>
      </c>
      <c r="AP44" s="75">
        <v>4</v>
      </c>
      <c r="AQ44" s="75">
        <v>12</v>
      </c>
      <c r="AR44" s="76" t="s">
        <v>186</v>
      </c>
      <c r="AS44" s="75">
        <v>1.833333333333333</v>
      </c>
      <c r="AT44" s="75">
        <v>2</v>
      </c>
      <c r="AU44" s="75">
        <v>0.91666666666666663</v>
      </c>
    </row>
    <row r="45" spans="1:47" x14ac:dyDescent="0.25">
      <c r="A45" s="77">
        <v>3</v>
      </c>
      <c r="B45" s="77">
        <v>1</v>
      </c>
      <c r="C45" s="77">
        <v>2</v>
      </c>
      <c r="D45" s="77">
        <v>3</v>
      </c>
      <c r="F45" s="77">
        <v>1</v>
      </c>
      <c r="G45" s="77">
        <v>3</v>
      </c>
      <c r="H45" s="78" t="s">
        <v>311</v>
      </c>
      <c r="J45" s="77">
        <v>1</v>
      </c>
      <c r="K45" s="77">
        <v>2</v>
      </c>
      <c r="L45" s="78" t="s">
        <v>306</v>
      </c>
      <c r="AI45" s="77">
        <v>3</v>
      </c>
      <c r="AJ45" s="77">
        <v>3</v>
      </c>
      <c r="AK45" s="77">
        <v>1</v>
      </c>
      <c r="AL45" s="78" t="s">
        <v>106</v>
      </c>
      <c r="AM45" s="77">
        <v>0</v>
      </c>
      <c r="AO45" s="77">
        <v>4</v>
      </c>
      <c r="AP45" s="77">
        <v>4</v>
      </c>
      <c r="AQ45" s="77">
        <v>12</v>
      </c>
      <c r="AR45" s="78" t="s">
        <v>192</v>
      </c>
      <c r="AS45" s="77">
        <v>2</v>
      </c>
      <c r="AT45" s="77">
        <v>2</v>
      </c>
      <c r="AU45" s="77">
        <v>1</v>
      </c>
    </row>
    <row r="46" spans="1:47" x14ac:dyDescent="0.25">
      <c r="A46" s="75">
        <v>3</v>
      </c>
      <c r="B46" s="75">
        <v>1</v>
      </c>
      <c r="C46" s="75">
        <v>3</v>
      </c>
      <c r="D46" s="75">
        <v>18</v>
      </c>
      <c r="F46" s="75">
        <v>2</v>
      </c>
      <c r="G46" s="75">
        <v>4</v>
      </c>
      <c r="H46" s="76" t="s">
        <v>315</v>
      </c>
      <c r="J46" s="75">
        <v>2</v>
      </c>
      <c r="K46" s="75">
        <v>3</v>
      </c>
      <c r="L46" s="76" t="s">
        <v>311</v>
      </c>
      <c r="AI46" s="75">
        <v>3</v>
      </c>
      <c r="AJ46" s="75">
        <v>3</v>
      </c>
      <c r="AK46" s="75">
        <v>1</v>
      </c>
      <c r="AL46" s="76" t="s">
        <v>112</v>
      </c>
      <c r="AM46" s="75">
        <v>0</v>
      </c>
      <c r="AO46" s="75">
        <v>4</v>
      </c>
      <c r="AP46" s="75">
        <v>4</v>
      </c>
      <c r="AQ46" s="75">
        <v>12</v>
      </c>
      <c r="AR46" s="76" t="s">
        <v>198</v>
      </c>
      <c r="AS46" s="75">
        <v>2</v>
      </c>
      <c r="AT46" s="75">
        <v>2</v>
      </c>
      <c r="AU46" s="75">
        <v>1</v>
      </c>
    </row>
    <row r="47" spans="1:47" x14ac:dyDescent="0.25">
      <c r="A47" s="77">
        <v>3</v>
      </c>
      <c r="B47" s="77">
        <v>2</v>
      </c>
      <c r="C47" s="77">
        <v>1</v>
      </c>
      <c r="D47" s="77">
        <v>1</v>
      </c>
      <c r="F47" s="77">
        <v>3</v>
      </c>
      <c r="G47" s="77">
        <v>5</v>
      </c>
      <c r="H47" s="78" t="s">
        <v>318</v>
      </c>
      <c r="J47" s="77">
        <v>3</v>
      </c>
      <c r="K47" s="77">
        <v>4</v>
      </c>
      <c r="L47" s="78" t="s">
        <v>315</v>
      </c>
      <c r="AI47" s="77">
        <v>3</v>
      </c>
      <c r="AJ47" s="77">
        <v>3</v>
      </c>
      <c r="AK47" s="77">
        <v>1</v>
      </c>
      <c r="AL47" s="78" t="s">
        <v>118</v>
      </c>
      <c r="AM47" s="77">
        <v>0</v>
      </c>
      <c r="AO47" s="77">
        <v>4</v>
      </c>
      <c r="AP47" s="77">
        <v>4</v>
      </c>
      <c r="AQ47" s="77">
        <v>12</v>
      </c>
      <c r="AR47" s="78" t="s">
        <v>204</v>
      </c>
      <c r="AS47" s="77">
        <v>0.66666666666666663</v>
      </c>
      <c r="AT47" s="77">
        <v>0.5</v>
      </c>
      <c r="AU47" s="77">
        <v>0.16666666666666671</v>
      </c>
    </row>
    <row r="48" spans="1:47" x14ac:dyDescent="0.25">
      <c r="A48" s="75">
        <v>3</v>
      </c>
      <c r="B48" s="75">
        <v>3</v>
      </c>
      <c r="C48" s="75">
        <v>1</v>
      </c>
      <c r="D48" s="75">
        <v>1</v>
      </c>
      <c r="F48" s="75">
        <v>4</v>
      </c>
      <c r="G48" s="75">
        <v>6</v>
      </c>
      <c r="H48" s="76" t="s">
        <v>321</v>
      </c>
      <c r="J48" s="75">
        <v>4</v>
      </c>
      <c r="K48" s="75">
        <v>5</v>
      </c>
      <c r="L48" s="76" t="s">
        <v>318</v>
      </c>
      <c r="AI48" s="75">
        <v>3</v>
      </c>
      <c r="AJ48" s="75">
        <v>3</v>
      </c>
      <c r="AK48" s="75">
        <v>1</v>
      </c>
      <c r="AL48" s="76" t="s">
        <v>125</v>
      </c>
      <c r="AM48" s="75">
        <v>0</v>
      </c>
      <c r="AO48" s="75">
        <v>4</v>
      </c>
      <c r="AP48" s="75">
        <v>4</v>
      </c>
      <c r="AQ48" s="75">
        <v>12</v>
      </c>
      <c r="AR48" s="76" t="s">
        <v>210</v>
      </c>
      <c r="AS48" s="75">
        <v>1.333333333333333</v>
      </c>
      <c r="AT48" s="75">
        <v>1</v>
      </c>
      <c r="AU48" s="75">
        <v>0.33333333333333331</v>
      </c>
    </row>
    <row r="49" spans="1:47" x14ac:dyDescent="0.25">
      <c r="A49" s="77">
        <v>4</v>
      </c>
      <c r="B49" s="77">
        <v>1</v>
      </c>
      <c r="C49" s="77">
        <v>1</v>
      </c>
      <c r="D49" s="77">
        <v>2</v>
      </c>
      <c r="F49" s="77">
        <v>5</v>
      </c>
      <c r="G49" s="77">
        <v>7</v>
      </c>
      <c r="H49" s="78" t="s">
        <v>325</v>
      </c>
      <c r="J49" s="77">
        <v>5</v>
      </c>
      <c r="K49" s="77">
        <v>6</v>
      </c>
      <c r="L49" s="78" t="s">
        <v>321</v>
      </c>
      <c r="AI49" s="77">
        <v>3</v>
      </c>
      <c r="AJ49" s="77">
        <v>3</v>
      </c>
      <c r="AK49" s="77">
        <v>1</v>
      </c>
      <c r="AL49" s="78" t="s">
        <v>132</v>
      </c>
      <c r="AM49" s="77">
        <v>0</v>
      </c>
      <c r="AO49" s="77">
        <v>4</v>
      </c>
      <c r="AP49" s="77">
        <v>4</v>
      </c>
      <c r="AQ49" s="77">
        <v>12</v>
      </c>
      <c r="AR49" s="78" t="s">
        <v>215</v>
      </c>
      <c r="AS49" s="77">
        <v>0.66666666666666663</v>
      </c>
      <c r="AT49" s="77">
        <v>0.5</v>
      </c>
      <c r="AU49" s="77">
        <v>0.16666666666666671</v>
      </c>
    </row>
    <row r="50" spans="1:47" ht="30" x14ac:dyDescent="0.25">
      <c r="A50" s="75">
        <v>4</v>
      </c>
      <c r="B50" s="75">
        <v>1</v>
      </c>
      <c r="C50" s="75">
        <v>2</v>
      </c>
      <c r="D50" s="75">
        <v>3</v>
      </c>
      <c r="F50" s="75">
        <v>6</v>
      </c>
      <c r="G50" s="75">
        <v>9</v>
      </c>
      <c r="H50" s="76" t="s">
        <v>330</v>
      </c>
      <c r="J50" s="75">
        <v>6</v>
      </c>
      <c r="K50" s="75">
        <v>7</v>
      </c>
      <c r="L50" s="76" t="s">
        <v>325</v>
      </c>
      <c r="AI50" s="75">
        <v>3</v>
      </c>
      <c r="AJ50" s="75">
        <v>3</v>
      </c>
      <c r="AK50" s="75">
        <v>1</v>
      </c>
      <c r="AL50" s="76" t="s">
        <v>140</v>
      </c>
      <c r="AM50" s="75">
        <v>0</v>
      </c>
      <c r="AO50" s="75">
        <v>4</v>
      </c>
      <c r="AP50" s="75">
        <v>4</v>
      </c>
      <c r="AQ50" s="75">
        <v>12</v>
      </c>
      <c r="AR50" s="76" t="s">
        <v>221</v>
      </c>
      <c r="AS50" s="75">
        <v>0.41666666666666669</v>
      </c>
      <c r="AT50" s="75">
        <v>0</v>
      </c>
      <c r="AU50" s="75">
        <v>0</v>
      </c>
    </row>
    <row r="51" spans="1:47" x14ac:dyDescent="0.25">
      <c r="A51" s="77">
        <v>4</v>
      </c>
      <c r="B51" s="77">
        <v>1</v>
      </c>
      <c r="C51" s="77">
        <v>3</v>
      </c>
      <c r="D51" s="77">
        <v>5</v>
      </c>
      <c r="F51" s="77">
        <v>7</v>
      </c>
      <c r="G51" s="77">
        <v>10</v>
      </c>
      <c r="H51" s="78" t="s">
        <v>334</v>
      </c>
      <c r="J51" s="77">
        <v>7</v>
      </c>
      <c r="K51" s="77">
        <v>8</v>
      </c>
      <c r="L51" s="78" t="s">
        <v>327</v>
      </c>
      <c r="AI51" s="77">
        <v>3</v>
      </c>
      <c r="AJ51" s="77">
        <v>3</v>
      </c>
      <c r="AK51" s="77">
        <v>1</v>
      </c>
      <c r="AL51" s="78" t="s">
        <v>147</v>
      </c>
      <c r="AM51" s="77">
        <v>1</v>
      </c>
      <c r="AO51" s="77">
        <v>5</v>
      </c>
      <c r="AP51" s="77">
        <v>1</v>
      </c>
      <c r="AQ51" s="77">
        <v>19</v>
      </c>
      <c r="AR51" s="78" t="s">
        <v>186</v>
      </c>
      <c r="AS51" s="77">
        <v>0</v>
      </c>
      <c r="AT51" s="77">
        <v>0</v>
      </c>
      <c r="AU51" s="77">
        <v>0</v>
      </c>
    </row>
    <row r="52" spans="1:47" ht="30" x14ac:dyDescent="0.25">
      <c r="A52" s="75">
        <v>4</v>
      </c>
      <c r="B52" s="75">
        <v>1</v>
      </c>
      <c r="C52" s="75">
        <v>4</v>
      </c>
      <c r="D52" s="75">
        <v>11</v>
      </c>
      <c r="F52" s="75">
        <v>8</v>
      </c>
      <c r="G52" s="75">
        <v>11</v>
      </c>
      <c r="H52" s="76" t="s">
        <v>338</v>
      </c>
      <c r="J52" s="75">
        <v>8</v>
      </c>
      <c r="K52" s="75">
        <v>9</v>
      </c>
      <c r="L52" s="76" t="s">
        <v>330</v>
      </c>
      <c r="AI52" s="75">
        <v>3</v>
      </c>
      <c r="AJ52" s="75">
        <v>3</v>
      </c>
      <c r="AK52" s="75">
        <v>1</v>
      </c>
      <c r="AL52" s="76" t="s">
        <v>154</v>
      </c>
      <c r="AM52" s="75">
        <v>1</v>
      </c>
      <c r="AO52" s="75">
        <v>5</v>
      </c>
      <c r="AP52" s="75">
        <v>1</v>
      </c>
      <c r="AQ52" s="75">
        <v>19</v>
      </c>
      <c r="AR52" s="76" t="s">
        <v>192</v>
      </c>
      <c r="AS52" s="75">
        <v>0.15789473684210531</v>
      </c>
      <c r="AT52" s="75">
        <v>0</v>
      </c>
      <c r="AU52" s="75">
        <v>0</v>
      </c>
    </row>
    <row r="53" spans="1:47" ht="30" x14ac:dyDescent="0.25">
      <c r="A53" s="77">
        <v>4</v>
      </c>
      <c r="B53" s="77">
        <v>2</v>
      </c>
      <c r="C53" s="77">
        <v>1</v>
      </c>
      <c r="D53" s="77">
        <v>1</v>
      </c>
      <c r="F53" s="77">
        <v>9</v>
      </c>
      <c r="G53" s="77">
        <v>12</v>
      </c>
      <c r="H53" s="78" t="s">
        <v>342</v>
      </c>
      <c r="J53" s="77">
        <v>9</v>
      </c>
      <c r="K53" s="77">
        <v>10</v>
      </c>
      <c r="L53" s="78" t="s">
        <v>334</v>
      </c>
      <c r="AI53" s="77">
        <v>3</v>
      </c>
      <c r="AJ53" s="77">
        <v>3</v>
      </c>
      <c r="AK53" s="77">
        <v>1</v>
      </c>
      <c r="AL53" s="78" t="s">
        <v>161</v>
      </c>
      <c r="AM53" s="77">
        <v>0</v>
      </c>
      <c r="AO53" s="77">
        <v>5</v>
      </c>
      <c r="AP53" s="77">
        <v>1</v>
      </c>
      <c r="AQ53" s="77">
        <v>19</v>
      </c>
      <c r="AR53" s="78" t="s">
        <v>198</v>
      </c>
      <c r="AS53" s="77">
        <v>5.2631578947368418E-2</v>
      </c>
      <c r="AT53" s="77">
        <v>0</v>
      </c>
      <c r="AU53" s="77">
        <v>0</v>
      </c>
    </row>
    <row r="54" spans="1:47" ht="30" x14ac:dyDescent="0.25">
      <c r="A54" s="75">
        <v>4</v>
      </c>
      <c r="B54" s="75">
        <v>2</v>
      </c>
      <c r="C54" s="75">
        <v>3</v>
      </c>
      <c r="D54" s="75">
        <v>1</v>
      </c>
      <c r="F54" s="75">
        <v>10</v>
      </c>
      <c r="G54" s="75">
        <v>13</v>
      </c>
      <c r="H54" s="76" t="s">
        <v>344</v>
      </c>
      <c r="J54" s="75">
        <v>10</v>
      </c>
      <c r="K54" s="75">
        <v>11</v>
      </c>
      <c r="L54" s="76" t="s">
        <v>338</v>
      </c>
      <c r="AI54" s="75">
        <v>3</v>
      </c>
      <c r="AJ54" s="75">
        <v>3</v>
      </c>
      <c r="AK54" s="75">
        <v>1</v>
      </c>
      <c r="AL54" s="76" t="s">
        <v>166</v>
      </c>
      <c r="AM54" s="75">
        <v>0</v>
      </c>
      <c r="AO54" s="75">
        <v>5</v>
      </c>
      <c r="AP54" s="75">
        <v>1</v>
      </c>
      <c r="AQ54" s="75">
        <v>19</v>
      </c>
      <c r="AR54" s="76" t="s">
        <v>204</v>
      </c>
      <c r="AS54" s="75">
        <v>0</v>
      </c>
      <c r="AT54" s="75">
        <v>0</v>
      </c>
      <c r="AU54" s="75">
        <v>0</v>
      </c>
    </row>
    <row r="55" spans="1:47" ht="30" x14ac:dyDescent="0.25">
      <c r="A55" s="77">
        <v>4</v>
      </c>
      <c r="B55" s="77">
        <v>2</v>
      </c>
      <c r="C55" s="77">
        <v>4</v>
      </c>
      <c r="D55" s="77">
        <v>1</v>
      </c>
      <c r="F55" s="77">
        <v>11</v>
      </c>
      <c r="G55" s="77">
        <v>15</v>
      </c>
      <c r="H55" s="78" t="s">
        <v>352</v>
      </c>
      <c r="J55" s="77">
        <v>11</v>
      </c>
      <c r="K55" s="77">
        <v>12</v>
      </c>
      <c r="L55" s="78" t="s">
        <v>342</v>
      </c>
      <c r="AI55" s="77">
        <v>3</v>
      </c>
      <c r="AJ55" s="77">
        <v>3</v>
      </c>
      <c r="AK55" s="77">
        <v>1</v>
      </c>
      <c r="AL55" s="78" t="s">
        <v>174</v>
      </c>
      <c r="AM55" s="77">
        <v>0</v>
      </c>
      <c r="AO55" s="77">
        <v>5</v>
      </c>
      <c r="AP55" s="77">
        <v>1</v>
      </c>
      <c r="AQ55" s="77">
        <v>19</v>
      </c>
      <c r="AR55" s="78" t="s">
        <v>210</v>
      </c>
      <c r="AS55" s="77">
        <v>0</v>
      </c>
      <c r="AT55" s="77">
        <v>0</v>
      </c>
      <c r="AU55" s="77">
        <v>0</v>
      </c>
    </row>
    <row r="56" spans="1:47" ht="30" x14ac:dyDescent="0.25">
      <c r="A56" s="75">
        <v>4</v>
      </c>
      <c r="B56" s="75">
        <v>3</v>
      </c>
      <c r="C56" s="75">
        <v>1</v>
      </c>
      <c r="D56" s="75">
        <v>1</v>
      </c>
      <c r="F56" s="75">
        <v>12</v>
      </c>
      <c r="G56" s="75">
        <v>17</v>
      </c>
      <c r="H56" s="76" t="s">
        <v>359</v>
      </c>
      <c r="J56" s="75">
        <v>12</v>
      </c>
      <c r="K56" s="75">
        <v>13</v>
      </c>
      <c r="L56" s="76" t="s">
        <v>344</v>
      </c>
      <c r="AI56" s="75">
        <v>4</v>
      </c>
      <c r="AJ56" s="75">
        <v>1</v>
      </c>
      <c r="AK56" s="75">
        <v>21</v>
      </c>
      <c r="AL56" s="76" t="s">
        <v>53</v>
      </c>
      <c r="AM56" s="75">
        <v>0.95238095238095233</v>
      </c>
      <c r="AO56" s="75">
        <v>5</v>
      </c>
      <c r="AP56" s="75">
        <v>1</v>
      </c>
      <c r="AQ56" s="75">
        <v>19</v>
      </c>
      <c r="AR56" s="76" t="s">
        <v>215</v>
      </c>
      <c r="AS56" s="75">
        <v>5.2631578947368418E-2</v>
      </c>
      <c r="AT56" s="75">
        <v>0</v>
      </c>
      <c r="AU56" s="75">
        <v>0</v>
      </c>
    </row>
    <row r="57" spans="1:47" ht="30" x14ac:dyDescent="0.25">
      <c r="A57" s="77">
        <v>4</v>
      </c>
      <c r="B57" s="77">
        <v>4</v>
      </c>
      <c r="C57" s="77">
        <v>1</v>
      </c>
      <c r="D57" s="77">
        <v>1</v>
      </c>
      <c r="F57" s="77">
        <v>13</v>
      </c>
      <c r="G57" s="77">
        <v>19</v>
      </c>
      <c r="H57" s="78" t="s">
        <v>367</v>
      </c>
      <c r="J57" s="77">
        <v>13</v>
      </c>
      <c r="K57" s="77">
        <v>14</v>
      </c>
      <c r="L57" s="78" t="s">
        <v>348</v>
      </c>
      <c r="AI57" s="77">
        <v>4</v>
      </c>
      <c r="AJ57" s="77">
        <v>1</v>
      </c>
      <c r="AK57" s="77">
        <v>21</v>
      </c>
      <c r="AL57" s="78" t="s">
        <v>61</v>
      </c>
      <c r="AM57" s="77">
        <v>0.8571428571428571</v>
      </c>
      <c r="AO57" s="77">
        <v>5</v>
      </c>
      <c r="AP57" s="77">
        <v>1</v>
      </c>
      <c r="AQ57" s="77">
        <v>19</v>
      </c>
      <c r="AR57" s="78" t="s">
        <v>221</v>
      </c>
      <c r="AS57" s="77">
        <v>0</v>
      </c>
      <c r="AT57" s="77">
        <v>0</v>
      </c>
      <c r="AU57" s="77">
        <v>0</v>
      </c>
    </row>
    <row r="58" spans="1:47" ht="30" x14ac:dyDescent="0.25">
      <c r="A58" s="75">
        <v>5</v>
      </c>
      <c r="B58" s="75">
        <v>1</v>
      </c>
      <c r="C58" s="75">
        <v>1</v>
      </c>
      <c r="D58" s="75">
        <v>2</v>
      </c>
      <c r="F58" s="75">
        <v>14</v>
      </c>
      <c r="G58" s="75">
        <v>20</v>
      </c>
      <c r="H58" s="76" t="s">
        <v>371</v>
      </c>
      <c r="J58" s="75">
        <v>14</v>
      </c>
      <c r="K58" s="75">
        <v>15</v>
      </c>
      <c r="L58" s="76" t="s">
        <v>352</v>
      </c>
      <c r="AI58" s="75">
        <v>4</v>
      </c>
      <c r="AJ58" s="75">
        <v>1</v>
      </c>
      <c r="AK58" s="75">
        <v>21</v>
      </c>
      <c r="AL58" s="76" t="s">
        <v>69</v>
      </c>
      <c r="AM58" s="75">
        <v>1</v>
      </c>
      <c r="AO58" s="75">
        <v>5</v>
      </c>
      <c r="AP58" s="75">
        <v>2</v>
      </c>
      <c r="AQ58" s="75">
        <v>3</v>
      </c>
      <c r="AR58" s="76" t="s">
        <v>186</v>
      </c>
      <c r="AS58" s="75">
        <v>2</v>
      </c>
      <c r="AT58" s="75">
        <v>2</v>
      </c>
      <c r="AU58" s="75">
        <v>1</v>
      </c>
    </row>
    <row r="59" spans="1:47" x14ac:dyDescent="0.25">
      <c r="A59" s="77">
        <v>5</v>
      </c>
      <c r="B59" s="77">
        <v>1</v>
      </c>
      <c r="C59" s="77">
        <v>2</v>
      </c>
      <c r="D59" s="77">
        <v>3</v>
      </c>
      <c r="F59" s="77">
        <v>15</v>
      </c>
      <c r="G59" s="77">
        <v>22</v>
      </c>
      <c r="H59" s="78" t="s">
        <v>377</v>
      </c>
      <c r="J59" s="77">
        <v>15</v>
      </c>
      <c r="K59" s="77">
        <v>16</v>
      </c>
      <c r="L59" s="78" t="s">
        <v>356</v>
      </c>
      <c r="AI59" s="77">
        <v>4</v>
      </c>
      <c r="AJ59" s="77">
        <v>1</v>
      </c>
      <c r="AK59" s="77">
        <v>21</v>
      </c>
      <c r="AL59" s="78" t="s">
        <v>76</v>
      </c>
      <c r="AM59" s="77">
        <v>0.66666666666666663</v>
      </c>
      <c r="AO59" s="77">
        <v>5</v>
      </c>
      <c r="AP59" s="77">
        <v>2</v>
      </c>
      <c r="AQ59" s="77">
        <v>3</v>
      </c>
      <c r="AR59" s="78" t="s">
        <v>192</v>
      </c>
      <c r="AS59" s="77">
        <v>2.333333333333333</v>
      </c>
      <c r="AT59" s="77">
        <v>2</v>
      </c>
      <c r="AU59" s="77">
        <v>1</v>
      </c>
    </row>
    <row r="60" spans="1:47" x14ac:dyDescent="0.25">
      <c r="A60" s="75">
        <v>5</v>
      </c>
      <c r="B60" s="75">
        <v>1</v>
      </c>
      <c r="C60" s="75">
        <v>3</v>
      </c>
      <c r="D60" s="75">
        <v>5</v>
      </c>
      <c r="F60" s="75">
        <v>16</v>
      </c>
      <c r="G60" s="75">
        <v>23</v>
      </c>
      <c r="H60" s="76" t="s">
        <v>380</v>
      </c>
      <c r="J60" s="75">
        <v>16</v>
      </c>
      <c r="K60" s="75">
        <v>17</v>
      </c>
      <c r="L60" s="76" t="s">
        <v>359</v>
      </c>
      <c r="AI60" s="75">
        <v>4</v>
      </c>
      <c r="AJ60" s="75">
        <v>1</v>
      </c>
      <c r="AK60" s="75">
        <v>21</v>
      </c>
      <c r="AL60" s="76" t="s">
        <v>83</v>
      </c>
      <c r="AM60" s="75">
        <v>0.90476190476190477</v>
      </c>
      <c r="AO60" s="75">
        <v>5</v>
      </c>
      <c r="AP60" s="75">
        <v>2</v>
      </c>
      <c r="AQ60" s="75">
        <v>3</v>
      </c>
      <c r="AR60" s="76" t="s">
        <v>198</v>
      </c>
      <c r="AS60" s="75">
        <v>2.333333333333333</v>
      </c>
      <c r="AT60" s="75">
        <v>2</v>
      </c>
      <c r="AU60" s="75">
        <v>1</v>
      </c>
    </row>
    <row r="61" spans="1:47" ht="45" x14ac:dyDescent="0.25">
      <c r="A61" s="77">
        <v>5</v>
      </c>
      <c r="B61" s="77">
        <v>1</v>
      </c>
      <c r="C61" s="77">
        <v>4</v>
      </c>
      <c r="D61" s="77">
        <v>7</v>
      </c>
      <c r="F61" s="77">
        <v>17</v>
      </c>
      <c r="G61" s="77">
        <v>24</v>
      </c>
      <c r="H61" s="78" t="s">
        <v>384</v>
      </c>
      <c r="J61" s="77">
        <v>17</v>
      </c>
      <c r="K61" s="77">
        <v>18</v>
      </c>
      <c r="L61" s="78" t="s">
        <v>363</v>
      </c>
      <c r="AI61" s="77">
        <v>4</v>
      </c>
      <c r="AJ61" s="77">
        <v>1</v>
      </c>
      <c r="AK61" s="77">
        <v>21</v>
      </c>
      <c r="AL61" s="78" t="s">
        <v>90</v>
      </c>
      <c r="AM61" s="77">
        <v>0.95238095238095233</v>
      </c>
      <c r="AO61" s="77">
        <v>5</v>
      </c>
      <c r="AP61" s="77">
        <v>2</v>
      </c>
      <c r="AQ61" s="77">
        <v>3</v>
      </c>
      <c r="AR61" s="78" t="s">
        <v>204</v>
      </c>
      <c r="AS61" s="77">
        <v>2.333333333333333</v>
      </c>
      <c r="AT61" s="77">
        <v>2</v>
      </c>
      <c r="AU61" s="77">
        <v>1</v>
      </c>
    </row>
    <row r="62" spans="1:47" x14ac:dyDescent="0.25">
      <c r="A62" s="75">
        <v>5</v>
      </c>
      <c r="B62" s="75">
        <v>1</v>
      </c>
      <c r="C62" s="75">
        <v>5</v>
      </c>
      <c r="D62" s="75">
        <v>4</v>
      </c>
      <c r="F62" s="75">
        <v>18</v>
      </c>
      <c r="G62" s="75">
        <v>25</v>
      </c>
      <c r="H62" s="76" t="s">
        <v>386</v>
      </c>
      <c r="J62" s="75">
        <v>18</v>
      </c>
      <c r="K62" s="75">
        <v>19</v>
      </c>
      <c r="L62" s="76" t="s">
        <v>367</v>
      </c>
      <c r="AI62" s="75">
        <v>4</v>
      </c>
      <c r="AJ62" s="75">
        <v>1</v>
      </c>
      <c r="AK62" s="75">
        <v>21</v>
      </c>
      <c r="AL62" s="76" t="s">
        <v>98</v>
      </c>
      <c r="AM62" s="75">
        <v>0.80952380952380953</v>
      </c>
      <c r="AO62" s="75">
        <v>5</v>
      </c>
      <c r="AP62" s="75">
        <v>2</v>
      </c>
      <c r="AQ62" s="75">
        <v>3</v>
      </c>
      <c r="AR62" s="76" t="s">
        <v>210</v>
      </c>
      <c r="AS62" s="75">
        <v>2.666666666666667</v>
      </c>
      <c r="AT62" s="75">
        <v>3</v>
      </c>
      <c r="AU62" s="75">
        <v>1</v>
      </c>
    </row>
    <row r="63" spans="1:47" ht="30" x14ac:dyDescent="0.25">
      <c r="A63" s="77">
        <v>5</v>
      </c>
      <c r="B63" s="77">
        <v>2</v>
      </c>
      <c r="C63" s="77">
        <v>1</v>
      </c>
      <c r="D63" s="77">
        <v>1</v>
      </c>
      <c r="F63" s="77">
        <v>19</v>
      </c>
      <c r="G63" s="77">
        <v>27</v>
      </c>
      <c r="H63" s="78" t="s">
        <v>393</v>
      </c>
      <c r="J63" s="77">
        <v>19</v>
      </c>
      <c r="K63" s="77">
        <v>20</v>
      </c>
      <c r="L63" s="78" t="s">
        <v>371</v>
      </c>
      <c r="AI63" s="77">
        <v>4</v>
      </c>
      <c r="AJ63" s="77">
        <v>1</v>
      </c>
      <c r="AK63" s="77">
        <v>21</v>
      </c>
      <c r="AL63" s="78" t="s">
        <v>106</v>
      </c>
      <c r="AM63" s="77">
        <v>0.95238095238095233</v>
      </c>
      <c r="AO63" s="77">
        <v>5</v>
      </c>
      <c r="AP63" s="77">
        <v>2</v>
      </c>
      <c r="AQ63" s="77">
        <v>3</v>
      </c>
      <c r="AR63" s="78" t="s">
        <v>215</v>
      </c>
      <c r="AS63" s="77">
        <v>2.333333333333333</v>
      </c>
      <c r="AT63" s="77">
        <v>2</v>
      </c>
      <c r="AU63" s="77">
        <v>1</v>
      </c>
    </row>
    <row r="64" spans="1:47" ht="30" x14ac:dyDescent="0.25">
      <c r="A64" s="75">
        <v>5</v>
      </c>
      <c r="B64" s="75">
        <v>2</v>
      </c>
      <c r="C64" s="75">
        <v>5</v>
      </c>
      <c r="D64" s="75">
        <v>1</v>
      </c>
      <c r="F64" s="75">
        <v>20</v>
      </c>
      <c r="G64" s="75">
        <v>31</v>
      </c>
      <c r="H64" s="76" t="s">
        <v>406</v>
      </c>
      <c r="J64" s="75">
        <v>20</v>
      </c>
      <c r="K64" s="75">
        <v>21</v>
      </c>
      <c r="L64" s="76" t="s">
        <v>373</v>
      </c>
      <c r="AI64" s="75">
        <v>4</v>
      </c>
      <c r="AJ64" s="75">
        <v>1</v>
      </c>
      <c r="AK64" s="75">
        <v>21</v>
      </c>
      <c r="AL64" s="76" t="s">
        <v>112</v>
      </c>
      <c r="AM64" s="75">
        <v>0.90476190476190477</v>
      </c>
      <c r="AO64" s="75">
        <v>5</v>
      </c>
      <c r="AP64" s="75">
        <v>2</v>
      </c>
      <c r="AQ64" s="75">
        <v>3</v>
      </c>
      <c r="AR64" s="76" t="s">
        <v>221</v>
      </c>
      <c r="AS64" s="75">
        <v>1</v>
      </c>
      <c r="AT64" s="75">
        <v>1</v>
      </c>
      <c r="AU64" s="75">
        <v>0.33333333333333331</v>
      </c>
    </row>
    <row r="65" spans="1:47" x14ac:dyDescent="0.25">
      <c r="A65" s="77">
        <v>5</v>
      </c>
      <c r="B65" s="77">
        <v>3</v>
      </c>
      <c r="C65" s="77">
        <v>3</v>
      </c>
      <c r="D65" s="77">
        <v>1</v>
      </c>
      <c r="F65" s="77">
        <v>21</v>
      </c>
      <c r="G65" s="77">
        <v>32</v>
      </c>
      <c r="H65" s="78" t="s">
        <v>407</v>
      </c>
      <c r="J65" s="77">
        <v>21</v>
      </c>
      <c r="K65" s="77">
        <v>22</v>
      </c>
      <c r="L65" s="78" t="s">
        <v>377</v>
      </c>
      <c r="AI65" s="77">
        <v>4</v>
      </c>
      <c r="AJ65" s="77">
        <v>1</v>
      </c>
      <c r="AK65" s="77">
        <v>21</v>
      </c>
      <c r="AL65" s="78" t="s">
        <v>118</v>
      </c>
      <c r="AM65" s="77">
        <v>0.14285714285714279</v>
      </c>
      <c r="AO65" s="77">
        <v>5</v>
      </c>
      <c r="AP65" s="77">
        <v>3</v>
      </c>
      <c r="AQ65" s="77">
        <v>6</v>
      </c>
      <c r="AR65" s="78" t="s">
        <v>186</v>
      </c>
      <c r="AS65" s="77">
        <v>0.33333333333333331</v>
      </c>
      <c r="AT65" s="77">
        <v>0</v>
      </c>
      <c r="AU65" s="77">
        <v>0</v>
      </c>
    </row>
    <row r="66" spans="1:47" x14ac:dyDescent="0.25">
      <c r="A66" s="75">
        <v>5</v>
      </c>
      <c r="B66" s="75">
        <v>4</v>
      </c>
      <c r="C66" s="75">
        <v>1</v>
      </c>
      <c r="D66" s="75">
        <v>1</v>
      </c>
      <c r="F66" s="75">
        <v>22</v>
      </c>
      <c r="G66" s="75">
        <v>34</v>
      </c>
      <c r="H66" s="76" t="s">
        <v>413</v>
      </c>
      <c r="J66" s="75">
        <v>22</v>
      </c>
      <c r="K66" s="75">
        <v>23</v>
      </c>
      <c r="L66" s="76" t="s">
        <v>380</v>
      </c>
      <c r="AI66" s="75">
        <v>4</v>
      </c>
      <c r="AJ66" s="75">
        <v>1</v>
      </c>
      <c r="AK66" s="75">
        <v>21</v>
      </c>
      <c r="AL66" s="76" t="s">
        <v>125</v>
      </c>
      <c r="AM66" s="75">
        <v>0.52380952380952384</v>
      </c>
      <c r="AO66" s="75">
        <v>5</v>
      </c>
      <c r="AP66" s="75">
        <v>3</v>
      </c>
      <c r="AQ66" s="75">
        <v>6</v>
      </c>
      <c r="AR66" s="76" t="s">
        <v>192</v>
      </c>
      <c r="AS66" s="75">
        <v>1.833333333333333</v>
      </c>
      <c r="AT66" s="75">
        <v>2</v>
      </c>
      <c r="AU66" s="75">
        <v>0.83333333333333337</v>
      </c>
    </row>
    <row r="67" spans="1:47" ht="45" x14ac:dyDescent="0.25">
      <c r="A67" s="77">
        <v>5</v>
      </c>
      <c r="B67" s="77">
        <v>5</v>
      </c>
      <c r="C67" s="77">
        <v>1</v>
      </c>
      <c r="D67" s="77">
        <v>1</v>
      </c>
      <c r="F67" s="77">
        <v>23</v>
      </c>
      <c r="G67" s="77">
        <v>36</v>
      </c>
      <c r="H67" s="78" t="s">
        <v>420</v>
      </c>
      <c r="J67" s="77">
        <v>23</v>
      </c>
      <c r="K67" s="77">
        <v>24</v>
      </c>
      <c r="L67" s="78" t="s">
        <v>384</v>
      </c>
      <c r="AI67" s="77">
        <v>4</v>
      </c>
      <c r="AJ67" s="77">
        <v>1</v>
      </c>
      <c r="AK67" s="77">
        <v>21</v>
      </c>
      <c r="AL67" s="78" t="s">
        <v>132</v>
      </c>
      <c r="AM67" s="77">
        <v>0.61904761904761907</v>
      </c>
      <c r="AO67" s="77">
        <v>5</v>
      </c>
      <c r="AP67" s="77">
        <v>3</v>
      </c>
      <c r="AQ67" s="77">
        <v>6</v>
      </c>
      <c r="AR67" s="78" t="s">
        <v>198</v>
      </c>
      <c r="AS67" s="77">
        <v>2</v>
      </c>
      <c r="AT67" s="77">
        <v>2</v>
      </c>
      <c r="AU67" s="77">
        <v>1</v>
      </c>
    </row>
    <row r="68" spans="1:47" ht="30" x14ac:dyDescent="0.25">
      <c r="F68" s="75">
        <v>24</v>
      </c>
      <c r="G68" s="75">
        <v>38</v>
      </c>
      <c r="H68" s="76" t="s">
        <v>425</v>
      </c>
      <c r="J68" s="75">
        <v>24</v>
      </c>
      <c r="K68" s="75">
        <v>25</v>
      </c>
      <c r="L68" s="76" t="s">
        <v>386</v>
      </c>
      <c r="AI68" s="75">
        <v>4</v>
      </c>
      <c r="AJ68" s="75">
        <v>1</v>
      </c>
      <c r="AK68" s="75">
        <v>21</v>
      </c>
      <c r="AL68" s="76" t="s">
        <v>140</v>
      </c>
      <c r="AM68" s="75">
        <v>0.76190476190476186</v>
      </c>
      <c r="AO68" s="75">
        <v>5</v>
      </c>
      <c r="AP68" s="75">
        <v>3</v>
      </c>
      <c r="AQ68" s="75">
        <v>6</v>
      </c>
      <c r="AR68" s="76" t="s">
        <v>204</v>
      </c>
      <c r="AS68" s="75">
        <v>0.16666666666666671</v>
      </c>
      <c r="AT68" s="75">
        <v>0</v>
      </c>
      <c r="AU68" s="75">
        <v>0</v>
      </c>
    </row>
    <row r="69" spans="1:47" ht="30" x14ac:dyDescent="0.25">
      <c r="F69" s="77">
        <v>25</v>
      </c>
      <c r="G69" s="77">
        <v>40</v>
      </c>
      <c r="H69" s="78" t="s">
        <v>431</v>
      </c>
      <c r="J69" s="77">
        <v>25</v>
      </c>
      <c r="K69" s="77">
        <v>26</v>
      </c>
      <c r="L69" s="78" t="s">
        <v>389</v>
      </c>
      <c r="AI69" s="77">
        <v>4</v>
      </c>
      <c r="AJ69" s="77">
        <v>1</v>
      </c>
      <c r="AK69" s="77">
        <v>21</v>
      </c>
      <c r="AL69" s="78" t="s">
        <v>147</v>
      </c>
      <c r="AM69" s="77">
        <v>0.8571428571428571</v>
      </c>
      <c r="AO69" s="77">
        <v>5</v>
      </c>
      <c r="AP69" s="77">
        <v>3</v>
      </c>
      <c r="AQ69" s="77">
        <v>6</v>
      </c>
      <c r="AR69" s="78" t="s">
        <v>210</v>
      </c>
      <c r="AS69" s="77">
        <v>0.16666666666666671</v>
      </c>
      <c r="AT69" s="77">
        <v>0</v>
      </c>
      <c r="AU69" s="77">
        <v>0</v>
      </c>
    </row>
    <row r="70" spans="1:47" ht="30" x14ac:dyDescent="0.25">
      <c r="J70" s="75">
        <v>26</v>
      </c>
      <c r="K70" s="75">
        <v>27</v>
      </c>
      <c r="L70" s="76" t="s">
        <v>393</v>
      </c>
      <c r="AI70" s="75">
        <v>4</v>
      </c>
      <c r="AJ70" s="75">
        <v>1</v>
      </c>
      <c r="AK70" s="75">
        <v>21</v>
      </c>
      <c r="AL70" s="76" t="s">
        <v>154</v>
      </c>
      <c r="AM70" s="75">
        <v>0.95238095238095233</v>
      </c>
      <c r="AO70" s="75">
        <v>5</v>
      </c>
      <c r="AP70" s="75">
        <v>3</v>
      </c>
      <c r="AQ70" s="75">
        <v>6</v>
      </c>
      <c r="AR70" s="76" t="s">
        <v>215</v>
      </c>
      <c r="AS70" s="75">
        <v>0</v>
      </c>
      <c r="AT70" s="75">
        <v>0</v>
      </c>
      <c r="AU70" s="75">
        <v>0</v>
      </c>
    </row>
    <row r="71" spans="1:47" ht="45" x14ac:dyDescent="0.25">
      <c r="J71" s="77">
        <v>27</v>
      </c>
      <c r="K71" s="77">
        <v>28</v>
      </c>
      <c r="L71" s="78" t="s">
        <v>396</v>
      </c>
      <c r="AI71" s="77">
        <v>4</v>
      </c>
      <c r="AJ71" s="77">
        <v>1</v>
      </c>
      <c r="AK71" s="77">
        <v>21</v>
      </c>
      <c r="AL71" s="78" t="s">
        <v>161</v>
      </c>
      <c r="AM71" s="77">
        <v>0.76190476190476186</v>
      </c>
      <c r="AO71" s="77">
        <v>5</v>
      </c>
      <c r="AP71" s="77">
        <v>3</v>
      </c>
      <c r="AQ71" s="77">
        <v>6</v>
      </c>
      <c r="AR71" s="78" t="s">
        <v>221</v>
      </c>
      <c r="AS71" s="77">
        <v>0</v>
      </c>
      <c r="AT71" s="77">
        <v>0</v>
      </c>
      <c r="AU71" s="77">
        <v>0</v>
      </c>
    </row>
    <row r="72" spans="1:47" x14ac:dyDescent="0.25">
      <c r="J72" s="75">
        <v>28</v>
      </c>
      <c r="K72" s="75">
        <v>29</v>
      </c>
      <c r="L72" s="76" t="s">
        <v>399</v>
      </c>
      <c r="AI72" s="75">
        <v>4</v>
      </c>
      <c r="AJ72" s="75">
        <v>1</v>
      </c>
      <c r="AK72" s="75">
        <v>21</v>
      </c>
      <c r="AL72" s="76" t="s">
        <v>166</v>
      </c>
      <c r="AM72" s="75">
        <v>0.33333333333333331</v>
      </c>
      <c r="AO72" s="75">
        <v>5</v>
      </c>
      <c r="AP72" s="75">
        <v>4</v>
      </c>
      <c r="AQ72" s="75">
        <v>7</v>
      </c>
      <c r="AR72" s="76" t="s">
        <v>186</v>
      </c>
      <c r="AS72" s="75">
        <v>2</v>
      </c>
      <c r="AT72" s="75">
        <v>2</v>
      </c>
      <c r="AU72" s="75">
        <v>1</v>
      </c>
    </row>
    <row r="73" spans="1:47" ht="30" x14ac:dyDescent="0.25">
      <c r="J73" s="77">
        <v>29</v>
      </c>
      <c r="K73" s="77">
        <v>30</v>
      </c>
      <c r="L73" s="78" t="s">
        <v>402</v>
      </c>
      <c r="AI73" s="77">
        <v>4</v>
      </c>
      <c r="AJ73" s="77">
        <v>1</v>
      </c>
      <c r="AK73" s="77">
        <v>21</v>
      </c>
      <c r="AL73" s="78" t="s">
        <v>174</v>
      </c>
      <c r="AM73" s="77">
        <v>0.5714285714285714</v>
      </c>
      <c r="AO73" s="77">
        <v>5</v>
      </c>
      <c r="AP73" s="77">
        <v>4</v>
      </c>
      <c r="AQ73" s="77">
        <v>7</v>
      </c>
      <c r="AR73" s="78" t="s">
        <v>192</v>
      </c>
      <c r="AS73" s="77">
        <v>2</v>
      </c>
      <c r="AT73" s="77">
        <v>2</v>
      </c>
      <c r="AU73" s="77">
        <v>1</v>
      </c>
    </row>
    <row r="74" spans="1:47" x14ac:dyDescent="0.25">
      <c r="J74" s="75">
        <v>30</v>
      </c>
      <c r="K74" s="75">
        <v>31</v>
      </c>
      <c r="L74" s="76" t="s">
        <v>406</v>
      </c>
      <c r="AI74" s="75">
        <v>4</v>
      </c>
      <c r="AJ74" s="75">
        <v>2</v>
      </c>
      <c r="AK74" s="75">
        <v>3</v>
      </c>
      <c r="AL74" s="76" t="s">
        <v>53</v>
      </c>
      <c r="AM74" s="75">
        <v>0</v>
      </c>
      <c r="AO74" s="75">
        <v>5</v>
      </c>
      <c r="AP74" s="75">
        <v>4</v>
      </c>
      <c r="AQ74" s="75">
        <v>7</v>
      </c>
      <c r="AR74" s="76" t="s">
        <v>198</v>
      </c>
      <c r="AS74" s="75">
        <v>2</v>
      </c>
      <c r="AT74" s="75">
        <v>2</v>
      </c>
      <c r="AU74" s="75">
        <v>1</v>
      </c>
    </row>
    <row r="75" spans="1:47" x14ac:dyDescent="0.25">
      <c r="J75" s="77">
        <v>31</v>
      </c>
      <c r="K75" s="77">
        <v>32</v>
      </c>
      <c r="L75" s="78" t="s">
        <v>407</v>
      </c>
      <c r="AI75" s="77">
        <v>4</v>
      </c>
      <c r="AJ75" s="77">
        <v>2</v>
      </c>
      <c r="AK75" s="77">
        <v>3</v>
      </c>
      <c r="AL75" s="78" t="s">
        <v>61</v>
      </c>
      <c r="AM75" s="77">
        <v>0.33333333333333331</v>
      </c>
      <c r="AO75" s="77">
        <v>5</v>
      </c>
      <c r="AP75" s="77">
        <v>4</v>
      </c>
      <c r="AQ75" s="77">
        <v>7</v>
      </c>
      <c r="AR75" s="78" t="s">
        <v>204</v>
      </c>
      <c r="AS75" s="77">
        <v>1.142857142857143</v>
      </c>
      <c r="AT75" s="77">
        <v>1</v>
      </c>
      <c r="AU75" s="77">
        <v>0.2857142857142857</v>
      </c>
    </row>
    <row r="76" spans="1:47" x14ac:dyDescent="0.25">
      <c r="J76" s="75">
        <v>32</v>
      </c>
      <c r="K76" s="75">
        <v>33</v>
      </c>
      <c r="L76" s="76" t="s">
        <v>410</v>
      </c>
      <c r="AI76" s="75">
        <v>4</v>
      </c>
      <c r="AJ76" s="75">
        <v>2</v>
      </c>
      <c r="AK76" s="75">
        <v>3</v>
      </c>
      <c r="AL76" s="76" t="s">
        <v>69</v>
      </c>
      <c r="AM76" s="75">
        <v>1</v>
      </c>
      <c r="AO76" s="75">
        <v>5</v>
      </c>
      <c r="AP76" s="75">
        <v>4</v>
      </c>
      <c r="AQ76" s="75">
        <v>7</v>
      </c>
      <c r="AR76" s="76" t="s">
        <v>210</v>
      </c>
      <c r="AS76" s="75">
        <v>1.285714285714286</v>
      </c>
      <c r="AT76" s="75">
        <v>1</v>
      </c>
      <c r="AU76" s="75">
        <v>0.2857142857142857</v>
      </c>
    </row>
    <row r="77" spans="1:47" x14ac:dyDescent="0.25">
      <c r="J77" s="77">
        <v>33</v>
      </c>
      <c r="K77" s="77">
        <v>34</v>
      </c>
      <c r="L77" s="78" t="s">
        <v>413</v>
      </c>
      <c r="AI77" s="77">
        <v>4</v>
      </c>
      <c r="AJ77" s="77">
        <v>2</v>
      </c>
      <c r="AK77" s="77">
        <v>3</v>
      </c>
      <c r="AL77" s="78" t="s">
        <v>76</v>
      </c>
      <c r="AM77" s="77">
        <v>1</v>
      </c>
      <c r="AO77" s="77">
        <v>5</v>
      </c>
      <c r="AP77" s="77">
        <v>4</v>
      </c>
      <c r="AQ77" s="77">
        <v>7</v>
      </c>
      <c r="AR77" s="78" t="s">
        <v>215</v>
      </c>
      <c r="AS77" s="77">
        <v>0.5714285714285714</v>
      </c>
      <c r="AT77" s="77">
        <v>0</v>
      </c>
      <c r="AU77" s="77">
        <v>0.14285714285714279</v>
      </c>
    </row>
    <row r="78" spans="1:47" ht="30" x14ac:dyDescent="0.25">
      <c r="J78" s="75">
        <v>34</v>
      </c>
      <c r="K78" s="75">
        <v>35</v>
      </c>
      <c r="L78" s="76" t="s">
        <v>416</v>
      </c>
      <c r="AI78" s="75">
        <v>4</v>
      </c>
      <c r="AJ78" s="75">
        <v>2</v>
      </c>
      <c r="AK78" s="75">
        <v>3</v>
      </c>
      <c r="AL78" s="76" t="s">
        <v>83</v>
      </c>
      <c r="AM78" s="75">
        <v>1</v>
      </c>
      <c r="AO78" s="75">
        <v>5</v>
      </c>
      <c r="AP78" s="75">
        <v>4</v>
      </c>
      <c r="AQ78" s="75">
        <v>7</v>
      </c>
      <c r="AR78" s="76" t="s">
        <v>221</v>
      </c>
      <c r="AS78" s="75">
        <v>0</v>
      </c>
      <c r="AT78" s="75">
        <v>0</v>
      </c>
      <c r="AU78" s="75">
        <v>0</v>
      </c>
    </row>
    <row r="79" spans="1:47" ht="45" x14ac:dyDescent="0.25">
      <c r="J79" s="77">
        <v>35</v>
      </c>
      <c r="K79" s="77">
        <v>36</v>
      </c>
      <c r="L79" s="78" t="s">
        <v>420</v>
      </c>
      <c r="AI79" s="77">
        <v>4</v>
      </c>
      <c r="AJ79" s="77">
        <v>2</v>
      </c>
      <c r="AK79" s="77">
        <v>3</v>
      </c>
      <c r="AL79" s="78" t="s">
        <v>90</v>
      </c>
      <c r="AM79" s="77">
        <v>0</v>
      </c>
      <c r="AO79" s="77">
        <v>5</v>
      </c>
      <c r="AP79" s="77">
        <v>5</v>
      </c>
      <c r="AQ79" s="77">
        <v>5</v>
      </c>
      <c r="AR79" s="78" t="s">
        <v>186</v>
      </c>
      <c r="AS79" s="77">
        <v>1.6</v>
      </c>
      <c r="AT79" s="77">
        <v>2</v>
      </c>
      <c r="AU79" s="77">
        <v>0.8</v>
      </c>
    </row>
    <row r="80" spans="1:47" x14ac:dyDescent="0.25">
      <c r="J80" s="75">
        <v>36</v>
      </c>
      <c r="K80" s="75">
        <v>37</v>
      </c>
      <c r="L80" s="76" t="s">
        <v>422</v>
      </c>
      <c r="AI80" s="75">
        <v>4</v>
      </c>
      <c r="AJ80" s="75">
        <v>2</v>
      </c>
      <c r="AK80" s="75">
        <v>3</v>
      </c>
      <c r="AL80" s="76" t="s">
        <v>98</v>
      </c>
      <c r="AM80" s="75">
        <v>0</v>
      </c>
      <c r="AO80" s="75">
        <v>5</v>
      </c>
      <c r="AP80" s="75">
        <v>5</v>
      </c>
      <c r="AQ80" s="75">
        <v>5</v>
      </c>
      <c r="AR80" s="76" t="s">
        <v>192</v>
      </c>
      <c r="AS80" s="75">
        <v>2</v>
      </c>
      <c r="AT80" s="75">
        <v>2</v>
      </c>
      <c r="AU80" s="75">
        <v>1</v>
      </c>
    </row>
    <row r="81" spans="1:47" ht="30" x14ac:dyDescent="0.25">
      <c r="J81" s="77">
        <v>37</v>
      </c>
      <c r="K81" s="77">
        <v>38</v>
      </c>
      <c r="L81" s="78" t="s">
        <v>425</v>
      </c>
      <c r="AI81" s="77">
        <v>4</v>
      </c>
      <c r="AJ81" s="77">
        <v>2</v>
      </c>
      <c r="AK81" s="77">
        <v>3</v>
      </c>
      <c r="AL81" s="78" t="s">
        <v>106</v>
      </c>
      <c r="AM81" s="77">
        <v>0.33333333333333331</v>
      </c>
      <c r="AO81" s="77">
        <v>5</v>
      </c>
      <c r="AP81" s="77">
        <v>5</v>
      </c>
      <c r="AQ81" s="77">
        <v>5</v>
      </c>
      <c r="AR81" s="78" t="s">
        <v>198</v>
      </c>
      <c r="AS81" s="77">
        <v>2</v>
      </c>
      <c r="AT81" s="77">
        <v>2</v>
      </c>
      <c r="AU81" s="77">
        <v>1</v>
      </c>
    </row>
    <row r="82" spans="1:47" x14ac:dyDescent="0.25">
      <c r="J82" s="75">
        <v>38</v>
      </c>
      <c r="K82" s="75">
        <v>39</v>
      </c>
      <c r="L82" s="76" t="s">
        <v>427</v>
      </c>
      <c r="AI82" s="75">
        <v>4</v>
      </c>
      <c r="AJ82" s="75">
        <v>2</v>
      </c>
      <c r="AK82" s="75">
        <v>3</v>
      </c>
      <c r="AL82" s="76" t="s">
        <v>112</v>
      </c>
      <c r="AM82" s="75">
        <v>0.33333333333333331</v>
      </c>
      <c r="AO82" s="75">
        <v>5</v>
      </c>
      <c r="AP82" s="75">
        <v>5</v>
      </c>
      <c r="AQ82" s="75">
        <v>5</v>
      </c>
      <c r="AR82" s="76" t="s">
        <v>204</v>
      </c>
      <c r="AS82" s="75">
        <v>0</v>
      </c>
      <c r="AT82" s="75">
        <v>0</v>
      </c>
      <c r="AU82" s="75">
        <v>0</v>
      </c>
    </row>
    <row r="83" spans="1:47" x14ac:dyDescent="0.25">
      <c r="J83" s="77">
        <v>39</v>
      </c>
      <c r="K83" s="77">
        <v>40</v>
      </c>
      <c r="L83" s="78" t="s">
        <v>431</v>
      </c>
      <c r="AI83" s="77">
        <v>4</v>
      </c>
      <c r="AJ83" s="77">
        <v>2</v>
      </c>
      <c r="AK83" s="77">
        <v>3</v>
      </c>
      <c r="AL83" s="78" t="s">
        <v>118</v>
      </c>
      <c r="AM83" s="77">
        <v>0</v>
      </c>
      <c r="AO83" s="77">
        <v>5</v>
      </c>
      <c r="AP83" s="77">
        <v>5</v>
      </c>
      <c r="AQ83" s="77">
        <v>5</v>
      </c>
      <c r="AR83" s="78" t="s">
        <v>210</v>
      </c>
      <c r="AS83" s="77">
        <v>1.4</v>
      </c>
      <c r="AT83" s="77">
        <v>1</v>
      </c>
      <c r="AU83" s="77">
        <v>0.4</v>
      </c>
    </row>
    <row r="84" spans="1:47" x14ac:dyDescent="0.25">
      <c r="AI84" s="75">
        <v>4</v>
      </c>
      <c r="AJ84" s="75">
        <v>2</v>
      </c>
      <c r="AK84" s="75">
        <v>3</v>
      </c>
      <c r="AL84" s="76" t="s">
        <v>125</v>
      </c>
      <c r="AM84" s="75">
        <v>0</v>
      </c>
      <c r="AO84" s="75">
        <v>5</v>
      </c>
      <c r="AP84" s="75">
        <v>5</v>
      </c>
      <c r="AQ84" s="75">
        <v>5</v>
      </c>
      <c r="AR84" s="76" t="s">
        <v>215</v>
      </c>
      <c r="AS84" s="75">
        <v>0.8</v>
      </c>
      <c r="AT84" s="75">
        <v>1</v>
      </c>
      <c r="AU84" s="75">
        <v>0.2</v>
      </c>
    </row>
    <row r="85" spans="1:47" x14ac:dyDescent="0.25">
      <c r="AI85" s="77">
        <v>4</v>
      </c>
      <c r="AJ85" s="77">
        <v>2</v>
      </c>
      <c r="AK85" s="77">
        <v>3</v>
      </c>
      <c r="AL85" s="78" t="s">
        <v>132</v>
      </c>
      <c r="AM85" s="77">
        <v>0</v>
      </c>
      <c r="AO85" s="77">
        <v>5</v>
      </c>
      <c r="AP85" s="77">
        <v>5</v>
      </c>
      <c r="AQ85" s="77">
        <v>5</v>
      </c>
      <c r="AR85" s="78" t="s">
        <v>221</v>
      </c>
      <c r="AS85" s="77">
        <v>1</v>
      </c>
      <c r="AT85" s="77">
        <v>1</v>
      </c>
      <c r="AU85" s="77">
        <v>0</v>
      </c>
    </row>
    <row r="86" spans="1:47" x14ac:dyDescent="0.25">
      <c r="AI86" s="75">
        <v>4</v>
      </c>
      <c r="AJ86" s="75">
        <v>2</v>
      </c>
      <c r="AK86" s="75">
        <v>3</v>
      </c>
      <c r="AL86" s="76" t="s">
        <v>140</v>
      </c>
      <c r="AM86" s="75">
        <v>0.66666666666666663</v>
      </c>
    </row>
    <row r="87" spans="1:47" ht="30" x14ac:dyDescent="0.25">
      <c r="A87" s="74" t="s">
        <v>6555</v>
      </c>
      <c r="B87" s="74" t="s">
        <v>6556</v>
      </c>
      <c r="C87" s="74" t="s">
        <v>6398</v>
      </c>
      <c r="D87" s="74" t="s">
        <v>6399</v>
      </c>
      <c r="E87" s="74" t="s">
        <v>6400</v>
      </c>
      <c r="F87" s="74" t="s">
        <v>6401</v>
      </c>
      <c r="G87" s="74" t="s">
        <v>6402</v>
      </c>
      <c r="H87" s="74" t="s">
        <v>6403</v>
      </c>
      <c r="J87" s="74" t="s">
        <v>6555</v>
      </c>
      <c r="K87" s="74" t="s">
        <v>6556</v>
      </c>
      <c r="L87" s="74" t="s">
        <v>6398</v>
      </c>
      <c r="M87" s="74" t="s">
        <v>6399</v>
      </c>
      <c r="N87" s="74" t="s">
        <v>6557</v>
      </c>
      <c r="AI87" s="77">
        <v>4</v>
      </c>
      <c r="AJ87" s="77">
        <v>2</v>
      </c>
      <c r="AK87" s="77">
        <v>3</v>
      </c>
      <c r="AL87" s="78" t="s">
        <v>147</v>
      </c>
      <c r="AM87" s="77">
        <v>1</v>
      </c>
    </row>
    <row r="88" spans="1:47" x14ac:dyDescent="0.25">
      <c r="A88" s="75">
        <v>1</v>
      </c>
      <c r="B88" s="75">
        <v>2</v>
      </c>
      <c r="C88" s="76" t="s">
        <v>303</v>
      </c>
      <c r="D88" s="76" t="s">
        <v>306</v>
      </c>
      <c r="E88" s="75">
        <v>0</v>
      </c>
      <c r="F88" s="75">
        <v>1</v>
      </c>
      <c r="G88" s="75">
        <v>0</v>
      </c>
      <c r="H88" s="75">
        <v>13</v>
      </c>
      <c r="J88" s="75">
        <v>1</v>
      </c>
      <c r="K88" s="75">
        <v>2</v>
      </c>
      <c r="L88" s="76" t="s">
        <v>303</v>
      </c>
      <c r="M88" s="76" t="s">
        <v>306</v>
      </c>
      <c r="N88" s="75">
        <v>2.831172010607216</v>
      </c>
      <c r="AI88" s="75">
        <v>4</v>
      </c>
      <c r="AJ88" s="75">
        <v>2</v>
      </c>
      <c r="AK88" s="75">
        <v>3</v>
      </c>
      <c r="AL88" s="76" t="s">
        <v>154</v>
      </c>
      <c r="AM88" s="75">
        <v>0.66666666666666663</v>
      </c>
    </row>
    <row r="89" spans="1:47" x14ac:dyDescent="0.25">
      <c r="A89" s="77">
        <v>1</v>
      </c>
      <c r="B89" s="77">
        <v>3</v>
      </c>
      <c r="C89" s="78" t="s">
        <v>303</v>
      </c>
      <c r="D89" s="78" t="s">
        <v>311</v>
      </c>
      <c r="E89" s="77">
        <v>0</v>
      </c>
      <c r="F89" s="77">
        <v>1</v>
      </c>
      <c r="G89" s="77">
        <v>0</v>
      </c>
      <c r="H89" s="77">
        <v>16</v>
      </c>
      <c r="J89" s="77">
        <v>1</v>
      </c>
      <c r="K89" s="77">
        <v>3</v>
      </c>
      <c r="L89" s="78" t="s">
        <v>303</v>
      </c>
      <c r="M89" s="78" t="s">
        <v>311</v>
      </c>
      <c r="N89" s="77">
        <v>5.3466916110713374</v>
      </c>
      <c r="AI89" s="77">
        <v>4</v>
      </c>
      <c r="AJ89" s="77">
        <v>2</v>
      </c>
      <c r="AK89" s="77">
        <v>3</v>
      </c>
      <c r="AL89" s="78" t="s">
        <v>161</v>
      </c>
      <c r="AM89" s="77">
        <v>0.66666666666666663</v>
      </c>
    </row>
    <row r="90" spans="1:47" x14ac:dyDescent="0.25">
      <c r="A90" s="75">
        <v>1</v>
      </c>
      <c r="B90" s="75">
        <v>4</v>
      </c>
      <c r="C90" s="76" t="s">
        <v>303</v>
      </c>
      <c r="D90" s="76" t="s">
        <v>315</v>
      </c>
      <c r="E90" s="75">
        <v>0</v>
      </c>
      <c r="F90" s="75">
        <v>1</v>
      </c>
      <c r="G90" s="75">
        <v>0</v>
      </c>
      <c r="H90" s="75">
        <v>14</v>
      </c>
      <c r="J90" s="75">
        <v>1</v>
      </c>
      <c r="K90" s="75">
        <v>4</v>
      </c>
      <c r="L90" s="76" t="s">
        <v>303</v>
      </c>
      <c r="M90" s="76" t="s">
        <v>315</v>
      </c>
      <c r="N90" s="75">
        <v>3.2051579627993299</v>
      </c>
      <c r="AI90" s="75">
        <v>4</v>
      </c>
      <c r="AJ90" s="75">
        <v>2</v>
      </c>
      <c r="AK90" s="75">
        <v>3</v>
      </c>
      <c r="AL90" s="76" t="s">
        <v>166</v>
      </c>
      <c r="AM90" s="75">
        <v>0</v>
      </c>
    </row>
    <row r="91" spans="1:47" x14ac:dyDescent="0.25">
      <c r="A91" s="77">
        <v>1</v>
      </c>
      <c r="B91" s="77">
        <v>5</v>
      </c>
      <c r="C91" s="78" t="s">
        <v>303</v>
      </c>
      <c r="D91" s="78" t="s">
        <v>318</v>
      </c>
      <c r="E91" s="77">
        <v>0</v>
      </c>
      <c r="F91" s="77">
        <v>1</v>
      </c>
      <c r="G91" s="77">
        <v>0</v>
      </c>
      <c r="H91" s="77">
        <v>15</v>
      </c>
      <c r="J91" s="77">
        <v>1</v>
      </c>
      <c r="K91" s="77">
        <v>5</v>
      </c>
      <c r="L91" s="78" t="s">
        <v>303</v>
      </c>
      <c r="M91" s="78" t="s">
        <v>318</v>
      </c>
      <c r="N91" s="77">
        <v>4.1283349870270181</v>
      </c>
      <c r="AI91" s="77">
        <v>4</v>
      </c>
      <c r="AJ91" s="77">
        <v>2</v>
      </c>
      <c r="AK91" s="77">
        <v>3</v>
      </c>
      <c r="AL91" s="78" t="s">
        <v>174</v>
      </c>
      <c r="AM91" s="77">
        <v>0.33333333333333331</v>
      </c>
    </row>
    <row r="92" spans="1:47" x14ac:dyDescent="0.25">
      <c r="A92" s="75">
        <v>1</v>
      </c>
      <c r="B92" s="75">
        <v>6</v>
      </c>
      <c r="C92" s="76" t="s">
        <v>303</v>
      </c>
      <c r="D92" s="76" t="s">
        <v>321</v>
      </c>
      <c r="E92" s="75">
        <v>0</v>
      </c>
      <c r="F92" s="75">
        <v>1</v>
      </c>
      <c r="G92" s="75">
        <v>0</v>
      </c>
      <c r="H92" s="75">
        <v>9</v>
      </c>
      <c r="J92" s="75">
        <v>1</v>
      </c>
      <c r="K92" s="75">
        <v>6</v>
      </c>
      <c r="L92" s="76" t="s">
        <v>303</v>
      </c>
      <c r="M92" s="76" t="s">
        <v>321</v>
      </c>
      <c r="N92" s="75">
        <v>4.1574610003067489</v>
      </c>
      <c r="AI92" s="75">
        <v>4</v>
      </c>
      <c r="AJ92" s="75">
        <v>3</v>
      </c>
      <c r="AK92" s="75">
        <v>1</v>
      </c>
      <c r="AL92" s="76" t="s">
        <v>53</v>
      </c>
      <c r="AM92" s="75">
        <v>0</v>
      </c>
    </row>
    <row r="93" spans="1:47" x14ac:dyDescent="0.25">
      <c r="A93" s="77">
        <v>1</v>
      </c>
      <c r="B93" s="77">
        <v>7</v>
      </c>
      <c r="C93" s="78" t="s">
        <v>303</v>
      </c>
      <c r="D93" s="78" t="s">
        <v>325</v>
      </c>
      <c r="E93" s="77">
        <v>0</v>
      </c>
      <c r="F93" s="77">
        <v>1</v>
      </c>
      <c r="G93" s="77">
        <v>0</v>
      </c>
      <c r="H93" s="77">
        <v>15</v>
      </c>
      <c r="J93" s="77">
        <v>1</v>
      </c>
      <c r="K93" s="77">
        <v>7</v>
      </c>
      <c r="L93" s="78" t="s">
        <v>303</v>
      </c>
      <c r="M93" s="78" t="s">
        <v>325</v>
      </c>
      <c r="N93" s="77">
        <v>4.2912963098044807</v>
      </c>
      <c r="AI93" s="77">
        <v>4</v>
      </c>
      <c r="AJ93" s="77">
        <v>3</v>
      </c>
      <c r="AK93" s="77">
        <v>1</v>
      </c>
      <c r="AL93" s="78" t="s">
        <v>61</v>
      </c>
      <c r="AM93" s="77">
        <v>0</v>
      </c>
    </row>
    <row r="94" spans="1:47" x14ac:dyDescent="0.25">
      <c r="A94" s="75">
        <v>1</v>
      </c>
      <c r="B94" s="75">
        <v>8</v>
      </c>
      <c r="C94" s="76" t="s">
        <v>303</v>
      </c>
      <c r="D94" s="76" t="s">
        <v>327</v>
      </c>
      <c r="E94" s="75"/>
      <c r="F94" s="75"/>
      <c r="G94" s="75">
        <v>0</v>
      </c>
      <c r="H94" s="75">
        <v>0</v>
      </c>
      <c r="J94" s="75">
        <v>1</v>
      </c>
      <c r="K94" s="75">
        <v>8</v>
      </c>
      <c r="L94" s="76" t="s">
        <v>303</v>
      </c>
      <c r="M94" s="76" t="s">
        <v>327</v>
      </c>
      <c r="N94" s="75">
        <v>0</v>
      </c>
      <c r="AI94" s="75">
        <v>4</v>
      </c>
      <c r="AJ94" s="75">
        <v>3</v>
      </c>
      <c r="AK94" s="75">
        <v>1</v>
      </c>
      <c r="AL94" s="76" t="s">
        <v>69</v>
      </c>
      <c r="AM94" s="75">
        <v>0</v>
      </c>
    </row>
    <row r="95" spans="1:47" ht="30" x14ac:dyDescent="0.25">
      <c r="A95" s="77">
        <v>1</v>
      </c>
      <c r="B95" s="77">
        <v>9</v>
      </c>
      <c r="C95" s="78" t="s">
        <v>303</v>
      </c>
      <c r="D95" s="78" t="s">
        <v>330</v>
      </c>
      <c r="E95" s="77">
        <v>0</v>
      </c>
      <c r="F95" s="77">
        <v>1</v>
      </c>
      <c r="G95" s="77">
        <v>0</v>
      </c>
      <c r="H95" s="77">
        <v>14</v>
      </c>
      <c r="J95" s="77">
        <v>1</v>
      </c>
      <c r="K95" s="77">
        <v>9</v>
      </c>
      <c r="L95" s="78" t="s">
        <v>303</v>
      </c>
      <c r="M95" s="78" t="s">
        <v>330</v>
      </c>
      <c r="N95" s="77">
        <v>4.5202854194824864</v>
      </c>
      <c r="AI95" s="77">
        <v>4</v>
      </c>
      <c r="AJ95" s="77">
        <v>3</v>
      </c>
      <c r="AK95" s="77">
        <v>1</v>
      </c>
      <c r="AL95" s="78" t="s">
        <v>76</v>
      </c>
      <c r="AM95" s="77">
        <v>1</v>
      </c>
    </row>
    <row r="96" spans="1:47" x14ac:dyDescent="0.25">
      <c r="A96" s="75">
        <v>1</v>
      </c>
      <c r="B96" s="75">
        <v>10</v>
      </c>
      <c r="C96" s="76" t="s">
        <v>303</v>
      </c>
      <c r="D96" s="76" t="s">
        <v>334</v>
      </c>
      <c r="E96" s="75">
        <v>0</v>
      </c>
      <c r="F96" s="75">
        <v>1</v>
      </c>
      <c r="G96" s="75">
        <v>0</v>
      </c>
      <c r="H96" s="75">
        <v>8</v>
      </c>
      <c r="J96" s="75">
        <v>1</v>
      </c>
      <c r="K96" s="75">
        <v>10</v>
      </c>
      <c r="L96" s="76" t="s">
        <v>303</v>
      </c>
      <c r="M96" s="76" t="s">
        <v>334</v>
      </c>
      <c r="N96" s="75">
        <v>1.6544668419494699</v>
      </c>
      <c r="AI96" s="75">
        <v>4</v>
      </c>
      <c r="AJ96" s="75">
        <v>3</v>
      </c>
      <c r="AK96" s="75">
        <v>1</v>
      </c>
      <c r="AL96" s="76" t="s">
        <v>83</v>
      </c>
      <c r="AM96" s="75">
        <v>1</v>
      </c>
    </row>
    <row r="97" spans="1:39" ht="30" x14ac:dyDescent="0.25">
      <c r="A97" s="77">
        <v>1</v>
      </c>
      <c r="B97" s="77">
        <v>11</v>
      </c>
      <c r="C97" s="78" t="s">
        <v>303</v>
      </c>
      <c r="D97" s="78" t="s">
        <v>338</v>
      </c>
      <c r="E97" s="77">
        <v>0</v>
      </c>
      <c r="F97" s="77">
        <v>1</v>
      </c>
      <c r="G97" s="77">
        <v>0</v>
      </c>
      <c r="H97" s="77">
        <v>6</v>
      </c>
      <c r="J97" s="77">
        <v>1</v>
      </c>
      <c r="K97" s="77">
        <v>11</v>
      </c>
      <c r="L97" s="78" t="s">
        <v>303</v>
      </c>
      <c r="M97" s="78" t="s">
        <v>338</v>
      </c>
      <c r="N97" s="77">
        <v>1.0209531217803121</v>
      </c>
      <c r="AI97" s="77">
        <v>4</v>
      </c>
      <c r="AJ97" s="77">
        <v>3</v>
      </c>
      <c r="AK97" s="77">
        <v>1</v>
      </c>
      <c r="AL97" s="78" t="s">
        <v>90</v>
      </c>
      <c r="AM97" s="77">
        <v>1</v>
      </c>
    </row>
    <row r="98" spans="1:39" ht="30" x14ac:dyDescent="0.25">
      <c r="A98" s="75">
        <v>1</v>
      </c>
      <c r="B98" s="75">
        <v>12</v>
      </c>
      <c r="C98" s="76" t="s">
        <v>303</v>
      </c>
      <c r="D98" s="76" t="s">
        <v>342</v>
      </c>
      <c r="E98" s="75">
        <v>0</v>
      </c>
      <c r="F98" s="75">
        <v>1</v>
      </c>
      <c r="G98" s="75">
        <v>0</v>
      </c>
      <c r="H98" s="75">
        <v>14</v>
      </c>
      <c r="J98" s="75">
        <v>1</v>
      </c>
      <c r="K98" s="75">
        <v>12</v>
      </c>
      <c r="L98" s="76" t="s">
        <v>303</v>
      </c>
      <c r="M98" s="76" t="s">
        <v>342</v>
      </c>
      <c r="N98" s="75">
        <v>3.9176822881487059</v>
      </c>
      <c r="AI98" s="75">
        <v>4</v>
      </c>
      <c r="AJ98" s="75">
        <v>3</v>
      </c>
      <c r="AK98" s="75">
        <v>1</v>
      </c>
      <c r="AL98" s="76" t="s">
        <v>98</v>
      </c>
      <c r="AM98" s="75">
        <v>1</v>
      </c>
    </row>
    <row r="99" spans="1:39" ht="30" x14ac:dyDescent="0.25">
      <c r="A99" s="77">
        <v>1</v>
      </c>
      <c r="B99" s="77">
        <v>13</v>
      </c>
      <c r="C99" s="78" t="s">
        <v>303</v>
      </c>
      <c r="D99" s="78" t="s">
        <v>344</v>
      </c>
      <c r="E99" s="77">
        <v>0</v>
      </c>
      <c r="F99" s="77">
        <v>1</v>
      </c>
      <c r="G99" s="77">
        <v>0</v>
      </c>
      <c r="H99" s="77">
        <v>6</v>
      </c>
      <c r="J99" s="77">
        <v>1</v>
      </c>
      <c r="K99" s="77">
        <v>13</v>
      </c>
      <c r="L99" s="78" t="s">
        <v>303</v>
      </c>
      <c r="M99" s="78" t="s">
        <v>344</v>
      </c>
      <c r="N99" s="77">
        <v>2.4526026352442609</v>
      </c>
      <c r="AI99" s="77">
        <v>4</v>
      </c>
      <c r="AJ99" s="77">
        <v>3</v>
      </c>
      <c r="AK99" s="77">
        <v>1</v>
      </c>
      <c r="AL99" s="78" t="s">
        <v>106</v>
      </c>
      <c r="AM99" s="77">
        <v>0</v>
      </c>
    </row>
    <row r="100" spans="1:39" ht="30" x14ac:dyDescent="0.25">
      <c r="A100" s="75">
        <v>1</v>
      </c>
      <c r="B100" s="75">
        <v>14</v>
      </c>
      <c r="C100" s="76" t="s">
        <v>303</v>
      </c>
      <c r="D100" s="76" t="s">
        <v>348</v>
      </c>
      <c r="E100" s="75"/>
      <c r="F100" s="75"/>
      <c r="G100" s="75">
        <v>0</v>
      </c>
      <c r="H100" s="75">
        <v>0</v>
      </c>
      <c r="J100" s="75">
        <v>1</v>
      </c>
      <c r="K100" s="75">
        <v>14</v>
      </c>
      <c r="L100" s="76" t="s">
        <v>303</v>
      </c>
      <c r="M100" s="76" t="s">
        <v>348</v>
      </c>
      <c r="N100" s="75">
        <v>0</v>
      </c>
      <c r="AI100" s="75">
        <v>4</v>
      </c>
      <c r="AJ100" s="75">
        <v>3</v>
      </c>
      <c r="AK100" s="75">
        <v>1</v>
      </c>
      <c r="AL100" s="76" t="s">
        <v>112</v>
      </c>
      <c r="AM100" s="75">
        <v>1</v>
      </c>
    </row>
    <row r="101" spans="1:39" ht="30" x14ac:dyDescent="0.25">
      <c r="A101" s="77">
        <v>1</v>
      </c>
      <c r="B101" s="77">
        <v>15</v>
      </c>
      <c r="C101" s="78" t="s">
        <v>303</v>
      </c>
      <c r="D101" s="78" t="s">
        <v>352</v>
      </c>
      <c r="E101" s="77">
        <v>0</v>
      </c>
      <c r="F101" s="77">
        <v>1</v>
      </c>
      <c r="G101" s="77">
        <v>0</v>
      </c>
      <c r="H101" s="77">
        <v>18</v>
      </c>
      <c r="J101" s="77">
        <v>1</v>
      </c>
      <c r="K101" s="77">
        <v>15</v>
      </c>
      <c r="L101" s="78" t="s">
        <v>303</v>
      </c>
      <c r="M101" s="78" t="s">
        <v>352</v>
      </c>
      <c r="N101" s="77">
        <v>7.0352724694489277</v>
      </c>
      <c r="AI101" s="77">
        <v>4</v>
      </c>
      <c r="AJ101" s="77">
        <v>3</v>
      </c>
      <c r="AK101" s="77">
        <v>1</v>
      </c>
      <c r="AL101" s="78" t="s">
        <v>118</v>
      </c>
      <c r="AM101" s="77">
        <v>0</v>
      </c>
    </row>
    <row r="102" spans="1:39" x14ac:dyDescent="0.25">
      <c r="A102" s="75">
        <v>1</v>
      </c>
      <c r="B102" s="75">
        <v>16</v>
      </c>
      <c r="C102" s="76" t="s">
        <v>303</v>
      </c>
      <c r="D102" s="76" t="s">
        <v>356</v>
      </c>
      <c r="E102" s="75"/>
      <c r="F102" s="75"/>
      <c r="G102" s="75">
        <v>0</v>
      </c>
      <c r="H102" s="75">
        <v>0</v>
      </c>
      <c r="J102" s="75">
        <v>1</v>
      </c>
      <c r="K102" s="75">
        <v>16</v>
      </c>
      <c r="L102" s="76" t="s">
        <v>303</v>
      </c>
      <c r="M102" s="76" t="s">
        <v>356</v>
      </c>
      <c r="N102" s="75">
        <v>0</v>
      </c>
      <c r="AI102" s="75">
        <v>4</v>
      </c>
      <c r="AJ102" s="75">
        <v>3</v>
      </c>
      <c r="AK102" s="75">
        <v>1</v>
      </c>
      <c r="AL102" s="76" t="s">
        <v>125</v>
      </c>
      <c r="AM102" s="75">
        <v>0</v>
      </c>
    </row>
    <row r="103" spans="1:39" x14ac:dyDescent="0.25">
      <c r="A103" s="77">
        <v>1</v>
      </c>
      <c r="B103" s="77">
        <v>17</v>
      </c>
      <c r="C103" s="78" t="s">
        <v>303</v>
      </c>
      <c r="D103" s="78" t="s">
        <v>359</v>
      </c>
      <c r="E103" s="77">
        <v>0</v>
      </c>
      <c r="F103" s="77">
        <v>1</v>
      </c>
      <c r="G103" s="77">
        <v>0</v>
      </c>
      <c r="H103" s="77">
        <v>17</v>
      </c>
      <c r="J103" s="77">
        <v>1</v>
      </c>
      <c r="K103" s="77">
        <v>17</v>
      </c>
      <c r="L103" s="78" t="s">
        <v>303</v>
      </c>
      <c r="M103" s="78" t="s">
        <v>359</v>
      </c>
      <c r="N103" s="77">
        <v>3.9500755713350242</v>
      </c>
      <c r="AI103" s="77">
        <v>4</v>
      </c>
      <c r="AJ103" s="77">
        <v>3</v>
      </c>
      <c r="AK103" s="77">
        <v>1</v>
      </c>
      <c r="AL103" s="78" t="s">
        <v>132</v>
      </c>
      <c r="AM103" s="77">
        <v>0</v>
      </c>
    </row>
    <row r="104" spans="1:39" ht="45" x14ac:dyDescent="0.25">
      <c r="A104" s="75">
        <v>1</v>
      </c>
      <c r="B104" s="75">
        <v>18</v>
      </c>
      <c r="C104" s="76" t="s">
        <v>303</v>
      </c>
      <c r="D104" s="76" t="s">
        <v>363</v>
      </c>
      <c r="E104" s="75"/>
      <c r="F104" s="75"/>
      <c r="G104" s="75">
        <v>0</v>
      </c>
      <c r="H104" s="75">
        <v>0</v>
      </c>
      <c r="J104" s="75">
        <v>1</v>
      </c>
      <c r="K104" s="75">
        <v>18</v>
      </c>
      <c r="L104" s="76" t="s">
        <v>303</v>
      </c>
      <c r="M104" s="76" t="s">
        <v>363</v>
      </c>
      <c r="N104" s="75">
        <v>0</v>
      </c>
      <c r="AI104" s="75">
        <v>4</v>
      </c>
      <c r="AJ104" s="75">
        <v>3</v>
      </c>
      <c r="AK104" s="75">
        <v>1</v>
      </c>
      <c r="AL104" s="76" t="s">
        <v>140</v>
      </c>
      <c r="AM104" s="75">
        <v>0</v>
      </c>
    </row>
    <row r="105" spans="1:39" x14ac:dyDescent="0.25">
      <c r="A105" s="77">
        <v>1</v>
      </c>
      <c r="B105" s="77">
        <v>19</v>
      </c>
      <c r="C105" s="78" t="s">
        <v>303</v>
      </c>
      <c r="D105" s="78" t="s">
        <v>367</v>
      </c>
      <c r="E105" s="77">
        <v>0</v>
      </c>
      <c r="F105" s="77">
        <v>1</v>
      </c>
      <c r="G105" s="77">
        <v>0</v>
      </c>
      <c r="H105" s="77">
        <v>13</v>
      </c>
      <c r="J105" s="77">
        <v>1</v>
      </c>
      <c r="K105" s="77">
        <v>19</v>
      </c>
      <c r="L105" s="78" t="s">
        <v>303</v>
      </c>
      <c r="M105" s="78" t="s">
        <v>367</v>
      </c>
      <c r="N105" s="77">
        <v>4.3290253705983259</v>
      </c>
      <c r="AI105" s="77">
        <v>4</v>
      </c>
      <c r="AJ105" s="77">
        <v>3</v>
      </c>
      <c r="AK105" s="77">
        <v>1</v>
      </c>
      <c r="AL105" s="78" t="s">
        <v>147</v>
      </c>
      <c r="AM105" s="77">
        <v>0</v>
      </c>
    </row>
    <row r="106" spans="1:39" ht="30" x14ac:dyDescent="0.25">
      <c r="A106" s="75">
        <v>1</v>
      </c>
      <c r="B106" s="75">
        <v>20</v>
      </c>
      <c r="C106" s="76" t="s">
        <v>303</v>
      </c>
      <c r="D106" s="76" t="s">
        <v>371</v>
      </c>
      <c r="E106" s="75">
        <v>0</v>
      </c>
      <c r="F106" s="75">
        <v>1</v>
      </c>
      <c r="G106" s="75">
        <v>0</v>
      </c>
      <c r="H106" s="75">
        <v>5</v>
      </c>
      <c r="J106" s="75">
        <v>1</v>
      </c>
      <c r="K106" s="75">
        <v>20</v>
      </c>
      <c r="L106" s="76" t="s">
        <v>303</v>
      </c>
      <c r="M106" s="76" t="s">
        <v>371</v>
      </c>
      <c r="N106" s="75">
        <v>1.0209531217803121</v>
      </c>
      <c r="AI106" s="75">
        <v>4</v>
      </c>
      <c r="AJ106" s="75">
        <v>3</v>
      </c>
      <c r="AK106" s="75">
        <v>1</v>
      </c>
      <c r="AL106" s="76" t="s">
        <v>154</v>
      </c>
      <c r="AM106" s="75">
        <v>1</v>
      </c>
    </row>
    <row r="107" spans="1:39" ht="30" x14ac:dyDescent="0.25">
      <c r="A107" s="77">
        <v>1</v>
      </c>
      <c r="B107" s="77">
        <v>21</v>
      </c>
      <c r="C107" s="78" t="s">
        <v>303</v>
      </c>
      <c r="D107" s="78" t="s">
        <v>373</v>
      </c>
      <c r="E107" s="77"/>
      <c r="F107" s="77"/>
      <c r="G107" s="77">
        <v>0</v>
      </c>
      <c r="H107" s="77">
        <v>0</v>
      </c>
      <c r="J107" s="77">
        <v>1</v>
      </c>
      <c r="K107" s="77">
        <v>21</v>
      </c>
      <c r="L107" s="78" t="s">
        <v>303</v>
      </c>
      <c r="M107" s="78" t="s">
        <v>373</v>
      </c>
      <c r="N107" s="77">
        <v>0</v>
      </c>
      <c r="AI107" s="77">
        <v>4</v>
      </c>
      <c r="AJ107" s="77">
        <v>3</v>
      </c>
      <c r="AK107" s="77">
        <v>1</v>
      </c>
      <c r="AL107" s="78" t="s">
        <v>161</v>
      </c>
      <c r="AM107" s="77">
        <v>0</v>
      </c>
    </row>
    <row r="108" spans="1:39" x14ac:dyDescent="0.25">
      <c r="A108" s="75">
        <v>1</v>
      </c>
      <c r="B108" s="75">
        <v>22</v>
      </c>
      <c r="C108" s="76" t="s">
        <v>303</v>
      </c>
      <c r="D108" s="76" t="s">
        <v>377</v>
      </c>
      <c r="E108" s="75">
        <v>0</v>
      </c>
      <c r="F108" s="75">
        <v>1</v>
      </c>
      <c r="G108" s="75">
        <v>0</v>
      </c>
      <c r="H108" s="75">
        <v>6</v>
      </c>
      <c r="J108" s="75">
        <v>1</v>
      </c>
      <c r="K108" s="75">
        <v>22</v>
      </c>
      <c r="L108" s="76" t="s">
        <v>303</v>
      </c>
      <c r="M108" s="76" t="s">
        <v>377</v>
      </c>
      <c r="N108" s="75">
        <v>0.98058067569092033</v>
      </c>
      <c r="AI108" s="75">
        <v>4</v>
      </c>
      <c r="AJ108" s="75">
        <v>3</v>
      </c>
      <c r="AK108" s="75">
        <v>1</v>
      </c>
      <c r="AL108" s="76" t="s">
        <v>166</v>
      </c>
      <c r="AM108" s="75">
        <v>0</v>
      </c>
    </row>
    <row r="109" spans="1:39" x14ac:dyDescent="0.25">
      <c r="A109" s="77">
        <v>1</v>
      </c>
      <c r="B109" s="77">
        <v>23</v>
      </c>
      <c r="C109" s="78" t="s">
        <v>303</v>
      </c>
      <c r="D109" s="78" t="s">
        <v>380</v>
      </c>
      <c r="E109" s="77">
        <v>0</v>
      </c>
      <c r="F109" s="77">
        <v>1</v>
      </c>
      <c r="G109" s="77">
        <v>0</v>
      </c>
      <c r="H109" s="77">
        <v>13</v>
      </c>
      <c r="J109" s="77">
        <v>1</v>
      </c>
      <c r="K109" s="77">
        <v>23</v>
      </c>
      <c r="L109" s="78" t="s">
        <v>303</v>
      </c>
      <c r="M109" s="78" t="s">
        <v>380</v>
      </c>
      <c r="N109" s="77">
        <v>4.7040297116220717</v>
      </c>
      <c r="AI109" s="77">
        <v>4</v>
      </c>
      <c r="AJ109" s="77">
        <v>3</v>
      </c>
      <c r="AK109" s="77">
        <v>1</v>
      </c>
      <c r="AL109" s="78" t="s">
        <v>174</v>
      </c>
      <c r="AM109" s="77">
        <v>0</v>
      </c>
    </row>
    <row r="110" spans="1:39" ht="30" x14ac:dyDescent="0.25">
      <c r="A110" s="75">
        <v>1</v>
      </c>
      <c r="B110" s="75">
        <v>24</v>
      </c>
      <c r="C110" s="76" t="s">
        <v>303</v>
      </c>
      <c r="D110" s="76" t="s">
        <v>384</v>
      </c>
      <c r="E110" s="75">
        <v>0</v>
      </c>
      <c r="F110" s="75">
        <v>1</v>
      </c>
      <c r="G110" s="75">
        <v>0</v>
      </c>
      <c r="H110" s="75">
        <v>12</v>
      </c>
      <c r="J110" s="75">
        <v>1</v>
      </c>
      <c r="K110" s="75">
        <v>24</v>
      </c>
      <c r="L110" s="76" t="s">
        <v>303</v>
      </c>
      <c r="M110" s="76" t="s">
        <v>384</v>
      </c>
      <c r="N110" s="75">
        <v>2.831172010607216</v>
      </c>
      <c r="AI110" s="75">
        <v>4</v>
      </c>
      <c r="AJ110" s="75">
        <v>4</v>
      </c>
      <c r="AK110" s="75">
        <v>1</v>
      </c>
      <c r="AL110" s="76" t="s">
        <v>53</v>
      </c>
      <c r="AM110" s="75">
        <v>0</v>
      </c>
    </row>
    <row r="111" spans="1:39" x14ac:dyDescent="0.25">
      <c r="A111" s="77">
        <v>1</v>
      </c>
      <c r="B111" s="77">
        <v>25</v>
      </c>
      <c r="C111" s="78" t="s">
        <v>303</v>
      </c>
      <c r="D111" s="78" t="s">
        <v>386</v>
      </c>
      <c r="E111" s="77">
        <v>0</v>
      </c>
      <c r="F111" s="77">
        <v>1</v>
      </c>
      <c r="G111" s="77">
        <v>0</v>
      </c>
      <c r="H111" s="77">
        <v>16</v>
      </c>
      <c r="J111" s="77">
        <v>1</v>
      </c>
      <c r="K111" s="77">
        <v>25</v>
      </c>
      <c r="L111" s="78" t="s">
        <v>303</v>
      </c>
      <c r="M111" s="78" t="s">
        <v>386</v>
      </c>
      <c r="N111" s="77">
        <v>7.3994981349776952</v>
      </c>
      <c r="AI111" s="77">
        <v>4</v>
      </c>
      <c r="AJ111" s="77">
        <v>4</v>
      </c>
      <c r="AK111" s="77">
        <v>1</v>
      </c>
      <c r="AL111" s="78" t="s">
        <v>61</v>
      </c>
      <c r="AM111" s="77">
        <v>0</v>
      </c>
    </row>
    <row r="112" spans="1:39" ht="30" x14ac:dyDescent="0.25">
      <c r="A112" s="75">
        <v>1</v>
      </c>
      <c r="B112" s="75">
        <v>26</v>
      </c>
      <c r="C112" s="76" t="s">
        <v>303</v>
      </c>
      <c r="D112" s="76" t="s">
        <v>389</v>
      </c>
      <c r="E112" s="75"/>
      <c r="F112" s="75"/>
      <c r="G112" s="75">
        <v>0</v>
      </c>
      <c r="H112" s="75">
        <v>0</v>
      </c>
      <c r="J112" s="75">
        <v>1</v>
      </c>
      <c r="K112" s="75">
        <v>26</v>
      </c>
      <c r="L112" s="76" t="s">
        <v>303</v>
      </c>
      <c r="M112" s="76" t="s">
        <v>389</v>
      </c>
      <c r="N112" s="75">
        <v>0</v>
      </c>
      <c r="AI112" s="75">
        <v>4</v>
      </c>
      <c r="AJ112" s="75">
        <v>4</v>
      </c>
      <c r="AK112" s="75">
        <v>1</v>
      </c>
      <c r="AL112" s="76" t="s">
        <v>69</v>
      </c>
      <c r="AM112" s="75">
        <v>1</v>
      </c>
    </row>
    <row r="113" spans="1:39" ht="30" x14ac:dyDescent="0.25">
      <c r="A113" s="77">
        <v>1</v>
      </c>
      <c r="B113" s="77">
        <v>27</v>
      </c>
      <c r="C113" s="78" t="s">
        <v>303</v>
      </c>
      <c r="D113" s="78" t="s">
        <v>393</v>
      </c>
      <c r="E113" s="77">
        <v>0</v>
      </c>
      <c r="F113" s="77">
        <v>1</v>
      </c>
      <c r="G113" s="77">
        <v>0</v>
      </c>
      <c r="H113" s="77">
        <v>8</v>
      </c>
      <c r="J113" s="77">
        <v>1</v>
      </c>
      <c r="K113" s="77">
        <v>27</v>
      </c>
      <c r="L113" s="78" t="s">
        <v>303</v>
      </c>
      <c r="M113" s="78" t="s">
        <v>393</v>
      </c>
      <c r="N113" s="77">
        <v>5.3996366237496529</v>
      </c>
      <c r="AI113" s="77">
        <v>4</v>
      </c>
      <c r="AJ113" s="77">
        <v>4</v>
      </c>
      <c r="AK113" s="77">
        <v>1</v>
      </c>
      <c r="AL113" s="78" t="s">
        <v>76</v>
      </c>
      <c r="AM113" s="77">
        <v>0</v>
      </c>
    </row>
    <row r="114" spans="1:39" ht="45" x14ac:dyDescent="0.25">
      <c r="A114" s="75">
        <v>1</v>
      </c>
      <c r="B114" s="75">
        <v>28</v>
      </c>
      <c r="C114" s="76" t="s">
        <v>303</v>
      </c>
      <c r="D114" s="76" t="s">
        <v>396</v>
      </c>
      <c r="E114" s="75"/>
      <c r="F114" s="75"/>
      <c r="G114" s="75">
        <v>0</v>
      </c>
      <c r="H114" s="75">
        <v>0</v>
      </c>
      <c r="J114" s="75">
        <v>1</v>
      </c>
      <c r="K114" s="75">
        <v>28</v>
      </c>
      <c r="L114" s="76" t="s">
        <v>303</v>
      </c>
      <c r="M114" s="76" t="s">
        <v>396</v>
      </c>
      <c r="N114" s="75">
        <v>0</v>
      </c>
      <c r="AI114" s="75">
        <v>4</v>
      </c>
      <c r="AJ114" s="75">
        <v>4</v>
      </c>
      <c r="AK114" s="75">
        <v>1</v>
      </c>
      <c r="AL114" s="76" t="s">
        <v>83</v>
      </c>
      <c r="AM114" s="75">
        <v>0</v>
      </c>
    </row>
    <row r="115" spans="1:39" x14ac:dyDescent="0.25">
      <c r="A115" s="77">
        <v>1</v>
      </c>
      <c r="B115" s="77">
        <v>29</v>
      </c>
      <c r="C115" s="78" t="s">
        <v>303</v>
      </c>
      <c r="D115" s="78" t="s">
        <v>399</v>
      </c>
      <c r="E115" s="77"/>
      <c r="F115" s="77"/>
      <c r="G115" s="77">
        <v>0</v>
      </c>
      <c r="H115" s="77">
        <v>0</v>
      </c>
      <c r="J115" s="77">
        <v>1</v>
      </c>
      <c r="K115" s="77">
        <v>29</v>
      </c>
      <c r="L115" s="78" t="s">
        <v>303</v>
      </c>
      <c r="M115" s="78" t="s">
        <v>399</v>
      </c>
      <c r="N115" s="77">
        <v>0</v>
      </c>
      <c r="AI115" s="77">
        <v>4</v>
      </c>
      <c r="AJ115" s="77">
        <v>4</v>
      </c>
      <c r="AK115" s="77">
        <v>1</v>
      </c>
      <c r="AL115" s="78" t="s">
        <v>90</v>
      </c>
      <c r="AM115" s="77">
        <v>1</v>
      </c>
    </row>
    <row r="116" spans="1:39" ht="30" x14ac:dyDescent="0.25">
      <c r="A116" s="75">
        <v>1</v>
      </c>
      <c r="B116" s="75">
        <v>30</v>
      </c>
      <c r="C116" s="76" t="s">
        <v>303</v>
      </c>
      <c r="D116" s="76" t="s">
        <v>402</v>
      </c>
      <c r="E116" s="75"/>
      <c r="F116" s="75"/>
      <c r="G116" s="75">
        <v>0</v>
      </c>
      <c r="H116" s="75">
        <v>0</v>
      </c>
      <c r="J116" s="75">
        <v>1</v>
      </c>
      <c r="K116" s="75">
        <v>30</v>
      </c>
      <c r="L116" s="76" t="s">
        <v>303</v>
      </c>
      <c r="M116" s="76" t="s">
        <v>402</v>
      </c>
      <c r="N116" s="75">
        <v>0</v>
      </c>
      <c r="AI116" s="75">
        <v>4</v>
      </c>
      <c r="AJ116" s="75">
        <v>4</v>
      </c>
      <c r="AK116" s="75">
        <v>1</v>
      </c>
      <c r="AL116" s="76" t="s">
        <v>98</v>
      </c>
      <c r="AM116" s="75">
        <v>1</v>
      </c>
    </row>
    <row r="117" spans="1:39" x14ac:dyDescent="0.25">
      <c r="A117" s="77">
        <v>1</v>
      </c>
      <c r="B117" s="77">
        <v>31</v>
      </c>
      <c r="C117" s="78" t="s">
        <v>303</v>
      </c>
      <c r="D117" s="78" t="s">
        <v>406</v>
      </c>
      <c r="E117" s="77">
        <v>0</v>
      </c>
      <c r="F117" s="77">
        <v>1</v>
      </c>
      <c r="G117" s="77">
        <v>0</v>
      </c>
      <c r="H117" s="77">
        <v>14</v>
      </c>
      <c r="J117" s="77">
        <v>1</v>
      </c>
      <c r="K117" s="77">
        <v>31</v>
      </c>
      <c r="L117" s="78" t="s">
        <v>303</v>
      </c>
      <c r="M117" s="78" t="s">
        <v>406</v>
      </c>
      <c r="N117" s="77">
        <v>2.831172010607216</v>
      </c>
      <c r="AI117" s="77">
        <v>4</v>
      </c>
      <c r="AJ117" s="77">
        <v>4</v>
      </c>
      <c r="AK117" s="77">
        <v>1</v>
      </c>
      <c r="AL117" s="78" t="s">
        <v>106</v>
      </c>
      <c r="AM117" s="77">
        <v>0</v>
      </c>
    </row>
    <row r="118" spans="1:39" x14ac:dyDescent="0.25">
      <c r="A118" s="75">
        <v>1</v>
      </c>
      <c r="B118" s="75">
        <v>32</v>
      </c>
      <c r="C118" s="76" t="s">
        <v>303</v>
      </c>
      <c r="D118" s="76" t="s">
        <v>407</v>
      </c>
      <c r="E118" s="75">
        <v>0</v>
      </c>
      <c r="F118" s="75">
        <v>1</v>
      </c>
      <c r="G118" s="75">
        <v>0</v>
      </c>
      <c r="H118" s="75">
        <v>17</v>
      </c>
      <c r="J118" s="75">
        <v>1</v>
      </c>
      <c r="K118" s="75">
        <v>32</v>
      </c>
      <c r="L118" s="76" t="s">
        <v>303</v>
      </c>
      <c r="M118" s="76" t="s">
        <v>407</v>
      </c>
      <c r="N118" s="75">
        <v>7.0464520495469234</v>
      </c>
      <c r="AI118" s="75">
        <v>4</v>
      </c>
      <c r="AJ118" s="75">
        <v>4</v>
      </c>
      <c r="AK118" s="75">
        <v>1</v>
      </c>
      <c r="AL118" s="76" t="s">
        <v>112</v>
      </c>
      <c r="AM118" s="75">
        <v>0</v>
      </c>
    </row>
    <row r="119" spans="1:39" x14ac:dyDescent="0.25">
      <c r="A119" s="77">
        <v>1</v>
      </c>
      <c r="B119" s="77">
        <v>33</v>
      </c>
      <c r="C119" s="78" t="s">
        <v>303</v>
      </c>
      <c r="D119" s="78" t="s">
        <v>410</v>
      </c>
      <c r="E119" s="77"/>
      <c r="F119" s="77"/>
      <c r="G119" s="77">
        <v>0</v>
      </c>
      <c r="H119" s="77">
        <v>0</v>
      </c>
      <c r="J119" s="77">
        <v>1</v>
      </c>
      <c r="K119" s="77">
        <v>33</v>
      </c>
      <c r="L119" s="78" t="s">
        <v>303</v>
      </c>
      <c r="M119" s="78" t="s">
        <v>410</v>
      </c>
      <c r="N119" s="77">
        <v>0</v>
      </c>
      <c r="AI119" s="77">
        <v>4</v>
      </c>
      <c r="AJ119" s="77">
        <v>4</v>
      </c>
      <c r="AK119" s="77">
        <v>1</v>
      </c>
      <c r="AL119" s="78" t="s">
        <v>118</v>
      </c>
      <c r="AM119" s="77">
        <v>0</v>
      </c>
    </row>
    <row r="120" spans="1:39" x14ac:dyDescent="0.25">
      <c r="A120" s="75">
        <v>1</v>
      </c>
      <c r="B120" s="75">
        <v>34</v>
      </c>
      <c r="C120" s="76" t="s">
        <v>303</v>
      </c>
      <c r="D120" s="76" t="s">
        <v>413</v>
      </c>
      <c r="E120" s="75">
        <v>0</v>
      </c>
      <c r="F120" s="75">
        <v>1</v>
      </c>
      <c r="G120" s="75">
        <v>0</v>
      </c>
      <c r="H120" s="75">
        <v>15</v>
      </c>
      <c r="J120" s="75">
        <v>1</v>
      </c>
      <c r="K120" s="75">
        <v>34</v>
      </c>
      <c r="L120" s="76" t="s">
        <v>303</v>
      </c>
      <c r="M120" s="76" t="s">
        <v>413</v>
      </c>
      <c r="N120" s="75">
        <v>3.9176822881487059</v>
      </c>
      <c r="AI120" s="75">
        <v>4</v>
      </c>
      <c r="AJ120" s="75">
        <v>4</v>
      </c>
      <c r="AK120" s="75">
        <v>1</v>
      </c>
      <c r="AL120" s="76" t="s">
        <v>125</v>
      </c>
      <c r="AM120" s="75">
        <v>0</v>
      </c>
    </row>
    <row r="121" spans="1:39" ht="30" x14ac:dyDescent="0.25">
      <c r="A121" s="77">
        <v>1</v>
      </c>
      <c r="B121" s="77">
        <v>35</v>
      </c>
      <c r="C121" s="78" t="s">
        <v>303</v>
      </c>
      <c r="D121" s="78" t="s">
        <v>416</v>
      </c>
      <c r="E121" s="77"/>
      <c r="F121" s="77"/>
      <c r="G121" s="77">
        <v>0</v>
      </c>
      <c r="H121" s="77">
        <v>0</v>
      </c>
      <c r="J121" s="77">
        <v>1</v>
      </c>
      <c r="K121" s="77">
        <v>35</v>
      </c>
      <c r="L121" s="78" t="s">
        <v>303</v>
      </c>
      <c r="M121" s="78" t="s">
        <v>416</v>
      </c>
      <c r="N121" s="77">
        <v>0</v>
      </c>
      <c r="AI121" s="77">
        <v>4</v>
      </c>
      <c r="AJ121" s="77">
        <v>4</v>
      </c>
      <c r="AK121" s="77">
        <v>1</v>
      </c>
      <c r="AL121" s="78" t="s">
        <v>132</v>
      </c>
      <c r="AM121" s="77">
        <v>0</v>
      </c>
    </row>
    <row r="122" spans="1:39" ht="45" x14ac:dyDescent="0.25">
      <c r="A122" s="75">
        <v>1</v>
      </c>
      <c r="B122" s="75">
        <v>36</v>
      </c>
      <c r="C122" s="76" t="s">
        <v>303</v>
      </c>
      <c r="D122" s="76" t="s">
        <v>420</v>
      </c>
      <c r="E122" s="75">
        <v>0</v>
      </c>
      <c r="F122" s="75">
        <v>1</v>
      </c>
      <c r="G122" s="75">
        <v>0</v>
      </c>
      <c r="H122" s="75">
        <v>12</v>
      </c>
      <c r="J122" s="75">
        <v>1</v>
      </c>
      <c r="K122" s="75">
        <v>36</v>
      </c>
      <c r="L122" s="76" t="s">
        <v>303</v>
      </c>
      <c r="M122" s="76" t="s">
        <v>420</v>
      </c>
      <c r="N122" s="75">
        <v>3.1161595286318371</v>
      </c>
      <c r="AI122" s="75">
        <v>4</v>
      </c>
      <c r="AJ122" s="75">
        <v>4</v>
      </c>
      <c r="AK122" s="75">
        <v>1</v>
      </c>
      <c r="AL122" s="76" t="s">
        <v>140</v>
      </c>
      <c r="AM122" s="75">
        <v>0</v>
      </c>
    </row>
    <row r="123" spans="1:39" x14ac:dyDescent="0.25">
      <c r="A123" s="77">
        <v>1</v>
      </c>
      <c r="B123" s="77">
        <v>37</v>
      </c>
      <c r="C123" s="78" t="s">
        <v>303</v>
      </c>
      <c r="D123" s="78" t="s">
        <v>422</v>
      </c>
      <c r="E123" s="77"/>
      <c r="F123" s="77"/>
      <c r="G123" s="77">
        <v>0</v>
      </c>
      <c r="H123" s="77">
        <v>0</v>
      </c>
      <c r="J123" s="77">
        <v>1</v>
      </c>
      <c r="K123" s="77">
        <v>37</v>
      </c>
      <c r="L123" s="78" t="s">
        <v>303</v>
      </c>
      <c r="M123" s="78" t="s">
        <v>422</v>
      </c>
      <c r="N123" s="77">
        <v>0</v>
      </c>
      <c r="AI123" s="77">
        <v>4</v>
      </c>
      <c r="AJ123" s="77">
        <v>4</v>
      </c>
      <c r="AK123" s="77">
        <v>1</v>
      </c>
      <c r="AL123" s="78" t="s">
        <v>147</v>
      </c>
      <c r="AM123" s="77">
        <v>1</v>
      </c>
    </row>
    <row r="124" spans="1:39" ht="30" x14ac:dyDescent="0.25">
      <c r="A124" s="75">
        <v>1</v>
      </c>
      <c r="B124" s="75">
        <v>38</v>
      </c>
      <c r="C124" s="76" t="s">
        <v>303</v>
      </c>
      <c r="D124" s="76" t="s">
        <v>425</v>
      </c>
      <c r="E124" s="75">
        <v>0</v>
      </c>
      <c r="F124" s="75">
        <v>1</v>
      </c>
      <c r="G124" s="75">
        <v>0</v>
      </c>
      <c r="H124" s="75">
        <v>10</v>
      </c>
      <c r="J124" s="75">
        <v>1</v>
      </c>
      <c r="K124" s="75">
        <v>38</v>
      </c>
      <c r="L124" s="76" t="s">
        <v>303</v>
      </c>
      <c r="M124" s="76" t="s">
        <v>425</v>
      </c>
      <c r="N124" s="75">
        <v>0</v>
      </c>
      <c r="AI124" s="75">
        <v>4</v>
      </c>
      <c r="AJ124" s="75">
        <v>4</v>
      </c>
      <c r="AK124" s="75">
        <v>1</v>
      </c>
      <c r="AL124" s="76" t="s">
        <v>154</v>
      </c>
      <c r="AM124" s="75">
        <v>1</v>
      </c>
    </row>
    <row r="125" spans="1:39" x14ac:dyDescent="0.25">
      <c r="A125" s="77">
        <v>1</v>
      </c>
      <c r="B125" s="77">
        <v>39</v>
      </c>
      <c r="C125" s="78" t="s">
        <v>303</v>
      </c>
      <c r="D125" s="78" t="s">
        <v>427</v>
      </c>
      <c r="E125" s="77"/>
      <c r="F125" s="77"/>
      <c r="G125" s="77">
        <v>0</v>
      </c>
      <c r="H125" s="77">
        <v>0</v>
      </c>
      <c r="J125" s="77">
        <v>1</v>
      </c>
      <c r="K125" s="77">
        <v>39</v>
      </c>
      <c r="L125" s="78" t="s">
        <v>303</v>
      </c>
      <c r="M125" s="78" t="s">
        <v>427</v>
      </c>
      <c r="N125" s="77">
        <v>0</v>
      </c>
      <c r="AI125" s="77">
        <v>4</v>
      </c>
      <c r="AJ125" s="77">
        <v>4</v>
      </c>
      <c r="AK125" s="77">
        <v>1</v>
      </c>
      <c r="AL125" s="78" t="s">
        <v>161</v>
      </c>
      <c r="AM125" s="77">
        <v>0</v>
      </c>
    </row>
    <row r="126" spans="1:39" x14ac:dyDescent="0.25">
      <c r="A126" s="75">
        <v>1</v>
      </c>
      <c r="B126" s="75">
        <v>40</v>
      </c>
      <c r="C126" s="76" t="s">
        <v>303</v>
      </c>
      <c r="D126" s="76" t="s">
        <v>431</v>
      </c>
      <c r="E126" s="75">
        <v>0</v>
      </c>
      <c r="F126" s="75">
        <v>1</v>
      </c>
      <c r="G126" s="75">
        <v>0</v>
      </c>
      <c r="H126" s="75">
        <v>11</v>
      </c>
      <c r="J126" s="75">
        <v>1</v>
      </c>
      <c r="K126" s="75">
        <v>40</v>
      </c>
      <c r="L126" s="76" t="s">
        <v>303</v>
      </c>
      <c r="M126" s="76" t="s">
        <v>431</v>
      </c>
      <c r="N126" s="75">
        <v>4.8811070897897579</v>
      </c>
      <c r="AI126" s="75">
        <v>4</v>
      </c>
      <c r="AJ126" s="75">
        <v>4</v>
      </c>
      <c r="AK126" s="75">
        <v>1</v>
      </c>
      <c r="AL126" s="76" t="s">
        <v>166</v>
      </c>
      <c r="AM126" s="75">
        <v>0</v>
      </c>
    </row>
    <row r="127" spans="1:39" x14ac:dyDescent="0.25">
      <c r="A127" s="77">
        <v>2</v>
      </c>
      <c r="B127" s="77">
        <v>3</v>
      </c>
      <c r="C127" s="78" t="s">
        <v>306</v>
      </c>
      <c r="D127" s="78" t="s">
        <v>311</v>
      </c>
      <c r="E127" s="77">
        <v>0.8125</v>
      </c>
      <c r="F127" s="77">
        <v>0.1875</v>
      </c>
      <c r="G127" s="77">
        <v>13</v>
      </c>
      <c r="H127" s="77">
        <v>16</v>
      </c>
      <c r="J127" s="77">
        <v>2</v>
      </c>
      <c r="K127" s="77">
        <v>3</v>
      </c>
      <c r="L127" s="78" t="s">
        <v>306</v>
      </c>
      <c r="M127" s="78" t="s">
        <v>311</v>
      </c>
      <c r="N127" s="77">
        <v>4.5355899539370732</v>
      </c>
      <c r="AI127" s="77">
        <v>4</v>
      </c>
      <c r="AJ127" s="77">
        <v>4</v>
      </c>
      <c r="AK127" s="77">
        <v>1</v>
      </c>
      <c r="AL127" s="78" t="s">
        <v>174</v>
      </c>
      <c r="AM127" s="77">
        <v>0</v>
      </c>
    </row>
    <row r="128" spans="1:39" x14ac:dyDescent="0.25">
      <c r="A128" s="75">
        <v>2</v>
      </c>
      <c r="B128" s="75">
        <v>4</v>
      </c>
      <c r="C128" s="76" t="s">
        <v>306</v>
      </c>
      <c r="D128" s="76" t="s">
        <v>315</v>
      </c>
      <c r="E128" s="75">
        <v>0.6875</v>
      </c>
      <c r="F128" s="75">
        <v>0.3125</v>
      </c>
      <c r="G128" s="75">
        <v>11</v>
      </c>
      <c r="H128" s="75">
        <v>16</v>
      </c>
      <c r="J128" s="75">
        <v>2</v>
      </c>
      <c r="K128" s="75">
        <v>4</v>
      </c>
      <c r="L128" s="76" t="s">
        <v>306</v>
      </c>
      <c r="M128" s="76" t="s">
        <v>315</v>
      </c>
      <c r="N128" s="75">
        <v>1.502498789633538</v>
      </c>
      <c r="AI128" s="75">
        <v>5</v>
      </c>
      <c r="AJ128" s="75">
        <v>1</v>
      </c>
      <c r="AK128" s="75">
        <v>21</v>
      </c>
      <c r="AL128" s="76" t="s">
        <v>53</v>
      </c>
      <c r="AM128" s="75">
        <v>0.95238095238095233</v>
      </c>
    </row>
    <row r="129" spans="1:39" x14ac:dyDescent="0.25">
      <c r="A129" s="77">
        <v>2</v>
      </c>
      <c r="B129" s="77">
        <v>5</v>
      </c>
      <c r="C129" s="78" t="s">
        <v>306</v>
      </c>
      <c r="D129" s="78" t="s">
        <v>318</v>
      </c>
      <c r="E129" s="77">
        <v>0.6470588235294118</v>
      </c>
      <c r="F129" s="77">
        <v>0.3529411764705882</v>
      </c>
      <c r="G129" s="77">
        <v>11</v>
      </c>
      <c r="H129" s="77">
        <v>17</v>
      </c>
      <c r="J129" s="77">
        <v>2</v>
      </c>
      <c r="K129" s="77">
        <v>5</v>
      </c>
      <c r="L129" s="78" t="s">
        <v>306</v>
      </c>
      <c r="M129" s="78" t="s">
        <v>318</v>
      </c>
      <c r="N129" s="77">
        <v>3.0045989435306781</v>
      </c>
      <c r="AI129" s="77">
        <v>5</v>
      </c>
      <c r="AJ129" s="77">
        <v>1</v>
      </c>
      <c r="AK129" s="77">
        <v>21</v>
      </c>
      <c r="AL129" s="78" t="s">
        <v>61</v>
      </c>
      <c r="AM129" s="77">
        <v>0.8571428571428571</v>
      </c>
    </row>
    <row r="130" spans="1:39" x14ac:dyDescent="0.25">
      <c r="A130" s="75">
        <v>2</v>
      </c>
      <c r="B130" s="75">
        <v>6</v>
      </c>
      <c r="C130" s="76" t="s">
        <v>306</v>
      </c>
      <c r="D130" s="76" t="s">
        <v>321</v>
      </c>
      <c r="E130" s="75">
        <v>0.46666666666666667</v>
      </c>
      <c r="F130" s="75">
        <v>0.53333333333333333</v>
      </c>
      <c r="G130" s="75">
        <v>7</v>
      </c>
      <c r="H130" s="75">
        <v>15</v>
      </c>
      <c r="J130" s="75">
        <v>2</v>
      </c>
      <c r="K130" s="75">
        <v>6</v>
      </c>
      <c r="L130" s="76" t="s">
        <v>306</v>
      </c>
      <c r="M130" s="76" t="s">
        <v>321</v>
      </c>
      <c r="N130" s="75">
        <v>3.044494541861734</v>
      </c>
      <c r="AI130" s="75">
        <v>5</v>
      </c>
      <c r="AJ130" s="75">
        <v>1</v>
      </c>
      <c r="AK130" s="75">
        <v>21</v>
      </c>
      <c r="AL130" s="76" t="s">
        <v>69</v>
      </c>
      <c r="AM130" s="75">
        <v>1</v>
      </c>
    </row>
    <row r="131" spans="1:39" x14ac:dyDescent="0.25">
      <c r="A131" s="77">
        <v>2</v>
      </c>
      <c r="B131" s="77">
        <v>7</v>
      </c>
      <c r="C131" s="78" t="s">
        <v>306</v>
      </c>
      <c r="D131" s="78" t="s">
        <v>325</v>
      </c>
      <c r="E131" s="77">
        <v>0.75</v>
      </c>
      <c r="F131" s="77">
        <v>0.25</v>
      </c>
      <c r="G131" s="77">
        <v>12</v>
      </c>
      <c r="H131" s="77">
        <v>16</v>
      </c>
      <c r="J131" s="77">
        <v>2</v>
      </c>
      <c r="K131" s="77">
        <v>7</v>
      </c>
      <c r="L131" s="78" t="s">
        <v>306</v>
      </c>
      <c r="M131" s="78" t="s">
        <v>325</v>
      </c>
      <c r="N131" s="77">
        <v>3.224854890517689</v>
      </c>
      <c r="AI131" s="77">
        <v>5</v>
      </c>
      <c r="AJ131" s="77">
        <v>1</v>
      </c>
      <c r="AK131" s="77">
        <v>21</v>
      </c>
      <c r="AL131" s="78" t="s">
        <v>76</v>
      </c>
      <c r="AM131" s="77">
        <v>0.66666666666666663</v>
      </c>
    </row>
    <row r="132" spans="1:39" x14ac:dyDescent="0.25">
      <c r="A132" s="75">
        <v>2</v>
      </c>
      <c r="B132" s="75">
        <v>8</v>
      </c>
      <c r="C132" s="76" t="s">
        <v>306</v>
      </c>
      <c r="D132" s="76" t="s">
        <v>327</v>
      </c>
      <c r="E132" s="75">
        <v>0</v>
      </c>
      <c r="F132" s="75">
        <v>1</v>
      </c>
      <c r="G132" s="75">
        <v>0</v>
      </c>
      <c r="H132" s="75">
        <v>13</v>
      </c>
      <c r="J132" s="75">
        <v>2</v>
      </c>
      <c r="K132" s="75">
        <v>8</v>
      </c>
      <c r="L132" s="76" t="s">
        <v>306</v>
      </c>
      <c r="M132" s="76" t="s">
        <v>327</v>
      </c>
      <c r="N132" s="75">
        <v>2.831172010607216</v>
      </c>
      <c r="AI132" s="75">
        <v>5</v>
      </c>
      <c r="AJ132" s="75">
        <v>1</v>
      </c>
      <c r="AK132" s="75">
        <v>21</v>
      </c>
      <c r="AL132" s="76" t="s">
        <v>83</v>
      </c>
      <c r="AM132" s="75">
        <v>0.90476190476190477</v>
      </c>
    </row>
    <row r="133" spans="1:39" ht="30" x14ac:dyDescent="0.25">
      <c r="A133" s="77">
        <v>2</v>
      </c>
      <c r="B133" s="77">
        <v>9</v>
      </c>
      <c r="C133" s="78" t="s">
        <v>306</v>
      </c>
      <c r="D133" s="78" t="s">
        <v>330</v>
      </c>
      <c r="E133" s="77">
        <v>0.6875</v>
      </c>
      <c r="F133" s="77">
        <v>0.3125</v>
      </c>
      <c r="G133" s="77">
        <v>11</v>
      </c>
      <c r="H133" s="77">
        <v>16</v>
      </c>
      <c r="J133" s="77">
        <v>2</v>
      </c>
      <c r="K133" s="77">
        <v>9</v>
      </c>
      <c r="L133" s="78" t="s">
        <v>306</v>
      </c>
      <c r="M133" s="78" t="s">
        <v>330</v>
      </c>
      <c r="N133" s="77">
        <v>3.5238395706871</v>
      </c>
      <c r="AI133" s="77">
        <v>5</v>
      </c>
      <c r="AJ133" s="77">
        <v>1</v>
      </c>
      <c r="AK133" s="77">
        <v>21</v>
      </c>
      <c r="AL133" s="78" t="s">
        <v>90</v>
      </c>
      <c r="AM133" s="77">
        <v>0.95238095238095233</v>
      </c>
    </row>
    <row r="134" spans="1:39" x14ac:dyDescent="0.25">
      <c r="A134" s="75">
        <v>2</v>
      </c>
      <c r="B134" s="75">
        <v>10</v>
      </c>
      <c r="C134" s="76" t="s">
        <v>306</v>
      </c>
      <c r="D134" s="76" t="s">
        <v>334</v>
      </c>
      <c r="E134" s="75">
        <v>0.61538461538461542</v>
      </c>
      <c r="F134" s="75">
        <v>0.38461538461538458</v>
      </c>
      <c r="G134" s="75">
        <v>8</v>
      </c>
      <c r="H134" s="75">
        <v>13</v>
      </c>
      <c r="J134" s="75">
        <v>2</v>
      </c>
      <c r="K134" s="75">
        <v>10</v>
      </c>
      <c r="L134" s="76" t="s">
        <v>306</v>
      </c>
      <c r="M134" s="76" t="s">
        <v>334</v>
      </c>
      <c r="N134" s="75">
        <v>2.5658165127818671</v>
      </c>
      <c r="AI134" s="75">
        <v>5</v>
      </c>
      <c r="AJ134" s="75">
        <v>1</v>
      </c>
      <c r="AK134" s="75">
        <v>21</v>
      </c>
      <c r="AL134" s="76" t="s">
        <v>98</v>
      </c>
      <c r="AM134" s="75">
        <v>0.80952380952380953</v>
      </c>
    </row>
    <row r="135" spans="1:39" ht="30" x14ac:dyDescent="0.25">
      <c r="A135" s="77">
        <v>2</v>
      </c>
      <c r="B135" s="77">
        <v>11</v>
      </c>
      <c r="C135" s="78" t="s">
        <v>306</v>
      </c>
      <c r="D135" s="78" t="s">
        <v>338</v>
      </c>
      <c r="E135" s="77">
        <v>0.35714285714285721</v>
      </c>
      <c r="F135" s="77">
        <v>0.64285714285714279</v>
      </c>
      <c r="G135" s="77">
        <v>5</v>
      </c>
      <c r="H135" s="77">
        <v>14</v>
      </c>
      <c r="J135" s="77">
        <v>2</v>
      </c>
      <c r="K135" s="77">
        <v>11</v>
      </c>
      <c r="L135" s="78" t="s">
        <v>306</v>
      </c>
      <c r="M135" s="78" t="s">
        <v>338</v>
      </c>
      <c r="N135" s="77">
        <v>2.2109950526916178</v>
      </c>
      <c r="AI135" s="77">
        <v>5</v>
      </c>
      <c r="AJ135" s="77">
        <v>1</v>
      </c>
      <c r="AK135" s="77">
        <v>21</v>
      </c>
      <c r="AL135" s="78" t="s">
        <v>106</v>
      </c>
      <c r="AM135" s="77">
        <v>0.95238095238095233</v>
      </c>
    </row>
    <row r="136" spans="1:39" ht="30" x14ac:dyDescent="0.25">
      <c r="A136" s="75">
        <v>2</v>
      </c>
      <c r="B136" s="75">
        <v>12</v>
      </c>
      <c r="C136" s="76" t="s">
        <v>306</v>
      </c>
      <c r="D136" s="76" t="s">
        <v>342</v>
      </c>
      <c r="E136" s="75">
        <v>0.58823529411764708</v>
      </c>
      <c r="F136" s="75">
        <v>0.41176470588235292</v>
      </c>
      <c r="G136" s="75">
        <v>10</v>
      </c>
      <c r="H136" s="75">
        <v>17</v>
      </c>
      <c r="J136" s="75">
        <v>2</v>
      </c>
      <c r="K136" s="75">
        <v>12</v>
      </c>
      <c r="L136" s="76" t="s">
        <v>306</v>
      </c>
      <c r="M136" s="76" t="s">
        <v>342</v>
      </c>
      <c r="N136" s="75">
        <v>2.7078957803483461</v>
      </c>
      <c r="AI136" s="75">
        <v>5</v>
      </c>
      <c r="AJ136" s="75">
        <v>1</v>
      </c>
      <c r="AK136" s="75">
        <v>21</v>
      </c>
      <c r="AL136" s="76" t="s">
        <v>112</v>
      </c>
      <c r="AM136" s="75">
        <v>0.90476190476190477</v>
      </c>
    </row>
    <row r="137" spans="1:39" ht="30" x14ac:dyDescent="0.25">
      <c r="A137" s="77">
        <v>2</v>
      </c>
      <c r="B137" s="77">
        <v>13</v>
      </c>
      <c r="C137" s="78" t="s">
        <v>306</v>
      </c>
      <c r="D137" s="78" t="s">
        <v>344</v>
      </c>
      <c r="E137" s="77">
        <v>0.35714285714285721</v>
      </c>
      <c r="F137" s="77">
        <v>0.64285714285714279</v>
      </c>
      <c r="G137" s="77">
        <v>5</v>
      </c>
      <c r="H137" s="77">
        <v>14</v>
      </c>
      <c r="J137" s="77">
        <v>2</v>
      </c>
      <c r="K137" s="77">
        <v>13</v>
      </c>
      <c r="L137" s="78" t="s">
        <v>306</v>
      </c>
      <c r="M137" s="78" t="s">
        <v>344</v>
      </c>
      <c r="N137" s="77">
        <v>1.4727884574008741</v>
      </c>
      <c r="AI137" s="77">
        <v>5</v>
      </c>
      <c r="AJ137" s="77">
        <v>1</v>
      </c>
      <c r="AK137" s="77">
        <v>21</v>
      </c>
      <c r="AL137" s="78" t="s">
        <v>118</v>
      </c>
      <c r="AM137" s="77">
        <v>0.14285714285714279</v>
      </c>
    </row>
    <row r="138" spans="1:39" ht="30" x14ac:dyDescent="0.25">
      <c r="A138" s="75">
        <v>2</v>
      </c>
      <c r="B138" s="75">
        <v>14</v>
      </c>
      <c r="C138" s="76" t="s">
        <v>306</v>
      </c>
      <c r="D138" s="76" t="s">
        <v>348</v>
      </c>
      <c r="E138" s="75">
        <v>0</v>
      </c>
      <c r="F138" s="75">
        <v>1</v>
      </c>
      <c r="G138" s="75">
        <v>0</v>
      </c>
      <c r="H138" s="75">
        <v>13</v>
      </c>
      <c r="J138" s="75">
        <v>2</v>
      </c>
      <c r="K138" s="75">
        <v>14</v>
      </c>
      <c r="L138" s="76" t="s">
        <v>306</v>
      </c>
      <c r="M138" s="76" t="s">
        <v>348</v>
      </c>
      <c r="N138" s="75">
        <v>2.831172010607216</v>
      </c>
      <c r="AI138" s="75">
        <v>5</v>
      </c>
      <c r="AJ138" s="75">
        <v>1</v>
      </c>
      <c r="AK138" s="75">
        <v>21</v>
      </c>
      <c r="AL138" s="76" t="s">
        <v>125</v>
      </c>
      <c r="AM138" s="75">
        <v>0.52380952380952384</v>
      </c>
    </row>
    <row r="139" spans="1:39" ht="30" x14ac:dyDescent="0.25">
      <c r="A139" s="77">
        <v>2</v>
      </c>
      <c r="B139" s="77">
        <v>15</v>
      </c>
      <c r="C139" s="78" t="s">
        <v>306</v>
      </c>
      <c r="D139" s="78" t="s">
        <v>352</v>
      </c>
      <c r="E139" s="77">
        <v>0.72222222222222221</v>
      </c>
      <c r="F139" s="77">
        <v>0.27777777777777779</v>
      </c>
      <c r="G139" s="77">
        <v>13</v>
      </c>
      <c r="H139" s="77">
        <v>18</v>
      </c>
      <c r="J139" s="77">
        <v>2</v>
      </c>
      <c r="K139" s="77">
        <v>15</v>
      </c>
      <c r="L139" s="78" t="s">
        <v>306</v>
      </c>
      <c r="M139" s="78" t="s">
        <v>352</v>
      </c>
      <c r="N139" s="77">
        <v>6.4404599032786711</v>
      </c>
      <c r="AI139" s="77">
        <v>5</v>
      </c>
      <c r="AJ139" s="77">
        <v>1</v>
      </c>
      <c r="AK139" s="77">
        <v>21</v>
      </c>
      <c r="AL139" s="78" t="s">
        <v>132</v>
      </c>
      <c r="AM139" s="77">
        <v>0.61904761904761907</v>
      </c>
    </row>
    <row r="140" spans="1:39" x14ac:dyDescent="0.25">
      <c r="A140" s="75">
        <v>2</v>
      </c>
      <c r="B140" s="75">
        <v>16</v>
      </c>
      <c r="C140" s="76" t="s">
        <v>306</v>
      </c>
      <c r="D140" s="76" t="s">
        <v>356</v>
      </c>
      <c r="E140" s="75">
        <v>0</v>
      </c>
      <c r="F140" s="75">
        <v>1</v>
      </c>
      <c r="G140" s="75">
        <v>0</v>
      </c>
      <c r="H140" s="75">
        <v>13</v>
      </c>
      <c r="J140" s="75">
        <v>2</v>
      </c>
      <c r="K140" s="75">
        <v>16</v>
      </c>
      <c r="L140" s="76" t="s">
        <v>306</v>
      </c>
      <c r="M140" s="76" t="s">
        <v>356</v>
      </c>
      <c r="N140" s="75">
        <v>2.831172010607216</v>
      </c>
      <c r="AI140" s="75">
        <v>5</v>
      </c>
      <c r="AJ140" s="75">
        <v>1</v>
      </c>
      <c r="AK140" s="75">
        <v>21</v>
      </c>
      <c r="AL140" s="76" t="s">
        <v>140</v>
      </c>
      <c r="AM140" s="75">
        <v>0.76190476190476186</v>
      </c>
    </row>
    <row r="141" spans="1:39" x14ac:dyDescent="0.25">
      <c r="A141" s="77">
        <v>2</v>
      </c>
      <c r="B141" s="77">
        <v>17</v>
      </c>
      <c r="C141" s="78" t="s">
        <v>306</v>
      </c>
      <c r="D141" s="78" t="s">
        <v>359</v>
      </c>
      <c r="E141" s="77">
        <v>0.66666666666666663</v>
      </c>
      <c r="F141" s="77">
        <v>0.33333333333333343</v>
      </c>
      <c r="G141" s="77">
        <v>12</v>
      </c>
      <c r="H141" s="77">
        <v>18</v>
      </c>
      <c r="J141" s="77">
        <v>2</v>
      </c>
      <c r="K141" s="77">
        <v>17</v>
      </c>
      <c r="L141" s="78" t="s">
        <v>306</v>
      </c>
      <c r="M141" s="78" t="s">
        <v>359</v>
      </c>
      <c r="N141" s="77">
        <v>2.7545529701953479</v>
      </c>
      <c r="AI141" s="77">
        <v>5</v>
      </c>
      <c r="AJ141" s="77">
        <v>1</v>
      </c>
      <c r="AK141" s="77">
        <v>21</v>
      </c>
      <c r="AL141" s="78" t="s">
        <v>147</v>
      </c>
      <c r="AM141" s="77">
        <v>0.8571428571428571</v>
      </c>
    </row>
    <row r="142" spans="1:39" ht="45" x14ac:dyDescent="0.25">
      <c r="A142" s="75">
        <v>2</v>
      </c>
      <c r="B142" s="75">
        <v>18</v>
      </c>
      <c r="C142" s="76" t="s">
        <v>306</v>
      </c>
      <c r="D142" s="76" t="s">
        <v>363</v>
      </c>
      <c r="E142" s="75">
        <v>0</v>
      </c>
      <c r="F142" s="75">
        <v>1</v>
      </c>
      <c r="G142" s="75">
        <v>0</v>
      </c>
      <c r="H142" s="75">
        <v>13</v>
      </c>
      <c r="J142" s="75">
        <v>2</v>
      </c>
      <c r="K142" s="75">
        <v>18</v>
      </c>
      <c r="L142" s="76" t="s">
        <v>306</v>
      </c>
      <c r="M142" s="76" t="s">
        <v>363</v>
      </c>
      <c r="N142" s="75">
        <v>2.831172010607216</v>
      </c>
      <c r="AI142" s="75">
        <v>5</v>
      </c>
      <c r="AJ142" s="75">
        <v>1</v>
      </c>
      <c r="AK142" s="75">
        <v>21</v>
      </c>
      <c r="AL142" s="76" t="s">
        <v>154</v>
      </c>
      <c r="AM142" s="75">
        <v>0.95238095238095233</v>
      </c>
    </row>
    <row r="143" spans="1:39" x14ac:dyDescent="0.25">
      <c r="A143" s="77">
        <v>2</v>
      </c>
      <c r="B143" s="77">
        <v>19</v>
      </c>
      <c r="C143" s="78" t="s">
        <v>306</v>
      </c>
      <c r="D143" s="78" t="s">
        <v>367</v>
      </c>
      <c r="E143" s="77">
        <v>0.625</v>
      </c>
      <c r="F143" s="77">
        <v>0.375</v>
      </c>
      <c r="G143" s="77">
        <v>10</v>
      </c>
      <c r="H143" s="77">
        <v>16</v>
      </c>
      <c r="J143" s="77">
        <v>2</v>
      </c>
      <c r="K143" s="77">
        <v>19</v>
      </c>
      <c r="L143" s="78" t="s">
        <v>306</v>
      </c>
      <c r="M143" s="78" t="s">
        <v>367</v>
      </c>
      <c r="N143" s="77">
        <v>3.2748932357617808</v>
      </c>
      <c r="AI143" s="77">
        <v>5</v>
      </c>
      <c r="AJ143" s="77">
        <v>1</v>
      </c>
      <c r="AK143" s="77">
        <v>21</v>
      </c>
      <c r="AL143" s="78" t="s">
        <v>161</v>
      </c>
      <c r="AM143" s="77">
        <v>0.76190476190476186</v>
      </c>
    </row>
    <row r="144" spans="1:39" ht="30" x14ac:dyDescent="0.25">
      <c r="A144" s="75">
        <v>2</v>
      </c>
      <c r="B144" s="75">
        <v>20</v>
      </c>
      <c r="C144" s="76" t="s">
        <v>306</v>
      </c>
      <c r="D144" s="76" t="s">
        <v>371</v>
      </c>
      <c r="E144" s="75">
        <v>0.2857142857142857</v>
      </c>
      <c r="F144" s="75">
        <v>0.7142857142857143</v>
      </c>
      <c r="G144" s="75">
        <v>4</v>
      </c>
      <c r="H144" s="75">
        <v>14</v>
      </c>
      <c r="J144" s="75">
        <v>2</v>
      </c>
      <c r="K144" s="75">
        <v>20</v>
      </c>
      <c r="L144" s="76" t="s">
        <v>306</v>
      </c>
      <c r="M144" s="76" t="s">
        <v>371</v>
      </c>
      <c r="N144" s="75">
        <v>2.2109950526916178</v>
      </c>
      <c r="AI144" s="75">
        <v>5</v>
      </c>
      <c r="AJ144" s="75">
        <v>1</v>
      </c>
      <c r="AK144" s="75">
        <v>21</v>
      </c>
      <c r="AL144" s="76" t="s">
        <v>166</v>
      </c>
      <c r="AM144" s="75">
        <v>0.33333333333333331</v>
      </c>
    </row>
    <row r="145" spans="1:39" ht="30" x14ac:dyDescent="0.25">
      <c r="A145" s="77">
        <v>2</v>
      </c>
      <c r="B145" s="77">
        <v>21</v>
      </c>
      <c r="C145" s="78" t="s">
        <v>306</v>
      </c>
      <c r="D145" s="78" t="s">
        <v>373</v>
      </c>
      <c r="E145" s="77">
        <v>0</v>
      </c>
      <c r="F145" s="77">
        <v>1</v>
      </c>
      <c r="G145" s="77">
        <v>0</v>
      </c>
      <c r="H145" s="77">
        <v>13</v>
      </c>
      <c r="J145" s="77">
        <v>2</v>
      </c>
      <c r="K145" s="77">
        <v>21</v>
      </c>
      <c r="L145" s="78" t="s">
        <v>306</v>
      </c>
      <c r="M145" s="78" t="s">
        <v>373</v>
      </c>
      <c r="N145" s="77">
        <v>2.831172010607216</v>
      </c>
      <c r="AI145" s="77">
        <v>5</v>
      </c>
      <c r="AJ145" s="77">
        <v>1</v>
      </c>
      <c r="AK145" s="77">
        <v>21</v>
      </c>
      <c r="AL145" s="78" t="s">
        <v>174</v>
      </c>
      <c r="AM145" s="77">
        <v>0.5714285714285714</v>
      </c>
    </row>
    <row r="146" spans="1:39" x14ac:dyDescent="0.25">
      <c r="A146" s="75">
        <v>2</v>
      </c>
      <c r="B146" s="75">
        <v>22</v>
      </c>
      <c r="C146" s="76" t="s">
        <v>306</v>
      </c>
      <c r="D146" s="76" t="s">
        <v>377</v>
      </c>
      <c r="E146" s="75">
        <v>0.46153846153846162</v>
      </c>
      <c r="F146" s="75">
        <v>0.53846153846153844</v>
      </c>
      <c r="G146" s="75">
        <v>6</v>
      </c>
      <c r="H146" s="75">
        <v>13</v>
      </c>
      <c r="J146" s="75">
        <v>2</v>
      </c>
      <c r="K146" s="75">
        <v>22</v>
      </c>
      <c r="L146" s="76" t="s">
        <v>306</v>
      </c>
      <c r="M146" s="76" t="s">
        <v>377</v>
      </c>
      <c r="N146" s="75">
        <v>2.2651533213074821</v>
      </c>
      <c r="AI146" s="75">
        <v>5</v>
      </c>
      <c r="AJ146" s="75">
        <v>2</v>
      </c>
      <c r="AK146" s="75">
        <v>2</v>
      </c>
      <c r="AL146" s="76" t="s">
        <v>53</v>
      </c>
      <c r="AM146" s="75">
        <v>0</v>
      </c>
    </row>
    <row r="147" spans="1:39" x14ac:dyDescent="0.25">
      <c r="A147" s="77">
        <v>2</v>
      </c>
      <c r="B147" s="77">
        <v>23</v>
      </c>
      <c r="C147" s="78" t="s">
        <v>306</v>
      </c>
      <c r="D147" s="78" t="s">
        <v>380</v>
      </c>
      <c r="E147" s="77">
        <v>0.8571428571428571</v>
      </c>
      <c r="F147" s="77">
        <v>0.1428571428571429</v>
      </c>
      <c r="G147" s="77">
        <v>12</v>
      </c>
      <c r="H147" s="77">
        <v>14</v>
      </c>
      <c r="J147" s="77">
        <v>2</v>
      </c>
      <c r="K147" s="77">
        <v>23</v>
      </c>
      <c r="L147" s="78" t="s">
        <v>306</v>
      </c>
      <c r="M147" s="78" t="s">
        <v>380</v>
      </c>
      <c r="N147" s="77">
        <v>3.7566421940580832</v>
      </c>
      <c r="AI147" s="77">
        <v>5</v>
      </c>
      <c r="AJ147" s="77">
        <v>2</v>
      </c>
      <c r="AK147" s="77">
        <v>2</v>
      </c>
      <c r="AL147" s="78" t="s">
        <v>61</v>
      </c>
      <c r="AM147" s="77">
        <v>0.5</v>
      </c>
    </row>
    <row r="148" spans="1:39" ht="30" x14ac:dyDescent="0.25">
      <c r="A148" s="75">
        <v>2</v>
      </c>
      <c r="B148" s="75">
        <v>24</v>
      </c>
      <c r="C148" s="76" t="s">
        <v>306</v>
      </c>
      <c r="D148" s="76" t="s">
        <v>384</v>
      </c>
      <c r="E148" s="75">
        <v>0.66666666666666663</v>
      </c>
      <c r="F148" s="75">
        <v>0.33333333333333343</v>
      </c>
      <c r="G148" s="75">
        <v>10</v>
      </c>
      <c r="H148" s="75">
        <v>15</v>
      </c>
      <c r="J148" s="75">
        <v>2</v>
      </c>
      <c r="K148" s="75">
        <v>24</v>
      </c>
      <c r="L148" s="76" t="s">
        <v>306</v>
      </c>
      <c r="M148" s="76" t="s">
        <v>384</v>
      </c>
      <c r="N148" s="75">
        <v>0</v>
      </c>
      <c r="AI148" s="75">
        <v>5</v>
      </c>
      <c r="AJ148" s="75">
        <v>2</v>
      </c>
      <c r="AK148" s="75">
        <v>2</v>
      </c>
      <c r="AL148" s="76" t="s">
        <v>69</v>
      </c>
      <c r="AM148" s="75">
        <v>1</v>
      </c>
    </row>
    <row r="149" spans="1:39" x14ac:dyDescent="0.25">
      <c r="A149" s="77">
        <v>2</v>
      </c>
      <c r="B149" s="77">
        <v>25</v>
      </c>
      <c r="C149" s="78" t="s">
        <v>306</v>
      </c>
      <c r="D149" s="78" t="s">
        <v>386</v>
      </c>
      <c r="E149" s="77">
        <v>0.8125</v>
      </c>
      <c r="F149" s="77">
        <v>0.1875</v>
      </c>
      <c r="G149" s="77">
        <v>13</v>
      </c>
      <c r="H149" s="77">
        <v>16</v>
      </c>
      <c r="J149" s="77">
        <v>2</v>
      </c>
      <c r="K149" s="77">
        <v>25</v>
      </c>
      <c r="L149" s="78" t="s">
        <v>306</v>
      </c>
      <c r="M149" s="78" t="s">
        <v>386</v>
      </c>
      <c r="N149" s="77">
        <v>6.2226604231829157</v>
      </c>
      <c r="AI149" s="77">
        <v>5</v>
      </c>
      <c r="AJ149" s="77">
        <v>2</v>
      </c>
      <c r="AK149" s="77">
        <v>2</v>
      </c>
      <c r="AL149" s="78" t="s">
        <v>76</v>
      </c>
      <c r="AM149" s="77">
        <v>1</v>
      </c>
    </row>
    <row r="150" spans="1:39" ht="30" x14ac:dyDescent="0.25">
      <c r="A150" s="75">
        <v>2</v>
      </c>
      <c r="B150" s="75">
        <v>26</v>
      </c>
      <c r="C150" s="76" t="s">
        <v>306</v>
      </c>
      <c r="D150" s="76" t="s">
        <v>389</v>
      </c>
      <c r="E150" s="75">
        <v>0</v>
      </c>
      <c r="F150" s="75">
        <v>1</v>
      </c>
      <c r="G150" s="75">
        <v>0</v>
      </c>
      <c r="H150" s="75">
        <v>13</v>
      </c>
      <c r="J150" s="75">
        <v>2</v>
      </c>
      <c r="K150" s="75">
        <v>26</v>
      </c>
      <c r="L150" s="76" t="s">
        <v>306</v>
      </c>
      <c r="M150" s="76" t="s">
        <v>389</v>
      </c>
      <c r="N150" s="75">
        <v>2.831172010607216</v>
      </c>
      <c r="AI150" s="75">
        <v>5</v>
      </c>
      <c r="AJ150" s="75">
        <v>2</v>
      </c>
      <c r="AK150" s="75">
        <v>2</v>
      </c>
      <c r="AL150" s="76" t="s">
        <v>83</v>
      </c>
      <c r="AM150" s="75">
        <v>1</v>
      </c>
    </row>
    <row r="151" spans="1:39" ht="30" x14ac:dyDescent="0.25">
      <c r="A151" s="77">
        <v>2</v>
      </c>
      <c r="B151" s="77">
        <v>27</v>
      </c>
      <c r="C151" s="78" t="s">
        <v>306</v>
      </c>
      <c r="D151" s="78" t="s">
        <v>393</v>
      </c>
      <c r="E151" s="77">
        <v>0.5</v>
      </c>
      <c r="F151" s="77">
        <v>0.5</v>
      </c>
      <c r="G151" s="77">
        <v>7</v>
      </c>
      <c r="H151" s="77">
        <v>14</v>
      </c>
      <c r="J151" s="77">
        <v>2</v>
      </c>
      <c r="K151" s="77">
        <v>27</v>
      </c>
      <c r="L151" s="78" t="s">
        <v>306</v>
      </c>
      <c r="M151" s="78" t="s">
        <v>393</v>
      </c>
      <c r="N151" s="77">
        <v>4.5978843738063766</v>
      </c>
      <c r="AI151" s="77">
        <v>5</v>
      </c>
      <c r="AJ151" s="77">
        <v>2</v>
      </c>
      <c r="AK151" s="77">
        <v>2</v>
      </c>
      <c r="AL151" s="78" t="s">
        <v>90</v>
      </c>
      <c r="AM151" s="77">
        <v>0</v>
      </c>
    </row>
    <row r="152" spans="1:39" ht="45" x14ac:dyDescent="0.25">
      <c r="A152" s="75">
        <v>2</v>
      </c>
      <c r="B152" s="75">
        <v>28</v>
      </c>
      <c r="C152" s="76" t="s">
        <v>306</v>
      </c>
      <c r="D152" s="76" t="s">
        <v>396</v>
      </c>
      <c r="E152" s="75">
        <v>0</v>
      </c>
      <c r="F152" s="75">
        <v>1</v>
      </c>
      <c r="G152" s="75">
        <v>0</v>
      </c>
      <c r="H152" s="75">
        <v>13</v>
      </c>
      <c r="J152" s="75">
        <v>2</v>
      </c>
      <c r="K152" s="75">
        <v>28</v>
      </c>
      <c r="L152" s="76" t="s">
        <v>306</v>
      </c>
      <c r="M152" s="76" t="s">
        <v>396</v>
      </c>
      <c r="N152" s="75">
        <v>2.831172010607216</v>
      </c>
      <c r="AI152" s="75">
        <v>5</v>
      </c>
      <c r="AJ152" s="75">
        <v>2</v>
      </c>
      <c r="AK152" s="75">
        <v>2</v>
      </c>
      <c r="AL152" s="76" t="s">
        <v>98</v>
      </c>
      <c r="AM152" s="75">
        <v>0</v>
      </c>
    </row>
    <row r="153" spans="1:39" x14ac:dyDescent="0.25">
      <c r="A153" s="77">
        <v>2</v>
      </c>
      <c r="B153" s="77">
        <v>29</v>
      </c>
      <c r="C153" s="78" t="s">
        <v>306</v>
      </c>
      <c r="D153" s="78" t="s">
        <v>399</v>
      </c>
      <c r="E153" s="77">
        <v>0</v>
      </c>
      <c r="F153" s="77">
        <v>1</v>
      </c>
      <c r="G153" s="77">
        <v>0</v>
      </c>
      <c r="H153" s="77">
        <v>13</v>
      </c>
      <c r="J153" s="77">
        <v>2</v>
      </c>
      <c r="K153" s="77">
        <v>29</v>
      </c>
      <c r="L153" s="78" t="s">
        <v>306</v>
      </c>
      <c r="M153" s="78" t="s">
        <v>399</v>
      </c>
      <c r="N153" s="77">
        <v>2.831172010607216</v>
      </c>
      <c r="AI153" s="77">
        <v>5</v>
      </c>
      <c r="AJ153" s="77">
        <v>2</v>
      </c>
      <c r="AK153" s="77">
        <v>2</v>
      </c>
      <c r="AL153" s="78" t="s">
        <v>106</v>
      </c>
      <c r="AM153" s="77">
        <v>0.5</v>
      </c>
    </row>
    <row r="154" spans="1:39" ht="30" x14ac:dyDescent="0.25">
      <c r="A154" s="75">
        <v>2</v>
      </c>
      <c r="B154" s="75">
        <v>30</v>
      </c>
      <c r="C154" s="76" t="s">
        <v>306</v>
      </c>
      <c r="D154" s="76" t="s">
        <v>402</v>
      </c>
      <c r="E154" s="75">
        <v>0</v>
      </c>
      <c r="F154" s="75">
        <v>1</v>
      </c>
      <c r="G154" s="75">
        <v>0</v>
      </c>
      <c r="H154" s="75">
        <v>13</v>
      </c>
      <c r="J154" s="75">
        <v>2</v>
      </c>
      <c r="K154" s="75">
        <v>30</v>
      </c>
      <c r="L154" s="76" t="s">
        <v>306</v>
      </c>
      <c r="M154" s="76" t="s">
        <v>402</v>
      </c>
      <c r="N154" s="75">
        <v>2.831172010607216</v>
      </c>
      <c r="AI154" s="75">
        <v>5</v>
      </c>
      <c r="AJ154" s="75">
        <v>2</v>
      </c>
      <c r="AK154" s="75">
        <v>2</v>
      </c>
      <c r="AL154" s="76" t="s">
        <v>112</v>
      </c>
      <c r="AM154" s="75">
        <v>0</v>
      </c>
    </row>
    <row r="155" spans="1:39" x14ac:dyDescent="0.25">
      <c r="A155" s="77">
        <v>2</v>
      </c>
      <c r="B155" s="77">
        <v>31</v>
      </c>
      <c r="C155" s="78" t="s">
        <v>306</v>
      </c>
      <c r="D155" s="78" t="s">
        <v>406</v>
      </c>
      <c r="E155" s="77">
        <v>0.8</v>
      </c>
      <c r="F155" s="77">
        <v>0.2</v>
      </c>
      <c r="G155" s="77">
        <v>12</v>
      </c>
      <c r="H155" s="77">
        <v>15</v>
      </c>
      <c r="J155" s="77">
        <v>2</v>
      </c>
      <c r="K155" s="77">
        <v>31</v>
      </c>
      <c r="L155" s="78" t="s">
        <v>306</v>
      </c>
      <c r="M155" s="78" t="s">
        <v>406</v>
      </c>
      <c r="N155" s="77">
        <v>0</v>
      </c>
      <c r="AI155" s="77">
        <v>5</v>
      </c>
      <c r="AJ155" s="77">
        <v>2</v>
      </c>
      <c r="AK155" s="77">
        <v>2</v>
      </c>
      <c r="AL155" s="78" t="s">
        <v>118</v>
      </c>
      <c r="AM155" s="77">
        <v>0</v>
      </c>
    </row>
    <row r="156" spans="1:39" x14ac:dyDescent="0.25">
      <c r="A156" s="75">
        <v>2</v>
      </c>
      <c r="B156" s="75">
        <v>32</v>
      </c>
      <c r="C156" s="76" t="s">
        <v>306</v>
      </c>
      <c r="D156" s="76" t="s">
        <v>407</v>
      </c>
      <c r="E156" s="75">
        <v>0.76470588235294112</v>
      </c>
      <c r="F156" s="75">
        <v>0.2352941176470589</v>
      </c>
      <c r="G156" s="75">
        <v>13</v>
      </c>
      <c r="H156" s="75">
        <v>17</v>
      </c>
      <c r="J156" s="75">
        <v>2</v>
      </c>
      <c r="K156" s="75">
        <v>32</v>
      </c>
      <c r="L156" s="76" t="s">
        <v>306</v>
      </c>
      <c r="M156" s="76" t="s">
        <v>407</v>
      </c>
      <c r="N156" s="75">
        <v>6.452670108793594</v>
      </c>
      <c r="AI156" s="75">
        <v>5</v>
      </c>
      <c r="AJ156" s="75">
        <v>2</v>
      </c>
      <c r="AK156" s="75">
        <v>2</v>
      </c>
      <c r="AL156" s="76" t="s">
        <v>125</v>
      </c>
      <c r="AM156" s="75">
        <v>0</v>
      </c>
    </row>
    <row r="157" spans="1:39" x14ac:dyDescent="0.25">
      <c r="A157" s="77">
        <v>2</v>
      </c>
      <c r="B157" s="77">
        <v>33</v>
      </c>
      <c r="C157" s="78" t="s">
        <v>306</v>
      </c>
      <c r="D157" s="78" t="s">
        <v>410</v>
      </c>
      <c r="E157" s="77">
        <v>0</v>
      </c>
      <c r="F157" s="77">
        <v>1</v>
      </c>
      <c r="G157" s="77">
        <v>0</v>
      </c>
      <c r="H157" s="77">
        <v>13</v>
      </c>
      <c r="J157" s="77">
        <v>2</v>
      </c>
      <c r="K157" s="77">
        <v>33</v>
      </c>
      <c r="L157" s="78" t="s">
        <v>306</v>
      </c>
      <c r="M157" s="78" t="s">
        <v>410</v>
      </c>
      <c r="N157" s="77">
        <v>2.831172010607216</v>
      </c>
      <c r="AI157" s="77">
        <v>5</v>
      </c>
      <c r="AJ157" s="77">
        <v>2</v>
      </c>
      <c r="AK157" s="77">
        <v>2</v>
      </c>
      <c r="AL157" s="78" t="s">
        <v>132</v>
      </c>
      <c r="AM157" s="77">
        <v>0</v>
      </c>
    </row>
    <row r="158" spans="1:39" x14ac:dyDescent="0.25">
      <c r="A158" s="75">
        <v>2</v>
      </c>
      <c r="B158" s="75">
        <v>34</v>
      </c>
      <c r="C158" s="76" t="s">
        <v>306</v>
      </c>
      <c r="D158" s="76" t="s">
        <v>413</v>
      </c>
      <c r="E158" s="75">
        <v>0.75</v>
      </c>
      <c r="F158" s="75">
        <v>0.25</v>
      </c>
      <c r="G158" s="75">
        <v>12</v>
      </c>
      <c r="H158" s="75">
        <v>16</v>
      </c>
      <c r="J158" s="75">
        <v>2</v>
      </c>
      <c r="K158" s="75">
        <v>34</v>
      </c>
      <c r="L158" s="76" t="s">
        <v>306</v>
      </c>
      <c r="M158" s="76" t="s">
        <v>413</v>
      </c>
      <c r="N158" s="75">
        <v>2.7078957803483461</v>
      </c>
      <c r="AI158" s="75">
        <v>5</v>
      </c>
      <c r="AJ158" s="75">
        <v>2</v>
      </c>
      <c r="AK158" s="75">
        <v>2</v>
      </c>
      <c r="AL158" s="76" t="s">
        <v>140</v>
      </c>
      <c r="AM158" s="75">
        <v>1</v>
      </c>
    </row>
    <row r="159" spans="1:39" ht="30" x14ac:dyDescent="0.25">
      <c r="A159" s="77">
        <v>2</v>
      </c>
      <c r="B159" s="77">
        <v>35</v>
      </c>
      <c r="C159" s="78" t="s">
        <v>306</v>
      </c>
      <c r="D159" s="78" t="s">
        <v>416</v>
      </c>
      <c r="E159" s="77">
        <v>0</v>
      </c>
      <c r="F159" s="77">
        <v>1</v>
      </c>
      <c r="G159" s="77">
        <v>0</v>
      </c>
      <c r="H159" s="77">
        <v>13</v>
      </c>
      <c r="J159" s="77">
        <v>2</v>
      </c>
      <c r="K159" s="77">
        <v>35</v>
      </c>
      <c r="L159" s="78" t="s">
        <v>306</v>
      </c>
      <c r="M159" s="78" t="s">
        <v>416</v>
      </c>
      <c r="N159" s="77">
        <v>2.831172010607216</v>
      </c>
      <c r="AI159" s="77">
        <v>5</v>
      </c>
      <c r="AJ159" s="77">
        <v>2</v>
      </c>
      <c r="AK159" s="77">
        <v>2</v>
      </c>
      <c r="AL159" s="78" t="s">
        <v>147</v>
      </c>
      <c r="AM159" s="77">
        <v>1</v>
      </c>
    </row>
    <row r="160" spans="1:39" ht="45" x14ac:dyDescent="0.25">
      <c r="A160" s="75">
        <v>2</v>
      </c>
      <c r="B160" s="75">
        <v>36</v>
      </c>
      <c r="C160" s="76" t="s">
        <v>306</v>
      </c>
      <c r="D160" s="76" t="s">
        <v>420</v>
      </c>
      <c r="E160" s="75">
        <v>0.5625</v>
      </c>
      <c r="F160" s="75">
        <v>0.4375</v>
      </c>
      <c r="G160" s="75">
        <v>9</v>
      </c>
      <c r="H160" s="75">
        <v>16</v>
      </c>
      <c r="J160" s="75">
        <v>2</v>
      </c>
      <c r="K160" s="75">
        <v>36</v>
      </c>
      <c r="L160" s="76" t="s">
        <v>306</v>
      </c>
      <c r="M160" s="76" t="s">
        <v>420</v>
      </c>
      <c r="N160" s="75">
        <v>1.301889109808239</v>
      </c>
      <c r="AI160" s="75">
        <v>5</v>
      </c>
      <c r="AJ160" s="75">
        <v>2</v>
      </c>
      <c r="AK160" s="75">
        <v>2</v>
      </c>
      <c r="AL160" s="76" t="s">
        <v>154</v>
      </c>
      <c r="AM160" s="75">
        <v>1</v>
      </c>
    </row>
    <row r="161" spans="1:39" x14ac:dyDescent="0.25">
      <c r="A161" s="77">
        <v>2</v>
      </c>
      <c r="B161" s="77">
        <v>37</v>
      </c>
      <c r="C161" s="78" t="s">
        <v>306</v>
      </c>
      <c r="D161" s="78" t="s">
        <v>422</v>
      </c>
      <c r="E161" s="77">
        <v>0</v>
      </c>
      <c r="F161" s="77">
        <v>1</v>
      </c>
      <c r="G161" s="77">
        <v>0</v>
      </c>
      <c r="H161" s="77">
        <v>13</v>
      </c>
      <c r="J161" s="77">
        <v>2</v>
      </c>
      <c r="K161" s="77">
        <v>37</v>
      </c>
      <c r="L161" s="78" t="s">
        <v>306</v>
      </c>
      <c r="M161" s="78" t="s">
        <v>422</v>
      </c>
      <c r="N161" s="77">
        <v>2.831172010607216</v>
      </c>
      <c r="AI161" s="77">
        <v>5</v>
      </c>
      <c r="AJ161" s="77">
        <v>2</v>
      </c>
      <c r="AK161" s="77">
        <v>2</v>
      </c>
      <c r="AL161" s="78" t="s">
        <v>161</v>
      </c>
      <c r="AM161" s="77">
        <v>0.5</v>
      </c>
    </row>
    <row r="162" spans="1:39" ht="30" x14ac:dyDescent="0.25">
      <c r="A162" s="75">
        <v>2</v>
      </c>
      <c r="B162" s="75">
        <v>38</v>
      </c>
      <c r="C162" s="76" t="s">
        <v>306</v>
      </c>
      <c r="D162" s="76" t="s">
        <v>425</v>
      </c>
      <c r="E162" s="75">
        <v>0.76923076923076927</v>
      </c>
      <c r="F162" s="75">
        <v>0.2307692307692307</v>
      </c>
      <c r="G162" s="75">
        <v>10</v>
      </c>
      <c r="H162" s="75">
        <v>13</v>
      </c>
      <c r="J162" s="75">
        <v>2</v>
      </c>
      <c r="K162" s="75">
        <v>38</v>
      </c>
      <c r="L162" s="76" t="s">
        <v>306</v>
      </c>
      <c r="M162" s="76" t="s">
        <v>425</v>
      </c>
      <c r="N162" s="75">
        <v>2.831172010607216</v>
      </c>
      <c r="AI162" s="75">
        <v>5</v>
      </c>
      <c r="AJ162" s="75">
        <v>2</v>
      </c>
      <c r="AK162" s="75">
        <v>2</v>
      </c>
      <c r="AL162" s="76" t="s">
        <v>166</v>
      </c>
      <c r="AM162" s="75">
        <v>0</v>
      </c>
    </row>
    <row r="163" spans="1:39" x14ac:dyDescent="0.25">
      <c r="A163" s="77">
        <v>2</v>
      </c>
      <c r="B163" s="77">
        <v>39</v>
      </c>
      <c r="C163" s="78" t="s">
        <v>306</v>
      </c>
      <c r="D163" s="78" t="s">
        <v>427</v>
      </c>
      <c r="E163" s="77">
        <v>0</v>
      </c>
      <c r="F163" s="77">
        <v>1</v>
      </c>
      <c r="G163" s="77">
        <v>0</v>
      </c>
      <c r="H163" s="77">
        <v>13</v>
      </c>
      <c r="J163" s="77">
        <v>2</v>
      </c>
      <c r="K163" s="77">
        <v>39</v>
      </c>
      <c r="L163" s="78" t="s">
        <v>306</v>
      </c>
      <c r="M163" s="78" t="s">
        <v>427</v>
      </c>
      <c r="N163" s="77">
        <v>2.831172010607216</v>
      </c>
      <c r="AI163" s="77">
        <v>5</v>
      </c>
      <c r="AJ163" s="77">
        <v>2</v>
      </c>
      <c r="AK163" s="77">
        <v>2</v>
      </c>
      <c r="AL163" s="78" t="s">
        <v>174</v>
      </c>
      <c r="AM163" s="77">
        <v>0.5</v>
      </c>
    </row>
    <row r="164" spans="1:39" x14ac:dyDescent="0.25">
      <c r="A164" s="75">
        <v>2</v>
      </c>
      <c r="B164" s="75">
        <v>40</v>
      </c>
      <c r="C164" s="76" t="s">
        <v>306</v>
      </c>
      <c r="D164" s="76" t="s">
        <v>431</v>
      </c>
      <c r="E164" s="75">
        <v>0.7142857142857143</v>
      </c>
      <c r="F164" s="75">
        <v>0.2857142857142857</v>
      </c>
      <c r="G164" s="75">
        <v>10</v>
      </c>
      <c r="H164" s="75">
        <v>14</v>
      </c>
      <c r="J164" s="75">
        <v>2</v>
      </c>
      <c r="K164" s="75">
        <v>40</v>
      </c>
      <c r="L164" s="76" t="s">
        <v>306</v>
      </c>
      <c r="M164" s="76" t="s">
        <v>431</v>
      </c>
      <c r="N164" s="75">
        <v>3.9761377577179262</v>
      </c>
      <c r="AI164" s="75">
        <v>5</v>
      </c>
      <c r="AJ164" s="75">
        <v>3</v>
      </c>
      <c r="AK164" s="75">
        <v>1</v>
      </c>
      <c r="AL164" s="76" t="s">
        <v>53</v>
      </c>
      <c r="AM164" s="75">
        <v>0</v>
      </c>
    </row>
    <row r="165" spans="1:39" x14ac:dyDescent="0.25">
      <c r="A165" s="77">
        <v>3</v>
      </c>
      <c r="B165" s="77">
        <v>4</v>
      </c>
      <c r="C165" s="78" t="s">
        <v>311</v>
      </c>
      <c r="D165" s="78" t="s">
        <v>315</v>
      </c>
      <c r="E165" s="77">
        <v>0.875</v>
      </c>
      <c r="F165" s="77">
        <v>0.125</v>
      </c>
      <c r="G165" s="77">
        <v>14</v>
      </c>
      <c r="H165" s="77">
        <v>16</v>
      </c>
      <c r="J165" s="77">
        <v>3</v>
      </c>
      <c r="K165" s="77">
        <v>4</v>
      </c>
      <c r="L165" s="78" t="s">
        <v>311</v>
      </c>
      <c r="M165" s="78" t="s">
        <v>315</v>
      </c>
      <c r="N165" s="77">
        <v>3.7147097318234921</v>
      </c>
      <c r="AI165" s="77">
        <v>5</v>
      </c>
      <c r="AJ165" s="77">
        <v>3</v>
      </c>
      <c r="AK165" s="77">
        <v>1</v>
      </c>
      <c r="AL165" s="78" t="s">
        <v>61</v>
      </c>
      <c r="AM165" s="77">
        <v>0</v>
      </c>
    </row>
    <row r="166" spans="1:39" x14ac:dyDescent="0.25">
      <c r="A166" s="75">
        <v>3</v>
      </c>
      <c r="B166" s="75">
        <v>5</v>
      </c>
      <c r="C166" s="76" t="s">
        <v>311</v>
      </c>
      <c r="D166" s="76" t="s">
        <v>318</v>
      </c>
      <c r="E166" s="75">
        <v>0.82352941176470584</v>
      </c>
      <c r="F166" s="75">
        <v>0.17647058823529421</v>
      </c>
      <c r="G166" s="75">
        <v>14</v>
      </c>
      <c r="H166" s="75">
        <v>17</v>
      </c>
      <c r="J166" s="75">
        <v>3</v>
      </c>
      <c r="K166" s="75">
        <v>5</v>
      </c>
      <c r="L166" s="76" t="s">
        <v>311</v>
      </c>
      <c r="M166" s="76" t="s">
        <v>318</v>
      </c>
      <c r="N166" s="75">
        <v>3.0467158252533659</v>
      </c>
      <c r="AI166" s="75">
        <v>5</v>
      </c>
      <c r="AJ166" s="75">
        <v>3</v>
      </c>
      <c r="AK166" s="75">
        <v>1</v>
      </c>
      <c r="AL166" s="76" t="s">
        <v>69</v>
      </c>
      <c r="AM166" s="75">
        <v>1</v>
      </c>
    </row>
    <row r="167" spans="1:39" x14ac:dyDescent="0.25">
      <c r="A167" s="77">
        <v>3</v>
      </c>
      <c r="B167" s="77">
        <v>6</v>
      </c>
      <c r="C167" s="78" t="s">
        <v>311</v>
      </c>
      <c r="D167" s="78" t="s">
        <v>321</v>
      </c>
      <c r="E167" s="77">
        <v>0.5625</v>
      </c>
      <c r="F167" s="77">
        <v>0.4375</v>
      </c>
      <c r="G167" s="77">
        <v>9</v>
      </c>
      <c r="H167" s="77">
        <v>16</v>
      </c>
      <c r="J167" s="77">
        <v>3</v>
      </c>
      <c r="K167" s="77">
        <v>6</v>
      </c>
      <c r="L167" s="78" t="s">
        <v>311</v>
      </c>
      <c r="M167" s="78" t="s">
        <v>321</v>
      </c>
      <c r="N167" s="77">
        <v>3.3619383121688911</v>
      </c>
      <c r="AI167" s="77">
        <v>5</v>
      </c>
      <c r="AJ167" s="77">
        <v>3</v>
      </c>
      <c r="AK167" s="77">
        <v>1</v>
      </c>
      <c r="AL167" s="78" t="s">
        <v>76</v>
      </c>
      <c r="AM167" s="77">
        <v>1</v>
      </c>
    </row>
    <row r="168" spans="1:39" x14ac:dyDescent="0.25">
      <c r="A168" s="75">
        <v>3</v>
      </c>
      <c r="B168" s="75">
        <v>7</v>
      </c>
      <c r="C168" s="76" t="s">
        <v>311</v>
      </c>
      <c r="D168" s="76" t="s">
        <v>325</v>
      </c>
      <c r="E168" s="75">
        <v>0.82352941176470584</v>
      </c>
      <c r="F168" s="75">
        <v>0.17647058823529421</v>
      </c>
      <c r="G168" s="75">
        <v>14</v>
      </c>
      <c r="H168" s="75">
        <v>17</v>
      </c>
      <c r="J168" s="75">
        <v>3</v>
      </c>
      <c r="K168" s="75">
        <v>7</v>
      </c>
      <c r="L168" s="76" t="s">
        <v>311</v>
      </c>
      <c r="M168" s="76" t="s">
        <v>325</v>
      </c>
      <c r="N168" s="75">
        <v>2.8125438781322361</v>
      </c>
      <c r="AI168" s="75">
        <v>5</v>
      </c>
      <c r="AJ168" s="75">
        <v>3</v>
      </c>
      <c r="AK168" s="75">
        <v>1</v>
      </c>
      <c r="AL168" s="76" t="s">
        <v>83</v>
      </c>
      <c r="AM168" s="75">
        <v>1</v>
      </c>
    </row>
    <row r="169" spans="1:39" x14ac:dyDescent="0.25">
      <c r="A169" s="77">
        <v>3</v>
      </c>
      <c r="B169" s="77">
        <v>8</v>
      </c>
      <c r="C169" s="78" t="s">
        <v>311</v>
      </c>
      <c r="D169" s="78" t="s">
        <v>327</v>
      </c>
      <c r="E169" s="77">
        <v>0</v>
      </c>
      <c r="F169" s="77">
        <v>1</v>
      </c>
      <c r="G169" s="77">
        <v>0</v>
      </c>
      <c r="H169" s="77">
        <v>16</v>
      </c>
      <c r="J169" s="77">
        <v>3</v>
      </c>
      <c r="K169" s="77">
        <v>8</v>
      </c>
      <c r="L169" s="78" t="s">
        <v>311</v>
      </c>
      <c r="M169" s="78" t="s">
        <v>327</v>
      </c>
      <c r="N169" s="77">
        <v>5.3466916110713374</v>
      </c>
      <c r="AI169" s="77">
        <v>5</v>
      </c>
      <c r="AJ169" s="77">
        <v>3</v>
      </c>
      <c r="AK169" s="77">
        <v>1</v>
      </c>
      <c r="AL169" s="78" t="s">
        <v>90</v>
      </c>
      <c r="AM169" s="77">
        <v>0</v>
      </c>
    </row>
    <row r="170" spans="1:39" ht="30" x14ac:dyDescent="0.25">
      <c r="A170" s="75">
        <v>3</v>
      </c>
      <c r="B170" s="75">
        <v>9</v>
      </c>
      <c r="C170" s="76" t="s">
        <v>311</v>
      </c>
      <c r="D170" s="76" t="s">
        <v>330</v>
      </c>
      <c r="E170" s="75">
        <v>0.76470588235294112</v>
      </c>
      <c r="F170" s="75">
        <v>0.2352941176470589</v>
      </c>
      <c r="G170" s="75">
        <v>13</v>
      </c>
      <c r="H170" s="75">
        <v>17</v>
      </c>
      <c r="J170" s="75">
        <v>3</v>
      </c>
      <c r="K170" s="75">
        <v>9</v>
      </c>
      <c r="L170" s="76" t="s">
        <v>311</v>
      </c>
      <c r="M170" s="76" t="s">
        <v>330</v>
      </c>
      <c r="N170" s="75">
        <v>4.4104386227758603</v>
      </c>
      <c r="AI170" s="75">
        <v>5</v>
      </c>
      <c r="AJ170" s="75">
        <v>3</v>
      </c>
      <c r="AK170" s="75">
        <v>1</v>
      </c>
      <c r="AL170" s="76" t="s">
        <v>98</v>
      </c>
      <c r="AM170" s="75">
        <v>0</v>
      </c>
    </row>
    <row r="171" spans="1:39" x14ac:dyDescent="0.25">
      <c r="A171" s="77">
        <v>3</v>
      </c>
      <c r="B171" s="77">
        <v>10</v>
      </c>
      <c r="C171" s="78" t="s">
        <v>311</v>
      </c>
      <c r="D171" s="78" t="s">
        <v>334</v>
      </c>
      <c r="E171" s="77">
        <v>0.5</v>
      </c>
      <c r="F171" s="77">
        <v>0.5</v>
      </c>
      <c r="G171" s="77">
        <v>8</v>
      </c>
      <c r="H171" s="77">
        <v>16</v>
      </c>
      <c r="J171" s="77">
        <v>3</v>
      </c>
      <c r="K171" s="77">
        <v>10</v>
      </c>
      <c r="L171" s="78" t="s">
        <v>311</v>
      </c>
      <c r="M171" s="78" t="s">
        <v>334</v>
      </c>
      <c r="N171" s="77">
        <v>4.5139040298360182</v>
      </c>
      <c r="AI171" s="77">
        <v>5</v>
      </c>
      <c r="AJ171" s="77">
        <v>3</v>
      </c>
      <c r="AK171" s="77">
        <v>1</v>
      </c>
      <c r="AL171" s="78" t="s">
        <v>106</v>
      </c>
      <c r="AM171" s="77">
        <v>0</v>
      </c>
    </row>
    <row r="172" spans="1:39" ht="30" x14ac:dyDescent="0.25">
      <c r="A172" s="75">
        <v>3</v>
      </c>
      <c r="B172" s="75">
        <v>11</v>
      </c>
      <c r="C172" s="76" t="s">
        <v>311</v>
      </c>
      <c r="D172" s="76" t="s">
        <v>338</v>
      </c>
      <c r="E172" s="75">
        <v>0.375</v>
      </c>
      <c r="F172" s="75">
        <v>0.625</v>
      </c>
      <c r="G172" s="75">
        <v>6</v>
      </c>
      <c r="H172" s="75">
        <v>16</v>
      </c>
      <c r="J172" s="75">
        <v>3</v>
      </c>
      <c r="K172" s="75">
        <v>11</v>
      </c>
      <c r="L172" s="76" t="s">
        <v>311</v>
      </c>
      <c r="M172" s="76" t="s">
        <v>338</v>
      </c>
      <c r="N172" s="75">
        <v>5.0457977915570211</v>
      </c>
      <c r="AI172" s="75">
        <v>5</v>
      </c>
      <c r="AJ172" s="75">
        <v>3</v>
      </c>
      <c r="AK172" s="75">
        <v>1</v>
      </c>
      <c r="AL172" s="76" t="s">
        <v>112</v>
      </c>
      <c r="AM172" s="75">
        <v>1</v>
      </c>
    </row>
    <row r="173" spans="1:39" ht="30" x14ac:dyDescent="0.25">
      <c r="A173" s="77">
        <v>3</v>
      </c>
      <c r="B173" s="77">
        <v>12</v>
      </c>
      <c r="C173" s="78" t="s">
        <v>311</v>
      </c>
      <c r="D173" s="78" t="s">
        <v>342</v>
      </c>
      <c r="E173" s="77">
        <v>0.76470588235294112</v>
      </c>
      <c r="F173" s="77">
        <v>0.2352941176470589</v>
      </c>
      <c r="G173" s="77">
        <v>13</v>
      </c>
      <c r="H173" s="77">
        <v>17</v>
      </c>
      <c r="J173" s="77">
        <v>3</v>
      </c>
      <c r="K173" s="77">
        <v>12</v>
      </c>
      <c r="L173" s="78" t="s">
        <v>311</v>
      </c>
      <c r="M173" s="78" t="s">
        <v>342</v>
      </c>
      <c r="N173" s="77">
        <v>3.7904119937760279</v>
      </c>
      <c r="AI173" s="77">
        <v>5</v>
      </c>
      <c r="AJ173" s="77">
        <v>3</v>
      </c>
      <c r="AK173" s="77">
        <v>1</v>
      </c>
      <c r="AL173" s="78" t="s">
        <v>118</v>
      </c>
      <c r="AM173" s="77">
        <v>0</v>
      </c>
    </row>
    <row r="174" spans="1:39" ht="30" x14ac:dyDescent="0.25">
      <c r="A174" s="75">
        <v>3</v>
      </c>
      <c r="B174" s="75">
        <v>13</v>
      </c>
      <c r="C174" s="76" t="s">
        <v>311</v>
      </c>
      <c r="D174" s="76" t="s">
        <v>344</v>
      </c>
      <c r="E174" s="75">
        <v>0.375</v>
      </c>
      <c r="F174" s="75">
        <v>0.625</v>
      </c>
      <c r="G174" s="75">
        <v>6</v>
      </c>
      <c r="H174" s="75">
        <v>16</v>
      </c>
      <c r="J174" s="75">
        <v>3</v>
      </c>
      <c r="K174" s="75">
        <v>13</v>
      </c>
      <c r="L174" s="76" t="s">
        <v>311</v>
      </c>
      <c r="M174" s="76" t="s">
        <v>344</v>
      </c>
      <c r="N174" s="75">
        <v>4.2700866287450214</v>
      </c>
      <c r="AI174" s="75">
        <v>5</v>
      </c>
      <c r="AJ174" s="75">
        <v>3</v>
      </c>
      <c r="AK174" s="75">
        <v>1</v>
      </c>
      <c r="AL174" s="76" t="s">
        <v>125</v>
      </c>
      <c r="AM174" s="75">
        <v>0</v>
      </c>
    </row>
    <row r="175" spans="1:39" ht="30" x14ac:dyDescent="0.25">
      <c r="A175" s="77">
        <v>3</v>
      </c>
      <c r="B175" s="77">
        <v>14</v>
      </c>
      <c r="C175" s="78" t="s">
        <v>311</v>
      </c>
      <c r="D175" s="78" t="s">
        <v>348</v>
      </c>
      <c r="E175" s="77">
        <v>0</v>
      </c>
      <c r="F175" s="77">
        <v>1</v>
      </c>
      <c r="G175" s="77">
        <v>0</v>
      </c>
      <c r="H175" s="77">
        <v>16</v>
      </c>
      <c r="J175" s="77">
        <v>3</v>
      </c>
      <c r="K175" s="77">
        <v>14</v>
      </c>
      <c r="L175" s="78" t="s">
        <v>311</v>
      </c>
      <c r="M175" s="78" t="s">
        <v>348</v>
      </c>
      <c r="N175" s="77">
        <v>5.3466916110713374</v>
      </c>
      <c r="AI175" s="77">
        <v>5</v>
      </c>
      <c r="AJ175" s="77">
        <v>3</v>
      </c>
      <c r="AK175" s="77">
        <v>1</v>
      </c>
      <c r="AL175" s="78" t="s">
        <v>132</v>
      </c>
      <c r="AM175" s="77">
        <v>0</v>
      </c>
    </row>
    <row r="176" spans="1:39" ht="30" x14ac:dyDescent="0.25">
      <c r="A176" s="75">
        <v>3</v>
      </c>
      <c r="B176" s="75">
        <v>15</v>
      </c>
      <c r="C176" s="76" t="s">
        <v>311</v>
      </c>
      <c r="D176" s="76" t="s">
        <v>352</v>
      </c>
      <c r="E176" s="75">
        <v>0.88888888888888884</v>
      </c>
      <c r="F176" s="75">
        <v>0.1111111111111112</v>
      </c>
      <c r="G176" s="75">
        <v>16</v>
      </c>
      <c r="H176" s="75">
        <v>18</v>
      </c>
      <c r="J176" s="75">
        <v>3</v>
      </c>
      <c r="K176" s="75">
        <v>15</v>
      </c>
      <c r="L176" s="76" t="s">
        <v>311</v>
      </c>
      <c r="M176" s="76" t="s">
        <v>352</v>
      </c>
      <c r="N176" s="75">
        <v>4.0478363773262327</v>
      </c>
      <c r="AI176" s="75">
        <v>5</v>
      </c>
      <c r="AJ176" s="75">
        <v>3</v>
      </c>
      <c r="AK176" s="75">
        <v>1</v>
      </c>
      <c r="AL176" s="76" t="s">
        <v>140</v>
      </c>
      <c r="AM176" s="75">
        <v>0</v>
      </c>
    </row>
    <row r="177" spans="1:39" x14ac:dyDescent="0.25">
      <c r="A177" s="77">
        <v>3</v>
      </c>
      <c r="B177" s="77">
        <v>16</v>
      </c>
      <c r="C177" s="78" t="s">
        <v>311</v>
      </c>
      <c r="D177" s="78" t="s">
        <v>356</v>
      </c>
      <c r="E177" s="77">
        <v>0</v>
      </c>
      <c r="F177" s="77">
        <v>1</v>
      </c>
      <c r="G177" s="77">
        <v>0</v>
      </c>
      <c r="H177" s="77">
        <v>16</v>
      </c>
      <c r="J177" s="77">
        <v>3</v>
      </c>
      <c r="K177" s="77">
        <v>16</v>
      </c>
      <c r="L177" s="78" t="s">
        <v>311</v>
      </c>
      <c r="M177" s="78" t="s">
        <v>356</v>
      </c>
      <c r="N177" s="77">
        <v>5.3466916110713374</v>
      </c>
      <c r="AI177" s="77">
        <v>5</v>
      </c>
      <c r="AJ177" s="77">
        <v>3</v>
      </c>
      <c r="AK177" s="77">
        <v>1</v>
      </c>
      <c r="AL177" s="78" t="s">
        <v>147</v>
      </c>
      <c r="AM177" s="77">
        <v>1</v>
      </c>
    </row>
    <row r="178" spans="1:39" x14ac:dyDescent="0.25">
      <c r="A178" s="75">
        <v>3</v>
      </c>
      <c r="B178" s="75">
        <v>17</v>
      </c>
      <c r="C178" s="76" t="s">
        <v>311</v>
      </c>
      <c r="D178" s="76" t="s">
        <v>359</v>
      </c>
      <c r="E178" s="75">
        <v>0.83333333333333337</v>
      </c>
      <c r="F178" s="75">
        <v>0.1666666666666666</v>
      </c>
      <c r="G178" s="75">
        <v>15</v>
      </c>
      <c r="H178" s="75">
        <v>18</v>
      </c>
      <c r="J178" s="75">
        <v>3</v>
      </c>
      <c r="K178" s="75">
        <v>17</v>
      </c>
      <c r="L178" s="76" t="s">
        <v>311</v>
      </c>
      <c r="M178" s="76" t="s">
        <v>359</v>
      </c>
      <c r="N178" s="75">
        <v>2.7078957803483461</v>
      </c>
      <c r="AI178" s="75">
        <v>5</v>
      </c>
      <c r="AJ178" s="75">
        <v>3</v>
      </c>
      <c r="AK178" s="75">
        <v>1</v>
      </c>
      <c r="AL178" s="76" t="s">
        <v>154</v>
      </c>
      <c r="AM178" s="75">
        <v>0</v>
      </c>
    </row>
    <row r="179" spans="1:39" ht="45" x14ac:dyDescent="0.25">
      <c r="A179" s="77">
        <v>3</v>
      </c>
      <c r="B179" s="77">
        <v>18</v>
      </c>
      <c r="C179" s="78" t="s">
        <v>311</v>
      </c>
      <c r="D179" s="78" t="s">
        <v>363</v>
      </c>
      <c r="E179" s="77">
        <v>0</v>
      </c>
      <c r="F179" s="77">
        <v>1</v>
      </c>
      <c r="G179" s="77">
        <v>0</v>
      </c>
      <c r="H179" s="77">
        <v>16</v>
      </c>
      <c r="J179" s="77">
        <v>3</v>
      </c>
      <c r="K179" s="77">
        <v>18</v>
      </c>
      <c r="L179" s="78" t="s">
        <v>311</v>
      </c>
      <c r="M179" s="78" t="s">
        <v>363</v>
      </c>
      <c r="N179" s="77">
        <v>5.3466916110713374</v>
      </c>
      <c r="AI179" s="77">
        <v>5</v>
      </c>
      <c r="AJ179" s="77">
        <v>3</v>
      </c>
      <c r="AK179" s="77">
        <v>1</v>
      </c>
      <c r="AL179" s="78" t="s">
        <v>161</v>
      </c>
      <c r="AM179" s="77">
        <v>1</v>
      </c>
    </row>
    <row r="180" spans="1:39" x14ac:dyDescent="0.25">
      <c r="A180" s="75">
        <v>3</v>
      </c>
      <c r="B180" s="75">
        <v>19</v>
      </c>
      <c r="C180" s="76" t="s">
        <v>311</v>
      </c>
      <c r="D180" s="76" t="s">
        <v>367</v>
      </c>
      <c r="E180" s="75">
        <v>0.70588235294117652</v>
      </c>
      <c r="F180" s="75">
        <v>0.29411764705882348</v>
      </c>
      <c r="G180" s="75">
        <v>12</v>
      </c>
      <c r="H180" s="75">
        <v>17</v>
      </c>
      <c r="J180" s="75">
        <v>3</v>
      </c>
      <c r="K180" s="75">
        <v>19</v>
      </c>
      <c r="L180" s="76" t="s">
        <v>311</v>
      </c>
      <c r="M180" s="76" t="s">
        <v>367</v>
      </c>
      <c r="N180" s="75">
        <v>2.541027354465522</v>
      </c>
      <c r="AI180" s="75">
        <v>5</v>
      </c>
      <c r="AJ180" s="75">
        <v>3</v>
      </c>
      <c r="AK180" s="75">
        <v>1</v>
      </c>
      <c r="AL180" s="76" t="s">
        <v>166</v>
      </c>
      <c r="AM180" s="75">
        <v>0</v>
      </c>
    </row>
    <row r="181" spans="1:39" ht="30" x14ac:dyDescent="0.25">
      <c r="A181" s="77">
        <v>3</v>
      </c>
      <c r="B181" s="77">
        <v>20</v>
      </c>
      <c r="C181" s="78" t="s">
        <v>311</v>
      </c>
      <c r="D181" s="78" t="s">
        <v>371</v>
      </c>
      <c r="E181" s="77">
        <v>0.3125</v>
      </c>
      <c r="F181" s="77">
        <v>0.6875</v>
      </c>
      <c r="G181" s="77">
        <v>5</v>
      </c>
      <c r="H181" s="77">
        <v>16</v>
      </c>
      <c r="J181" s="77">
        <v>3</v>
      </c>
      <c r="K181" s="77">
        <v>20</v>
      </c>
      <c r="L181" s="78" t="s">
        <v>311</v>
      </c>
      <c r="M181" s="78" t="s">
        <v>371</v>
      </c>
      <c r="N181" s="77">
        <v>5.0457977915570211</v>
      </c>
      <c r="AI181" s="77">
        <v>5</v>
      </c>
      <c r="AJ181" s="77">
        <v>3</v>
      </c>
      <c r="AK181" s="77">
        <v>1</v>
      </c>
      <c r="AL181" s="78" t="s">
        <v>174</v>
      </c>
      <c r="AM181" s="77">
        <v>0</v>
      </c>
    </row>
    <row r="182" spans="1:39" ht="30" x14ac:dyDescent="0.25">
      <c r="A182" s="75">
        <v>3</v>
      </c>
      <c r="B182" s="75">
        <v>21</v>
      </c>
      <c r="C182" s="76" t="s">
        <v>311</v>
      </c>
      <c r="D182" s="76" t="s">
        <v>373</v>
      </c>
      <c r="E182" s="75">
        <v>0</v>
      </c>
      <c r="F182" s="75">
        <v>1</v>
      </c>
      <c r="G182" s="75">
        <v>0</v>
      </c>
      <c r="H182" s="75">
        <v>16</v>
      </c>
      <c r="J182" s="75">
        <v>3</v>
      </c>
      <c r="K182" s="75">
        <v>21</v>
      </c>
      <c r="L182" s="76" t="s">
        <v>311</v>
      </c>
      <c r="M182" s="76" t="s">
        <v>373</v>
      </c>
      <c r="N182" s="75">
        <v>5.3466916110713374</v>
      </c>
      <c r="AI182" s="75">
        <v>5</v>
      </c>
      <c r="AJ182" s="75">
        <v>4</v>
      </c>
      <c r="AK182" s="75">
        <v>1</v>
      </c>
      <c r="AL182" s="76" t="s">
        <v>53</v>
      </c>
      <c r="AM182" s="75">
        <v>0</v>
      </c>
    </row>
    <row r="183" spans="1:39" x14ac:dyDescent="0.25">
      <c r="A183" s="77">
        <v>3</v>
      </c>
      <c r="B183" s="77">
        <v>22</v>
      </c>
      <c r="C183" s="78" t="s">
        <v>311</v>
      </c>
      <c r="D183" s="78" t="s">
        <v>377</v>
      </c>
      <c r="E183" s="77">
        <v>0.375</v>
      </c>
      <c r="F183" s="77">
        <v>0.625</v>
      </c>
      <c r="G183" s="77">
        <v>6</v>
      </c>
      <c r="H183" s="77">
        <v>16</v>
      </c>
      <c r="J183" s="77">
        <v>3</v>
      </c>
      <c r="K183" s="77">
        <v>22</v>
      </c>
      <c r="L183" s="78" t="s">
        <v>311</v>
      </c>
      <c r="M183" s="78" t="s">
        <v>377</v>
      </c>
      <c r="N183" s="77">
        <v>5.0697628937934773</v>
      </c>
      <c r="AI183" s="77">
        <v>5</v>
      </c>
      <c r="AJ183" s="77">
        <v>4</v>
      </c>
      <c r="AK183" s="77">
        <v>1</v>
      </c>
      <c r="AL183" s="78" t="s">
        <v>61</v>
      </c>
      <c r="AM183" s="77">
        <v>0</v>
      </c>
    </row>
    <row r="184" spans="1:39" x14ac:dyDescent="0.25">
      <c r="A184" s="75">
        <v>3</v>
      </c>
      <c r="B184" s="75">
        <v>23</v>
      </c>
      <c r="C184" s="76" t="s">
        <v>311</v>
      </c>
      <c r="D184" s="76" t="s">
        <v>380</v>
      </c>
      <c r="E184" s="75">
        <v>0.8125</v>
      </c>
      <c r="F184" s="75">
        <v>0.1875</v>
      </c>
      <c r="G184" s="75">
        <v>13</v>
      </c>
      <c r="H184" s="75">
        <v>16</v>
      </c>
      <c r="J184" s="75">
        <v>3</v>
      </c>
      <c r="K184" s="75">
        <v>23</v>
      </c>
      <c r="L184" s="76" t="s">
        <v>311</v>
      </c>
      <c r="M184" s="76" t="s">
        <v>380</v>
      </c>
      <c r="N184" s="75">
        <v>2.7545529701953479</v>
      </c>
      <c r="AI184" s="75">
        <v>5</v>
      </c>
      <c r="AJ184" s="75">
        <v>4</v>
      </c>
      <c r="AK184" s="75">
        <v>1</v>
      </c>
      <c r="AL184" s="76" t="s">
        <v>69</v>
      </c>
      <c r="AM184" s="75">
        <v>0</v>
      </c>
    </row>
    <row r="185" spans="1:39" ht="30" x14ac:dyDescent="0.25">
      <c r="A185" s="77">
        <v>3</v>
      </c>
      <c r="B185" s="77">
        <v>24</v>
      </c>
      <c r="C185" s="78" t="s">
        <v>311</v>
      </c>
      <c r="D185" s="78" t="s">
        <v>384</v>
      </c>
      <c r="E185" s="77">
        <v>0.75</v>
      </c>
      <c r="F185" s="77">
        <v>0.25</v>
      </c>
      <c r="G185" s="77">
        <v>12</v>
      </c>
      <c r="H185" s="77">
        <v>16</v>
      </c>
      <c r="J185" s="77">
        <v>3</v>
      </c>
      <c r="K185" s="77">
        <v>24</v>
      </c>
      <c r="L185" s="78" t="s">
        <v>311</v>
      </c>
      <c r="M185" s="78" t="s">
        <v>384</v>
      </c>
      <c r="N185" s="77">
        <v>4.5355899539370732</v>
      </c>
      <c r="AI185" s="77">
        <v>5</v>
      </c>
      <c r="AJ185" s="77">
        <v>4</v>
      </c>
      <c r="AK185" s="77">
        <v>1</v>
      </c>
      <c r="AL185" s="78" t="s">
        <v>76</v>
      </c>
      <c r="AM185" s="77">
        <v>1</v>
      </c>
    </row>
    <row r="186" spans="1:39" x14ac:dyDescent="0.25">
      <c r="A186" s="75">
        <v>3</v>
      </c>
      <c r="B186" s="75">
        <v>25</v>
      </c>
      <c r="C186" s="76" t="s">
        <v>311</v>
      </c>
      <c r="D186" s="76" t="s">
        <v>386</v>
      </c>
      <c r="E186" s="75">
        <v>1</v>
      </c>
      <c r="F186" s="75">
        <v>0</v>
      </c>
      <c r="G186" s="75">
        <v>16</v>
      </c>
      <c r="H186" s="75">
        <v>16</v>
      </c>
      <c r="J186" s="75">
        <v>3</v>
      </c>
      <c r="K186" s="75">
        <v>25</v>
      </c>
      <c r="L186" s="76" t="s">
        <v>311</v>
      </c>
      <c r="M186" s="76" t="s">
        <v>386</v>
      </c>
      <c r="N186" s="75">
        <v>4.0461224426569933</v>
      </c>
      <c r="AI186" s="75">
        <v>5</v>
      </c>
      <c r="AJ186" s="75">
        <v>4</v>
      </c>
      <c r="AK186" s="75">
        <v>1</v>
      </c>
      <c r="AL186" s="76" t="s">
        <v>83</v>
      </c>
      <c r="AM186" s="75">
        <v>1</v>
      </c>
    </row>
    <row r="187" spans="1:39" ht="30" x14ac:dyDescent="0.25">
      <c r="A187" s="77">
        <v>3</v>
      </c>
      <c r="B187" s="77">
        <v>26</v>
      </c>
      <c r="C187" s="78" t="s">
        <v>311</v>
      </c>
      <c r="D187" s="78" t="s">
        <v>389</v>
      </c>
      <c r="E187" s="77">
        <v>0</v>
      </c>
      <c r="F187" s="77">
        <v>1</v>
      </c>
      <c r="G187" s="77">
        <v>0</v>
      </c>
      <c r="H187" s="77">
        <v>16</v>
      </c>
      <c r="J187" s="77">
        <v>3</v>
      </c>
      <c r="K187" s="77">
        <v>26</v>
      </c>
      <c r="L187" s="78" t="s">
        <v>311</v>
      </c>
      <c r="M187" s="78" t="s">
        <v>389</v>
      </c>
      <c r="N187" s="77">
        <v>5.3466916110713374</v>
      </c>
      <c r="AI187" s="77">
        <v>5</v>
      </c>
      <c r="AJ187" s="77">
        <v>4</v>
      </c>
      <c r="AK187" s="77">
        <v>1</v>
      </c>
      <c r="AL187" s="78" t="s">
        <v>90</v>
      </c>
      <c r="AM187" s="77">
        <v>1</v>
      </c>
    </row>
    <row r="188" spans="1:39" ht="30" x14ac:dyDescent="0.25">
      <c r="A188" s="75">
        <v>3</v>
      </c>
      <c r="B188" s="75">
        <v>27</v>
      </c>
      <c r="C188" s="76" t="s">
        <v>311</v>
      </c>
      <c r="D188" s="76" t="s">
        <v>393</v>
      </c>
      <c r="E188" s="75">
        <v>0.5</v>
      </c>
      <c r="F188" s="75">
        <v>0.5</v>
      </c>
      <c r="G188" s="75">
        <v>8</v>
      </c>
      <c r="H188" s="75">
        <v>16</v>
      </c>
      <c r="J188" s="75">
        <v>3</v>
      </c>
      <c r="K188" s="75">
        <v>27</v>
      </c>
      <c r="L188" s="76" t="s">
        <v>311</v>
      </c>
      <c r="M188" s="76" t="s">
        <v>393</v>
      </c>
      <c r="N188" s="75">
        <v>1.680969156084446</v>
      </c>
      <c r="AI188" s="75">
        <v>5</v>
      </c>
      <c r="AJ188" s="75">
        <v>4</v>
      </c>
      <c r="AK188" s="75">
        <v>1</v>
      </c>
      <c r="AL188" s="76" t="s">
        <v>98</v>
      </c>
      <c r="AM188" s="75">
        <v>1</v>
      </c>
    </row>
    <row r="189" spans="1:39" ht="45" x14ac:dyDescent="0.25">
      <c r="A189" s="77">
        <v>3</v>
      </c>
      <c r="B189" s="77">
        <v>28</v>
      </c>
      <c r="C189" s="78" t="s">
        <v>311</v>
      </c>
      <c r="D189" s="78" t="s">
        <v>396</v>
      </c>
      <c r="E189" s="77">
        <v>0</v>
      </c>
      <c r="F189" s="77">
        <v>1</v>
      </c>
      <c r="G189" s="77">
        <v>0</v>
      </c>
      <c r="H189" s="77">
        <v>16</v>
      </c>
      <c r="J189" s="77">
        <v>3</v>
      </c>
      <c r="K189" s="77">
        <v>28</v>
      </c>
      <c r="L189" s="78" t="s">
        <v>311</v>
      </c>
      <c r="M189" s="78" t="s">
        <v>396</v>
      </c>
      <c r="N189" s="77">
        <v>5.3466916110713374</v>
      </c>
      <c r="AI189" s="77">
        <v>5</v>
      </c>
      <c r="AJ189" s="77">
        <v>4</v>
      </c>
      <c r="AK189" s="77">
        <v>1</v>
      </c>
      <c r="AL189" s="78" t="s">
        <v>106</v>
      </c>
      <c r="AM189" s="77">
        <v>0</v>
      </c>
    </row>
    <row r="190" spans="1:39" x14ac:dyDescent="0.25">
      <c r="A190" s="75">
        <v>3</v>
      </c>
      <c r="B190" s="75">
        <v>29</v>
      </c>
      <c r="C190" s="76" t="s">
        <v>311</v>
      </c>
      <c r="D190" s="76" t="s">
        <v>399</v>
      </c>
      <c r="E190" s="75">
        <v>0</v>
      </c>
      <c r="F190" s="75">
        <v>1</v>
      </c>
      <c r="G190" s="75">
        <v>0</v>
      </c>
      <c r="H190" s="75">
        <v>16</v>
      </c>
      <c r="J190" s="75">
        <v>3</v>
      </c>
      <c r="K190" s="75">
        <v>29</v>
      </c>
      <c r="L190" s="76" t="s">
        <v>311</v>
      </c>
      <c r="M190" s="76" t="s">
        <v>399</v>
      </c>
      <c r="N190" s="75">
        <v>5.3466916110713374</v>
      </c>
      <c r="AI190" s="75">
        <v>5</v>
      </c>
      <c r="AJ190" s="75">
        <v>4</v>
      </c>
      <c r="AK190" s="75">
        <v>1</v>
      </c>
      <c r="AL190" s="76" t="s">
        <v>112</v>
      </c>
      <c r="AM190" s="75">
        <v>1</v>
      </c>
    </row>
    <row r="191" spans="1:39" ht="30" x14ac:dyDescent="0.25">
      <c r="A191" s="77">
        <v>3</v>
      </c>
      <c r="B191" s="77">
        <v>30</v>
      </c>
      <c r="C191" s="78" t="s">
        <v>311</v>
      </c>
      <c r="D191" s="78" t="s">
        <v>402</v>
      </c>
      <c r="E191" s="77">
        <v>0</v>
      </c>
      <c r="F191" s="77">
        <v>1</v>
      </c>
      <c r="G191" s="77">
        <v>0</v>
      </c>
      <c r="H191" s="77">
        <v>16</v>
      </c>
      <c r="J191" s="77">
        <v>3</v>
      </c>
      <c r="K191" s="77">
        <v>30</v>
      </c>
      <c r="L191" s="78" t="s">
        <v>311</v>
      </c>
      <c r="M191" s="78" t="s">
        <v>402</v>
      </c>
      <c r="N191" s="77">
        <v>5.3466916110713374</v>
      </c>
      <c r="AI191" s="77">
        <v>5</v>
      </c>
      <c r="AJ191" s="77">
        <v>4</v>
      </c>
      <c r="AK191" s="77">
        <v>1</v>
      </c>
      <c r="AL191" s="78" t="s">
        <v>118</v>
      </c>
      <c r="AM191" s="77">
        <v>0</v>
      </c>
    </row>
    <row r="192" spans="1:39" x14ac:dyDescent="0.25">
      <c r="A192" s="75">
        <v>3</v>
      </c>
      <c r="B192" s="75">
        <v>31</v>
      </c>
      <c r="C192" s="76" t="s">
        <v>311</v>
      </c>
      <c r="D192" s="76" t="s">
        <v>406</v>
      </c>
      <c r="E192" s="75">
        <v>0.875</v>
      </c>
      <c r="F192" s="75">
        <v>0.125</v>
      </c>
      <c r="G192" s="75">
        <v>14</v>
      </c>
      <c r="H192" s="75">
        <v>16</v>
      </c>
      <c r="J192" s="75">
        <v>3</v>
      </c>
      <c r="K192" s="75">
        <v>31</v>
      </c>
      <c r="L192" s="76" t="s">
        <v>311</v>
      </c>
      <c r="M192" s="76" t="s">
        <v>406</v>
      </c>
      <c r="N192" s="75">
        <v>4.5355899539370732</v>
      </c>
      <c r="AI192" s="75">
        <v>5</v>
      </c>
      <c r="AJ192" s="75">
        <v>4</v>
      </c>
      <c r="AK192" s="75">
        <v>1</v>
      </c>
      <c r="AL192" s="76" t="s">
        <v>125</v>
      </c>
      <c r="AM192" s="75">
        <v>0</v>
      </c>
    </row>
    <row r="193" spans="1:39" x14ac:dyDescent="0.25">
      <c r="A193" s="77">
        <v>3</v>
      </c>
      <c r="B193" s="77">
        <v>32</v>
      </c>
      <c r="C193" s="78" t="s">
        <v>311</v>
      </c>
      <c r="D193" s="78" t="s">
        <v>407</v>
      </c>
      <c r="E193" s="77">
        <v>0.94117647058823528</v>
      </c>
      <c r="F193" s="77">
        <v>5.8823529411764719E-2</v>
      </c>
      <c r="G193" s="77">
        <v>16</v>
      </c>
      <c r="H193" s="77">
        <v>17</v>
      </c>
      <c r="J193" s="77">
        <v>3</v>
      </c>
      <c r="K193" s="77">
        <v>32</v>
      </c>
      <c r="L193" s="78" t="s">
        <v>311</v>
      </c>
      <c r="M193" s="78" t="s">
        <v>407</v>
      </c>
      <c r="N193" s="77">
        <v>3.397288003518971</v>
      </c>
      <c r="AI193" s="77">
        <v>5</v>
      </c>
      <c r="AJ193" s="77">
        <v>4</v>
      </c>
      <c r="AK193" s="77">
        <v>1</v>
      </c>
      <c r="AL193" s="78" t="s">
        <v>132</v>
      </c>
      <c r="AM193" s="77">
        <v>0</v>
      </c>
    </row>
    <row r="194" spans="1:39" x14ac:dyDescent="0.25">
      <c r="A194" s="75">
        <v>3</v>
      </c>
      <c r="B194" s="75">
        <v>33</v>
      </c>
      <c r="C194" s="76" t="s">
        <v>311</v>
      </c>
      <c r="D194" s="76" t="s">
        <v>410</v>
      </c>
      <c r="E194" s="75">
        <v>0</v>
      </c>
      <c r="F194" s="75">
        <v>1</v>
      </c>
      <c r="G194" s="75">
        <v>0</v>
      </c>
      <c r="H194" s="75">
        <v>16</v>
      </c>
      <c r="J194" s="75">
        <v>3</v>
      </c>
      <c r="K194" s="75">
        <v>33</v>
      </c>
      <c r="L194" s="76" t="s">
        <v>311</v>
      </c>
      <c r="M194" s="76" t="s">
        <v>410</v>
      </c>
      <c r="N194" s="75">
        <v>5.3466916110713374</v>
      </c>
      <c r="AI194" s="75">
        <v>5</v>
      </c>
      <c r="AJ194" s="75">
        <v>4</v>
      </c>
      <c r="AK194" s="75">
        <v>1</v>
      </c>
      <c r="AL194" s="76" t="s">
        <v>140</v>
      </c>
      <c r="AM194" s="75">
        <v>0</v>
      </c>
    </row>
    <row r="195" spans="1:39" x14ac:dyDescent="0.25">
      <c r="A195" s="77">
        <v>3</v>
      </c>
      <c r="B195" s="77">
        <v>34</v>
      </c>
      <c r="C195" s="78" t="s">
        <v>311</v>
      </c>
      <c r="D195" s="78" t="s">
        <v>413</v>
      </c>
      <c r="E195" s="77">
        <v>0.9375</v>
      </c>
      <c r="F195" s="77">
        <v>6.25E-2</v>
      </c>
      <c r="G195" s="77">
        <v>15</v>
      </c>
      <c r="H195" s="77">
        <v>16</v>
      </c>
      <c r="J195" s="77">
        <v>3</v>
      </c>
      <c r="K195" s="77">
        <v>34</v>
      </c>
      <c r="L195" s="78" t="s">
        <v>311</v>
      </c>
      <c r="M195" s="78" t="s">
        <v>413</v>
      </c>
      <c r="N195" s="77">
        <v>3.7904119937760279</v>
      </c>
      <c r="AI195" s="77">
        <v>5</v>
      </c>
      <c r="AJ195" s="77">
        <v>4</v>
      </c>
      <c r="AK195" s="77">
        <v>1</v>
      </c>
      <c r="AL195" s="78" t="s">
        <v>147</v>
      </c>
      <c r="AM195" s="77">
        <v>0</v>
      </c>
    </row>
    <row r="196" spans="1:39" ht="30" x14ac:dyDescent="0.25">
      <c r="A196" s="75">
        <v>3</v>
      </c>
      <c r="B196" s="75">
        <v>35</v>
      </c>
      <c r="C196" s="76" t="s">
        <v>311</v>
      </c>
      <c r="D196" s="76" t="s">
        <v>416</v>
      </c>
      <c r="E196" s="75">
        <v>0</v>
      </c>
      <c r="F196" s="75">
        <v>1</v>
      </c>
      <c r="G196" s="75">
        <v>0</v>
      </c>
      <c r="H196" s="75">
        <v>16</v>
      </c>
      <c r="J196" s="75">
        <v>3</v>
      </c>
      <c r="K196" s="75">
        <v>35</v>
      </c>
      <c r="L196" s="76" t="s">
        <v>311</v>
      </c>
      <c r="M196" s="76" t="s">
        <v>416</v>
      </c>
      <c r="N196" s="75">
        <v>5.3466916110713374</v>
      </c>
      <c r="AI196" s="75">
        <v>5</v>
      </c>
      <c r="AJ196" s="75">
        <v>4</v>
      </c>
      <c r="AK196" s="75">
        <v>1</v>
      </c>
      <c r="AL196" s="76" t="s">
        <v>154</v>
      </c>
      <c r="AM196" s="75">
        <v>1</v>
      </c>
    </row>
    <row r="197" spans="1:39" ht="45" x14ac:dyDescent="0.25">
      <c r="A197" s="77">
        <v>3</v>
      </c>
      <c r="B197" s="77">
        <v>36</v>
      </c>
      <c r="C197" s="78" t="s">
        <v>311</v>
      </c>
      <c r="D197" s="78" t="s">
        <v>420</v>
      </c>
      <c r="E197" s="77">
        <v>0.75</v>
      </c>
      <c r="F197" s="77">
        <v>0.25</v>
      </c>
      <c r="G197" s="77">
        <v>12</v>
      </c>
      <c r="H197" s="77">
        <v>16</v>
      </c>
      <c r="J197" s="77">
        <v>3</v>
      </c>
      <c r="K197" s="77">
        <v>36</v>
      </c>
      <c r="L197" s="78" t="s">
        <v>311</v>
      </c>
      <c r="M197" s="78" t="s">
        <v>420</v>
      </c>
      <c r="N197" s="77">
        <v>4.7187383360907162</v>
      </c>
      <c r="AI197" s="77">
        <v>5</v>
      </c>
      <c r="AJ197" s="77">
        <v>4</v>
      </c>
      <c r="AK197" s="77">
        <v>1</v>
      </c>
      <c r="AL197" s="78" t="s">
        <v>161</v>
      </c>
      <c r="AM197" s="77">
        <v>0</v>
      </c>
    </row>
    <row r="198" spans="1:39" x14ac:dyDescent="0.25">
      <c r="A198" s="75">
        <v>3</v>
      </c>
      <c r="B198" s="75">
        <v>37</v>
      </c>
      <c r="C198" s="76" t="s">
        <v>311</v>
      </c>
      <c r="D198" s="76" t="s">
        <v>422</v>
      </c>
      <c r="E198" s="75">
        <v>0</v>
      </c>
      <c r="F198" s="75">
        <v>1</v>
      </c>
      <c r="G198" s="75">
        <v>0</v>
      </c>
      <c r="H198" s="75">
        <v>16</v>
      </c>
      <c r="J198" s="75">
        <v>3</v>
      </c>
      <c r="K198" s="75">
        <v>37</v>
      </c>
      <c r="L198" s="76" t="s">
        <v>311</v>
      </c>
      <c r="M198" s="76" t="s">
        <v>422</v>
      </c>
      <c r="N198" s="75">
        <v>5.3466916110713374</v>
      </c>
      <c r="AI198" s="75">
        <v>5</v>
      </c>
      <c r="AJ198" s="75">
        <v>4</v>
      </c>
      <c r="AK198" s="75">
        <v>1</v>
      </c>
      <c r="AL198" s="76" t="s">
        <v>166</v>
      </c>
      <c r="AM198" s="75">
        <v>0</v>
      </c>
    </row>
    <row r="199" spans="1:39" ht="30" x14ac:dyDescent="0.25">
      <c r="A199" s="77">
        <v>3</v>
      </c>
      <c r="B199" s="77">
        <v>38</v>
      </c>
      <c r="C199" s="78" t="s">
        <v>311</v>
      </c>
      <c r="D199" s="78" t="s">
        <v>425</v>
      </c>
      <c r="E199" s="77">
        <v>0.625</v>
      </c>
      <c r="F199" s="77">
        <v>0.375</v>
      </c>
      <c r="G199" s="77">
        <v>10</v>
      </c>
      <c r="H199" s="77">
        <v>16</v>
      </c>
      <c r="J199" s="77">
        <v>3</v>
      </c>
      <c r="K199" s="77">
        <v>38</v>
      </c>
      <c r="L199" s="78" t="s">
        <v>311</v>
      </c>
      <c r="M199" s="78" t="s">
        <v>425</v>
      </c>
      <c r="N199" s="77">
        <v>5.3466916110713374</v>
      </c>
      <c r="AI199" s="77">
        <v>5</v>
      </c>
      <c r="AJ199" s="77">
        <v>4</v>
      </c>
      <c r="AK199" s="77">
        <v>1</v>
      </c>
      <c r="AL199" s="78" t="s">
        <v>174</v>
      </c>
      <c r="AM199" s="77">
        <v>0</v>
      </c>
    </row>
    <row r="200" spans="1:39" x14ac:dyDescent="0.25">
      <c r="A200" s="75">
        <v>3</v>
      </c>
      <c r="B200" s="75">
        <v>39</v>
      </c>
      <c r="C200" s="76" t="s">
        <v>311</v>
      </c>
      <c r="D200" s="76" t="s">
        <v>427</v>
      </c>
      <c r="E200" s="75">
        <v>0</v>
      </c>
      <c r="F200" s="75">
        <v>1</v>
      </c>
      <c r="G200" s="75">
        <v>0</v>
      </c>
      <c r="H200" s="75">
        <v>16</v>
      </c>
      <c r="J200" s="75">
        <v>3</v>
      </c>
      <c r="K200" s="75">
        <v>39</v>
      </c>
      <c r="L200" s="76" t="s">
        <v>311</v>
      </c>
      <c r="M200" s="76" t="s">
        <v>427</v>
      </c>
      <c r="N200" s="75">
        <v>5.3466916110713374</v>
      </c>
      <c r="AI200" s="75">
        <v>5</v>
      </c>
      <c r="AJ200" s="75">
        <v>5</v>
      </c>
      <c r="AK200" s="75">
        <v>1</v>
      </c>
      <c r="AL200" s="76" t="s">
        <v>53</v>
      </c>
      <c r="AM200" s="75">
        <v>0</v>
      </c>
    </row>
    <row r="201" spans="1:39" x14ac:dyDescent="0.25">
      <c r="A201" s="77">
        <v>3</v>
      </c>
      <c r="B201" s="77">
        <v>40</v>
      </c>
      <c r="C201" s="78" t="s">
        <v>311</v>
      </c>
      <c r="D201" s="78" t="s">
        <v>431</v>
      </c>
      <c r="E201" s="77">
        <v>0.6875</v>
      </c>
      <c r="F201" s="77">
        <v>0.3125</v>
      </c>
      <c r="G201" s="77">
        <v>11</v>
      </c>
      <c r="H201" s="77">
        <v>16</v>
      </c>
      <c r="J201" s="77">
        <v>3</v>
      </c>
      <c r="K201" s="77">
        <v>40</v>
      </c>
      <c r="L201" s="78" t="s">
        <v>311</v>
      </c>
      <c r="M201" s="78" t="s">
        <v>431</v>
      </c>
      <c r="N201" s="77">
        <v>4.2803302204156006</v>
      </c>
      <c r="AI201" s="77">
        <v>5</v>
      </c>
      <c r="AJ201" s="77">
        <v>5</v>
      </c>
      <c r="AK201" s="77">
        <v>1</v>
      </c>
      <c r="AL201" s="78" t="s">
        <v>61</v>
      </c>
      <c r="AM201" s="77">
        <v>0</v>
      </c>
    </row>
    <row r="202" spans="1:39" x14ac:dyDescent="0.25">
      <c r="A202" s="75">
        <v>4</v>
      </c>
      <c r="B202" s="75">
        <v>5</v>
      </c>
      <c r="C202" s="76" t="s">
        <v>315</v>
      </c>
      <c r="D202" s="76" t="s">
        <v>318</v>
      </c>
      <c r="E202" s="75">
        <v>0.8125</v>
      </c>
      <c r="F202" s="75">
        <v>0.1875</v>
      </c>
      <c r="G202" s="75">
        <v>13</v>
      </c>
      <c r="H202" s="75">
        <v>16</v>
      </c>
      <c r="J202" s="75">
        <v>4</v>
      </c>
      <c r="K202" s="75">
        <v>5</v>
      </c>
      <c r="L202" s="76" t="s">
        <v>315</v>
      </c>
      <c r="M202" s="76" t="s">
        <v>318</v>
      </c>
      <c r="N202" s="75">
        <v>2.1252272988682539</v>
      </c>
      <c r="AI202" s="75">
        <v>5</v>
      </c>
      <c r="AJ202" s="75">
        <v>5</v>
      </c>
      <c r="AK202" s="75">
        <v>1</v>
      </c>
      <c r="AL202" s="76" t="s">
        <v>69</v>
      </c>
      <c r="AM202" s="75">
        <v>1</v>
      </c>
    </row>
    <row r="203" spans="1:39" x14ac:dyDescent="0.25">
      <c r="A203" s="77">
        <v>4</v>
      </c>
      <c r="B203" s="77">
        <v>6</v>
      </c>
      <c r="C203" s="78" t="s">
        <v>315</v>
      </c>
      <c r="D203" s="78" t="s">
        <v>321</v>
      </c>
      <c r="E203" s="77">
        <v>0.53333333333333333</v>
      </c>
      <c r="F203" s="77">
        <v>0.46666666666666667</v>
      </c>
      <c r="G203" s="77">
        <v>8</v>
      </c>
      <c r="H203" s="77">
        <v>15</v>
      </c>
      <c r="J203" s="77">
        <v>4</v>
      </c>
      <c r="K203" s="77">
        <v>6</v>
      </c>
      <c r="L203" s="78" t="s">
        <v>315</v>
      </c>
      <c r="M203" s="78" t="s">
        <v>321</v>
      </c>
      <c r="N203" s="77">
        <v>2.6494164215455078</v>
      </c>
      <c r="AI203" s="77">
        <v>5</v>
      </c>
      <c r="AJ203" s="77">
        <v>5</v>
      </c>
      <c r="AK203" s="77">
        <v>1</v>
      </c>
      <c r="AL203" s="78" t="s">
        <v>76</v>
      </c>
      <c r="AM203" s="77">
        <v>0</v>
      </c>
    </row>
    <row r="204" spans="1:39" x14ac:dyDescent="0.25">
      <c r="A204" s="75">
        <v>4</v>
      </c>
      <c r="B204" s="75">
        <v>7</v>
      </c>
      <c r="C204" s="76" t="s">
        <v>315</v>
      </c>
      <c r="D204" s="76" t="s">
        <v>325</v>
      </c>
      <c r="E204" s="75">
        <v>0.70588235294117652</v>
      </c>
      <c r="F204" s="75">
        <v>0.29411764705882348</v>
      </c>
      <c r="G204" s="75">
        <v>12</v>
      </c>
      <c r="H204" s="75">
        <v>17</v>
      </c>
      <c r="J204" s="75">
        <v>4</v>
      </c>
      <c r="K204" s="75">
        <v>7</v>
      </c>
      <c r="L204" s="76" t="s">
        <v>315</v>
      </c>
      <c r="M204" s="76" t="s">
        <v>325</v>
      </c>
      <c r="N204" s="75">
        <v>2.4266572327555949</v>
      </c>
      <c r="AI204" s="75">
        <v>5</v>
      </c>
      <c r="AJ204" s="75">
        <v>5</v>
      </c>
      <c r="AK204" s="75">
        <v>1</v>
      </c>
      <c r="AL204" s="76" t="s">
        <v>83</v>
      </c>
      <c r="AM204" s="75">
        <v>0</v>
      </c>
    </row>
    <row r="205" spans="1:39" x14ac:dyDescent="0.25">
      <c r="A205" s="77">
        <v>4</v>
      </c>
      <c r="B205" s="77">
        <v>8</v>
      </c>
      <c r="C205" s="78" t="s">
        <v>315</v>
      </c>
      <c r="D205" s="78" t="s">
        <v>327</v>
      </c>
      <c r="E205" s="77">
        <v>0</v>
      </c>
      <c r="F205" s="77">
        <v>1</v>
      </c>
      <c r="G205" s="77">
        <v>0</v>
      </c>
      <c r="H205" s="77">
        <v>14</v>
      </c>
      <c r="J205" s="77">
        <v>4</v>
      </c>
      <c r="K205" s="77">
        <v>8</v>
      </c>
      <c r="L205" s="78" t="s">
        <v>315</v>
      </c>
      <c r="M205" s="78" t="s">
        <v>327</v>
      </c>
      <c r="N205" s="77">
        <v>3.2051579627993299</v>
      </c>
      <c r="AI205" s="77">
        <v>5</v>
      </c>
      <c r="AJ205" s="77">
        <v>5</v>
      </c>
      <c r="AK205" s="77">
        <v>1</v>
      </c>
      <c r="AL205" s="78" t="s">
        <v>90</v>
      </c>
      <c r="AM205" s="77">
        <v>1</v>
      </c>
    </row>
    <row r="206" spans="1:39" ht="30" x14ac:dyDescent="0.25">
      <c r="A206" s="75">
        <v>4</v>
      </c>
      <c r="B206" s="75">
        <v>9</v>
      </c>
      <c r="C206" s="76" t="s">
        <v>315</v>
      </c>
      <c r="D206" s="76" t="s">
        <v>330</v>
      </c>
      <c r="E206" s="75">
        <v>0.75</v>
      </c>
      <c r="F206" s="75">
        <v>0.25</v>
      </c>
      <c r="G206" s="75">
        <v>12</v>
      </c>
      <c r="H206" s="75">
        <v>16</v>
      </c>
      <c r="J206" s="75">
        <v>4</v>
      </c>
      <c r="K206" s="75">
        <v>9</v>
      </c>
      <c r="L206" s="76" t="s">
        <v>315</v>
      </c>
      <c r="M206" s="76" t="s">
        <v>330</v>
      </c>
      <c r="N206" s="75">
        <v>2.81183598033908</v>
      </c>
      <c r="AI206" s="75">
        <v>5</v>
      </c>
      <c r="AJ206" s="75">
        <v>5</v>
      </c>
      <c r="AK206" s="75">
        <v>1</v>
      </c>
      <c r="AL206" s="76" t="s">
        <v>98</v>
      </c>
      <c r="AM206" s="75">
        <v>1</v>
      </c>
    </row>
    <row r="207" spans="1:39" x14ac:dyDescent="0.25">
      <c r="A207" s="77">
        <v>4</v>
      </c>
      <c r="B207" s="77">
        <v>10</v>
      </c>
      <c r="C207" s="78" t="s">
        <v>315</v>
      </c>
      <c r="D207" s="78" t="s">
        <v>334</v>
      </c>
      <c r="E207" s="77">
        <v>0.46666666666666667</v>
      </c>
      <c r="F207" s="77">
        <v>0.53333333333333333</v>
      </c>
      <c r="G207" s="77">
        <v>7</v>
      </c>
      <c r="H207" s="77">
        <v>15</v>
      </c>
      <c r="J207" s="77">
        <v>4</v>
      </c>
      <c r="K207" s="77">
        <v>10</v>
      </c>
      <c r="L207" s="78" t="s">
        <v>315</v>
      </c>
      <c r="M207" s="78" t="s">
        <v>334</v>
      </c>
      <c r="N207" s="77">
        <v>2.9733679540403921</v>
      </c>
      <c r="AI207" s="77">
        <v>5</v>
      </c>
      <c r="AJ207" s="77">
        <v>5</v>
      </c>
      <c r="AK207" s="77">
        <v>1</v>
      </c>
      <c r="AL207" s="78" t="s">
        <v>106</v>
      </c>
      <c r="AM207" s="77">
        <v>0</v>
      </c>
    </row>
    <row r="208" spans="1:39" ht="30" x14ac:dyDescent="0.25">
      <c r="A208" s="75">
        <v>4</v>
      </c>
      <c r="B208" s="75">
        <v>11</v>
      </c>
      <c r="C208" s="76" t="s">
        <v>315</v>
      </c>
      <c r="D208" s="76" t="s">
        <v>338</v>
      </c>
      <c r="E208" s="75">
        <v>0.33333333333333331</v>
      </c>
      <c r="F208" s="75">
        <v>0.66666666666666674</v>
      </c>
      <c r="G208" s="75">
        <v>5</v>
      </c>
      <c r="H208" s="75">
        <v>15</v>
      </c>
      <c r="J208" s="75">
        <v>4</v>
      </c>
      <c r="K208" s="75">
        <v>11</v>
      </c>
      <c r="L208" s="76" t="s">
        <v>315</v>
      </c>
      <c r="M208" s="76" t="s">
        <v>338</v>
      </c>
      <c r="N208" s="75">
        <v>2.6732006538748752</v>
      </c>
      <c r="AI208" s="75">
        <v>5</v>
      </c>
      <c r="AJ208" s="75">
        <v>5</v>
      </c>
      <c r="AK208" s="75">
        <v>1</v>
      </c>
      <c r="AL208" s="76" t="s">
        <v>112</v>
      </c>
      <c r="AM208" s="75">
        <v>0</v>
      </c>
    </row>
    <row r="209" spans="1:39" ht="30" x14ac:dyDescent="0.25">
      <c r="A209" s="77">
        <v>4</v>
      </c>
      <c r="B209" s="77">
        <v>12</v>
      </c>
      <c r="C209" s="78" t="s">
        <v>315</v>
      </c>
      <c r="D209" s="78" t="s">
        <v>342</v>
      </c>
      <c r="E209" s="77">
        <v>0.75</v>
      </c>
      <c r="F209" s="77">
        <v>0.25</v>
      </c>
      <c r="G209" s="77">
        <v>12</v>
      </c>
      <c r="H209" s="77">
        <v>16</v>
      </c>
      <c r="J209" s="77">
        <v>4</v>
      </c>
      <c r="K209" s="77">
        <v>12</v>
      </c>
      <c r="L209" s="78" t="s">
        <v>315</v>
      </c>
      <c r="M209" s="78" t="s">
        <v>342</v>
      </c>
      <c r="N209" s="77">
        <v>1.6797844557018531</v>
      </c>
      <c r="AI209" s="77">
        <v>5</v>
      </c>
      <c r="AJ209" s="77">
        <v>5</v>
      </c>
      <c r="AK209" s="77">
        <v>1</v>
      </c>
      <c r="AL209" s="78" t="s">
        <v>118</v>
      </c>
      <c r="AM209" s="77">
        <v>0</v>
      </c>
    </row>
    <row r="210" spans="1:39" ht="30" x14ac:dyDescent="0.25">
      <c r="A210" s="75">
        <v>4</v>
      </c>
      <c r="B210" s="75">
        <v>13</v>
      </c>
      <c r="C210" s="76" t="s">
        <v>315</v>
      </c>
      <c r="D210" s="76" t="s">
        <v>344</v>
      </c>
      <c r="E210" s="75">
        <v>0.33333333333333331</v>
      </c>
      <c r="F210" s="75">
        <v>0.66666666666666674</v>
      </c>
      <c r="G210" s="75">
        <v>5</v>
      </c>
      <c r="H210" s="75">
        <v>15</v>
      </c>
      <c r="J210" s="75">
        <v>4</v>
      </c>
      <c r="K210" s="75">
        <v>13</v>
      </c>
      <c r="L210" s="76" t="s">
        <v>315</v>
      </c>
      <c r="M210" s="76" t="s">
        <v>344</v>
      </c>
      <c r="N210" s="75">
        <v>1.474139520650243</v>
      </c>
      <c r="AI210" s="75">
        <v>5</v>
      </c>
      <c r="AJ210" s="75">
        <v>5</v>
      </c>
      <c r="AK210" s="75">
        <v>1</v>
      </c>
      <c r="AL210" s="76" t="s">
        <v>125</v>
      </c>
      <c r="AM210" s="75">
        <v>0</v>
      </c>
    </row>
    <row r="211" spans="1:39" ht="30" x14ac:dyDescent="0.25">
      <c r="A211" s="77">
        <v>4</v>
      </c>
      <c r="B211" s="77">
        <v>14</v>
      </c>
      <c r="C211" s="78" t="s">
        <v>315</v>
      </c>
      <c r="D211" s="78" t="s">
        <v>348</v>
      </c>
      <c r="E211" s="77">
        <v>0</v>
      </c>
      <c r="F211" s="77">
        <v>1</v>
      </c>
      <c r="G211" s="77">
        <v>0</v>
      </c>
      <c r="H211" s="77">
        <v>14</v>
      </c>
      <c r="J211" s="77">
        <v>4</v>
      </c>
      <c r="K211" s="77">
        <v>14</v>
      </c>
      <c r="L211" s="78" t="s">
        <v>315</v>
      </c>
      <c r="M211" s="78" t="s">
        <v>348</v>
      </c>
      <c r="N211" s="77">
        <v>3.2051579627993299</v>
      </c>
      <c r="AI211" s="77">
        <v>5</v>
      </c>
      <c r="AJ211" s="77">
        <v>5</v>
      </c>
      <c r="AK211" s="77">
        <v>1</v>
      </c>
      <c r="AL211" s="78" t="s">
        <v>132</v>
      </c>
      <c r="AM211" s="77">
        <v>0</v>
      </c>
    </row>
    <row r="212" spans="1:39" ht="30" x14ac:dyDescent="0.25">
      <c r="A212" s="75">
        <v>4</v>
      </c>
      <c r="B212" s="75">
        <v>15</v>
      </c>
      <c r="C212" s="76" t="s">
        <v>315</v>
      </c>
      <c r="D212" s="76" t="s">
        <v>352</v>
      </c>
      <c r="E212" s="75">
        <v>0.77777777777777779</v>
      </c>
      <c r="F212" s="75">
        <v>0.22222222222222221</v>
      </c>
      <c r="G212" s="75">
        <v>14</v>
      </c>
      <c r="H212" s="75">
        <v>18</v>
      </c>
      <c r="J212" s="75">
        <v>4</v>
      </c>
      <c r="K212" s="75">
        <v>15</v>
      </c>
      <c r="L212" s="76" t="s">
        <v>315</v>
      </c>
      <c r="M212" s="76" t="s">
        <v>352</v>
      </c>
      <c r="N212" s="75">
        <v>5.6960979475646001</v>
      </c>
      <c r="AI212" s="75">
        <v>5</v>
      </c>
      <c r="AJ212" s="75">
        <v>5</v>
      </c>
      <c r="AK212" s="75">
        <v>1</v>
      </c>
      <c r="AL212" s="76" t="s">
        <v>140</v>
      </c>
      <c r="AM212" s="75">
        <v>0</v>
      </c>
    </row>
    <row r="213" spans="1:39" x14ac:dyDescent="0.25">
      <c r="A213" s="77">
        <v>4</v>
      </c>
      <c r="B213" s="77">
        <v>16</v>
      </c>
      <c r="C213" s="78" t="s">
        <v>315</v>
      </c>
      <c r="D213" s="78" t="s">
        <v>356</v>
      </c>
      <c r="E213" s="77">
        <v>0</v>
      </c>
      <c r="F213" s="77">
        <v>1</v>
      </c>
      <c r="G213" s="77">
        <v>0</v>
      </c>
      <c r="H213" s="77">
        <v>14</v>
      </c>
      <c r="J213" s="77">
        <v>4</v>
      </c>
      <c r="K213" s="77">
        <v>16</v>
      </c>
      <c r="L213" s="78" t="s">
        <v>315</v>
      </c>
      <c r="M213" s="78" t="s">
        <v>356</v>
      </c>
      <c r="N213" s="77">
        <v>3.2051579627993299</v>
      </c>
      <c r="AI213" s="77">
        <v>5</v>
      </c>
      <c r="AJ213" s="77">
        <v>5</v>
      </c>
      <c r="AK213" s="77">
        <v>1</v>
      </c>
      <c r="AL213" s="78" t="s">
        <v>147</v>
      </c>
      <c r="AM213" s="77">
        <v>1</v>
      </c>
    </row>
    <row r="214" spans="1:39" x14ac:dyDescent="0.25">
      <c r="A214" s="75">
        <v>4</v>
      </c>
      <c r="B214" s="75">
        <v>17</v>
      </c>
      <c r="C214" s="76" t="s">
        <v>315</v>
      </c>
      <c r="D214" s="76" t="s">
        <v>359</v>
      </c>
      <c r="E214" s="75">
        <v>0.82352941176470584</v>
      </c>
      <c r="F214" s="75">
        <v>0.17647058823529421</v>
      </c>
      <c r="G214" s="75">
        <v>14</v>
      </c>
      <c r="H214" s="75">
        <v>17</v>
      </c>
      <c r="J214" s="75">
        <v>4</v>
      </c>
      <c r="K214" s="75">
        <v>17</v>
      </c>
      <c r="L214" s="76" t="s">
        <v>315</v>
      </c>
      <c r="M214" s="76" t="s">
        <v>359</v>
      </c>
      <c r="N214" s="75">
        <v>2.7538301653374209</v>
      </c>
      <c r="AI214" s="75">
        <v>5</v>
      </c>
      <c r="AJ214" s="75">
        <v>5</v>
      </c>
      <c r="AK214" s="75">
        <v>1</v>
      </c>
      <c r="AL214" s="76" t="s">
        <v>154</v>
      </c>
      <c r="AM214" s="75">
        <v>1</v>
      </c>
    </row>
    <row r="215" spans="1:39" ht="45" x14ac:dyDescent="0.25">
      <c r="A215" s="77">
        <v>4</v>
      </c>
      <c r="B215" s="77">
        <v>18</v>
      </c>
      <c r="C215" s="78" t="s">
        <v>315</v>
      </c>
      <c r="D215" s="78" t="s">
        <v>363</v>
      </c>
      <c r="E215" s="77">
        <v>0</v>
      </c>
      <c r="F215" s="77">
        <v>1</v>
      </c>
      <c r="G215" s="77">
        <v>0</v>
      </c>
      <c r="H215" s="77">
        <v>14</v>
      </c>
      <c r="J215" s="77">
        <v>4</v>
      </c>
      <c r="K215" s="77">
        <v>18</v>
      </c>
      <c r="L215" s="78" t="s">
        <v>315</v>
      </c>
      <c r="M215" s="78" t="s">
        <v>363</v>
      </c>
      <c r="N215" s="77">
        <v>3.2051579627993299</v>
      </c>
      <c r="AI215" s="77">
        <v>5</v>
      </c>
      <c r="AJ215" s="77">
        <v>5</v>
      </c>
      <c r="AK215" s="77">
        <v>1</v>
      </c>
      <c r="AL215" s="78" t="s">
        <v>161</v>
      </c>
      <c r="AM215" s="77">
        <v>0</v>
      </c>
    </row>
    <row r="216" spans="1:39" x14ac:dyDescent="0.25">
      <c r="A216" s="75">
        <v>4</v>
      </c>
      <c r="B216" s="75">
        <v>19</v>
      </c>
      <c r="C216" s="76" t="s">
        <v>315</v>
      </c>
      <c r="D216" s="76" t="s">
        <v>367</v>
      </c>
      <c r="E216" s="75">
        <v>0.6875</v>
      </c>
      <c r="F216" s="75">
        <v>0.3125</v>
      </c>
      <c r="G216" s="75">
        <v>11</v>
      </c>
      <c r="H216" s="75">
        <v>16</v>
      </c>
      <c r="J216" s="75">
        <v>4</v>
      </c>
      <c r="K216" s="75">
        <v>19</v>
      </c>
      <c r="L216" s="76" t="s">
        <v>315</v>
      </c>
      <c r="M216" s="76" t="s">
        <v>367</v>
      </c>
      <c r="N216" s="75">
        <v>1.9880688788589631</v>
      </c>
      <c r="AI216" s="75">
        <v>5</v>
      </c>
      <c r="AJ216" s="75">
        <v>5</v>
      </c>
      <c r="AK216" s="75">
        <v>1</v>
      </c>
      <c r="AL216" s="76" t="s">
        <v>166</v>
      </c>
      <c r="AM216" s="75">
        <v>0</v>
      </c>
    </row>
    <row r="217" spans="1:39" ht="30" x14ac:dyDescent="0.25">
      <c r="A217" s="77">
        <v>4</v>
      </c>
      <c r="B217" s="77">
        <v>20</v>
      </c>
      <c r="C217" s="78" t="s">
        <v>315</v>
      </c>
      <c r="D217" s="78" t="s">
        <v>371</v>
      </c>
      <c r="E217" s="77">
        <v>0.35714285714285721</v>
      </c>
      <c r="F217" s="77">
        <v>0.64285714285714279</v>
      </c>
      <c r="G217" s="77">
        <v>5</v>
      </c>
      <c r="H217" s="77">
        <v>14</v>
      </c>
      <c r="J217" s="77">
        <v>4</v>
      </c>
      <c r="K217" s="77">
        <v>20</v>
      </c>
      <c r="L217" s="78" t="s">
        <v>315</v>
      </c>
      <c r="M217" s="78" t="s">
        <v>371</v>
      </c>
      <c r="N217" s="77">
        <v>2.6732006538748752</v>
      </c>
      <c r="AI217" s="77">
        <v>5</v>
      </c>
      <c r="AJ217" s="77">
        <v>5</v>
      </c>
      <c r="AK217" s="77">
        <v>1</v>
      </c>
      <c r="AL217" s="78" t="s">
        <v>174</v>
      </c>
      <c r="AM217" s="77">
        <v>0</v>
      </c>
    </row>
    <row r="218" spans="1:39" ht="30" x14ac:dyDescent="0.25">
      <c r="A218" s="75">
        <v>4</v>
      </c>
      <c r="B218" s="75">
        <v>21</v>
      </c>
      <c r="C218" s="76" t="s">
        <v>315</v>
      </c>
      <c r="D218" s="76" t="s">
        <v>373</v>
      </c>
      <c r="E218" s="75">
        <v>0</v>
      </c>
      <c r="F218" s="75">
        <v>1</v>
      </c>
      <c r="G218" s="75">
        <v>0</v>
      </c>
      <c r="H218" s="75">
        <v>14</v>
      </c>
      <c r="J218" s="75">
        <v>4</v>
      </c>
      <c r="K218" s="75">
        <v>21</v>
      </c>
      <c r="L218" s="76" t="s">
        <v>315</v>
      </c>
      <c r="M218" s="76" t="s">
        <v>373</v>
      </c>
      <c r="N218" s="75">
        <v>3.2051579627993299</v>
      </c>
    </row>
    <row r="219" spans="1:39" x14ac:dyDescent="0.25">
      <c r="A219" s="77">
        <v>4</v>
      </c>
      <c r="B219" s="77">
        <v>22</v>
      </c>
      <c r="C219" s="78" t="s">
        <v>315</v>
      </c>
      <c r="D219" s="78" t="s">
        <v>377</v>
      </c>
      <c r="E219" s="77">
        <v>0.42857142857142849</v>
      </c>
      <c r="F219" s="77">
        <v>0.5714285714285714</v>
      </c>
      <c r="G219" s="77">
        <v>6</v>
      </c>
      <c r="H219" s="77">
        <v>14</v>
      </c>
      <c r="J219" s="77">
        <v>4</v>
      </c>
      <c r="K219" s="77">
        <v>22</v>
      </c>
      <c r="L219" s="78" t="s">
        <v>315</v>
      </c>
      <c r="M219" s="78" t="s">
        <v>377</v>
      </c>
      <c r="N219" s="77">
        <v>2.7181652234329992</v>
      </c>
    </row>
    <row r="220" spans="1:39" x14ac:dyDescent="0.25">
      <c r="A220" s="75">
        <v>4</v>
      </c>
      <c r="B220" s="75">
        <v>23</v>
      </c>
      <c r="C220" s="76" t="s">
        <v>315</v>
      </c>
      <c r="D220" s="76" t="s">
        <v>380</v>
      </c>
      <c r="E220" s="75">
        <v>0.6875</v>
      </c>
      <c r="F220" s="75">
        <v>0.3125</v>
      </c>
      <c r="G220" s="75">
        <v>11</v>
      </c>
      <c r="H220" s="75">
        <v>16</v>
      </c>
      <c r="J220" s="75">
        <v>4</v>
      </c>
      <c r="K220" s="75">
        <v>23</v>
      </c>
      <c r="L220" s="76" t="s">
        <v>315</v>
      </c>
      <c r="M220" s="76" t="s">
        <v>380</v>
      </c>
      <c r="N220" s="75">
        <v>3.098602400206699</v>
      </c>
    </row>
    <row r="221" spans="1:39" ht="30" x14ac:dyDescent="0.25">
      <c r="A221" s="77">
        <v>4</v>
      </c>
      <c r="B221" s="77">
        <v>24</v>
      </c>
      <c r="C221" s="78" t="s">
        <v>315</v>
      </c>
      <c r="D221" s="78" t="s">
        <v>384</v>
      </c>
      <c r="E221" s="77">
        <v>0.73333333333333328</v>
      </c>
      <c r="F221" s="77">
        <v>0.26666666666666672</v>
      </c>
      <c r="G221" s="77">
        <v>11</v>
      </c>
      <c r="H221" s="77">
        <v>15</v>
      </c>
      <c r="J221" s="77">
        <v>4</v>
      </c>
      <c r="K221" s="77">
        <v>24</v>
      </c>
      <c r="L221" s="78" t="s">
        <v>315</v>
      </c>
      <c r="M221" s="78" t="s">
        <v>384</v>
      </c>
      <c r="N221" s="77">
        <v>1.502498789633538</v>
      </c>
    </row>
    <row r="222" spans="1:39" x14ac:dyDescent="0.25">
      <c r="A222" s="75">
        <v>4</v>
      </c>
      <c r="B222" s="75">
        <v>25</v>
      </c>
      <c r="C222" s="76" t="s">
        <v>315</v>
      </c>
      <c r="D222" s="76" t="s">
        <v>386</v>
      </c>
      <c r="E222" s="75">
        <v>0.875</v>
      </c>
      <c r="F222" s="75">
        <v>0.125</v>
      </c>
      <c r="G222" s="75">
        <v>14</v>
      </c>
      <c r="H222" s="75">
        <v>16</v>
      </c>
      <c r="J222" s="75">
        <v>4</v>
      </c>
      <c r="K222" s="75">
        <v>25</v>
      </c>
      <c r="L222" s="76" t="s">
        <v>315</v>
      </c>
      <c r="M222" s="76" t="s">
        <v>386</v>
      </c>
      <c r="N222" s="75">
        <v>5.4486246709381909</v>
      </c>
    </row>
    <row r="223" spans="1:39" ht="30" x14ac:dyDescent="0.25">
      <c r="A223" s="77">
        <v>4</v>
      </c>
      <c r="B223" s="77">
        <v>26</v>
      </c>
      <c r="C223" s="78" t="s">
        <v>315</v>
      </c>
      <c r="D223" s="78" t="s">
        <v>389</v>
      </c>
      <c r="E223" s="77">
        <v>0</v>
      </c>
      <c r="F223" s="77">
        <v>1</v>
      </c>
      <c r="G223" s="77">
        <v>0</v>
      </c>
      <c r="H223" s="77">
        <v>14</v>
      </c>
      <c r="J223" s="77">
        <v>4</v>
      </c>
      <c r="K223" s="77">
        <v>26</v>
      </c>
      <c r="L223" s="78" t="s">
        <v>315</v>
      </c>
      <c r="M223" s="78" t="s">
        <v>389</v>
      </c>
      <c r="N223" s="77">
        <v>3.2051579627993299</v>
      </c>
    </row>
    <row r="224" spans="1:39" ht="30" x14ac:dyDescent="0.25">
      <c r="A224" s="75">
        <v>4</v>
      </c>
      <c r="B224" s="75">
        <v>27</v>
      </c>
      <c r="C224" s="76" t="s">
        <v>315</v>
      </c>
      <c r="D224" s="76" t="s">
        <v>393</v>
      </c>
      <c r="E224" s="75">
        <v>0.46666666666666667</v>
      </c>
      <c r="F224" s="75">
        <v>0.53333333333333333</v>
      </c>
      <c r="G224" s="75">
        <v>7</v>
      </c>
      <c r="H224" s="75">
        <v>15</v>
      </c>
      <c r="J224" s="75">
        <v>4</v>
      </c>
      <c r="K224" s="75">
        <v>27</v>
      </c>
      <c r="L224" s="76" t="s">
        <v>315</v>
      </c>
      <c r="M224" s="76" t="s">
        <v>393</v>
      </c>
      <c r="N224" s="75">
        <v>3.4794466194212821</v>
      </c>
    </row>
    <row r="225" spans="1:14" ht="45" x14ac:dyDescent="0.25">
      <c r="A225" s="77">
        <v>4</v>
      </c>
      <c r="B225" s="77">
        <v>28</v>
      </c>
      <c r="C225" s="78" t="s">
        <v>315</v>
      </c>
      <c r="D225" s="78" t="s">
        <v>396</v>
      </c>
      <c r="E225" s="77">
        <v>0</v>
      </c>
      <c r="F225" s="77">
        <v>1</v>
      </c>
      <c r="G225" s="77">
        <v>0</v>
      </c>
      <c r="H225" s="77">
        <v>14</v>
      </c>
      <c r="J225" s="77">
        <v>4</v>
      </c>
      <c r="K225" s="77">
        <v>28</v>
      </c>
      <c r="L225" s="78" t="s">
        <v>315</v>
      </c>
      <c r="M225" s="78" t="s">
        <v>396</v>
      </c>
      <c r="N225" s="77">
        <v>3.2051579627993299</v>
      </c>
    </row>
    <row r="226" spans="1:14" x14ac:dyDescent="0.25">
      <c r="A226" s="75">
        <v>4</v>
      </c>
      <c r="B226" s="75">
        <v>29</v>
      </c>
      <c r="C226" s="76" t="s">
        <v>315</v>
      </c>
      <c r="D226" s="76" t="s">
        <v>399</v>
      </c>
      <c r="E226" s="75">
        <v>0</v>
      </c>
      <c r="F226" s="75">
        <v>1</v>
      </c>
      <c r="G226" s="75">
        <v>0</v>
      </c>
      <c r="H226" s="75">
        <v>14</v>
      </c>
      <c r="J226" s="75">
        <v>4</v>
      </c>
      <c r="K226" s="75">
        <v>29</v>
      </c>
      <c r="L226" s="76" t="s">
        <v>315</v>
      </c>
      <c r="M226" s="76" t="s">
        <v>399</v>
      </c>
      <c r="N226" s="75">
        <v>3.2051579627993299</v>
      </c>
    </row>
    <row r="227" spans="1:14" ht="30" x14ac:dyDescent="0.25">
      <c r="A227" s="77">
        <v>4</v>
      </c>
      <c r="B227" s="77">
        <v>30</v>
      </c>
      <c r="C227" s="78" t="s">
        <v>315</v>
      </c>
      <c r="D227" s="78" t="s">
        <v>402</v>
      </c>
      <c r="E227" s="77">
        <v>0</v>
      </c>
      <c r="F227" s="77">
        <v>1</v>
      </c>
      <c r="G227" s="77">
        <v>0</v>
      </c>
      <c r="H227" s="77">
        <v>14</v>
      </c>
      <c r="J227" s="77">
        <v>4</v>
      </c>
      <c r="K227" s="77">
        <v>30</v>
      </c>
      <c r="L227" s="78" t="s">
        <v>315</v>
      </c>
      <c r="M227" s="78" t="s">
        <v>402</v>
      </c>
      <c r="N227" s="77">
        <v>3.2051579627993299</v>
      </c>
    </row>
    <row r="228" spans="1:14" x14ac:dyDescent="0.25">
      <c r="A228" s="75">
        <v>4</v>
      </c>
      <c r="B228" s="75">
        <v>31</v>
      </c>
      <c r="C228" s="76" t="s">
        <v>315</v>
      </c>
      <c r="D228" s="76" t="s">
        <v>406</v>
      </c>
      <c r="E228" s="75">
        <v>0.75</v>
      </c>
      <c r="F228" s="75">
        <v>0.25</v>
      </c>
      <c r="G228" s="75">
        <v>12</v>
      </c>
      <c r="H228" s="75">
        <v>16</v>
      </c>
      <c r="J228" s="75">
        <v>4</v>
      </c>
      <c r="K228" s="75">
        <v>31</v>
      </c>
      <c r="L228" s="76" t="s">
        <v>315</v>
      </c>
      <c r="M228" s="76" t="s">
        <v>406</v>
      </c>
      <c r="N228" s="75">
        <v>1.502498789633538</v>
      </c>
    </row>
    <row r="229" spans="1:14" x14ac:dyDescent="0.25">
      <c r="A229" s="77">
        <v>4</v>
      </c>
      <c r="B229" s="77">
        <v>32</v>
      </c>
      <c r="C229" s="78" t="s">
        <v>315</v>
      </c>
      <c r="D229" s="78" t="s">
        <v>407</v>
      </c>
      <c r="E229" s="77">
        <v>0.82352941176470584</v>
      </c>
      <c r="F229" s="77">
        <v>0.17647058823529421</v>
      </c>
      <c r="G229" s="77">
        <v>14</v>
      </c>
      <c r="H229" s="77">
        <v>17</v>
      </c>
      <c r="J229" s="77">
        <v>4</v>
      </c>
      <c r="K229" s="77">
        <v>32</v>
      </c>
      <c r="L229" s="78" t="s">
        <v>315</v>
      </c>
      <c r="M229" s="78" t="s">
        <v>407</v>
      </c>
      <c r="N229" s="77">
        <v>5.9046120697610256</v>
      </c>
    </row>
    <row r="230" spans="1:14" x14ac:dyDescent="0.25">
      <c r="A230" s="75">
        <v>4</v>
      </c>
      <c r="B230" s="75">
        <v>33</v>
      </c>
      <c r="C230" s="76" t="s">
        <v>315</v>
      </c>
      <c r="D230" s="76" t="s">
        <v>410</v>
      </c>
      <c r="E230" s="75">
        <v>0</v>
      </c>
      <c r="F230" s="75">
        <v>1</v>
      </c>
      <c r="G230" s="75">
        <v>0</v>
      </c>
      <c r="H230" s="75">
        <v>14</v>
      </c>
      <c r="J230" s="75">
        <v>4</v>
      </c>
      <c r="K230" s="75">
        <v>33</v>
      </c>
      <c r="L230" s="76" t="s">
        <v>315</v>
      </c>
      <c r="M230" s="76" t="s">
        <v>410</v>
      </c>
      <c r="N230" s="75">
        <v>3.2051579627993299</v>
      </c>
    </row>
    <row r="231" spans="1:14" x14ac:dyDescent="0.25">
      <c r="A231" s="77">
        <v>4</v>
      </c>
      <c r="B231" s="77">
        <v>34</v>
      </c>
      <c r="C231" s="78" t="s">
        <v>315</v>
      </c>
      <c r="D231" s="78" t="s">
        <v>413</v>
      </c>
      <c r="E231" s="77">
        <v>0.8125</v>
      </c>
      <c r="F231" s="77">
        <v>0.1875</v>
      </c>
      <c r="G231" s="77">
        <v>13</v>
      </c>
      <c r="H231" s="77">
        <v>16</v>
      </c>
      <c r="J231" s="77">
        <v>4</v>
      </c>
      <c r="K231" s="77">
        <v>34</v>
      </c>
      <c r="L231" s="78" t="s">
        <v>315</v>
      </c>
      <c r="M231" s="78" t="s">
        <v>413</v>
      </c>
      <c r="N231" s="77">
        <v>1.6797844557018531</v>
      </c>
    </row>
    <row r="232" spans="1:14" ht="30" x14ac:dyDescent="0.25">
      <c r="A232" s="75">
        <v>4</v>
      </c>
      <c r="B232" s="75">
        <v>35</v>
      </c>
      <c r="C232" s="76" t="s">
        <v>315</v>
      </c>
      <c r="D232" s="76" t="s">
        <v>416</v>
      </c>
      <c r="E232" s="75">
        <v>0</v>
      </c>
      <c r="F232" s="75">
        <v>1</v>
      </c>
      <c r="G232" s="75">
        <v>0</v>
      </c>
      <c r="H232" s="75">
        <v>14</v>
      </c>
      <c r="J232" s="75">
        <v>4</v>
      </c>
      <c r="K232" s="75">
        <v>35</v>
      </c>
      <c r="L232" s="76" t="s">
        <v>315</v>
      </c>
      <c r="M232" s="76" t="s">
        <v>416</v>
      </c>
      <c r="N232" s="75">
        <v>3.2051579627993299</v>
      </c>
    </row>
    <row r="233" spans="1:14" ht="45" x14ac:dyDescent="0.25">
      <c r="A233" s="77">
        <v>4</v>
      </c>
      <c r="B233" s="77">
        <v>36</v>
      </c>
      <c r="C233" s="78" t="s">
        <v>315</v>
      </c>
      <c r="D233" s="78" t="s">
        <v>420</v>
      </c>
      <c r="E233" s="77">
        <v>0.8571428571428571</v>
      </c>
      <c r="F233" s="77">
        <v>0.1428571428571429</v>
      </c>
      <c r="G233" s="77">
        <v>12</v>
      </c>
      <c r="H233" s="77">
        <v>14</v>
      </c>
      <c r="J233" s="77">
        <v>4</v>
      </c>
      <c r="K233" s="77">
        <v>36</v>
      </c>
      <c r="L233" s="78" t="s">
        <v>315</v>
      </c>
      <c r="M233" s="78" t="s">
        <v>420</v>
      </c>
      <c r="N233" s="77">
        <v>1.9880688788589631</v>
      </c>
    </row>
    <row r="234" spans="1:14" x14ac:dyDescent="0.25">
      <c r="A234" s="75">
        <v>4</v>
      </c>
      <c r="B234" s="75">
        <v>37</v>
      </c>
      <c r="C234" s="76" t="s">
        <v>315</v>
      </c>
      <c r="D234" s="76" t="s">
        <v>422</v>
      </c>
      <c r="E234" s="75">
        <v>0</v>
      </c>
      <c r="F234" s="75">
        <v>1</v>
      </c>
      <c r="G234" s="75">
        <v>0</v>
      </c>
      <c r="H234" s="75">
        <v>14</v>
      </c>
      <c r="J234" s="75">
        <v>4</v>
      </c>
      <c r="K234" s="75">
        <v>37</v>
      </c>
      <c r="L234" s="76" t="s">
        <v>315</v>
      </c>
      <c r="M234" s="76" t="s">
        <v>422</v>
      </c>
      <c r="N234" s="75">
        <v>3.2051579627993299</v>
      </c>
    </row>
    <row r="235" spans="1:14" ht="30" x14ac:dyDescent="0.25">
      <c r="A235" s="77">
        <v>4</v>
      </c>
      <c r="B235" s="77">
        <v>38</v>
      </c>
      <c r="C235" s="78" t="s">
        <v>315</v>
      </c>
      <c r="D235" s="78" t="s">
        <v>425</v>
      </c>
      <c r="E235" s="77">
        <v>0.6</v>
      </c>
      <c r="F235" s="77">
        <v>0.4</v>
      </c>
      <c r="G235" s="77">
        <v>9</v>
      </c>
      <c r="H235" s="77">
        <v>15</v>
      </c>
      <c r="J235" s="77">
        <v>4</v>
      </c>
      <c r="K235" s="77">
        <v>38</v>
      </c>
      <c r="L235" s="78" t="s">
        <v>315</v>
      </c>
      <c r="M235" s="78" t="s">
        <v>425</v>
      </c>
      <c r="N235" s="77">
        <v>3.2051579627993299</v>
      </c>
    </row>
    <row r="236" spans="1:14" x14ac:dyDescent="0.25">
      <c r="A236" s="75">
        <v>4</v>
      </c>
      <c r="B236" s="75">
        <v>39</v>
      </c>
      <c r="C236" s="76" t="s">
        <v>315</v>
      </c>
      <c r="D236" s="76" t="s">
        <v>427</v>
      </c>
      <c r="E236" s="75">
        <v>0</v>
      </c>
      <c r="F236" s="75">
        <v>1</v>
      </c>
      <c r="G236" s="75">
        <v>0</v>
      </c>
      <c r="H236" s="75">
        <v>14</v>
      </c>
      <c r="J236" s="75">
        <v>4</v>
      </c>
      <c r="K236" s="75">
        <v>39</v>
      </c>
      <c r="L236" s="76" t="s">
        <v>315</v>
      </c>
      <c r="M236" s="76" t="s">
        <v>427</v>
      </c>
      <c r="N236" s="75">
        <v>3.2051579627993299</v>
      </c>
    </row>
    <row r="237" spans="1:14" x14ac:dyDescent="0.25">
      <c r="A237" s="77">
        <v>4</v>
      </c>
      <c r="B237" s="77">
        <v>40</v>
      </c>
      <c r="C237" s="78" t="s">
        <v>315</v>
      </c>
      <c r="D237" s="78" t="s">
        <v>431</v>
      </c>
      <c r="E237" s="77">
        <v>0.66666666666666663</v>
      </c>
      <c r="F237" s="77">
        <v>0.33333333333333343</v>
      </c>
      <c r="G237" s="77">
        <v>10</v>
      </c>
      <c r="H237" s="77">
        <v>15</v>
      </c>
      <c r="J237" s="77">
        <v>4</v>
      </c>
      <c r="K237" s="77">
        <v>40</v>
      </c>
      <c r="L237" s="78" t="s">
        <v>315</v>
      </c>
      <c r="M237" s="78" t="s">
        <v>431</v>
      </c>
      <c r="N237" s="77">
        <v>3.006187557322296</v>
      </c>
    </row>
    <row r="238" spans="1:14" x14ac:dyDescent="0.25">
      <c r="A238" s="75">
        <v>5</v>
      </c>
      <c r="B238" s="75">
        <v>6</v>
      </c>
      <c r="C238" s="76" t="s">
        <v>318</v>
      </c>
      <c r="D238" s="76" t="s">
        <v>321</v>
      </c>
      <c r="E238" s="75">
        <v>0.6</v>
      </c>
      <c r="F238" s="75">
        <v>0.4</v>
      </c>
      <c r="G238" s="75">
        <v>9</v>
      </c>
      <c r="H238" s="75">
        <v>15</v>
      </c>
      <c r="J238" s="75">
        <v>5</v>
      </c>
      <c r="K238" s="75">
        <v>6</v>
      </c>
      <c r="L238" s="76" t="s">
        <v>318</v>
      </c>
      <c r="M238" s="76" t="s">
        <v>321</v>
      </c>
      <c r="N238" s="75">
        <v>3.0467158252533659</v>
      </c>
    </row>
    <row r="239" spans="1:14" x14ac:dyDescent="0.25">
      <c r="A239" s="77">
        <v>5</v>
      </c>
      <c r="B239" s="77">
        <v>7</v>
      </c>
      <c r="C239" s="78" t="s">
        <v>318</v>
      </c>
      <c r="D239" s="78" t="s">
        <v>325</v>
      </c>
      <c r="E239" s="77">
        <v>0.76470588235294112</v>
      </c>
      <c r="F239" s="77">
        <v>0.2352941176470589</v>
      </c>
      <c r="G239" s="77">
        <v>13</v>
      </c>
      <c r="H239" s="77">
        <v>17</v>
      </c>
      <c r="J239" s="77">
        <v>5</v>
      </c>
      <c r="K239" s="77">
        <v>7</v>
      </c>
      <c r="L239" s="78" t="s">
        <v>318</v>
      </c>
      <c r="M239" s="78" t="s">
        <v>325</v>
      </c>
      <c r="N239" s="77">
        <v>2.855124387899648</v>
      </c>
    </row>
    <row r="240" spans="1:14" x14ac:dyDescent="0.25">
      <c r="A240" s="75">
        <v>5</v>
      </c>
      <c r="B240" s="75">
        <v>8</v>
      </c>
      <c r="C240" s="76" t="s">
        <v>318</v>
      </c>
      <c r="D240" s="76" t="s">
        <v>327</v>
      </c>
      <c r="E240" s="75">
        <v>0</v>
      </c>
      <c r="F240" s="75">
        <v>1</v>
      </c>
      <c r="G240" s="75">
        <v>0</v>
      </c>
      <c r="H240" s="75">
        <v>15</v>
      </c>
      <c r="J240" s="75">
        <v>5</v>
      </c>
      <c r="K240" s="75">
        <v>8</v>
      </c>
      <c r="L240" s="76" t="s">
        <v>318</v>
      </c>
      <c r="M240" s="76" t="s">
        <v>327</v>
      </c>
      <c r="N240" s="75">
        <v>4.1283349870270181</v>
      </c>
    </row>
    <row r="241" spans="1:14" ht="30" x14ac:dyDescent="0.25">
      <c r="A241" s="77">
        <v>5</v>
      </c>
      <c r="B241" s="77">
        <v>9</v>
      </c>
      <c r="C241" s="78" t="s">
        <v>318</v>
      </c>
      <c r="D241" s="78" t="s">
        <v>330</v>
      </c>
      <c r="E241" s="77">
        <v>0.70588235294117652</v>
      </c>
      <c r="F241" s="77">
        <v>0.29411764705882348</v>
      </c>
      <c r="G241" s="77">
        <v>12</v>
      </c>
      <c r="H241" s="77">
        <v>17</v>
      </c>
      <c r="J241" s="77">
        <v>5</v>
      </c>
      <c r="K241" s="77">
        <v>9</v>
      </c>
      <c r="L241" s="78" t="s">
        <v>318</v>
      </c>
      <c r="M241" s="78" t="s">
        <v>330</v>
      </c>
      <c r="N241" s="77">
        <v>1.841149235796647</v>
      </c>
    </row>
    <row r="242" spans="1:14" x14ac:dyDescent="0.25">
      <c r="A242" s="75">
        <v>5</v>
      </c>
      <c r="B242" s="75">
        <v>10</v>
      </c>
      <c r="C242" s="76" t="s">
        <v>318</v>
      </c>
      <c r="D242" s="76" t="s">
        <v>334</v>
      </c>
      <c r="E242" s="75">
        <v>0.4375</v>
      </c>
      <c r="F242" s="75">
        <v>0.5625</v>
      </c>
      <c r="G242" s="75">
        <v>7</v>
      </c>
      <c r="H242" s="75">
        <v>16</v>
      </c>
      <c r="J242" s="75">
        <v>5</v>
      </c>
      <c r="K242" s="75">
        <v>10</v>
      </c>
      <c r="L242" s="76" t="s">
        <v>318</v>
      </c>
      <c r="M242" s="76" t="s">
        <v>334</v>
      </c>
      <c r="N242" s="75">
        <v>3.495883104489506</v>
      </c>
    </row>
    <row r="243" spans="1:14" ht="30" x14ac:dyDescent="0.25">
      <c r="A243" s="77">
        <v>5</v>
      </c>
      <c r="B243" s="77">
        <v>11</v>
      </c>
      <c r="C243" s="78" t="s">
        <v>318</v>
      </c>
      <c r="D243" s="78" t="s">
        <v>338</v>
      </c>
      <c r="E243" s="77">
        <v>0.3125</v>
      </c>
      <c r="F243" s="77">
        <v>0.6875</v>
      </c>
      <c r="G243" s="77">
        <v>5</v>
      </c>
      <c r="H243" s="77">
        <v>16</v>
      </c>
      <c r="J243" s="77">
        <v>5</v>
      </c>
      <c r="K243" s="77">
        <v>11</v>
      </c>
      <c r="L243" s="78" t="s">
        <v>318</v>
      </c>
      <c r="M243" s="78" t="s">
        <v>338</v>
      </c>
      <c r="N243" s="77">
        <v>3.730430797440488</v>
      </c>
    </row>
    <row r="244" spans="1:14" ht="30" x14ac:dyDescent="0.25">
      <c r="A244" s="75">
        <v>5</v>
      </c>
      <c r="B244" s="75">
        <v>12</v>
      </c>
      <c r="C244" s="76" t="s">
        <v>318</v>
      </c>
      <c r="D244" s="76" t="s">
        <v>342</v>
      </c>
      <c r="E244" s="75">
        <v>0.8125</v>
      </c>
      <c r="F244" s="75">
        <v>0.1875</v>
      </c>
      <c r="G244" s="75">
        <v>13</v>
      </c>
      <c r="H244" s="75">
        <v>16</v>
      </c>
      <c r="J244" s="75">
        <v>5</v>
      </c>
      <c r="K244" s="75">
        <v>12</v>
      </c>
      <c r="L244" s="76" t="s">
        <v>318</v>
      </c>
      <c r="M244" s="76" t="s">
        <v>342</v>
      </c>
      <c r="N244" s="75">
        <v>1.301889109808239</v>
      </c>
    </row>
    <row r="245" spans="1:14" ht="30" x14ac:dyDescent="0.25">
      <c r="A245" s="77">
        <v>5</v>
      </c>
      <c r="B245" s="77">
        <v>13</v>
      </c>
      <c r="C245" s="78" t="s">
        <v>318</v>
      </c>
      <c r="D245" s="78" t="s">
        <v>344</v>
      </c>
      <c r="E245" s="77">
        <v>0.3125</v>
      </c>
      <c r="F245" s="77">
        <v>0.6875</v>
      </c>
      <c r="G245" s="77">
        <v>5</v>
      </c>
      <c r="H245" s="77">
        <v>16</v>
      </c>
      <c r="J245" s="77">
        <v>5</v>
      </c>
      <c r="K245" s="77">
        <v>13</v>
      </c>
      <c r="L245" s="78" t="s">
        <v>318</v>
      </c>
      <c r="M245" s="78" t="s">
        <v>344</v>
      </c>
      <c r="N245" s="77">
        <v>2.586441261308245</v>
      </c>
    </row>
    <row r="246" spans="1:14" ht="30" x14ac:dyDescent="0.25">
      <c r="A246" s="75">
        <v>5</v>
      </c>
      <c r="B246" s="75">
        <v>14</v>
      </c>
      <c r="C246" s="76" t="s">
        <v>318</v>
      </c>
      <c r="D246" s="76" t="s">
        <v>348</v>
      </c>
      <c r="E246" s="75">
        <v>0</v>
      </c>
      <c r="F246" s="75">
        <v>1</v>
      </c>
      <c r="G246" s="75">
        <v>0</v>
      </c>
      <c r="H246" s="75">
        <v>15</v>
      </c>
      <c r="J246" s="75">
        <v>5</v>
      </c>
      <c r="K246" s="75">
        <v>14</v>
      </c>
      <c r="L246" s="76" t="s">
        <v>318</v>
      </c>
      <c r="M246" s="76" t="s">
        <v>348</v>
      </c>
      <c r="N246" s="75">
        <v>4.1283349870270181</v>
      </c>
    </row>
    <row r="247" spans="1:14" ht="30" x14ac:dyDescent="0.25">
      <c r="A247" s="77">
        <v>5</v>
      </c>
      <c r="B247" s="77">
        <v>15</v>
      </c>
      <c r="C247" s="78" t="s">
        <v>318</v>
      </c>
      <c r="D247" s="78" t="s">
        <v>352</v>
      </c>
      <c r="E247" s="77">
        <v>0.83333333333333337</v>
      </c>
      <c r="F247" s="77">
        <v>0.1666666666666666</v>
      </c>
      <c r="G247" s="77">
        <v>15</v>
      </c>
      <c r="H247" s="77">
        <v>18</v>
      </c>
      <c r="J247" s="77">
        <v>5</v>
      </c>
      <c r="K247" s="77">
        <v>15</v>
      </c>
      <c r="L247" s="78" t="s">
        <v>318</v>
      </c>
      <c r="M247" s="78" t="s">
        <v>352</v>
      </c>
      <c r="N247" s="77">
        <v>4.2141961547810114</v>
      </c>
    </row>
    <row r="248" spans="1:14" x14ac:dyDescent="0.25">
      <c r="A248" s="75">
        <v>5</v>
      </c>
      <c r="B248" s="75">
        <v>16</v>
      </c>
      <c r="C248" s="76" t="s">
        <v>318</v>
      </c>
      <c r="D248" s="76" t="s">
        <v>356</v>
      </c>
      <c r="E248" s="75">
        <v>0</v>
      </c>
      <c r="F248" s="75">
        <v>1</v>
      </c>
      <c r="G248" s="75">
        <v>0</v>
      </c>
      <c r="H248" s="75">
        <v>15</v>
      </c>
      <c r="J248" s="75">
        <v>5</v>
      </c>
      <c r="K248" s="75">
        <v>16</v>
      </c>
      <c r="L248" s="76" t="s">
        <v>318</v>
      </c>
      <c r="M248" s="76" t="s">
        <v>356</v>
      </c>
      <c r="N248" s="75">
        <v>4.1283349870270181</v>
      </c>
    </row>
    <row r="249" spans="1:14" x14ac:dyDescent="0.25">
      <c r="A249" s="77">
        <v>5</v>
      </c>
      <c r="B249" s="77">
        <v>17</v>
      </c>
      <c r="C249" s="78" t="s">
        <v>318</v>
      </c>
      <c r="D249" s="78" t="s">
        <v>359</v>
      </c>
      <c r="E249" s="77">
        <v>0.77777777777777779</v>
      </c>
      <c r="F249" s="77">
        <v>0.22222222222222221</v>
      </c>
      <c r="G249" s="77">
        <v>14</v>
      </c>
      <c r="H249" s="77">
        <v>18</v>
      </c>
      <c r="J249" s="77">
        <v>5</v>
      </c>
      <c r="K249" s="77">
        <v>17</v>
      </c>
      <c r="L249" s="78" t="s">
        <v>318</v>
      </c>
      <c r="M249" s="78" t="s">
        <v>359</v>
      </c>
      <c r="N249" s="77">
        <v>3.3111723406768139</v>
      </c>
    </row>
    <row r="250" spans="1:14" ht="45" x14ac:dyDescent="0.25">
      <c r="A250" s="75">
        <v>5</v>
      </c>
      <c r="B250" s="75">
        <v>18</v>
      </c>
      <c r="C250" s="76" t="s">
        <v>318</v>
      </c>
      <c r="D250" s="76" t="s">
        <v>363</v>
      </c>
      <c r="E250" s="75">
        <v>0</v>
      </c>
      <c r="F250" s="75">
        <v>1</v>
      </c>
      <c r="G250" s="75">
        <v>0</v>
      </c>
      <c r="H250" s="75">
        <v>15</v>
      </c>
      <c r="J250" s="75">
        <v>5</v>
      </c>
      <c r="K250" s="75">
        <v>18</v>
      </c>
      <c r="L250" s="76" t="s">
        <v>318</v>
      </c>
      <c r="M250" s="76" t="s">
        <v>363</v>
      </c>
      <c r="N250" s="75">
        <v>4.1283349870270181</v>
      </c>
    </row>
    <row r="251" spans="1:14" x14ac:dyDescent="0.25">
      <c r="A251" s="77">
        <v>5</v>
      </c>
      <c r="B251" s="77">
        <v>19</v>
      </c>
      <c r="C251" s="78" t="s">
        <v>318</v>
      </c>
      <c r="D251" s="78" t="s">
        <v>367</v>
      </c>
      <c r="E251" s="77">
        <v>0.8666666666666667</v>
      </c>
      <c r="F251" s="77">
        <v>0.1333333333333333</v>
      </c>
      <c r="G251" s="77">
        <v>13</v>
      </c>
      <c r="H251" s="77">
        <v>15</v>
      </c>
      <c r="J251" s="77">
        <v>5</v>
      </c>
      <c r="K251" s="77">
        <v>19</v>
      </c>
      <c r="L251" s="78" t="s">
        <v>318</v>
      </c>
      <c r="M251" s="78" t="s">
        <v>367</v>
      </c>
      <c r="N251" s="77">
        <v>1.6809691560844451</v>
      </c>
    </row>
    <row r="252" spans="1:14" ht="30" x14ac:dyDescent="0.25">
      <c r="A252" s="75">
        <v>5</v>
      </c>
      <c r="B252" s="75">
        <v>20</v>
      </c>
      <c r="C252" s="76" t="s">
        <v>318</v>
      </c>
      <c r="D252" s="76" t="s">
        <v>371</v>
      </c>
      <c r="E252" s="75">
        <v>0.33333333333333331</v>
      </c>
      <c r="F252" s="75">
        <v>0.66666666666666674</v>
      </c>
      <c r="G252" s="75">
        <v>5</v>
      </c>
      <c r="H252" s="75">
        <v>15</v>
      </c>
      <c r="J252" s="75">
        <v>5</v>
      </c>
      <c r="K252" s="75">
        <v>20</v>
      </c>
      <c r="L252" s="76" t="s">
        <v>318</v>
      </c>
      <c r="M252" s="76" t="s">
        <v>371</v>
      </c>
      <c r="N252" s="75">
        <v>3.730430797440488</v>
      </c>
    </row>
    <row r="253" spans="1:14" ht="30" x14ac:dyDescent="0.25">
      <c r="A253" s="77">
        <v>5</v>
      </c>
      <c r="B253" s="77">
        <v>21</v>
      </c>
      <c r="C253" s="78" t="s">
        <v>318</v>
      </c>
      <c r="D253" s="78" t="s">
        <v>373</v>
      </c>
      <c r="E253" s="77">
        <v>0</v>
      </c>
      <c r="F253" s="77">
        <v>1</v>
      </c>
      <c r="G253" s="77">
        <v>0</v>
      </c>
      <c r="H253" s="77">
        <v>15</v>
      </c>
      <c r="J253" s="77">
        <v>5</v>
      </c>
      <c r="K253" s="77">
        <v>21</v>
      </c>
      <c r="L253" s="78" t="s">
        <v>318</v>
      </c>
      <c r="M253" s="78" t="s">
        <v>373</v>
      </c>
      <c r="N253" s="77">
        <v>4.1283349870270181</v>
      </c>
    </row>
    <row r="254" spans="1:14" x14ac:dyDescent="0.25">
      <c r="A254" s="75">
        <v>5</v>
      </c>
      <c r="B254" s="75">
        <v>22</v>
      </c>
      <c r="C254" s="76" t="s">
        <v>318</v>
      </c>
      <c r="D254" s="76" t="s">
        <v>377</v>
      </c>
      <c r="E254" s="75">
        <v>0.4</v>
      </c>
      <c r="F254" s="75">
        <v>0.6</v>
      </c>
      <c r="G254" s="75">
        <v>6</v>
      </c>
      <c r="H254" s="75">
        <v>15</v>
      </c>
      <c r="J254" s="75">
        <v>5</v>
      </c>
      <c r="K254" s="75">
        <v>22</v>
      </c>
      <c r="L254" s="76" t="s">
        <v>318</v>
      </c>
      <c r="M254" s="76" t="s">
        <v>377</v>
      </c>
      <c r="N254" s="75">
        <v>3.7627827974115089</v>
      </c>
    </row>
    <row r="255" spans="1:14" x14ac:dyDescent="0.25">
      <c r="A255" s="77">
        <v>5</v>
      </c>
      <c r="B255" s="77">
        <v>23</v>
      </c>
      <c r="C255" s="78" t="s">
        <v>318</v>
      </c>
      <c r="D255" s="78" t="s">
        <v>380</v>
      </c>
      <c r="E255" s="77">
        <v>0.6470588235294118</v>
      </c>
      <c r="F255" s="77">
        <v>0.3529411764705882</v>
      </c>
      <c r="G255" s="77">
        <v>11</v>
      </c>
      <c r="H255" s="77">
        <v>17</v>
      </c>
      <c r="J255" s="77">
        <v>5</v>
      </c>
      <c r="K255" s="77">
        <v>23</v>
      </c>
      <c r="L255" s="78" t="s">
        <v>318</v>
      </c>
      <c r="M255" s="78" t="s">
        <v>380</v>
      </c>
      <c r="N255" s="77">
        <v>1.301889109808239</v>
      </c>
    </row>
    <row r="256" spans="1:14" ht="30" x14ac:dyDescent="0.25">
      <c r="A256" s="75">
        <v>5</v>
      </c>
      <c r="B256" s="75">
        <v>24</v>
      </c>
      <c r="C256" s="76" t="s">
        <v>318</v>
      </c>
      <c r="D256" s="76" t="s">
        <v>384</v>
      </c>
      <c r="E256" s="75">
        <v>0.6875</v>
      </c>
      <c r="F256" s="75">
        <v>0.3125</v>
      </c>
      <c r="G256" s="75">
        <v>11</v>
      </c>
      <c r="H256" s="75">
        <v>16</v>
      </c>
      <c r="J256" s="75">
        <v>5</v>
      </c>
      <c r="K256" s="75">
        <v>24</v>
      </c>
      <c r="L256" s="76" t="s">
        <v>318</v>
      </c>
      <c r="M256" s="76" t="s">
        <v>384</v>
      </c>
      <c r="N256" s="75">
        <v>3.0045989435306781</v>
      </c>
    </row>
    <row r="257" spans="1:14" x14ac:dyDescent="0.25">
      <c r="A257" s="77">
        <v>5</v>
      </c>
      <c r="B257" s="77">
        <v>25</v>
      </c>
      <c r="C257" s="78" t="s">
        <v>318</v>
      </c>
      <c r="D257" s="78" t="s">
        <v>386</v>
      </c>
      <c r="E257" s="77">
        <v>0.82352941176470584</v>
      </c>
      <c r="F257" s="77">
        <v>0.17647058823529421</v>
      </c>
      <c r="G257" s="77">
        <v>14</v>
      </c>
      <c r="H257" s="77">
        <v>17</v>
      </c>
      <c r="J257" s="77">
        <v>5</v>
      </c>
      <c r="K257" s="77">
        <v>25</v>
      </c>
      <c r="L257" s="78" t="s">
        <v>318</v>
      </c>
      <c r="M257" s="78" t="s">
        <v>386</v>
      </c>
      <c r="N257" s="77">
        <v>3.8731677226112642</v>
      </c>
    </row>
    <row r="258" spans="1:14" ht="30" x14ac:dyDescent="0.25">
      <c r="A258" s="75">
        <v>5</v>
      </c>
      <c r="B258" s="75">
        <v>26</v>
      </c>
      <c r="C258" s="76" t="s">
        <v>318</v>
      </c>
      <c r="D258" s="76" t="s">
        <v>389</v>
      </c>
      <c r="E258" s="75">
        <v>0</v>
      </c>
      <c r="F258" s="75">
        <v>1</v>
      </c>
      <c r="G258" s="75">
        <v>0</v>
      </c>
      <c r="H258" s="75">
        <v>15</v>
      </c>
      <c r="J258" s="75">
        <v>5</v>
      </c>
      <c r="K258" s="75">
        <v>26</v>
      </c>
      <c r="L258" s="76" t="s">
        <v>318</v>
      </c>
      <c r="M258" s="76" t="s">
        <v>389</v>
      </c>
      <c r="N258" s="75">
        <v>4.1283349870270181</v>
      </c>
    </row>
    <row r="259" spans="1:14" ht="30" x14ac:dyDescent="0.25">
      <c r="A259" s="77">
        <v>5</v>
      </c>
      <c r="B259" s="77">
        <v>27</v>
      </c>
      <c r="C259" s="78" t="s">
        <v>318</v>
      </c>
      <c r="D259" s="78" t="s">
        <v>393</v>
      </c>
      <c r="E259" s="77">
        <v>0.35294117647058831</v>
      </c>
      <c r="F259" s="77">
        <v>0.64705882352941169</v>
      </c>
      <c r="G259" s="77">
        <v>6</v>
      </c>
      <c r="H259" s="77">
        <v>17</v>
      </c>
      <c r="J259" s="77">
        <v>5</v>
      </c>
      <c r="K259" s="77">
        <v>27</v>
      </c>
      <c r="L259" s="78" t="s">
        <v>318</v>
      </c>
      <c r="M259" s="78" t="s">
        <v>393</v>
      </c>
      <c r="N259" s="77">
        <v>3.3135763479995308</v>
      </c>
    </row>
    <row r="260" spans="1:14" ht="45" x14ac:dyDescent="0.25">
      <c r="A260" s="75">
        <v>5</v>
      </c>
      <c r="B260" s="75">
        <v>28</v>
      </c>
      <c r="C260" s="76" t="s">
        <v>318</v>
      </c>
      <c r="D260" s="76" t="s">
        <v>396</v>
      </c>
      <c r="E260" s="75">
        <v>0</v>
      </c>
      <c r="F260" s="75">
        <v>1</v>
      </c>
      <c r="G260" s="75">
        <v>0</v>
      </c>
      <c r="H260" s="75">
        <v>15</v>
      </c>
      <c r="J260" s="75">
        <v>5</v>
      </c>
      <c r="K260" s="75">
        <v>28</v>
      </c>
      <c r="L260" s="76" t="s">
        <v>318</v>
      </c>
      <c r="M260" s="76" t="s">
        <v>396</v>
      </c>
      <c r="N260" s="75">
        <v>4.1283349870270181</v>
      </c>
    </row>
    <row r="261" spans="1:14" x14ac:dyDescent="0.25">
      <c r="A261" s="77">
        <v>5</v>
      </c>
      <c r="B261" s="77">
        <v>29</v>
      </c>
      <c r="C261" s="78" t="s">
        <v>318</v>
      </c>
      <c r="D261" s="78" t="s">
        <v>399</v>
      </c>
      <c r="E261" s="77">
        <v>0</v>
      </c>
      <c r="F261" s="77">
        <v>1</v>
      </c>
      <c r="G261" s="77">
        <v>0</v>
      </c>
      <c r="H261" s="77">
        <v>15</v>
      </c>
      <c r="J261" s="77">
        <v>5</v>
      </c>
      <c r="K261" s="77">
        <v>29</v>
      </c>
      <c r="L261" s="78" t="s">
        <v>318</v>
      </c>
      <c r="M261" s="78" t="s">
        <v>399</v>
      </c>
      <c r="N261" s="77">
        <v>4.1283349870270181</v>
      </c>
    </row>
    <row r="262" spans="1:14" ht="30" x14ac:dyDescent="0.25">
      <c r="A262" s="75">
        <v>5</v>
      </c>
      <c r="B262" s="75">
        <v>30</v>
      </c>
      <c r="C262" s="76" t="s">
        <v>318</v>
      </c>
      <c r="D262" s="76" t="s">
        <v>402</v>
      </c>
      <c r="E262" s="75">
        <v>0</v>
      </c>
      <c r="F262" s="75">
        <v>1</v>
      </c>
      <c r="G262" s="75">
        <v>0</v>
      </c>
      <c r="H262" s="75">
        <v>15</v>
      </c>
      <c r="J262" s="75">
        <v>5</v>
      </c>
      <c r="K262" s="75">
        <v>30</v>
      </c>
      <c r="L262" s="76" t="s">
        <v>318</v>
      </c>
      <c r="M262" s="76" t="s">
        <v>402</v>
      </c>
      <c r="N262" s="75">
        <v>4.1283349870270181</v>
      </c>
    </row>
    <row r="263" spans="1:14" x14ac:dyDescent="0.25">
      <c r="A263" s="77">
        <v>5</v>
      </c>
      <c r="B263" s="77">
        <v>31</v>
      </c>
      <c r="C263" s="78" t="s">
        <v>318</v>
      </c>
      <c r="D263" s="78" t="s">
        <v>406</v>
      </c>
      <c r="E263" s="77">
        <v>0.70588235294117652</v>
      </c>
      <c r="F263" s="77">
        <v>0.29411764705882348</v>
      </c>
      <c r="G263" s="77">
        <v>12</v>
      </c>
      <c r="H263" s="77">
        <v>17</v>
      </c>
      <c r="J263" s="77">
        <v>5</v>
      </c>
      <c r="K263" s="77">
        <v>31</v>
      </c>
      <c r="L263" s="78" t="s">
        <v>318</v>
      </c>
      <c r="M263" s="78" t="s">
        <v>406</v>
      </c>
      <c r="N263" s="77">
        <v>3.0045989435306781</v>
      </c>
    </row>
    <row r="264" spans="1:14" x14ac:dyDescent="0.25">
      <c r="A264" s="75">
        <v>5</v>
      </c>
      <c r="B264" s="75">
        <v>32</v>
      </c>
      <c r="C264" s="76" t="s">
        <v>318</v>
      </c>
      <c r="D264" s="76" t="s">
        <v>407</v>
      </c>
      <c r="E264" s="75">
        <v>0.77777777777777779</v>
      </c>
      <c r="F264" s="75">
        <v>0.22222222222222221</v>
      </c>
      <c r="G264" s="75">
        <v>14</v>
      </c>
      <c r="H264" s="75">
        <v>18</v>
      </c>
      <c r="J264" s="75">
        <v>5</v>
      </c>
      <c r="K264" s="75">
        <v>32</v>
      </c>
      <c r="L264" s="76" t="s">
        <v>318</v>
      </c>
      <c r="M264" s="76" t="s">
        <v>407</v>
      </c>
      <c r="N264" s="75">
        <v>4.8547081895376154</v>
      </c>
    </row>
    <row r="265" spans="1:14" x14ac:dyDescent="0.25">
      <c r="A265" s="77">
        <v>5</v>
      </c>
      <c r="B265" s="77">
        <v>33</v>
      </c>
      <c r="C265" s="78" t="s">
        <v>318</v>
      </c>
      <c r="D265" s="78" t="s">
        <v>410</v>
      </c>
      <c r="E265" s="77">
        <v>0</v>
      </c>
      <c r="F265" s="77">
        <v>1</v>
      </c>
      <c r="G265" s="77">
        <v>0</v>
      </c>
      <c r="H265" s="77">
        <v>15</v>
      </c>
      <c r="J265" s="77">
        <v>5</v>
      </c>
      <c r="K265" s="77">
        <v>33</v>
      </c>
      <c r="L265" s="78" t="s">
        <v>318</v>
      </c>
      <c r="M265" s="78" t="s">
        <v>410</v>
      </c>
      <c r="N265" s="77">
        <v>4.1283349870270181</v>
      </c>
    </row>
    <row r="266" spans="1:14" x14ac:dyDescent="0.25">
      <c r="A266" s="75">
        <v>5</v>
      </c>
      <c r="B266" s="75">
        <v>34</v>
      </c>
      <c r="C266" s="76" t="s">
        <v>318</v>
      </c>
      <c r="D266" s="76" t="s">
        <v>413</v>
      </c>
      <c r="E266" s="75">
        <v>0.875</v>
      </c>
      <c r="F266" s="75">
        <v>0.125</v>
      </c>
      <c r="G266" s="75">
        <v>14</v>
      </c>
      <c r="H266" s="75">
        <v>16</v>
      </c>
      <c r="J266" s="75">
        <v>5</v>
      </c>
      <c r="K266" s="75">
        <v>34</v>
      </c>
      <c r="L266" s="76" t="s">
        <v>318</v>
      </c>
      <c r="M266" s="76" t="s">
        <v>413</v>
      </c>
      <c r="N266" s="75">
        <v>1.301889109808239</v>
      </c>
    </row>
    <row r="267" spans="1:14" ht="30" x14ac:dyDescent="0.25">
      <c r="A267" s="77">
        <v>5</v>
      </c>
      <c r="B267" s="77">
        <v>35</v>
      </c>
      <c r="C267" s="78" t="s">
        <v>318</v>
      </c>
      <c r="D267" s="78" t="s">
        <v>416</v>
      </c>
      <c r="E267" s="77">
        <v>0</v>
      </c>
      <c r="F267" s="77">
        <v>1</v>
      </c>
      <c r="G267" s="77">
        <v>0</v>
      </c>
      <c r="H267" s="77">
        <v>15</v>
      </c>
      <c r="J267" s="77">
        <v>5</v>
      </c>
      <c r="K267" s="77">
        <v>35</v>
      </c>
      <c r="L267" s="78" t="s">
        <v>318</v>
      </c>
      <c r="M267" s="78" t="s">
        <v>416</v>
      </c>
      <c r="N267" s="77">
        <v>4.1283349870270181</v>
      </c>
    </row>
    <row r="268" spans="1:14" ht="45" x14ac:dyDescent="0.25">
      <c r="A268" s="75">
        <v>5</v>
      </c>
      <c r="B268" s="75">
        <v>36</v>
      </c>
      <c r="C268" s="76" t="s">
        <v>318</v>
      </c>
      <c r="D268" s="76" t="s">
        <v>420</v>
      </c>
      <c r="E268" s="75">
        <v>0.8</v>
      </c>
      <c r="F268" s="75">
        <v>0.2</v>
      </c>
      <c r="G268" s="75">
        <v>12</v>
      </c>
      <c r="H268" s="75">
        <v>15</v>
      </c>
      <c r="J268" s="75">
        <v>5</v>
      </c>
      <c r="K268" s="75">
        <v>36</v>
      </c>
      <c r="L268" s="76" t="s">
        <v>318</v>
      </c>
      <c r="M268" s="76" t="s">
        <v>420</v>
      </c>
      <c r="N268" s="75">
        <v>2.7078957803483461</v>
      </c>
    </row>
    <row r="269" spans="1:14" x14ac:dyDescent="0.25">
      <c r="A269" s="77">
        <v>5</v>
      </c>
      <c r="B269" s="77">
        <v>37</v>
      </c>
      <c r="C269" s="78" t="s">
        <v>318</v>
      </c>
      <c r="D269" s="78" t="s">
        <v>422</v>
      </c>
      <c r="E269" s="77">
        <v>0</v>
      </c>
      <c r="F269" s="77">
        <v>1</v>
      </c>
      <c r="G269" s="77">
        <v>0</v>
      </c>
      <c r="H269" s="77">
        <v>15</v>
      </c>
      <c r="J269" s="77">
        <v>5</v>
      </c>
      <c r="K269" s="77">
        <v>37</v>
      </c>
      <c r="L269" s="78" t="s">
        <v>318</v>
      </c>
      <c r="M269" s="78" t="s">
        <v>422</v>
      </c>
      <c r="N269" s="77">
        <v>4.1283349870270181</v>
      </c>
    </row>
    <row r="270" spans="1:14" ht="30" x14ac:dyDescent="0.25">
      <c r="A270" s="75">
        <v>5</v>
      </c>
      <c r="B270" s="75">
        <v>38</v>
      </c>
      <c r="C270" s="76" t="s">
        <v>318</v>
      </c>
      <c r="D270" s="76" t="s">
        <v>425</v>
      </c>
      <c r="E270" s="75">
        <v>0.5625</v>
      </c>
      <c r="F270" s="75">
        <v>0.4375</v>
      </c>
      <c r="G270" s="75">
        <v>9</v>
      </c>
      <c r="H270" s="75">
        <v>16</v>
      </c>
      <c r="J270" s="75">
        <v>5</v>
      </c>
      <c r="K270" s="75">
        <v>38</v>
      </c>
      <c r="L270" s="76" t="s">
        <v>318</v>
      </c>
      <c r="M270" s="76" t="s">
        <v>425</v>
      </c>
      <c r="N270" s="75">
        <v>4.1283349870270181</v>
      </c>
    </row>
    <row r="271" spans="1:14" x14ac:dyDescent="0.25">
      <c r="A271" s="77">
        <v>5</v>
      </c>
      <c r="B271" s="77">
        <v>39</v>
      </c>
      <c r="C271" s="78" t="s">
        <v>318</v>
      </c>
      <c r="D271" s="78" t="s">
        <v>427</v>
      </c>
      <c r="E271" s="77">
        <v>0</v>
      </c>
      <c r="F271" s="77">
        <v>1</v>
      </c>
      <c r="G271" s="77">
        <v>0</v>
      </c>
      <c r="H271" s="77">
        <v>15</v>
      </c>
      <c r="J271" s="77">
        <v>5</v>
      </c>
      <c r="K271" s="77">
        <v>39</v>
      </c>
      <c r="L271" s="78" t="s">
        <v>318</v>
      </c>
      <c r="M271" s="78" t="s">
        <v>427</v>
      </c>
      <c r="N271" s="77">
        <v>4.1283349870270181</v>
      </c>
    </row>
    <row r="272" spans="1:14" x14ac:dyDescent="0.25">
      <c r="A272" s="75">
        <v>5</v>
      </c>
      <c r="B272" s="75">
        <v>40</v>
      </c>
      <c r="C272" s="76" t="s">
        <v>318</v>
      </c>
      <c r="D272" s="76" t="s">
        <v>431</v>
      </c>
      <c r="E272" s="75">
        <v>0.625</v>
      </c>
      <c r="F272" s="75">
        <v>0.375</v>
      </c>
      <c r="G272" s="75">
        <v>10</v>
      </c>
      <c r="H272" s="75">
        <v>16</v>
      </c>
      <c r="J272" s="75">
        <v>5</v>
      </c>
      <c r="K272" s="75">
        <v>40</v>
      </c>
      <c r="L272" s="76" t="s">
        <v>318</v>
      </c>
      <c r="M272" s="76" t="s">
        <v>431</v>
      </c>
      <c r="N272" s="75">
        <v>2.12616381258466</v>
      </c>
    </row>
    <row r="273" spans="1:14" x14ac:dyDescent="0.25">
      <c r="A273" s="77">
        <v>6</v>
      </c>
      <c r="B273" s="77">
        <v>7</v>
      </c>
      <c r="C273" s="78" t="s">
        <v>321</v>
      </c>
      <c r="D273" s="78" t="s">
        <v>325</v>
      </c>
      <c r="E273" s="77">
        <v>0.5</v>
      </c>
      <c r="F273" s="77">
        <v>0.5</v>
      </c>
      <c r="G273" s="77">
        <v>8</v>
      </c>
      <c r="H273" s="77">
        <v>16</v>
      </c>
      <c r="J273" s="77">
        <v>6</v>
      </c>
      <c r="K273" s="77">
        <v>7</v>
      </c>
      <c r="L273" s="78" t="s">
        <v>321</v>
      </c>
      <c r="M273" s="78" t="s">
        <v>325</v>
      </c>
      <c r="N273" s="77">
        <v>1.0633635547027009</v>
      </c>
    </row>
    <row r="274" spans="1:14" x14ac:dyDescent="0.25">
      <c r="A274" s="75">
        <v>6</v>
      </c>
      <c r="B274" s="75">
        <v>8</v>
      </c>
      <c r="C274" s="76" t="s">
        <v>321</v>
      </c>
      <c r="D274" s="76" t="s">
        <v>327</v>
      </c>
      <c r="E274" s="75">
        <v>0</v>
      </c>
      <c r="F274" s="75">
        <v>1</v>
      </c>
      <c r="G274" s="75">
        <v>0</v>
      </c>
      <c r="H274" s="75">
        <v>9</v>
      </c>
      <c r="J274" s="75">
        <v>6</v>
      </c>
      <c r="K274" s="75">
        <v>8</v>
      </c>
      <c r="L274" s="76" t="s">
        <v>321</v>
      </c>
      <c r="M274" s="76" t="s">
        <v>327</v>
      </c>
      <c r="N274" s="75">
        <v>4.1574610003067489</v>
      </c>
    </row>
    <row r="275" spans="1:14" ht="30" x14ac:dyDescent="0.25">
      <c r="A275" s="77">
        <v>6</v>
      </c>
      <c r="B275" s="77">
        <v>9</v>
      </c>
      <c r="C275" s="78" t="s">
        <v>321</v>
      </c>
      <c r="D275" s="78" t="s">
        <v>330</v>
      </c>
      <c r="E275" s="77">
        <v>0.4375</v>
      </c>
      <c r="F275" s="77">
        <v>0.5625</v>
      </c>
      <c r="G275" s="77">
        <v>7</v>
      </c>
      <c r="H275" s="77">
        <v>16</v>
      </c>
      <c r="J275" s="77">
        <v>6</v>
      </c>
      <c r="K275" s="77">
        <v>9</v>
      </c>
      <c r="L275" s="78" t="s">
        <v>321</v>
      </c>
      <c r="M275" s="78" t="s">
        <v>330</v>
      </c>
      <c r="N275" s="77">
        <v>3.559818510587847</v>
      </c>
    </row>
    <row r="276" spans="1:14" x14ac:dyDescent="0.25">
      <c r="A276" s="75">
        <v>6</v>
      </c>
      <c r="B276" s="75">
        <v>10</v>
      </c>
      <c r="C276" s="76" t="s">
        <v>321</v>
      </c>
      <c r="D276" s="76" t="s">
        <v>334</v>
      </c>
      <c r="E276" s="75">
        <v>0.30769230769230771</v>
      </c>
      <c r="F276" s="75">
        <v>0.69230769230769229</v>
      </c>
      <c r="G276" s="75">
        <v>4</v>
      </c>
      <c r="H276" s="75">
        <v>13</v>
      </c>
      <c r="J276" s="75">
        <v>6</v>
      </c>
      <c r="K276" s="75">
        <v>10</v>
      </c>
      <c r="L276" s="76" t="s">
        <v>321</v>
      </c>
      <c r="M276" s="76" t="s">
        <v>334</v>
      </c>
      <c r="N276" s="75">
        <v>3.9815024039538121</v>
      </c>
    </row>
    <row r="277" spans="1:14" ht="30" x14ac:dyDescent="0.25">
      <c r="A277" s="77">
        <v>6</v>
      </c>
      <c r="B277" s="77">
        <v>11</v>
      </c>
      <c r="C277" s="78" t="s">
        <v>321</v>
      </c>
      <c r="D277" s="78" t="s">
        <v>338</v>
      </c>
      <c r="E277" s="77">
        <v>0.5</v>
      </c>
      <c r="F277" s="77">
        <v>0.5</v>
      </c>
      <c r="G277" s="77">
        <v>5</v>
      </c>
      <c r="H277" s="77">
        <v>10</v>
      </c>
      <c r="J277" s="77">
        <v>6</v>
      </c>
      <c r="K277" s="77">
        <v>11</v>
      </c>
      <c r="L277" s="78" t="s">
        <v>321</v>
      </c>
      <c r="M277" s="78" t="s">
        <v>338</v>
      </c>
      <c r="N277" s="77">
        <v>3.7626381886188178</v>
      </c>
    </row>
    <row r="278" spans="1:14" ht="30" x14ac:dyDescent="0.25">
      <c r="A278" s="75">
        <v>6</v>
      </c>
      <c r="B278" s="75">
        <v>12</v>
      </c>
      <c r="C278" s="76" t="s">
        <v>321</v>
      </c>
      <c r="D278" s="76" t="s">
        <v>342</v>
      </c>
      <c r="E278" s="75">
        <v>0.4375</v>
      </c>
      <c r="F278" s="75">
        <v>0.5625</v>
      </c>
      <c r="G278" s="75">
        <v>7</v>
      </c>
      <c r="H278" s="75">
        <v>16</v>
      </c>
      <c r="J278" s="75">
        <v>6</v>
      </c>
      <c r="K278" s="75">
        <v>12</v>
      </c>
      <c r="L278" s="76" t="s">
        <v>321</v>
      </c>
      <c r="M278" s="76" t="s">
        <v>342</v>
      </c>
      <c r="N278" s="75">
        <v>2.7545529701953479</v>
      </c>
    </row>
    <row r="279" spans="1:14" ht="30" x14ac:dyDescent="0.25">
      <c r="A279" s="77">
        <v>6</v>
      </c>
      <c r="B279" s="77">
        <v>13</v>
      </c>
      <c r="C279" s="78" t="s">
        <v>321</v>
      </c>
      <c r="D279" s="78" t="s">
        <v>344</v>
      </c>
      <c r="E279" s="77">
        <v>0.36363636363636359</v>
      </c>
      <c r="F279" s="77">
        <v>0.63636363636363635</v>
      </c>
      <c r="G279" s="77">
        <v>4</v>
      </c>
      <c r="H279" s="77">
        <v>11</v>
      </c>
      <c r="J279" s="77">
        <v>6</v>
      </c>
      <c r="K279" s="77">
        <v>13</v>
      </c>
      <c r="L279" s="78" t="s">
        <v>321</v>
      </c>
      <c r="M279" s="78" t="s">
        <v>344</v>
      </c>
      <c r="N279" s="77">
        <v>2.6326812572276972</v>
      </c>
    </row>
    <row r="280" spans="1:14" ht="30" x14ac:dyDescent="0.25">
      <c r="A280" s="75">
        <v>6</v>
      </c>
      <c r="B280" s="75">
        <v>14</v>
      </c>
      <c r="C280" s="76" t="s">
        <v>321</v>
      </c>
      <c r="D280" s="76" t="s">
        <v>348</v>
      </c>
      <c r="E280" s="75">
        <v>0</v>
      </c>
      <c r="F280" s="75">
        <v>1</v>
      </c>
      <c r="G280" s="75">
        <v>0</v>
      </c>
      <c r="H280" s="75">
        <v>9</v>
      </c>
      <c r="J280" s="75">
        <v>6</v>
      </c>
      <c r="K280" s="75">
        <v>14</v>
      </c>
      <c r="L280" s="76" t="s">
        <v>321</v>
      </c>
      <c r="M280" s="76" t="s">
        <v>348</v>
      </c>
      <c r="N280" s="75">
        <v>4.1574610003067489</v>
      </c>
    </row>
    <row r="281" spans="1:14" ht="30" x14ac:dyDescent="0.25">
      <c r="A281" s="77">
        <v>6</v>
      </c>
      <c r="B281" s="77">
        <v>15</v>
      </c>
      <c r="C281" s="78" t="s">
        <v>321</v>
      </c>
      <c r="D281" s="78" t="s">
        <v>352</v>
      </c>
      <c r="E281" s="77">
        <v>0.5</v>
      </c>
      <c r="F281" s="77">
        <v>0.5</v>
      </c>
      <c r="G281" s="77">
        <v>9</v>
      </c>
      <c r="H281" s="77">
        <v>18</v>
      </c>
      <c r="J281" s="77">
        <v>6</v>
      </c>
      <c r="K281" s="77">
        <v>15</v>
      </c>
      <c r="L281" s="78" t="s">
        <v>321</v>
      </c>
      <c r="M281" s="78" t="s">
        <v>352</v>
      </c>
      <c r="N281" s="77">
        <v>5.6754362607921536</v>
      </c>
    </row>
    <row r="282" spans="1:14" x14ac:dyDescent="0.25">
      <c r="A282" s="75">
        <v>6</v>
      </c>
      <c r="B282" s="75">
        <v>16</v>
      </c>
      <c r="C282" s="76" t="s">
        <v>321</v>
      </c>
      <c r="D282" s="76" t="s">
        <v>356</v>
      </c>
      <c r="E282" s="75">
        <v>0</v>
      </c>
      <c r="F282" s="75">
        <v>1</v>
      </c>
      <c r="G282" s="75">
        <v>0</v>
      </c>
      <c r="H282" s="75">
        <v>9</v>
      </c>
      <c r="J282" s="75">
        <v>6</v>
      </c>
      <c r="K282" s="75">
        <v>16</v>
      </c>
      <c r="L282" s="76" t="s">
        <v>321</v>
      </c>
      <c r="M282" s="76" t="s">
        <v>356</v>
      </c>
      <c r="N282" s="75">
        <v>4.1574610003067489</v>
      </c>
    </row>
    <row r="283" spans="1:14" x14ac:dyDescent="0.25">
      <c r="A283" s="77">
        <v>6</v>
      </c>
      <c r="B283" s="77">
        <v>17</v>
      </c>
      <c r="C283" s="78" t="s">
        <v>321</v>
      </c>
      <c r="D283" s="78" t="s">
        <v>359</v>
      </c>
      <c r="E283" s="77">
        <v>0.44444444444444442</v>
      </c>
      <c r="F283" s="77">
        <v>0.55555555555555558</v>
      </c>
      <c r="G283" s="77">
        <v>8</v>
      </c>
      <c r="H283" s="77">
        <v>18</v>
      </c>
      <c r="J283" s="77">
        <v>6</v>
      </c>
      <c r="K283" s="77">
        <v>17</v>
      </c>
      <c r="L283" s="78" t="s">
        <v>321</v>
      </c>
      <c r="M283" s="78" t="s">
        <v>359</v>
      </c>
      <c r="N283" s="77">
        <v>2.7078957803483461</v>
      </c>
    </row>
    <row r="284" spans="1:14" ht="45" x14ac:dyDescent="0.25">
      <c r="A284" s="75">
        <v>6</v>
      </c>
      <c r="B284" s="75">
        <v>18</v>
      </c>
      <c r="C284" s="76" t="s">
        <v>321</v>
      </c>
      <c r="D284" s="76" t="s">
        <v>363</v>
      </c>
      <c r="E284" s="75">
        <v>0</v>
      </c>
      <c r="F284" s="75">
        <v>1</v>
      </c>
      <c r="G284" s="75">
        <v>0</v>
      </c>
      <c r="H284" s="75">
        <v>9</v>
      </c>
      <c r="J284" s="75">
        <v>6</v>
      </c>
      <c r="K284" s="75">
        <v>18</v>
      </c>
      <c r="L284" s="76" t="s">
        <v>321</v>
      </c>
      <c r="M284" s="76" t="s">
        <v>363</v>
      </c>
      <c r="N284" s="75">
        <v>4.1574610003067489</v>
      </c>
    </row>
    <row r="285" spans="1:14" x14ac:dyDescent="0.25">
      <c r="A285" s="77">
        <v>6</v>
      </c>
      <c r="B285" s="77">
        <v>19</v>
      </c>
      <c r="C285" s="78" t="s">
        <v>321</v>
      </c>
      <c r="D285" s="78" t="s">
        <v>367</v>
      </c>
      <c r="E285" s="77">
        <v>0.46666666666666667</v>
      </c>
      <c r="F285" s="77">
        <v>0.53333333333333333</v>
      </c>
      <c r="G285" s="77">
        <v>7</v>
      </c>
      <c r="H285" s="77">
        <v>15</v>
      </c>
      <c r="J285" s="77">
        <v>6</v>
      </c>
      <c r="K285" s="77">
        <v>19</v>
      </c>
      <c r="L285" s="78" t="s">
        <v>321</v>
      </c>
      <c r="M285" s="78" t="s">
        <v>367</v>
      </c>
      <c r="N285" s="77">
        <v>3.3135763479995308</v>
      </c>
    </row>
    <row r="286" spans="1:14" ht="30" x14ac:dyDescent="0.25">
      <c r="A286" s="75">
        <v>6</v>
      </c>
      <c r="B286" s="75">
        <v>20</v>
      </c>
      <c r="C286" s="76" t="s">
        <v>321</v>
      </c>
      <c r="D286" s="76" t="s">
        <v>371</v>
      </c>
      <c r="E286" s="75">
        <v>0.4</v>
      </c>
      <c r="F286" s="75">
        <v>0.6</v>
      </c>
      <c r="G286" s="75">
        <v>4</v>
      </c>
      <c r="H286" s="75">
        <v>10</v>
      </c>
      <c r="J286" s="75">
        <v>6</v>
      </c>
      <c r="K286" s="75">
        <v>20</v>
      </c>
      <c r="L286" s="76" t="s">
        <v>321</v>
      </c>
      <c r="M286" s="76" t="s">
        <v>371</v>
      </c>
      <c r="N286" s="75">
        <v>3.7626381886188178</v>
      </c>
    </row>
    <row r="287" spans="1:14" ht="30" x14ac:dyDescent="0.25">
      <c r="A287" s="77">
        <v>6</v>
      </c>
      <c r="B287" s="77">
        <v>21</v>
      </c>
      <c r="C287" s="78" t="s">
        <v>321</v>
      </c>
      <c r="D287" s="78" t="s">
        <v>373</v>
      </c>
      <c r="E287" s="77">
        <v>0</v>
      </c>
      <c r="F287" s="77">
        <v>1</v>
      </c>
      <c r="G287" s="77">
        <v>0</v>
      </c>
      <c r="H287" s="77">
        <v>9</v>
      </c>
      <c r="J287" s="77">
        <v>6</v>
      </c>
      <c r="K287" s="77">
        <v>21</v>
      </c>
      <c r="L287" s="78" t="s">
        <v>321</v>
      </c>
      <c r="M287" s="78" t="s">
        <v>373</v>
      </c>
      <c r="N287" s="77">
        <v>4.1574610003067489</v>
      </c>
    </row>
    <row r="288" spans="1:14" x14ac:dyDescent="0.25">
      <c r="A288" s="75">
        <v>6</v>
      </c>
      <c r="B288" s="75">
        <v>22</v>
      </c>
      <c r="C288" s="76" t="s">
        <v>321</v>
      </c>
      <c r="D288" s="76" t="s">
        <v>377</v>
      </c>
      <c r="E288" s="75">
        <v>0.25</v>
      </c>
      <c r="F288" s="75">
        <v>0.75</v>
      </c>
      <c r="G288" s="75">
        <v>3</v>
      </c>
      <c r="H288" s="75">
        <v>12</v>
      </c>
      <c r="J288" s="75">
        <v>6</v>
      </c>
      <c r="K288" s="75">
        <v>22</v>
      </c>
      <c r="L288" s="76" t="s">
        <v>321</v>
      </c>
      <c r="M288" s="76" t="s">
        <v>377</v>
      </c>
      <c r="N288" s="75">
        <v>3.7947156131199349</v>
      </c>
    </row>
    <row r="289" spans="1:14" x14ac:dyDescent="0.25">
      <c r="A289" s="77">
        <v>6</v>
      </c>
      <c r="B289" s="77">
        <v>23</v>
      </c>
      <c r="C289" s="78" t="s">
        <v>321</v>
      </c>
      <c r="D289" s="78" t="s">
        <v>380</v>
      </c>
      <c r="E289" s="77">
        <v>0.46666666666666667</v>
      </c>
      <c r="F289" s="77">
        <v>0.53333333333333333</v>
      </c>
      <c r="G289" s="77">
        <v>7</v>
      </c>
      <c r="H289" s="77">
        <v>15</v>
      </c>
      <c r="J289" s="77">
        <v>6</v>
      </c>
      <c r="K289" s="77">
        <v>23</v>
      </c>
      <c r="L289" s="78" t="s">
        <v>321</v>
      </c>
      <c r="M289" s="78" t="s">
        <v>380</v>
      </c>
      <c r="N289" s="77">
        <v>3.7904119937760279</v>
      </c>
    </row>
    <row r="290" spans="1:14" ht="30" x14ac:dyDescent="0.25">
      <c r="A290" s="75">
        <v>6</v>
      </c>
      <c r="B290" s="75">
        <v>24</v>
      </c>
      <c r="C290" s="76" t="s">
        <v>321</v>
      </c>
      <c r="D290" s="76" t="s">
        <v>384</v>
      </c>
      <c r="E290" s="75">
        <v>0.61538461538461542</v>
      </c>
      <c r="F290" s="75">
        <v>0.38461538461538458</v>
      </c>
      <c r="G290" s="75">
        <v>8</v>
      </c>
      <c r="H290" s="75">
        <v>13</v>
      </c>
      <c r="J290" s="75">
        <v>6</v>
      </c>
      <c r="K290" s="75">
        <v>24</v>
      </c>
      <c r="L290" s="76" t="s">
        <v>321</v>
      </c>
      <c r="M290" s="76" t="s">
        <v>384</v>
      </c>
      <c r="N290" s="75">
        <v>3.044494541861734</v>
      </c>
    </row>
    <row r="291" spans="1:14" x14ac:dyDescent="0.25">
      <c r="A291" s="77">
        <v>6</v>
      </c>
      <c r="B291" s="77">
        <v>25</v>
      </c>
      <c r="C291" s="78" t="s">
        <v>321</v>
      </c>
      <c r="D291" s="78" t="s">
        <v>386</v>
      </c>
      <c r="E291" s="77">
        <v>0.5625</v>
      </c>
      <c r="F291" s="77">
        <v>0.4375</v>
      </c>
      <c r="G291" s="77">
        <v>9</v>
      </c>
      <c r="H291" s="77">
        <v>16</v>
      </c>
      <c r="J291" s="77">
        <v>6</v>
      </c>
      <c r="K291" s="77">
        <v>25</v>
      </c>
      <c r="L291" s="78" t="s">
        <v>321</v>
      </c>
      <c r="M291" s="78" t="s">
        <v>386</v>
      </c>
      <c r="N291" s="77">
        <v>6.2431054172287217</v>
      </c>
    </row>
    <row r="292" spans="1:14" ht="30" x14ac:dyDescent="0.25">
      <c r="A292" s="75">
        <v>6</v>
      </c>
      <c r="B292" s="75">
        <v>26</v>
      </c>
      <c r="C292" s="76" t="s">
        <v>321</v>
      </c>
      <c r="D292" s="76" t="s">
        <v>389</v>
      </c>
      <c r="E292" s="75">
        <v>0</v>
      </c>
      <c r="F292" s="75">
        <v>1</v>
      </c>
      <c r="G292" s="75">
        <v>0</v>
      </c>
      <c r="H292" s="75">
        <v>9</v>
      </c>
      <c r="J292" s="75">
        <v>6</v>
      </c>
      <c r="K292" s="75">
        <v>26</v>
      </c>
      <c r="L292" s="76" t="s">
        <v>321</v>
      </c>
      <c r="M292" s="76" t="s">
        <v>389</v>
      </c>
      <c r="N292" s="75">
        <v>4.1574610003067489</v>
      </c>
    </row>
    <row r="293" spans="1:14" ht="30" x14ac:dyDescent="0.25">
      <c r="A293" s="77">
        <v>6</v>
      </c>
      <c r="B293" s="77">
        <v>27</v>
      </c>
      <c r="C293" s="78" t="s">
        <v>321</v>
      </c>
      <c r="D293" s="78" t="s">
        <v>393</v>
      </c>
      <c r="E293" s="77">
        <v>0.41666666666666669</v>
      </c>
      <c r="F293" s="77">
        <v>0.58333333333333326</v>
      </c>
      <c r="G293" s="77">
        <v>5</v>
      </c>
      <c r="H293" s="77">
        <v>12</v>
      </c>
      <c r="J293" s="77">
        <v>6</v>
      </c>
      <c r="K293" s="77">
        <v>27</v>
      </c>
      <c r="L293" s="78" t="s">
        <v>321</v>
      </c>
      <c r="M293" s="78" t="s">
        <v>393</v>
      </c>
      <c r="N293" s="77">
        <v>3.445517914547386</v>
      </c>
    </row>
    <row r="294" spans="1:14" ht="45" x14ac:dyDescent="0.25">
      <c r="A294" s="75">
        <v>6</v>
      </c>
      <c r="B294" s="75">
        <v>28</v>
      </c>
      <c r="C294" s="76" t="s">
        <v>321</v>
      </c>
      <c r="D294" s="76" t="s">
        <v>396</v>
      </c>
      <c r="E294" s="75">
        <v>0</v>
      </c>
      <c r="F294" s="75">
        <v>1</v>
      </c>
      <c r="G294" s="75">
        <v>0</v>
      </c>
      <c r="H294" s="75">
        <v>9</v>
      </c>
      <c r="J294" s="75">
        <v>6</v>
      </c>
      <c r="K294" s="75">
        <v>28</v>
      </c>
      <c r="L294" s="76" t="s">
        <v>321</v>
      </c>
      <c r="M294" s="76" t="s">
        <v>396</v>
      </c>
      <c r="N294" s="75">
        <v>4.1574610003067489</v>
      </c>
    </row>
    <row r="295" spans="1:14" x14ac:dyDescent="0.25">
      <c r="A295" s="77">
        <v>6</v>
      </c>
      <c r="B295" s="77">
        <v>29</v>
      </c>
      <c r="C295" s="78" t="s">
        <v>321</v>
      </c>
      <c r="D295" s="78" t="s">
        <v>399</v>
      </c>
      <c r="E295" s="77">
        <v>0</v>
      </c>
      <c r="F295" s="77">
        <v>1</v>
      </c>
      <c r="G295" s="77">
        <v>0</v>
      </c>
      <c r="H295" s="77">
        <v>9</v>
      </c>
      <c r="J295" s="77">
        <v>6</v>
      </c>
      <c r="K295" s="77">
        <v>29</v>
      </c>
      <c r="L295" s="78" t="s">
        <v>321</v>
      </c>
      <c r="M295" s="78" t="s">
        <v>399</v>
      </c>
      <c r="N295" s="77">
        <v>4.1574610003067489</v>
      </c>
    </row>
    <row r="296" spans="1:14" ht="30" x14ac:dyDescent="0.25">
      <c r="A296" s="75">
        <v>6</v>
      </c>
      <c r="B296" s="75">
        <v>30</v>
      </c>
      <c r="C296" s="76" t="s">
        <v>321</v>
      </c>
      <c r="D296" s="76" t="s">
        <v>402</v>
      </c>
      <c r="E296" s="75">
        <v>0</v>
      </c>
      <c r="F296" s="75">
        <v>1</v>
      </c>
      <c r="G296" s="75">
        <v>0</v>
      </c>
      <c r="H296" s="75">
        <v>9</v>
      </c>
      <c r="J296" s="75">
        <v>6</v>
      </c>
      <c r="K296" s="75">
        <v>30</v>
      </c>
      <c r="L296" s="76" t="s">
        <v>321</v>
      </c>
      <c r="M296" s="76" t="s">
        <v>402</v>
      </c>
      <c r="N296" s="75">
        <v>4.1574610003067489</v>
      </c>
    </row>
    <row r="297" spans="1:14" x14ac:dyDescent="0.25">
      <c r="A297" s="77">
        <v>6</v>
      </c>
      <c r="B297" s="77">
        <v>31</v>
      </c>
      <c r="C297" s="78" t="s">
        <v>321</v>
      </c>
      <c r="D297" s="78" t="s">
        <v>406</v>
      </c>
      <c r="E297" s="77">
        <v>0.6428571428571429</v>
      </c>
      <c r="F297" s="77">
        <v>0.3571428571428571</v>
      </c>
      <c r="G297" s="77">
        <v>9</v>
      </c>
      <c r="H297" s="77">
        <v>14</v>
      </c>
      <c r="J297" s="77">
        <v>6</v>
      </c>
      <c r="K297" s="77">
        <v>31</v>
      </c>
      <c r="L297" s="78" t="s">
        <v>321</v>
      </c>
      <c r="M297" s="78" t="s">
        <v>406</v>
      </c>
      <c r="N297" s="77">
        <v>3.044494541861734</v>
      </c>
    </row>
    <row r="298" spans="1:14" x14ac:dyDescent="0.25">
      <c r="A298" s="75">
        <v>6</v>
      </c>
      <c r="B298" s="75">
        <v>32</v>
      </c>
      <c r="C298" s="76" t="s">
        <v>321</v>
      </c>
      <c r="D298" s="76" t="s">
        <v>407</v>
      </c>
      <c r="E298" s="75">
        <v>0.52941176470588236</v>
      </c>
      <c r="F298" s="75">
        <v>0.47058823529411759</v>
      </c>
      <c r="G298" s="75">
        <v>9</v>
      </c>
      <c r="H298" s="75">
        <v>17</v>
      </c>
      <c r="J298" s="75">
        <v>6</v>
      </c>
      <c r="K298" s="75">
        <v>32</v>
      </c>
      <c r="L298" s="76" t="s">
        <v>321</v>
      </c>
      <c r="M298" s="76" t="s">
        <v>407</v>
      </c>
      <c r="N298" s="75">
        <v>4.7795601255432407</v>
      </c>
    </row>
    <row r="299" spans="1:14" x14ac:dyDescent="0.25">
      <c r="A299" s="77">
        <v>6</v>
      </c>
      <c r="B299" s="77">
        <v>33</v>
      </c>
      <c r="C299" s="78" t="s">
        <v>321</v>
      </c>
      <c r="D299" s="78" t="s">
        <v>410</v>
      </c>
      <c r="E299" s="77">
        <v>0</v>
      </c>
      <c r="F299" s="77">
        <v>1</v>
      </c>
      <c r="G299" s="77">
        <v>0</v>
      </c>
      <c r="H299" s="77">
        <v>9</v>
      </c>
      <c r="J299" s="77">
        <v>6</v>
      </c>
      <c r="K299" s="77">
        <v>33</v>
      </c>
      <c r="L299" s="78" t="s">
        <v>321</v>
      </c>
      <c r="M299" s="78" t="s">
        <v>410</v>
      </c>
      <c r="N299" s="77">
        <v>4.1574610003067489</v>
      </c>
    </row>
    <row r="300" spans="1:14" x14ac:dyDescent="0.25">
      <c r="A300" s="75">
        <v>6</v>
      </c>
      <c r="B300" s="75">
        <v>34</v>
      </c>
      <c r="C300" s="76" t="s">
        <v>321</v>
      </c>
      <c r="D300" s="76" t="s">
        <v>413</v>
      </c>
      <c r="E300" s="75">
        <v>0.6</v>
      </c>
      <c r="F300" s="75">
        <v>0.4</v>
      </c>
      <c r="G300" s="75">
        <v>9</v>
      </c>
      <c r="H300" s="75">
        <v>15</v>
      </c>
      <c r="J300" s="75">
        <v>6</v>
      </c>
      <c r="K300" s="75">
        <v>34</v>
      </c>
      <c r="L300" s="76" t="s">
        <v>321</v>
      </c>
      <c r="M300" s="76" t="s">
        <v>413</v>
      </c>
      <c r="N300" s="75">
        <v>2.7545529701953479</v>
      </c>
    </row>
    <row r="301" spans="1:14" ht="30" x14ac:dyDescent="0.25">
      <c r="A301" s="77">
        <v>6</v>
      </c>
      <c r="B301" s="77">
        <v>35</v>
      </c>
      <c r="C301" s="78" t="s">
        <v>321</v>
      </c>
      <c r="D301" s="78" t="s">
        <v>416</v>
      </c>
      <c r="E301" s="77">
        <v>0</v>
      </c>
      <c r="F301" s="77">
        <v>1</v>
      </c>
      <c r="G301" s="77">
        <v>0</v>
      </c>
      <c r="H301" s="77">
        <v>9</v>
      </c>
      <c r="J301" s="77">
        <v>6</v>
      </c>
      <c r="K301" s="77">
        <v>35</v>
      </c>
      <c r="L301" s="78" t="s">
        <v>321</v>
      </c>
      <c r="M301" s="78" t="s">
        <v>416</v>
      </c>
      <c r="N301" s="77">
        <v>4.1574610003067489</v>
      </c>
    </row>
    <row r="302" spans="1:14" ht="45" x14ac:dyDescent="0.25">
      <c r="A302" s="75">
        <v>6</v>
      </c>
      <c r="B302" s="75">
        <v>36</v>
      </c>
      <c r="C302" s="76" t="s">
        <v>321</v>
      </c>
      <c r="D302" s="76" t="s">
        <v>420</v>
      </c>
      <c r="E302" s="75">
        <v>0.5</v>
      </c>
      <c r="F302" s="75">
        <v>0.5</v>
      </c>
      <c r="G302" s="75">
        <v>7</v>
      </c>
      <c r="H302" s="75">
        <v>14</v>
      </c>
      <c r="J302" s="75">
        <v>6</v>
      </c>
      <c r="K302" s="75">
        <v>36</v>
      </c>
      <c r="L302" s="76" t="s">
        <v>321</v>
      </c>
      <c r="M302" s="76" t="s">
        <v>420</v>
      </c>
      <c r="N302" s="75">
        <v>3.3111723406768139</v>
      </c>
    </row>
    <row r="303" spans="1:14" x14ac:dyDescent="0.25">
      <c r="A303" s="77">
        <v>6</v>
      </c>
      <c r="B303" s="77">
        <v>37</v>
      </c>
      <c r="C303" s="78" t="s">
        <v>321</v>
      </c>
      <c r="D303" s="78" t="s">
        <v>422</v>
      </c>
      <c r="E303" s="77">
        <v>0</v>
      </c>
      <c r="F303" s="77">
        <v>1</v>
      </c>
      <c r="G303" s="77">
        <v>0</v>
      </c>
      <c r="H303" s="77">
        <v>9</v>
      </c>
      <c r="J303" s="77">
        <v>6</v>
      </c>
      <c r="K303" s="77">
        <v>37</v>
      </c>
      <c r="L303" s="78" t="s">
        <v>321</v>
      </c>
      <c r="M303" s="78" t="s">
        <v>422</v>
      </c>
      <c r="N303" s="77">
        <v>4.1574610003067489</v>
      </c>
    </row>
    <row r="304" spans="1:14" ht="30" x14ac:dyDescent="0.25">
      <c r="A304" s="75">
        <v>6</v>
      </c>
      <c r="B304" s="75">
        <v>38</v>
      </c>
      <c r="C304" s="76" t="s">
        <v>321</v>
      </c>
      <c r="D304" s="76" t="s">
        <v>425</v>
      </c>
      <c r="E304" s="75">
        <v>0.46153846153846162</v>
      </c>
      <c r="F304" s="75">
        <v>0.53846153846153844</v>
      </c>
      <c r="G304" s="75">
        <v>6</v>
      </c>
      <c r="H304" s="75">
        <v>13</v>
      </c>
      <c r="J304" s="75">
        <v>6</v>
      </c>
      <c r="K304" s="75">
        <v>38</v>
      </c>
      <c r="L304" s="76" t="s">
        <v>321</v>
      </c>
      <c r="M304" s="76" t="s">
        <v>425</v>
      </c>
      <c r="N304" s="75">
        <v>4.1574610003067489</v>
      </c>
    </row>
    <row r="305" spans="1:14" x14ac:dyDescent="0.25">
      <c r="A305" s="77">
        <v>6</v>
      </c>
      <c r="B305" s="77">
        <v>39</v>
      </c>
      <c r="C305" s="78" t="s">
        <v>321</v>
      </c>
      <c r="D305" s="78" t="s">
        <v>427</v>
      </c>
      <c r="E305" s="77">
        <v>0</v>
      </c>
      <c r="F305" s="77">
        <v>1</v>
      </c>
      <c r="G305" s="77">
        <v>0</v>
      </c>
      <c r="H305" s="77">
        <v>9</v>
      </c>
      <c r="J305" s="77">
        <v>6</v>
      </c>
      <c r="K305" s="77">
        <v>39</v>
      </c>
      <c r="L305" s="78" t="s">
        <v>321</v>
      </c>
      <c r="M305" s="78" t="s">
        <v>427</v>
      </c>
      <c r="N305" s="77">
        <v>4.1574610003067489</v>
      </c>
    </row>
    <row r="306" spans="1:14" x14ac:dyDescent="0.25">
      <c r="A306" s="75">
        <v>6</v>
      </c>
      <c r="B306" s="75">
        <v>40</v>
      </c>
      <c r="C306" s="76" t="s">
        <v>321</v>
      </c>
      <c r="D306" s="76" t="s">
        <v>431</v>
      </c>
      <c r="E306" s="75">
        <v>0.42857142857142849</v>
      </c>
      <c r="F306" s="75">
        <v>0.5714285714285714</v>
      </c>
      <c r="G306" s="75">
        <v>6</v>
      </c>
      <c r="H306" s="75">
        <v>14</v>
      </c>
      <c r="J306" s="75">
        <v>6</v>
      </c>
      <c r="K306" s="75">
        <v>40</v>
      </c>
      <c r="L306" s="76" t="s">
        <v>321</v>
      </c>
      <c r="M306" s="76" t="s">
        <v>431</v>
      </c>
      <c r="N306" s="75">
        <v>4.008058629403239</v>
      </c>
    </row>
    <row r="307" spans="1:14" x14ac:dyDescent="0.25">
      <c r="A307" s="77">
        <v>7</v>
      </c>
      <c r="B307" s="77">
        <v>8</v>
      </c>
      <c r="C307" s="78" t="s">
        <v>325</v>
      </c>
      <c r="D307" s="78" t="s">
        <v>327</v>
      </c>
      <c r="E307" s="77">
        <v>0</v>
      </c>
      <c r="F307" s="77">
        <v>1</v>
      </c>
      <c r="G307" s="77">
        <v>0</v>
      </c>
      <c r="H307" s="77">
        <v>15</v>
      </c>
      <c r="J307" s="77">
        <v>7</v>
      </c>
      <c r="K307" s="77">
        <v>8</v>
      </c>
      <c r="L307" s="78" t="s">
        <v>325</v>
      </c>
      <c r="M307" s="78" t="s">
        <v>327</v>
      </c>
      <c r="N307" s="77">
        <v>4.2912963098044807</v>
      </c>
    </row>
    <row r="308" spans="1:14" ht="30" x14ac:dyDescent="0.25">
      <c r="A308" s="75">
        <v>7</v>
      </c>
      <c r="B308" s="75">
        <v>9</v>
      </c>
      <c r="C308" s="76" t="s">
        <v>325</v>
      </c>
      <c r="D308" s="76" t="s">
        <v>330</v>
      </c>
      <c r="E308" s="75">
        <v>0.8125</v>
      </c>
      <c r="F308" s="75">
        <v>0.1875</v>
      </c>
      <c r="G308" s="75">
        <v>13</v>
      </c>
      <c r="H308" s="75">
        <v>16</v>
      </c>
      <c r="J308" s="75">
        <v>7</v>
      </c>
      <c r="K308" s="75">
        <v>9</v>
      </c>
      <c r="L308" s="76" t="s">
        <v>325</v>
      </c>
      <c r="M308" s="76" t="s">
        <v>330</v>
      </c>
      <c r="N308" s="75">
        <v>3.397288003518971</v>
      </c>
    </row>
    <row r="309" spans="1:14" x14ac:dyDescent="0.25">
      <c r="A309" s="77">
        <v>7</v>
      </c>
      <c r="B309" s="77">
        <v>10</v>
      </c>
      <c r="C309" s="78" t="s">
        <v>325</v>
      </c>
      <c r="D309" s="78" t="s">
        <v>334</v>
      </c>
      <c r="E309" s="77">
        <v>0.4375</v>
      </c>
      <c r="F309" s="77">
        <v>0.5625</v>
      </c>
      <c r="G309" s="77">
        <v>7</v>
      </c>
      <c r="H309" s="77">
        <v>16</v>
      </c>
      <c r="J309" s="77">
        <v>7</v>
      </c>
      <c r="K309" s="77">
        <v>10</v>
      </c>
      <c r="L309" s="78" t="s">
        <v>325</v>
      </c>
      <c r="M309" s="78" t="s">
        <v>334</v>
      </c>
      <c r="N309" s="77">
        <v>4.1210561076209524</v>
      </c>
    </row>
    <row r="310" spans="1:14" ht="30" x14ac:dyDescent="0.25">
      <c r="A310" s="75">
        <v>7</v>
      </c>
      <c r="B310" s="75">
        <v>11</v>
      </c>
      <c r="C310" s="76" t="s">
        <v>325</v>
      </c>
      <c r="D310" s="76" t="s">
        <v>338</v>
      </c>
      <c r="E310" s="75">
        <v>0.3125</v>
      </c>
      <c r="F310" s="75">
        <v>0.6875</v>
      </c>
      <c r="G310" s="75">
        <v>5</v>
      </c>
      <c r="H310" s="75">
        <v>16</v>
      </c>
      <c r="J310" s="75">
        <v>7</v>
      </c>
      <c r="K310" s="75">
        <v>11</v>
      </c>
      <c r="L310" s="76" t="s">
        <v>325</v>
      </c>
      <c r="M310" s="76" t="s">
        <v>338</v>
      </c>
      <c r="N310" s="75">
        <v>3.9100112772116988</v>
      </c>
    </row>
    <row r="311" spans="1:14" ht="30" x14ac:dyDescent="0.25">
      <c r="A311" s="77">
        <v>7</v>
      </c>
      <c r="B311" s="77">
        <v>12</v>
      </c>
      <c r="C311" s="78" t="s">
        <v>325</v>
      </c>
      <c r="D311" s="78" t="s">
        <v>342</v>
      </c>
      <c r="E311" s="77">
        <v>0.70588235294117652</v>
      </c>
      <c r="F311" s="77">
        <v>0.29411764705882348</v>
      </c>
      <c r="G311" s="77">
        <v>12</v>
      </c>
      <c r="H311" s="77">
        <v>17</v>
      </c>
      <c r="J311" s="77">
        <v>7</v>
      </c>
      <c r="K311" s="77">
        <v>12</v>
      </c>
      <c r="L311" s="78" t="s">
        <v>325</v>
      </c>
      <c r="M311" s="78" t="s">
        <v>342</v>
      </c>
      <c r="N311" s="77">
        <v>2.541027354465522</v>
      </c>
    </row>
    <row r="312" spans="1:14" ht="30" x14ac:dyDescent="0.25">
      <c r="A312" s="75">
        <v>7</v>
      </c>
      <c r="B312" s="75">
        <v>13</v>
      </c>
      <c r="C312" s="76" t="s">
        <v>325</v>
      </c>
      <c r="D312" s="76" t="s">
        <v>344</v>
      </c>
      <c r="E312" s="75">
        <v>0.4</v>
      </c>
      <c r="F312" s="75">
        <v>0.6</v>
      </c>
      <c r="G312" s="75">
        <v>6</v>
      </c>
      <c r="H312" s="75">
        <v>15</v>
      </c>
      <c r="J312" s="75">
        <v>7</v>
      </c>
      <c r="K312" s="75">
        <v>13</v>
      </c>
      <c r="L312" s="76" t="s">
        <v>325</v>
      </c>
      <c r="M312" s="76" t="s">
        <v>344</v>
      </c>
      <c r="N312" s="75">
        <v>2.8393225691400361</v>
      </c>
    </row>
    <row r="313" spans="1:14" ht="30" x14ac:dyDescent="0.25">
      <c r="A313" s="77">
        <v>7</v>
      </c>
      <c r="B313" s="77">
        <v>14</v>
      </c>
      <c r="C313" s="78" t="s">
        <v>325</v>
      </c>
      <c r="D313" s="78" t="s">
        <v>348</v>
      </c>
      <c r="E313" s="77">
        <v>0</v>
      </c>
      <c r="F313" s="77">
        <v>1</v>
      </c>
      <c r="G313" s="77">
        <v>0</v>
      </c>
      <c r="H313" s="77">
        <v>15</v>
      </c>
      <c r="J313" s="77">
        <v>7</v>
      </c>
      <c r="K313" s="77">
        <v>14</v>
      </c>
      <c r="L313" s="78" t="s">
        <v>325</v>
      </c>
      <c r="M313" s="78" t="s">
        <v>348</v>
      </c>
      <c r="N313" s="77">
        <v>4.2912963098044807</v>
      </c>
    </row>
    <row r="314" spans="1:14" ht="30" x14ac:dyDescent="0.25">
      <c r="A314" s="75">
        <v>7</v>
      </c>
      <c r="B314" s="75">
        <v>15</v>
      </c>
      <c r="C314" s="76" t="s">
        <v>325</v>
      </c>
      <c r="D314" s="76" t="s">
        <v>352</v>
      </c>
      <c r="E314" s="75">
        <v>0.83333333333333337</v>
      </c>
      <c r="F314" s="75">
        <v>0.1666666666666666</v>
      </c>
      <c r="G314" s="75">
        <v>15</v>
      </c>
      <c r="H314" s="75">
        <v>18</v>
      </c>
      <c r="J314" s="75">
        <v>7</v>
      </c>
      <c r="K314" s="75">
        <v>15</v>
      </c>
      <c r="L314" s="76" t="s">
        <v>325</v>
      </c>
      <c r="M314" s="76" t="s">
        <v>352</v>
      </c>
      <c r="N314" s="75">
        <v>5.1533354735515333</v>
      </c>
    </row>
    <row r="315" spans="1:14" x14ac:dyDescent="0.25">
      <c r="A315" s="77">
        <v>7</v>
      </c>
      <c r="B315" s="77">
        <v>16</v>
      </c>
      <c r="C315" s="78" t="s">
        <v>325</v>
      </c>
      <c r="D315" s="78" t="s">
        <v>356</v>
      </c>
      <c r="E315" s="77">
        <v>0</v>
      </c>
      <c r="F315" s="77">
        <v>1</v>
      </c>
      <c r="G315" s="77">
        <v>0</v>
      </c>
      <c r="H315" s="77">
        <v>15</v>
      </c>
      <c r="J315" s="77">
        <v>7</v>
      </c>
      <c r="K315" s="77">
        <v>16</v>
      </c>
      <c r="L315" s="78" t="s">
        <v>325</v>
      </c>
      <c r="M315" s="78" t="s">
        <v>356</v>
      </c>
      <c r="N315" s="77">
        <v>4.2912963098044807</v>
      </c>
    </row>
    <row r="316" spans="1:14" x14ac:dyDescent="0.25">
      <c r="A316" s="75">
        <v>7</v>
      </c>
      <c r="B316" s="75">
        <v>17</v>
      </c>
      <c r="C316" s="76" t="s">
        <v>325</v>
      </c>
      <c r="D316" s="76" t="s">
        <v>359</v>
      </c>
      <c r="E316" s="75">
        <v>0.77777777777777779</v>
      </c>
      <c r="F316" s="75">
        <v>0.22222222222222221</v>
      </c>
      <c r="G316" s="75">
        <v>14</v>
      </c>
      <c r="H316" s="75">
        <v>18</v>
      </c>
      <c r="J316" s="75">
        <v>7</v>
      </c>
      <c r="K316" s="75">
        <v>17</v>
      </c>
      <c r="L316" s="76" t="s">
        <v>325</v>
      </c>
      <c r="M316" s="76" t="s">
        <v>359</v>
      </c>
      <c r="N316" s="75">
        <v>2.4903729655933891</v>
      </c>
    </row>
    <row r="317" spans="1:14" ht="45" x14ac:dyDescent="0.25">
      <c r="A317" s="77">
        <v>7</v>
      </c>
      <c r="B317" s="77">
        <v>18</v>
      </c>
      <c r="C317" s="78" t="s">
        <v>325</v>
      </c>
      <c r="D317" s="78" t="s">
        <v>363</v>
      </c>
      <c r="E317" s="77">
        <v>0</v>
      </c>
      <c r="F317" s="77">
        <v>1</v>
      </c>
      <c r="G317" s="77">
        <v>0</v>
      </c>
      <c r="H317" s="77">
        <v>15</v>
      </c>
      <c r="J317" s="77">
        <v>7</v>
      </c>
      <c r="K317" s="77">
        <v>18</v>
      </c>
      <c r="L317" s="78" t="s">
        <v>325</v>
      </c>
      <c r="M317" s="78" t="s">
        <v>363</v>
      </c>
      <c r="N317" s="77">
        <v>4.2912963098044807</v>
      </c>
    </row>
    <row r="318" spans="1:14" x14ac:dyDescent="0.25">
      <c r="A318" s="75">
        <v>7</v>
      </c>
      <c r="B318" s="75">
        <v>19</v>
      </c>
      <c r="C318" s="76" t="s">
        <v>325</v>
      </c>
      <c r="D318" s="76" t="s">
        <v>367</v>
      </c>
      <c r="E318" s="75">
        <v>0.6470588235294118</v>
      </c>
      <c r="F318" s="75">
        <v>0.3529411764705882</v>
      </c>
      <c r="G318" s="75">
        <v>11</v>
      </c>
      <c r="H318" s="75">
        <v>17</v>
      </c>
      <c r="J318" s="75">
        <v>7</v>
      </c>
      <c r="K318" s="75">
        <v>19</v>
      </c>
      <c r="L318" s="76" t="s">
        <v>325</v>
      </c>
      <c r="M318" s="76" t="s">
        <v>367</v>
      </c>
      <c r="N318" s="75">
        <v>2.7545529701953479</v>
      </c>
    </row>
    <row r="319" spans="1:14" ht="30" x14ac:dyDescent="0.25">
      <c r="A319" s="77">
        <v>7</v>
      </c>
      <c r="B319" s="77">
        <v>20</v>
      </c>
      <c r="C319" s="78" t="s">
        <v>325</v>
      </c>
      <c r="D319" s="78" t="s">
        <v>371</v>
      </c>
      <c r="E319" s="77">
        <v>0.25</v>
      </c>
      <c r="F319" s="77">
        <v>0.75</v>
      </c>
      <c r="G319" s="77">
        <v>4</v>
      </c>
      <c r="H319" s="77">
        <v>16</v>
      </c>
      <c r="J319" s="77">
        <v>7</v>
      </c>
      <c r="K319" s="77">
        <v>20</v>
      </c>
      <c r="L319" s="78" t="s">
        <v>325</v>
      </c>
      <c r="M319" s="78" t="s">
        <v>371</v>
      </c>
      <c r="N319" s="77">
        <v>3.9100112772116988</v>
      </c>
    </row>
    <row r="320" spans="1:14" ht="30" x14ac:dyDescent="0.25">
      <c r="A320" s="75">
        <v>7</v>
      </c>
      <c r="B320" s="75">
        <v>21</v>
      </c>
      <c r="C320" s="76" t="s">
        <v>325</v>
      </c>
      <c r="D320" s="76" t="s">
        <v>373</v>
      </c>
      <c r="E320" s="75">
        <v>0</v>
      </c>
      <c r="F320" s="75">
        <v>1</v>
      </c>
      <c r="G320" s="75">
        <v>0</v>
      </c>
      <c r="H320" s="75">
        <v>15</v>
      </c>
      <c r="J320" s="75">
        <v>7</v>
      </c>
      <c r="K320" s="75">
        <v>21</v>
      </c>
      <c r="L320" s="76" t="s">
        <v>325</v>
      </c>
      <c r="M320" s="76" t="s">
        <v>373</v>
      </c>
      <c r="N320" s="75">
        <v>4.2912963098044807</v>
      </c>
    </row>
    <row r="321" spans="1:14" x14ac:dyDescent="0.25">
      <c r="A321" s="77">
        <v>7</v>
      </c>
      <c r="B321" s="77">
        <v>22</v>
      </c>
      <c r="C321" s="78" t="s">
        <v>325</v>
      </c>
      <c r="D321" s="78" t="s">
        <v>377</v>
      </c>
      <c r="E321" s="77">
        <v>0.3125</v>
      </c>
      <c r="F321" s="77">
        <v>0.6875</v>
      </c>
      <c r="G321" s="77">
        <v>5</v>
      </c>
      <c r="H321" s="77">
        <v>16</v>
      </c>
      <c r="J321" s="77">
        <v>7</v>
      </c>
      <c r="K321" s="77">
        <v>22</v>
      </c>
      <c r="L321" s="78" t="s">
        <v>325</v>
      </c>
      <c r="M321" s="78" t="s">
        <v>377</v>
      </c>
      <c r="N321" s="77">
        <v>3.9408893201822059</v>
      </c>
    </row>
    <row r="322" spans="1:14" x14ac:dyDescent="0.25">
      <c r="A322" s="75">
        <v>7</v>
      </c>
      <c r="B322" s="75">
        <v>23</v>
      </c>
      <c r="C322" s="76" t="s">
        <v>325</v>
      </c>
      <c r="D322" s="76" t="s">
        <v>380</v>
      </c>
      <c r="E322" s="75">
        <v>0.75</v>
      </c>
      <c r="F322" s="75">
        <v>0.25</v>
      </c>
      <c r="G322" s="75">
        <v>12</v>
      </c>
      <c r="H322" s="75">
        <v>16</v>
      </c>
      <c r="J322" s="75">
        <v>7</v>
      </c>
      <c r="K322" s="75">
        <v>23</v>
      </c>
      <c r="L322" s="76" t="s">
        <v>325</v>
      </c>
      <c r="M322" s="76" t="s">
        <v>380</v>
      </c>
      <c r="N322" s="75">
        <v>3.6381974978127838</v>
      </c>
    </row>
    <row r="323" spans="1:14" ht="30" x14ac:dyDescent="0.25">
      <c r="A323" s="77">
        <v>7</v>
      </c>
      <c r="B323" s="77">
        <v>24</v>
      </c>
      <c r="C323" s="78" t="s">
        <v>325</v>
      </c>
      <c r="D323" s="78" t="s">
        <v>384</v>
      </c>
      <c r="E323" s="77">
        <v>0.6875</v>
      </c>
      <c r="F323" s="77">
        <v>0.3125</v>
      </c>
      <c r="G323" s="77">
        <v>11</v>
      </c>
      <c r="H323" s="77">
        <v>16</v>
      </c>
      <c r="J323" s="77">
        <v>7</v>
      </c>
      <c r="K323" s="77">
        <v>24</v>
      </c>
      <c r="L323" s="78" t="s">
        <v>325</v>
      </c>
      <c r="M323" s="78" t="s">
        <v>384</v>
      </c>
      <c r="N323" s="77">
        <v>3.224854890517689</v>
      </c>
    </row>
    <row r="324" spans="1:14" x14ac:dyDescent="0.25">
      <c r="A324" s="75">
        <v>7</v>
      </c>
      <c r="B324" s="75">
        <v>25</v>
      </c>
      <c r="C324" s="76" t="s">
        <v>325</v>
      </c>
      <c r="D324" s="76" t="s">
        <v>386</v>
      </c>
      <c r="E324" s="75">
        <v>0.82352941176470584</v>
      </c>
      <c r="F324" s="75">
        <v>0.17647058823529421</v>
      </c>
      <c r="G324" s="75">
        <v>14</v>
      </c>
      <c r="H324" s="75">
        <v>17</v>
      </c>
      <c r="J324" s="75">
        <v>7</v>
      </c>
      <c r="K324" s="75">
        <v>25</v>
      </c>
      <c r="L324" s="76" t="s">
        <v>325</v>
      </c>
      <c r="M324" s="76" t="s">
        <v>386</v>
      </c>
      <c r="N324" s="75">
        <v>5.7725778473123066</v>
      </c>
    </row>
    <row r="325" spans="1:14" ht="30" x14ac:dyDescent="0.25">
      <c r="A325" s="77">
        <v>7</v>
      </c>
      <c r="B325" s="77">
        <v>26</v>
      </c>
      <c r="C325" s="78" t="s">
        <v>325</v>
      </c>
      <c r="D325" s="78" t="s">
        <v>389</v>
      </c>
      <c r="E325" s="77">
        <v>0</v>
      </c>
      <c r="F325" s="77">
        <v>1</v>
      </c>
      <c r="G325" s="77">
        <v>0</v>
      </c>
      <c r="H325" s="77">
        <v>15</v>
      </c>
      <c r="J325" s="77">
        <v>7</v>
      </c>
      <c r="K325" s="77">
        <v>26</v>
      </c>
      <c r="L325" s="78" t="s">
        <v>325</v>
      </c>
      <c r="M325" s="78" t="s">
        <v>389</v>
      </c>
      <c r="N325" s="77">
        <v>4.2912963098044807</v>
      </c>
    </row>
    <row r="326" spans="1:14" ht="30" x14ac:dyDescent="0.25">
      <c r="A326" s="75">
        <v>7</v>
      </c>
      <c r="B326" s="75">
        <v>27</v>
      </c>
      <c r="C326" s="76" t="s">
        <v>325</v>
      </c>
      <c r="D326" s="76" t="s">
        <v>393</v>
      </c>
      <c r="E326" s="75">
        <v>0.4375</v>
      </c>
      <c r="F326" s="75">
        <v>0.5625</v>
      </c>
      <c r="G326" s="75">
        <v>7</v>
      </c>
      <c r="H326" s="75">
        <v>16</v>
      </c>
      <c r="J326" s="75">
        <v>7</v>
      </c>
      <c r="K326" s="75">
        <v>27</v>
      </c>
      <c r="L326" s="76" t="s">
        <v>325</v>
      </c>
      <c r="M326" s="76" t="s">
        <v>393</v>
      </c>
      <c r="N326" s="75">
        <v>2.4935684173724102</v>
      </c>
    </row>
    <row r="327" spans="1:14" ht="45" x14ac:dyDescent="0.25">
      <c r="A327" s="77">
        <v>7</v>
      </c>
      <c r="B327" s="77">
        <v>28</v>
      </c>
      <c r="C327" s="78" t="s">
        <v>325</v>
      </c>
      <c r="D327" s="78" t="s">
        <v>396</v>
      </c>
      <c r="E327" s="77">
        <v>0</v>
      </c>
      <c r="F327" s="77">
        <v>1</v>
      </c>
      <c r="G327" s="77">
        <v>0</v>
      </c>
      <c r="H327" s="77">
        <v>15</v>
      </c>
      <c r="J327" s="77">
        <v>7</v>
      </c>
      <c r="K327" s="77">
        <v>28</v>
      </c>
      <c r="L327" s="78" t="s">
        <v>325</v>
      </c>
      <c r="M327" s="78" t="s">
        <v>396</v>
      </c>
      <c r="N327" s="77">
        <v>4.2912963098044807</v>
      </c>
    </row>
    <row r="328" spans="1:14" x14ac:dyDescent="0.25">
      <c r="A328" s="75">
        <v>7</v>
      </c>
      <c r="B328" s="75">
        <v>29</v>
      </c>
      <c r="C328" s="76" t="s">
        <v>325</v>
      </c>
      <c r="D328" s="76" t="s">
        <v>399</v>
      </c>
      <c r="E328" s="75">
        <v>0</v>
      </c>
      <c r="F328" s="75">
        <v>1</v>
      </c>
      <c r="G328" s="75">
        <v>0</v>
      </c>
      <c r="H328" s="75">
        <v>15</v>
      </c>
      <c r="J328" s="75">
        <v>7</v>
      </c>
      <c r="K328" s="75">
        <v>29</v>
      </c>
      <c r="L328" s="76" t="s">
        <v>325</v>
      </c>
      <c r="M328" s="76" t="s">
        <v>399</v>
      </c>
      <c r="N328" s="75">
        <v>4.2912963098044807</v>
      </c>
    </row>
    <row r="329" spans="1:14" ht="30" x14ac:dyDescent="0.25">
      <c r="A329" s="77">
        <v>7</v>
      </c>
      <c r="B329" s="77">
        <v>30</v>
      </c>
      <c r="C329" s="78" t="s">
        <v>325</v>
      </c>
      <c r="D329" s="78" t="s">
        <v>402</v>
      </c>
      <c r="E329" s="77">
        <v>0</v>
      </c>
      <c r="F329" s="77">
        <v>1</v>
      </c>
      <c r="G329" s="77">
        <v>0</v>
      </c>
      <c r="H329" s="77">
        <v>15</v>
      </c>
      <c r="J329" s="77">
        <v>7</v>
      </c>
      <c r="K329" s="77">
        <v>30</v>
      </c>
      <c r="L329" s="78" t="s">
        <v>325</v>
      </c>
      <c r="M329" s="78" t="s">
        <v>402</v>
      </c>
      <c r="N329" s="77">
        <v>4.2912963098044807</v>
      </c>
    </row>
    <row r="330" spans="1:14" x14ac:dyDescent="0.25">
      <c r="A330" s="75">
        <v>7</v>
      </c>
      <c r="B330" s="75">
        <v>31</v>
      </c>
      <c r="C330" s="76" t="s">
        <v>325</v>
      </c>
      <c r="D330" s="76" t="s">
        <v>406</v>
      </c>
      <c r="E330" s="75">
        <v>0.8125</v>
      </c>
      <c r="F330" s="75">
        <v>0.1875</v>
      </c>
      <c r="G330" s="75">
        <v>13</v>
      </c>
      <c r="H330" s="75">
        <v>16</v>
      </c>
      <c r="J330" s="75">
        <v>7</v>
      </c>
      <c r="K330" s="75">
        <v>31</v>
      </c>
      <c r="L330" s="76" t="s">
        <v>325</v>
      </c>
      <c r="M330" s="76" t="s">
        <v>406</v>
      </c>
      <c r="N330" s="75">
        <v>3.224854890517689</v>
      </c>
    </row>
    <row r="331" spans="1:14" x14ac:dyDescent="0.25">
      <c r="A331" s="77">
        <v>7</v>
      </c>
      <c r="B331" s="77">
        <v>32</v>
      </c>
      <c r="C331" s="78" t="s">
        <v>325</v>
      </c>
      <c r="D331" s="78" t="s">
        <v>407</v>
      </c>
      <c r="E331" s="77">
        <v>0.77777777777777779</v>
      </c>
      <c r="F331" s="77">
        <v>0.22222222222222221</v>
      </c>
      <c r="G331" s="77">
        <v>14</v>
      </c>
      <c r="H331" s="77">
        <v>18</v>
      </c>
      <c r="J331" s="77">
        <v>7</v>
      </c>
      <c r="K331" s="77">
        <v>32</v>
      </c>
      <c r="L331" s="78" t="s">
        <v>325</v>
      </c>
      <c r="M331" s="78" t="s">
        <v>407</v>
      </c>
      <c r="N331" s="77">
        <v>4.4104386227758603</v>
      </c>
    </row>
    <row r="332" spans="1:14" x14ac:dyDescent="0.25">
      <c r="A332" s="75">
        <v>7</v>
      </c>
      <c r="B332" s="75">
        <v>33</v>
      </c>
      <c r="C332" s="76" t="s">
        <v>325</v>
      </c>
      <c r="D332" s="76" t="s">
        <v>410</v>
      </c>
      <c r="E332" s="75">
        <v>0</v>
      </c>
      <c r="F332" s="75">
        <v>1</v>
      </c>
      <c r="G332" s="75">
        <v>0</v>
      </c>
      <c r="H332" s="75">
        <v>15</v>
      </c>
      <c r="J332" s="75">
        <v>7</v>
      </c>
      <c r="K332" s="75">
        <v>33</v>
      </c>
      <c r="L332" s="76" t="s">
        <v>325</v>
      </c>
      <c r="M332" s="76" t="s">
        <v>410</v>
      </c>
      <c r="N332" s="75">
        <v>4.2912963098044807</v>
      </c>
    </row>
    <row r="333" spans="1:14" x14ac:dyDescent="0.25">
      <c r="A333" s="77">
        <v>7</v>
      </c>
      <c r="B333" s="77">
        <v>34</v>
      </c>
      <c r="C333" s="78" t="s">
        <v>325</v>
      </c>
      <c r="D333" s="78" t="s">
        <v>413</v>
      </c>
      <c r="E333" s="77">
        <v>0.76470588235294112</v>
      </c>
      <c r="F333" s="77">
        <v>0.2352941176470589</v>
      </c>
      <c r="G333" s="77">
        <v>13</v>
      </c>
      <c r="H333" s="77">
        <v>17</v>
      </c>
      <c r="J333" s="77">
        <v>7</v>
      </c>
      <c r="K333" s="77">
        <v>34</v>
      </c>
      <c r="L333" s="78" t="s">
        <v>325</v>
      </c>
      <c r="M333" s="78" t="s">
        <v>413</v>
      </c>
      <c r="N333" s="77">
        <v>2.541027354465522</v>
      </c>
    </row>
    <row r="334" spans="1:14" ht="30" x14ac:dyDescent="0.25">
      <c r="A334" s="75">
        <v>7</v>
      </c>
      <c r="B334" s="75">
        <v>35</v>
      </c>
      <c r="C334" s="76" t="s">
        <v>325</v>
      </c>
      <c r="D334" s="76" t="s">
        <v>416</v>
      </c>
      <c r="E334" s="75">
        <v>0</v>
      </c>
      <c r="F334" s="75">
        <v>1</v>
      </c>
      <c r="G334" s="75">
        <v>0</v>
      </c>
      <c r="H334" s="75">
        <v>15</v>
      </c>
      <c r="J334" s="75">
        <v>7</v>
      </c>
      <c r="K334" s="75">
        <v>35</v>
      </c>
      <c r="L334" s="76" t="s">
        <v>325</v>
      </c>
      <c r="M334" s="76" t="s">
        <v>416</v>
      </c>
      <c r="N334" s="75">
        <v>4.2912963098044807</v>
      </c>
    </row>
    <row r="335" spans="1:14" ht="45" x14ac:dyDescent="0.25">
      <c r="A335" s="77">
        <v>7</v>
      </c>
      <c r="B335" s="77">
        <v>36</v>
      </c>
      <c r="C335" s="78" t="s">
        <v>325</v>
      </c>
      <c r="D335" s="78" t="s">
        <v>420</v>
      </c>
      <c r="E335" s="77">
        <v>0.58823529411764708</v>
      </c>
      <c r="F335" s="77">
        <v>0.41176470588235292</v>
      </c>
      <c r="G335" s="77">
        <v>10</v>
      </c>
      <c r="H335" s="77">
        <v>17</v>
      </c>
      <c r="J335" s="77">
        <v>7</v>
      </c>
      <c r="K335" s="77">
        <v>36</v>
      </c>
      <c r="L335" s="78" t="s">
        <v>325</v>
      </c>
      <c r="M335" s="78" t="s">
        <v>420</v>
      </c>
      <c r="N335" s="77">
        <v>3.4777297651101562</v>
      </c>
    </row>
    <row r="336" spans="1:14" x14ac:dyDescent="0.25">
      <c r="A336" s="75">
        <v>7</v>
      </c>
      <c r="B336" s="75">
        <v>37</v>
      </c>
      <c r="C336" s="76" t="s">
        <v>325</v>
      </c>
      <c r="D336" s="76" t="s">
        <v>422</v>
      </c>
      <c r="E336" s="75">
        <v>0</v>
      </c>
      <c r="F336" s="75">
        <v>1</v>
      </c>
      <c r="G336" s="75">
        <v>0</v>
      </c>
      <c r="H336" s="75">
        <v>15</v>
      </c>
      <c r="J336" s="75">
        <v>7</v>
      </c>
      <c r="K336" s="75">
        <v>37</v>
      </c>
      <c r="L336" s="76" t="s">
        <v>325</v>
      </c>
      <c r="M336" s="76" t="s">
        <v>422</v>
      </c>
      <c r="N336" s="75">
        <v>4.2912963098044807</v>
      </c>
    </row>
    <row r="337" spans="1:14" ht="30" x14ac:dyDescent="0.25">
      <c r="A337" s="77">
        <v>7</v>
      </c>
      <c r="B337" s="77">
        <v>38</v>
      </c>
      <c r="C337" s="78" t="s">
        <v>325</v>
      </c>
      <c r="D337" s="78" t="s">
        <v>425</v>
      </c>
      <c r="E337" s="77">
        <v>0.5625</v>
      </c>
      <c r="F337" s="77">
        <v>0.4375</v>
      </c>
      <c r="G337" s="77">
        <v>9</v>
      </c>
      <c r="H337" s="77">
        <v>16</v>
      </c>
      <c r="J337" s="77">
        <v>7</v>
      </c>
      <c r="K337" s="77">
        <v>38</v>
      </c>
      <c r="L337" s="78" t="s">
        <v>325</v>
      </c>
      <c r="M337" s="78" t="s">
        <v>425</v>
      </c>
      <c r="N337" s="77">
        <v>4.2912963098044807</v>
      </c>
    </row>
    <row r="338" spans="1:14" x14ac:dyDescent="0.25">
      <c r="A338" s="75">
        <v>7</v>
      </c>
      <c r="B338" s="75">
        <v>39</v>
      </c>
      <c r="C338" s="76" t="s">
        <v>325</v>
      </c>
      <c r="D338" s="76" t="s">
        <v>427</v>
      </c>
      <c r="E338" s="75">
        <v>0</v>
      </c>
      <c r="F338" s="75">
        <v>1</v>
      </c>
      <c r="G338" s="75">
        <v>0</v>
      </c>
      <c r="H338" s="75">
        <v>15</v>
      </c>
      <c r="J338" s="75">
        <v>7</v>
      </c>
      <c r="K338" s="75">
        <v>39</v>
      </c>
      <c r="L338" s="76" t="s">
        <v>325</v>
      </c>
      <c r="M338" s="76" t="s">
        <v>427</v>
      </c>
      <c r="N338" s="75">
        <v>4.2912963098044807</v>
      </c>
    </row>
    <row r="339" spans="1:14" x14ac:dyDescent="0.25">
      <c r="A339" s="77">
        <v>7</v>
      </c>
      <c r="B339" s="77">
        <v>40</v>
      </c>
      <c r="C339" s="78" t="s">
        <v>325</v>
      </c>
      <c r="D339" s="78" t="s">
        <v>431</v>
      </c>
      <c r="E339" s="77">
        <v>0.625</v>
      </c>
      <c r="F339" s="77">
        <v>0.375</v>
      </c>
      <c r="G339" s="77">
        <v>10</v>
      </c>
      <c r="H339" s="77">
        <v>16</v>
      </c>
      <c r="J339" s="77">
        <v>7</v>
      </c>
      <c r="K339" s="77">
        <v>40</v>
      </c>
      <c r="L339" s="78" t="s">
        <v>325</v>
      </c>
      <c r="M339" s="78" t="s">
        <v>431</v>
      </c>
      <c r="N339" s="77">
        <v>3.559818510587847</v>
      </c>
    </row>
    <row r="340" spans="1:14" ht="30" x14ac:dyDescent="0.25">
      <c r="A340" s="75">
        <v>8</v>
      </c>
      <c r="B340" s="75">
        <v>9</v>
      </c>
      <c r="C340" s="76" t="s">
        <v>327</v>
      </c>
      <c r="D340" s="76" t="s">
        <v>330</v>
      </c>
      <c r="E340" s="75">
        <v>0</v>
      </c>
      <c r="F340" s="75">
        <v>1</v>
      </c>
      <c r="G340" s="75">
        <v>0</v>
      </c>
      <c r="H340" s="75">
        <v>14</v>
      </c>
      <c r="J340" s="75">
        <v>8</v>
      </c>
      <c r="K340" s="75">
        <v>9</v>
      </c>
      <c r="L340" s="76" t="s">
        <v>327</v>
      </c>
      <c r="M340" s="76" t="s">
        <v>330</v>
      </c>
      <c r="N340" s="75">
        <v>4.5202854194824864</v>
      </c>
    </row>
    <row r="341" spans="1:14" x14ac:dyDescent="0.25">
      <c r="A341" s="77">
        <v>8</v>
      </c>
      <c r="B341" s="77">
        <v>10</v>
      </c>
      <c r="C341" s="78" t="s">
        <v>327</v>
      </c>
      <c r="D341" s="78" t="s">
        <v>334</v>
      </c>
      <c r="E341" s="77">
        <v>0</v>
      </c>
      <c r="F341" s="77">
        <v>1</v>
      </c>
      <c r="G341" s="77">
        <v>0</v>
      </c>
      <c r="H341" s="77">
        <v>8</v>
      </c>
      <c r="J341" s="77">
        <v>8</v>
      </c>
      <c r="K341" s="77">
        <v>10</v>
      </c>
      <c r="L341" s="78" t="s">
        <v>327</v>
      </c>
      <c r="M341" s="78" t="s">
        <v>334</v>
      </c>
      <c r="N341" s="77">
        <v>1.6544668419494699</v>
      </c>
    </row>
    <row r="342" spans="1:14" ht="30" x14ac:dyDescent="0.25">
      <c r="A342" s="75">
        <v>8</v>
      </c>
      <c r="B342" s="75">
        <v>11</v>
      </c>
      <c r="C342" s="76" t="s">
        <v>327</v>
      </c>
      <c r="D342" s="76" t="s">
        <v>338</v>
      </c>
      <c r="E342" s="75">
        <v>0</v>
      </c>
      <c r="F342" s="75">
        <v>1</v>
      </c>
      <c r="G342" s="75">
        <v>0</v>
      </c>
      <c r="H342" s="75">
        <v>6</v>
      </c>
      <c r="J342" s="75">
        <v>8</v>
      </c>
      <c r="K342" s="75">
        <v>11</v>
      </c>
      <c r="L342" s="76" t="s">
        <v>327</v>
      </c>
      <c r="M342" s="76" t="s">
        <v>338</v>
      </c>
      <c r="N342" s="75">
        <v>1.0209531217803121</v>
      </c>
    </row>
    <row r="343" spans="1:14" ht="30" x14ac:dyDescent="0.25">
      <c r="A343" s="77">
        <v>8</v>
      </c>
      <c r="B343" s="77">
        <v>12</v>
      </c>
      <c r="C343" s="78" t="s">
        <v>327</v>
      </c>
      <c r="D343" s="78" t="s">
        <v>342</v>
      </c>
      <c r="E343" s="77">
        <v>0</v>
      </c>
      <c r="F343" s="77">
        <v>1</v>
      </c>
      <c r="G343" s="77">
        <v>0</v>
      </c>
      <c r="H343" s="77">
        <v>14</v>
      </c>
      <c r="J343" s="77">
        <v>8</v>
      </c>
      <c r="K343" s="77">
        <v>12</v>
      </c>
      <c r="L343" s="78" t="s">
        <v>327</v>
      </c>
      <c r="M343" s="78" t="s">
        <v>342</v>
      </c>
      <c r="N343" s="77">
        <v>3.9176822881487059</v>
      </c>
    </row>
    <row r="344" spans="1:14" ht="30" x14ac:dyDescent="0.25">
      <c r="A344" s="75">
        <v>8</v>
      </c>
      <c r="B344" s="75">
        <v>13</v>
      </c>
      <c r="C344" s="76" t="s">
        <v>327</v>
      </c>
      <c r="D344" s="76" t="s">
        <v>344</v>
      </c>
      <c r="E344" s="75">
        <v>0</v>
      </c>
      <c r="F344" s="75">
        <v>1</v>
      </c>
      <c r="G344" s="75">
        <v>0</v>
      </c>
      <c r="H344" s="75">
        <v>6</v>
      </c>
      <c r="J344" s="75">
        <v>8</v>
      </c>
      <c r="K344" s="75">
        <v>13</v>
      </c>
      <c r="L344" s="76" t="s">
        <v>327</v>
      </c>
      <c r="M344" s="76" t="s">
        <v>344</v>
      </c>
      <c r="N344" s="75">
        <v>2.4526026352442609</v>
      </c>
    </row>
    <row r="345" spans="1:14" ht="30" x14ac:dyDescent="0.25">
      <c r="A345" s="77">
        <v>8</v>
      </c>
      <c r="B345" s="77">
        <v>14</v>
      </c>
      <c r="C345" s="78" t="s">
        <v>327</v>
      </c>
      <c r="D345" s="78" t="s">
        <v>348</v>
      </c>
      <c r="E345" s="77"/>
      <c r="F345" s="77"/>
      <c r="G345" s="77">
        <v>0</v>
      </c>
      <c r="H345" s="77">
        <v>0</v>
      </c>
      <c r="J345" s="77">
        <v>8</v>
      </c>
      <c r="K345" s="77">
        <v>14</v>
      </c>
      <c r="L345" s="78" t="s">
        <v>327</v>
      </c>
      <c r="M345" s="78" t="s">
        <v>348</v>
      </c>
      <c r="N345" s="77">
        <v>0</v>
      </c>
    </row>
    <row r="346" spans="1:14" ht="30" x14ac:dyDescent="0.25">
      <c r="A346" s="75">
        <v>8</v>
      </c>
      <c r="B346" s="75">
        <v>15</v>
      </c>
      <c r="C346" s="76" t="s">
        <v>327</v>
      </c>
      <c r="D346" s="76" t="s">
        <v>352</v>
      </c>
      <c r="E346" s="75">
        <v>0</v>
      </c>
      <c r="F346" s="75">
        <v>1</v>
      </c>
      <c r="G346" s="75">
        <v>0</v>
      </c>
      <c r="H346" s="75">
        <v>18</v>
      </c>
      <c r="J346" s="75">
        <v>8</v>
      </c>
      <c r="K346" s="75">
        <v>15</v>
      </c>
      <c r="L346" s="76" t="s">
        <v>327</v>
      </c>
      <c r="M346" s="76" t="s">
        <v>352</v>
      </c>
      <c r="N346" s="75">
        <v>7.0352724694489277</v>
      </c>
    </row>
    <row r="347" spans="1:14" x14ac:dyDescent="0.25">
      <c r="A347" s="77">
        <v>8</v>
      </c>
      <c r="B347" s="77">
        <v>16</v>
      </c>
      <c r="C347" s="78" t="s">
        <v>327</v>
      </c>
      <c r="D347" s="78" t="s">
        <v>356</v>
      </c>
      <c r="E347" s="77"/>
      <c r="F347" s="77"/>
      <c r="G347" s="77">
        <v>0</v>
      </c>
      <c r="H347" s="77">
        <v>0</v>
      </c>
      <c r="J347" s="77">
        <v>8</v>
      </c>
      <c r="K347" s="77">
        <v>16</v>
      </c>
      <c r="L347" s="78" t="s">
        <v>327</v>
      </c>
      <c r="M347" s="78" t="s">
        <v>356</v>
      </c>
      <c r="N347" s="77">
        <v>0</v>
      </c>
    </row>
    <row r="348" spans="1:14" x14ac:dyDescent="0.25">
      <c r="A348" s="75">
        <v>8</v>
      </c>
      <c r="B348" s="75">
        <v>17</v>
      </c>
      <c r="C348" s="76" t="s">
        <v>327</v>
      </c>
      <c r="D348" s="76" t="s">
        <v>359</v>
      </c>
      <c r="E348" s="75">
        <v>0</v>
      </c>
      <c r="F348" s="75">
        <v>1</v>
      </c>
      <c r="G348" s="75">
        <v>0</v>
      </c>
      <c r="H348" s="75">
        <v>17</v>
      </c>
      <c r="J348" s="75">
        <v>8</v>
      </c>
      <c r="K348" s="75">
        <v>17</v>
      </c>
      <c r="L348" s="76" t="s">
        <v>327</v>
      </c>
      <c r="M348" s="76" t="s">
        <v>359</v>
      </c>
      <c r="N348" s="75">
        <v>3.9500755713350242</v>
      </c>
    </row>
    <row r="349" spans="1:14" ht="45" x14ac:dyDescent="0.25">
      <c r="A349" s="77">
        <v>8</v>
      </c>
      <c r="B349" s="77">
        <v>18</v>
      </c>
      <c r="C349" s="78" t="s">
        <v>327</v>
      </c>
      <c r="D349" s="78" t="s">
        <v>363</v>
      </c>
      <c r="E349" s="77"/>
      <c r="F349" s="77"/>
      <c r="G349" s="77">
        <v>0</v>
      </c>
      <c r="H349" s="77">
        <v>0</v>
      </c>
      <c r="J349" s="77">
        <v>8</v>
      </c>
      <c r="K349" s="77">
        <v>18</v>
      </c>
      <c r="L349" s="78" t="s">
        <v>327</v>
      </c>
      <c r="M349" s="78" t="s">
        <v>363</v>
      </c>
      <c r="N349" s="77">
        <v>0</v>
      </c>
    </row>
    <row r="350" spans="1:14" x14ac:dyDescent="0.25">
      <c r="A350" s="75">
        <v>8</v>
      </c>
      <c r="B350" s="75">
        <v>19</v>
      </c>
      <c r="C350" s="76" t="s">
        <v>327</v>
      </c>
      <c r="D350" s="76" t="s">
        <v>367</v>
      </c>
      <c r="E350" s="75">
        <v>0</v>
      </c>
      <c r="F350" s="75">
        <v>1</v>
      </c>
      <c r="G350" s="75">
        <v>0</v>
      </c>
      <c r="H350" s="75">
        <v>13</v>
      </c>
      <c r="J350" s="75">
        <v>8</v>
      </c>
      <c r="K350" s="75">
        <v>19</v>
      </c>
      <c r="L350" s="76" t="s">
        <v>327</v>
      </c>
      <c r="M350" s="76" t="s">
        <v>367</v>
      </c>
      <c r="N350" s="75">
        <v>4.3290253705983259</v>
      </c>
    </row>
    <row r="351" spans="1:14" ht="30" x14ac:dyDescent="0.25">
      <c r="A351" s="77">
        <v>8</v>
      </c>
      <c r="B351" s="77">
        <v>20</v>
      </c>
      <c r="C351" s="78" t="s">
        <v>327</v>
      </c>
      <c r="D351" s="78" t="s">
        <v>371</v>
      </c>
      <c r="E351" s="77">
        <v>0</v>
      </c>
      <c r="F351" s="77">
        <v>1</v>
      </c>
      <c r="G351" s="77">
        <v>0</v>
      </c>
      <c r="H351" s="77">
        <v>5</v>
      </c>
      <c r="J351" s="77">
        <v>8</v>
      </c>
      <c r="K351" s="77">
        <v>20</v>
      </c>
      <c r="L351" s="78" t="s">
        <v>327</v>
      </c>
      <c r="M351" s="78" t="s">
        <v>371</v>
      </c>
      <c r="N351" s="77">
        <v>1.0209531217803121</v>
      </c>
    </row>
    <row r="352" spans="1:14" ht="30" x14ac:dyDescent="0.25">
      <c r="A352" s="75">
        <v>8</v>
      </c>
      <c r="B352" s="75">
        <v>21</v>
      </c>
      <c r="C352" s="76" t="s">
        <v>327</v>
      </c>
      <c r="D352" s="76" t="s">
        <v>373</v>
      </c>
      <c r="E352" s="75"/>
      <c r="F352" s="75"/>
      <c r="G352" s="75">
        <v>0</v>
      </c>
      <c r="H352" s="75">
        <v>0</v>
      </c>
      <c r="J352" s="75">
        <v>8</v>
      </c>
      <c r="K352" s="75">
        <v>21</v>
      </c>
      <c r="L352" s="76" t="s">
        <v>327</v>
      </c>
      <c r="M352" s="76" t="s">
        <v>373</v>
      </c>
      <c r="N352" s="75">
        <v>0</v>
      </c>
    </row>
    <row r="353" spans="1:14" x14ac:dyDescent="0.25">
      <c r="A353" s="77">
        <v>8</v>
      </c>
      <c r="B353" s="77">
        <v>22</v>
      </c>
      <c r="C353" s="78" t="s">
        <v>327</v>
      </c>
      <c r="D353" s="78" t="s">
        <v>377</v>
      </c>
      <c r="E353" s="77">
        <v>0</v>
      </c>
      <c r="F353" s="77">
        <v>1</v>
      </c>
      <c r="G353" s="77">
        <v>0</v>
      </c>
      <c r="H353" s="77">
        <v>6</v>
      </c>
      <c r="J353" s="77">
        <v>8</v>
      </c>
      <c r="K353" s="77">
        <v>22</v>
      </c>
      <c r="L353" s="78" t="s">
        <v>327</v>
      </c>
      <c r="M353" s="78" t="s">
        <v>377</v>
      </c>
      <c r="N353" s="77">
        <v>0.98058067569092033</v>
      </c>
    </row>
    <row r="354" spans="1:14" x14ac:dyDescent="0.25">
      <c r="A354" s="75">
        <v>8</v>
      </c>
      <c r="B354" s="75">
        <v>23</v>
      </c>
      <c r="C354" s="76" t="s">
        <v>327</v>
      </c>
      <c r="D354" s="76" t="s">
        <v>380</v>
      </c>
      <c r="E354" s="75">
        <v>0</v>
      </c>
      <c r="F354" s="75">
        <v>1</v>
      </c>
      <c r="G354" s="75">
        <v>0</v>
      </c>
      <c r="H354" s="75">
        <v>13</v>
      </c>
      <c r="J354" s="75">
        <v>8</v>
      </c>
      <c r="K354" s="75">
        <v>23</v>
      </c>
      <c r="L354" s="76" t="s">
        <v>327</v>
      </c>
      <c r="M354" s="76" t="s">
        <v>380</v>
      </c>
      <c r="N354" s="75">
        <v>4.7040297116220717</v>
      </c>
    </row>
    <row r="355" spans="1:14" ht="30" x14ac:dyDescent="0.25">
      <c r="A355" s="77">
        <v>8</v>
      </c>
      <c r="B355" s="77">
        <v>24</v>
      </c>
      <c r="C355" s="78" t="s">
        <v>327</v>
      </c>
      <c r="D355" s="78" t="s">
        <v>384</v>
      </c>
      <c r="E355" s="77">
        <v>0</v>
      </c>
      <c r="F355" s="77">
        <v>1</v>
      </c>
      <c r="G355" s="77">
        <v>0</v>
      </c>
      <c r="H355" s="77">
        <v>12</v>
      </c>
      <c r="J355" s="77">
        <v>8</v>
      </c>
      <c r="K355" s="77">
        <v>24</v>
      </c>
      <c r="L355" s="78" t="s">
        <v>327</v>
      </c>
      <c r="M355" s="78" t="s">
        <v>384</v>
      </c>
      <c r="N355" s="77">
        <v>2.831172010607216</v>
      </c>
    </row>
    <row r="356" spans="1:14" x14ac:dyDescent="0.25">
      <c r="A356" s="75">
        <v>8</v>
      </c>
      <c r="B356" s="75">
        <v>25</v>
      </c>
      <c r="C356" s="76" t="s">
        <v>327</v>
      </c>
      <c r="D356" s="76" t="s">
        <v>386</v>
      </c>
      <c r="E356" s="75">
        <v>0</v>
      </c>
      <c r="F356" s="75">
        <v>1</v>
      </c>
      <c r="G356" s="75">
        <v>0</v>
      </c>
      <c r="H356" s="75">
        <v>16</v>
      </c>
      <c r="J356" s="75">
        <v>8</v>
      </c>
      <c r="K356" s="75">
        <v>25</v>
      </c>
      <c r="L356" s="76" t="s">
        <v>327</v>
      </c>
      <c r="M356" s="76" t="s">
        <v>386</v>
      </c>
      <c r="N356" s="75">
        <v>7.3994981349776952</v>
      </c>
    </row>
    <row r="357" spans="1:14" ht="30" x14ac:dyDescent="0.25">
      <c r="A357" s="77">
        <v>8</v>
      </c>
      <c r="B357" s="77">
        <v>26</v>
      </c>
      <c r="C357" s="78" t="s">
        <v>327</v>
      </c>
      <c r="D357" s="78" t="s">
        <v>389</v>
      </c>
      <c r="E357" s="77"/>
      <c r="F357" s="77"/>
      <c r="G357" s="77">
        <v>0</v>
      </c>
      <c r="H357" s="77">
        <v>0</v>
      </c>
      <c r="J357" s="77">
        <v>8</v>
      </c>
      <c r="K357" s="77">
        <v>26</v>
      </c>
      <c r="L357" s="78" t="s">
        <v>327</v>
      </c>
      <c r="M357" s="78" t="s">
        <v>389</v>
      </c>
      <c r="N357" s="77">
        <v>0</v>
      </c>
    </row>
    <row r="358" spans="1:14" ht="30" x14ac:dyDescent="0.25">
      <c r="A358" s="75">
        <v>8</v>
      </c>
      <c r="B358" s="75">
        <v>27</v>
      </c>
      <c r="C358" s="76" t="s">
        <v>327</v>
      </c>
      <c r="D358" s="76" t="s">
        <v>393</v>
      </c>
      <c r="E358" s="75">
        <v>0</v>
      </c>
      <c r="F358" s="75">
        <v>1</v>
      </c>
      <c r="G358" s="75">
        <v>0</v>
      </c>
      <c r="H358" s="75">
        <v>8</v>
      </c>
      <c r="J358" s="75">
        <v>8</v>
      </c>
      <c r="K358" s="75">
        <v>27</v>
      </c>
      <c r="L358" s="76" t="s">
        <v>327</v>
      </c>
      <c r="M358" s="76" t="s">
        <v>393</v>
      </c>
      <c r="N358" s="75">
        <v>5.3996366237496529</v>
      </c>
    </row>
    <row r="359" spans="1:14" ht="45" x14ac:dyDescent="0.25">
      <c r="A359" s="77">
        <v>8</v>
      </c>
      <c r="B359" s="77">
        <v>28</v>
      </c>
      <c r="C359" s="78" t="s">
        <v>327</v>
      </c>
      <c r="D359" s="78" t="s">
        <v>396</v>
      </c>
      <c r="E359" s="77"/>
      <c r="F359" s="77"/>
      <c r="G359" s="77">
        <v>0</v>
      </c>
      <c r="H359" s="77">
        <v>0</v>
      </c>
      <c r="J359" s="77">
        <v>8</v>
      </c>
      <c r="K359" s="77">
        <v>28</v>
      </c>
      <c r="L359" s="78" t="s">
        <v>327</v>
      </c>
      <c r="M359" s="78" t="s">
        <v>396</v>
      </c>
      <c r="N359" s="77">
        <v>0</v>
      </c>
    </row>
    <row r="360" spans="1:14" x14ac:dyDescent="0.25">
      <c r="A360" s="75">
        <v>8</v>
      </c>
      <c r="B360" s="75">
        <v>29</v>
      </c>
      <c r="C360" s="76" t="s">
        <v>327</v>
      </c>
      <c r="D360" s="76" t="s">
        <v>399</v>
      </c>
      <c r="E360" s="75"/>
      <c r="F360" s="75"/>
      <c r="G360" s="75">
        <v>0</v>
      </c>
      <c r="H360" s="75">
        <v>0</v>
      </c>
      <c r="J360" s="75">
        <v>8</v>
      </c>
      <c r="K360" s="75">
        <v>29</v>
      </c>
      <c r="L360" s="76" t="s">
        <v>327</v>
      </c>
      <c r="M360" s="76" t="s">
        <v>399</v>
      </c>
      <c r="N360" s="75">
        <v>0</v>
      </c>
    </row>
    <row r="361" spans="1:14" ht="30" x14ac:dyDescent="0.25">
      <c r="A361" s="77">
        <v>8</v>
      </c>
      <c r="B361" s="77">
        <v>30</v>
      </c>
      <c r="C361" s="78" t="s">
        <v>327</v>
      </c>
      <c r="D361" s="78" t="s">
        <v>402</v>
      </c>
      <c r="E361" s="77"/>
      <c r="F361" s="77"/>
      <c r="G361" s="77">
        <v>0</v>
      </c>
      <c r="H361" s="77">
        <v>0</v>
      </c>
      <c r="J361" s="77">
        <v>8</v>
      </c>
      <c r="K361" s="77">
        <v>30</v>
      </c>
      <c r="L361" s="78" t="s">
        <v>327</v>
      </c>
      <c r="M361" s="78" t="s">
        <v>402</v>
      </c>
      <c r="N361" s="77">
        <v>0</v>
      </c>
    </row>
    <row r="362" spans="1:14" x14ac:dyDescent="0.25">
      <c r="A362" s="75">
        <v>8</v>
      </c>
      <c r="B362" s="75">
        <v>31</v>
      </c>
      <c r="C362" s="76" t="s">
        <v>327</v>
      </c>
      <c r="D362" s="76" t="s">
        <v>406</v>
      </c>
      <c r="E362" s="75">
        <v>0</v>
      </c>
      <c r="F362" s="75">
        <v>1</v>
      </c>
      <c r="G362" s="75">
        <v>0</v>
      </c>
      <c r="H362" s="75">
        <v>14</v>
      </c>
      <c r="J362" s="75">
        <v>8</v>
      </c>
      <c r="K362" s="75">
        <v>31</v>
      </c>
      <c r="L362" s="76" t="s">
        <v>327</v>
      </c>
      <c r="M362" s="76" t="s">
        <v>406</v>
      </c>
      <c r="N362" s="75">
        <v>2.831172010607216</v>
      </c>
    </row>
    <row r="363" spans="1:14" x14ac:dyDescent="0.25">
      <c r="A363" s="77">
        <v>8</v>
      </c>
      <c r="B363" s="77">
        <v>32</v>
      </c>
      <c r="C363" s="78" t="s">
        <v>327</v>
      </c>
      <c r="D363" s="78" t="s">
        <v>407</v>
      </c>
      <c r="E363" s="77">
        <v>0</v>
      </c>
      <c r="F363" s="77">
        <v>1</v>
      </c>
      <c r="G363" s="77">
        <v>0</v>
      </c>
      <c r="H363" s="77">
        <v>17</v>
      </c>
      <c r="J363" s="77">
        <v>8</v>
      </c>
      <c r="K363" s="77">
        <v>32</v>
      </c>
      <c r="L363" s="78" t="s">
        <v>327</v>
      </c>
      <c r="M363" s="78" t="s">
        <v>407</v>
      </c>
      <c r="N363" s="77">
        <v>7.0464520495469234</v>
      </c>
    </row>
    <row r="364" spans="1:14" x14ac:dyDescent="0.25">
      <c r="A364" s="75">
        <v>8</v>
      </c>
      <c r="B364" s="75">
        <v>33</v>
      </c>
      <c r="C364" s="76" t="s">
        <v>327</v>
      </c>
      <c r="D364" s="76" t="s">
        <v>410</v>
      </c>
      <c r="E364" s="75"/>
      <c r="F364" s="75"/>
      <c r="G364" s="75">
        <v>0</v>
      </c>
      <c r="H364" s="75">
        <v>0</v>
      </c>
      <c r="J364" s="75">
        <v>8</v>
      </c>
      <c r="K364" s="75">
        <v>33</v>
      </c>
      <c r="L364" s="76" t="s">
        <v>327</v>
      </c>
      <c r="M364" s="76" t="s">
        <v>410</v>
      </c>
      <c r="N364" s="75">
        <v>0</v>
      </c>
    </row>
    <row r="365" spans="1:14" x14ac:dyDescent="0.25">
      <c r="A365" s="77">
        <v>8</v>
      </c>
      <c r="B365" s="77">
        <v>34</v>
      </c>
      <c r="C365" s="78" t="s">
        <v>327</v>
      </c>
      <c r="D365" s="78" t="s">
        <v>413</v>
      </c>
      <c r="E365" s="77">
        <v>0</v>
      </c>
      <c r="F365" s="77">
        <v>1</v>
      </c>
      <c r="G365" s="77">
        <v>0</v>
      </c>
      <c r="H365" s="77">
        <v>15</v>
      </c>
      <c r="J365" s="77">
        <v>8</v>
      </c>
      <c r="K365" s="77">
        <v>34</v>
      </c>
      <c r="L365" s="78" t="s">
        <v>327</v>
      </c>
      <c r="M365" s="78" t="s">
        <v>413</v>
      </c>
      <c r="N365" s="77">
        <v>3.9176822881487059</v>
      </c>
    </row>
    <row r="366" spans="1:14" ht="30" x14ac:dyDescent="0.25">
      <c r="A366" s="75">
        <v>8</v>
      </c>
      <c r="B366" s="75">
        <v>35</v>
      </c>
      <c r="C366" s="76" t="s">
        <v>327</v>
      </c>
      <c r="D366" s="76" t="s">
        <v>416</v>
      </c>
      <c r="E366" s="75"/>
      <c r="F366" s="75"/>
      <c r="G366" s="75">
        <v>0</v>
      </c>
      <c r="H366" s="75">
        <v>0</v>
      </c>
      <c r="J366" s="75">
        <v>8</v>
      </c>
      <c r="K366" s="75">
        <v>35</v>
      </c>
      <c r="L366" s="76" t="s">
        <v>327</v>
      </c>
      <c r="M366" s="76" t="s">
        <v>416</v>
      </c>
      <c r="N366" s="75">
        <v>0</v>
      </c>
    </row>
    <row r="367" spans="1:14" ht="45" x14ac:dyDescent="0.25">
      <c r="A367" s="77">
        <v>8</v>
      </c>
      <c r="B367" s="77">
        <v>36</v>
      </c>
      <c r="C367" s="78" t="s">
        <v>327</v>
      </c>
      <c r="D367" s="78" t="s">
        <v>420</v>
      </c>
      <c r="E367" s="77">
        <v>0</v>
      </c>
      <c r="F367" s="77">
        <v>1</v>
      </c>
      <c r="G367" s="77">
        <v>0</v>
      </c>
      <c r="H367" s="77">
        <v>12</v>
      </c>
      <c r="J367" s="77">
        <v>8</v>
      </c>
      <c r="K367" s="77">
        <v>36</v>
      </c>
      <c r="L367" s="78" t="s">
        <v>327</v>
      </c>
      <c r="M367" s="78" t="s">
        <v>420</v>
      </c>
      <c r="N367" s="77">
        <v>3.1161595286318371</v>
      </c>
    </row>
    <row r="368" spans="1:14" x14ac:dyDescent="0.25">
      <c r="A368" s="75">
        <v>8</v>
      </c>
      <c r="B368" s="75">
        <v>37</v>
      </c>
      <c r="C368" s="76" t="s">
        <v>327</v>
      </c>
      <c r="D368" s="76" t="s">
        <v>422</v>
      </c>
      <c r="E368" s="75"/>
      <c r="F368" s="75"/>
      <c r="G368" s="75">
        <v>0</v>
      </c>
      <c r="H368" s="75">
        <v>0</v>
      </c>
      <c r="J368" s="75">
        <v>8</v>
      </c>
      <c r="K368" s="75">
        <v>37</v>
      </c>
      <c r="L368" s="76" t="s">
        <v>327</v>
      </c>
      <c r="M368" s="76" t="s">
        <v>422</v>
      </c>
      <c r="N368" s="75">
        <v>0</v>
      </c>
    </row>
    <row r="369" spans="1:14" ht="30" x14ac:dyDescent="0.25">
      <c r="A369" s="77">
        <v>8</v>
      </c>
      <c r="B369" s="77">
        <v>38</v>
      </c>
      <c r="C369" s="78" t="s">
        <v>327</v>
      </c>
      <c r="D369" s="78" t="s">
        <v>425</v>
      </c>
      <c r="E369" s="77">
        <v>0</v>
      </c>
      <c r="F369" s="77">
        <v>1</v>
      </c>
      <c r="G369" s="77">
        <v>0</v>
      </c>
      <c r="H369" s="77">
        <v>10</v>
      </c>
      <c r="J369" s="77">
        <v>8</v>
      </c>
      <c r="K369" s="77">
        <v>38</v>
      </c>
      <c r="L369" s="78" t="s">
        <v>327</v>
      </c>
      <c r="M369" s="78" t="s">
        <v>425</v>
      </c>
      <c r="N369" s="77">
        <v>0</v>
      </c>
    </row>
    <row r="370" spans="1:14" x14ac:dyDescent="0.25">
      <c r="A370" s="75">
        <v>8</v>
      </c>
      <c r="B370" s="75">
        <v>39</v>
      </c>
      <c r="C370" s="76" t="s">
        <v>327</v>
      </c>
      <c r="D370" s="76" t="s">
        <v>427</v>
      </c>
      <c r="E370" s="75"/>
      <c r="F370" s="75"/>
      <c r="G370" s="75">
        <v>0</v>
      </c>
      <c r="H370" s="75">
        <v>0</v>
      </c>
      <c r="J370" s="75">
        <v>8</v>
      </c>
      <c r="K370" s="75">
        <v>39</v>
      </c>
      <c r="L370" s="76" t="s">
        <v>327</v>
      </c>
      <c r="M370" s="76" t="s">
        <v>427</v>
      </c>
      <c r="N370" s="75">
        <v>0</v>
      </c>
    </row>
    <row r="371" spans="1:14" x14ac:dyDescent="0.25">
      <c r="A371" s="77">
        <v>8</v>
      </c>
      <c r="B371" s="77">
        <v>40</v>
      </c>
      <c r="C371" s="78" t="s">
        <v>327</v>
      </c>
      <c r="D371" s="78" t="s">
        <v>431</v>
      </c>
      <c r="E371" s="77">
        <v>0</v>
      </c>
      <c r="F371" s="77">
        <v>1</v>
      </c>
      <c r="G371" s="77">
        <v>0</v>
      </c>
      <c r="H371" s="77">
        <v>11</v>
      </c>
      <c r="J371" s="77">
        <v>8</v>
      </c>
      <c r="K371" s="77">
        <v>40</v>
      </c>
      <c r="L371" s="78" t="s">
        <v>327</v>
      </c>
      <c r="M371" s="78" t="s">
        <v>431</v>
      </c>
      <c r="N371" s="77">
        <v>4.8811070897897579</v>
      </c>
    </row>
    <row r="372" spans="1:14" ht="30" x14ac:dyDescent="0.25">
      <c r="A372" s="75">
        <v>9</v>
      </c>
      <c r="B372" s="75">
        <v>10</v>
      </c>
      <c r="C372" s="76" t="s">
        <v>330</v>
      </c>
      <c r="D372" s="76" t="s">
        <v>334</v>
      </c>
      <c r="E372" s="75">
        <v>0.46666666666666667</v>
      </c>
      <c r="F372" s="75">
        <v>0.53333333333333333</v>
      </c>
      <c r="G372" s="75">
        <v>7</v>
      </c>
      <c r="H372" s="75">
        <v>15</v>
      </c>
      <c r="J372" s="75">
        <v>9</v>
      </c>
      <c r="K372" s="75">
        <v>10</v>
      </c>
      <c r="L372" s="76" t="s">
        <v>330</v>
      </c>
      <c r="M372" s="76" t="s">
        <v>334</v>
      </c>
      <c r="N372" s="75">
        <v>4.3589975564577168</v>
      </c>
    </row>
    <row r="373" spans="1:14" ht="30" x14ac:dyDescent="0.25">
      <c r="A373" s="77">
        <v>9</v>
      </c>
      <c r="B373" s="77">
        <v>11</v>
      </c>
      <c r="C373" s="78" t="s">
        <v>330</v>
      </c>
      <c r="D373" s="78" t="s">
        <v>338</v>
      </c>
      <c r="E373" s="77">
        <v>0.42857142857142849</v>
      </c>
      <c r="F373" s="77">
        <v>0.5714285714285714</v>
      </c>
      <c r="G373" s="77">
        <v>6</v>
      </c>
      <c r="H373" s="77">
        <v>14</v>
      </c>
      <c r="J373" s="77">
        <v>9</v>
      </c>
      <c r="K373" s="77">
        <v>11</v>
      </c>
      <c r="L373" s="78" t="s">
        <v>330</v>
      </c>
      <c r="M373" s="78" t="s">
        <v>338</v>
      </c>
      <c r="N373" s="77">
        <v>4.1600413991890823</v>
      </c>
    </row>
    <row r="374" spans="1:14" ht="30" x14ac:dyDescent="0.25">
      <c r="A374" s="75">
        <v>9</v>
      </c>
      <c r="B374" s="75">
        <v>12</v>
      </c>
      <c r="C374" s="76" t="s">
        <v>330</v>
      </c>
      <c r="D374" s="76" t="s">
        <v>342</v>
      </c>
      <c r="E374" s="75">
        <v>0.8666666666666667</v>
      </c>
      <c r="F374" s="75">
        <v>0.1333333333333333</v>
      </c>
      <c r="G374" s="75">
        <v>13</v>
      </c>
      <c r="H374" s="75">
        <v>15</v>
      </c>
      <c r="J374" s="75">
        <v>9</v>
      </c>
      <c r="K374" s="75">
        <v>12</v>
      </c>
      <c r="L374" s="76" t="s">
        <v>330</v>
      </c>
      <c r="M374" s="76" t="s">
        <v>342</v>
      </c>
      <c r="N374" s="75">
        <v>1.301889109808239</v>
      </c>
    </row>
    <row r="375" spans="1:14" ht="30" x14ac:dyDescent="0.25">
      <c r="A375" s="77">
        <v>9</v>
      </c>
      <c r="B375" s="77">
        <v>13</v>
      </c>
      <c r="C375" s="78" t="s">
        <v>330</v>
      </c>
      <c r="D375" s="78" t="s">
        <v>344</v>
      </c>
      <c r="E375" s="77">
        <v>0.42857142857142849</v>
      </c>
      <c r="F375" s="77">
        <v>0.5714285714285714</v>
      </c>
      <c r="G375" s="77">
        <v>6</v>
      </c>
      <c r="H375" s="77">
        <v>14</v>
      </c>
      <c r="J375" s="77">
        <v>9</v>
      </c>
      <c r="K375" s="77">
        <v>13</v>
      </c>
      <c r="L375" s="78" t="s">
        <v>330</v>
      </c>
      <c r="M375" s="78" t="s">
        <v>344</v>
      </c>
      <c r="N375" s="77">
        <v>3.1748242324060021</v>
      </c>
    </row>
    <row r="376" spans="1:14" ht="30" x14ac:dyDescent="0.25">
      <c r="A376" s="75">
        <v>9</v>
      </c>
      <c r="B376" s="75">
        <v>14</v>
      </c>
      <c r="C376" s="76" t="s">
        <v>330</v>
      </c>
      <c r="D376" s="76" t="s">
        <v>348</v>
      </c>
      <c r="E376" s="75">
        <v>0</v>
      </c>
      <c r="F376" s="75">
        <v>1</v>
      </c>
      <c r="G376" s="75">
        <v>0</v>
      </c>
      <c r="H376" s="75">
        <v>14</v>
      </c>
      <c r="J376" s="75">
        <v>9</v>
      </c>
      <c r="K376" s="75">
        <v>14</v>
      </c>
      <c r="L376" s="76" t="s">
        <v>330</v>
      </c>
      <c r="M376" s="76" t="s">
        <v>348</v>
      </c>
      <c r="N376" s="75">
        <v>4.5202854194824864</v>
      </c>
    </row>
    <row r="377" spans="1:14" ht="30" x14ac:dyDescent="0.25">
      <c r="A377" s="77">
        <v>9</v>
      </c>
      <c r="B377" s="77">
        <v>15</v>
      </c>
      <c r="C377" s="78" t="s">
        <v>330</v>
      </c>
      <c r="D377" s="78" t="s">
        <v>352</v>
      </c>
      <c r="E377" s="77">
        <v>0.77777777777777779</v>
      </c>
      <c r="F377" s="77">
        <v>0.22222222222222221</v>
      </c>
      <c r="G377" s="77">
        <v>14</v>
      </c>
      <c r="H377" s="77">
        <v>18</v>
      </c>
      <c r="J377" s="77">
        <v>9</v>
      </c>
      <c r="K377" s="77">
        <v>15</v>
      </c>
      <c r="L377" s="78" t="s">
        <v>330</v>
      </c>
      <c r="M377" s="78" t="s">
        <v>352</v>
      </c>
      <c r="N377" s="77">
        <v>4.2141961547810114</v>
      </c>
    </row>
    <row r="378" spans="1:14" ht="30" x14ac:dyDescent="0.25">
      <c r="A378" s="75">
        <v>9</v>
      </c>
      <c r="B378" s="75">
        <v>16</v>
      </c>
      <c r="C378" s="76" t="s">
        <v>330</v>
      </c>
      <c r="D378" s="76" t="s">
        <v>356</v>
      </c>
      <c r="E378" s="75">
        <v>0</v>
      </c>
      <c r="F378" s="75">
        <v>1</v>
      </c>
      <c r="G378" s="75">
        <v>0</v>
      </c>
      <c r="H378" s="75">
        <v>14</v>
      </c>
      <c r="J378" s="75">
        <v>9</v>
      </c>
      <c r="K378" s="75">
        <v>16</v>
      </c>
      <c r="L378" s="76" t="s">
        <v>330</v>
      </c>
      <c r="M378" s="76" t="s">
        <v>356</v>
      </c>
      <c r="N378" s="75">
        <v>4.5202854194824864</v>
      </c>
    </row>
    <row r="379" spans="1:14" ht="30" x14ac:dyDescent="0.25">
      <c r="A379" s="77">
        <v>9</v>
      </c>
      <c r="B379" s="77">
        <v>17</v>
      </c>
      <c r="C379" s="78" t="s">
        <v>330</v>
      </c>
      <c r="D379" s="78" t="s">
        <v>359</v>
      </c>
      <c r="E379" s="77">
        <v>0.82352941176470584</v>
      </c>
      <c r="F379" s="77">
        <v>0.17647058823529421</v>
      </c>
      <c r="G379" s="77">
        <v>14</v>
      </c>
      <c r="H379" s="77">
        <v>17</v>
      </c>
      <c r="J379" s="77">
        <v>9</v>
      </c>
      <c r="K379" s="77">
        <v>17</v>
      </c>
      <c r="L379" s="78" t="s">
        <v>330</v>
      </c>
      <c r="M379" s="78" t="s">
        <v>359</v>
      </c>
      <c r="N379" s="77">
        <v>4.2123061719932373</v>
      </c>
    </row>
    <row r="380" spans="1:14" ht="45" x14ac:dyDescent="0.25">
      <c r="A380" s="75">
        <v>9</v>
      </c>
      <c r="B380" s="75">
        <v>18</v>
      </c>
      <c r="C380" s="76" t="s">
        <v>330</v>
      </c>
      <c r="D380" s="76" t="s">
        <v>363</v>
      </c>
      <c r="E380" s="75">
        <v>0</v>
      </c>
      <c r="F380" s="75">
        <v>1</v>
      </c>
      <c r="G380" s="75">
        <v>0</v>
      </c>
      <c r="H380" s="75">
        <v>14</v>
      </c>
      <c r="J380" s="75">
        <v>9</v>
      </c>
      <c r="K380" s="75">
        <v>18</v>
      </c>
      <c r="L380" s="76" t="s">
        <v>330</v>
      </c>
      <c r="M380" s="76" t="s">
        <v>363</v>
      </c>
      <c r="N380" s="75">
        <v>4.5202854194824864</v>
      </c>
    </row>
    <row r="381" spans="1:14" ht="30" x14ac:dyDescent="0.25">
      <c r="A381" s="77">
        <v>9</v>
      </c>
      <c r="B381" s="77">
        <v>19</v>
      </c>
      <c r="C381" s="78" t="s">
        <v>330</v>
      </c>
      <c r="D381" s="78" t="s">
        <v>367</v>
      </c>
      <c r="E381" s="77">
        <v>0.58823529411764708</v>
      </c>
      <c r="F381" s="77">
        <v>0.41176470588235292</v>
      </c>
      <c r="G381" s="77">
        <v>10</v>
      </c>
      <c r="H381" s="77">
        <v>17</v>
      </c>
      <c r="J381" s="77">
        <v>9</v>
      </c>
      <c r="K381" s="77">
        <v>19</v>
      </c>
      <c r="L381" s="78" t="s">
        <v>330</v>
      </c>
      <c r="M381" s="78" t="s">
        <v>367</v>
      </c>
      <c r="N381" s="77">
        <v>3.0992447984398401</v>
      </c>
    </row>
    <row r="382" spans="1:14" ht="30" x14ac:dyDescent="0.25">
      <c r="A382" s="75">
        <v>9</v>
      </c>
      <c r="B382" s="75">
        <v>20</v>
      </c>
      <c r="C382" s="76" t="s">
        <v>330</v>
      </c>
      <c r="D382" s="76" t="s">
        <v>371</v>
      </c>
      <c r="E382" s="75">
        <v>0.35714285714285721</v>
      </c>
      <c r="F382" s="75">
        <v>0.64285714285714279</v>
      </c>
      <c r="G382" s="75">
        <v>5</v>
      </c>
      <c r="H382" s="75">
        <v>14</v>
      </c>
      <c r="J382" s="75">
        <v>9</v>
      </c>
      <c r="K382" s="75">
        <v>20</v>
      </c>
      <c r="L382" s="76" t="s">
        <v>330</v>
      </c>
      <c r="M382" s="76" t="s">
        <v>371</v>
      </c>
      <c r="N382" s="75">
        <v>4.1600413991890823</v>
      </c>
    </row>
    <row r="383" spans="1:14" ht="30" x14ac:dyDescent="0.25">
      <c r="A383" s="77">
        <v>9</v>
      </c>
      <c r="B383" s="77">
        <v>21</v>
      </c>
      <c r="C383" s="78" t="s">
        <v>330</v>
      </c>
      <c r="D383" s="78" t="s">
        <v>373</v>
      </c>
      <c r="E383" s="77">
        <v>0</v>
      </c>
      <c r="F383" s="77">
        <v>1</v>
      </c>
      <c r="G383" s="77">
        <v>0</v>
      </c>
      <c r="H383" s="77">
        <v>14</v>
      </c>
      <c r="J383" s="77">
        <v>9</v>
      </c>
      <c r="K383" s="77">
        <v>21</v>
      </c>
      <c r="L383" s="78" t="s">
        <v>330</v>
      </c>
      <c r="M383" s="78" t="s">
        <v>373</v>
      </c>
      <c r="N383" s="77">
        <v>4.5202854194824864</v>
      </c>
    </row>
    <row r="384" spans="1:14" ht="30" x14ac:dyDescent="0.25">
      <c r="A384" s="75">
        <v>9</v>
      </c>
      <c r="B384" s="75">
        <v>22</v>
      </c>
      <c r="C384" s="76" t="s">
        <v>330</v>
      </c>
      <c r="D384" s="76" t="s">
        <v>377</v>
      </c>
      <c r="E384" s="75">
        <v>0.42857142857142849</v>
      </c>
      <c r="F384" s="75">
        <v>0.5714285714285714</v>
      </c>
      <c r="G384" s="75">
        <v>6</v>
      </c>
      <c r="H384" s="75">
        <v>14</v>
      </c>
      <c r="J384" s="75">
        <v>9</v>
      </c>
      <c r="K384" s="75">
        <v>22</v>
      </c>
      <c r="L384" s="76" t="s">
        <v>330</v>
      </c>
      <c r="M384" s="76" t="s">
        <v>377</v>
      </c>
      <c r="N384" s="75">
        <v>4.1890768540300813</v>
      </c>
    </row>
    <row r="385" spans="1:14" ht="30" x14ac:dyDescent="0.25">
      <c r="A385" s="77">
        <v>9</v>
      </c>
      <c r="B385" s="77">
        <v>23</v>
      </c>
      <c r="C385" s="78" t="s">
        <v>330</v>
      </c>
      <c r="D385" s="78" t="s">
        <v>380</v>
      </c>
      <c r="E385" s="77">
        <v>0.6875</v>
      </c>
      <c r="F385" s="77">
        <v>0.3125</v>
      </c>
      <c r="G385" s="77">
        <v>11</v>
      </c>
      <c r="H385" s="77">
        <v>16</v>
      </c>
      <c r="J385" s="77">
        <v>9</v>
      </c>
      <c r="K385" s="77">
        <v>23</v>
      </c>
      <c r="L385" s="78" t="s">
        <v>330</v>
      </c>
      <c r="M385" s="78" t="s">
        <v>380</v>
      </c>
      <c r="N385" s="77">
        <v>2.911112548697909</v>
      </c>
    </row>
    <row r="386" spans="1:14" ht="30" x14ac:dyDescent="0.25">
      <c r="A386" s="75">
        <v>9</v>
      </c>
      <c r="B386" s="75">
        <v>24</v>
      </c>
      <c r="C386" s="76" t="s">
        <v>330</v>
      </c>
      <c r="D386" s="76" t="s">
        <v>384</v>
      </c>
      <c r="E386" s="75">
        <v>0.73333333333333328</v>
      </c>
      <c r="F386" s="75">
        <v>0.26666666666666672</v>
      </c>
      <c r="G386" s="75">
        <v>11</v>
      </c>
      <c r="H386" s="75">
        <v>15</v>
      </c>
      <c r="J386" s="75">
        <v>9</v>
      </c>
      <c r="K386" s="75">
        <v>24</v>
      </c>
      <c r="L386" s="76" t="s">
        <v>330</v>
      </c>
      <c r="M386" s="76" t="s">
        <v>384</v>
      </c>
      <c r="N386" s="75">
        <v>3.5238395706871</v>
      </c>
    </row>
    <row r="387" spans="1:14" ht="30" x14ac:dyDescent="0.25">
      <c r="A387" s="77">
        <v>9</v>
      </c>
      <c r="B387" s="77">
        <v>25</v>
      </c>
      <c r="C387" s="78" t="s">
        <v>330</v>
      </c>
      <c r="D387" s="78" t="s">
        <v>386</v>
      </c>
      <c r="E387" s="77">
        <v>0.76470588235294112</v>
      </c>
      <c r="F387" s="77">
        <v>0.2352941176470589</v>
      </c>
      <c r="G387" s="77">
        <v>13</v>
      </c>
      <c r="H387" s="77">
        <v>17</v>
      </c>
      <c r="J387" s="77">
        <v>9</v>
      </c>
      <c r="K387" s="77">
        <v>25</v>
      </c>
      <c r="L387" s="78" t="s">
        <v>330</v>
      </c>
      <c r="M387" s="78" t="s">
        <v>386</v>
      </c>
      <c r="N387" s="77">
        <v>4.6670214510356471</v>
      </c>
    </row>
    <row r="388" spans="1:14" ht="30" x14ac:dyDescent="0.25">
      <c r="A388" s="75">
        <v>9</v>
      </c>
      <c r="B388" s="75">
        <v>26</v>
      </c>
      <c r="C388" s="76" t="s">
        <v>330</v>
      </c>
      <c r="D388" s="76" t="s">
        <v>389</v>
      </c>
      <c r="E388" s="75">
        <v>0</v>
      </c>
      <c r="F388" s="75">
        <v>1</v>
      </c>
      <c r="G388" s="75">
        <v>0</v>
      </c>
      <c r="H388" s="75">
        <v>14</v>
      </c>
      <c r="J388" s="75">
        <v>9</v>
      </c>
      <c r="K388" s="75">
        <v>26</v>
      </c>
      <c r="L388" s="76" t="s">
        <v>330</v>
      </c>
      <c r="M388" s="76" t="s">
        <v>389</v>
      </c>
      <c r="N388" s="75">
        <v>4.5202854194824864</v>
      </c>
    </row>
    <row r="389" spans="1:14" ht="30" x14ac:dyDescent="0.25">
      <c r="A389" s="77">
        <v>9</v>
      </c>
      <c r="B389" s="77">
        <v>27</v>
      </c>
      <c r="C389" s="78" t="s">
        <v>330</v>
      </c>
      <c r="D389" s="78" t="s">
        <v>393</v>
      </c>
      <c r="E389" s="77">
        <v>0.46666666666666667</v>
      </c>
      <c r="F389" s="77">
        <v>0.53333333333333333</v>
      </c>
      <c r="G389" s="77">
        <v>7</v>
      </c>
      <c r="H389" s="77">
        <v>15</v>
      </c>
      <c r="J389" s="77">
        <v>9</v>
      </c>
      <c r="K389" s="77">
        <v>27</v>
      </c>
      <c r="L389" s="78" t="s">
        <v>330</v>
      </c>
      <c r="M389" s="78" t="s">
        <v>393</v>
      </c>
      <c r="N389" s="77">
        <v>4.2141961547810114</v>
      </c>
    </row>
    <row r="390" spans="1:14" ht="45" x14ac:dyDescent="0.25">
      <c r="A390" s="75">
        <v>9</v>
      </c>
      <c r="B390" s="75">
        <v>28</v>
      </c>
      <c r="C390" s="76" t="s">
        <v>330</v>
      </c>
      <c r="D390" s="76" t="s">
        <v>396</v>
      </c>
      <c r="E390" s="75">
        <v>0</v>
      </c>
      <c r="F390" s="75">
        <v>1</v>
      </c>
      <c r="G390" s="75">
        <v>0</v>
      </c>
      <c r="H390" s="75">
        <v>14</v>
      </c>
      <c r="J390" s="75">
        <v>9</v>
      </c>
      <c r="K390" s="75">
        <v>28</v>
      </c>
      <c r="L390" s="76" t="s">
        <v>330</v>
      </c>
      <c r="M390" s="76" t="s">
        <v>396</v>
      </c>
      <c r="N390" s="75">
        <v>4.5202854194824864</v>
      </c>
    </row>
    <row r="391" spans="1:14" ht="30" x14ac:dyDescent="0.25">
      <c r="A391" s="77">
        <v>9</v>
      </c>
      <c r="B391" s="77">
        <v>29</v>
      </c>
      <c r="C391" s="78" t="s">
        <v>330</v>
      </c>
      <c r="D391" s="78" t="s">
        <v>399</v>
      </c>
      <c r="E391" s="77">
        <v>0</v>
      </c>
      <c r="F391" s="77">
        <v>1</v>
      </c>
      <c r="G391" s="77">
        <v>0</v>
      </c>
      <c r="H391" s="77">
        <v>14</v>
      </c>
      <c r="J391" s="77">
        <v>9</v>
      </c>
      <c r="K391" s="77">
        <v>29</v>
      </c>
      <c r="L391" s="78" t="s">
        <v>330</v>
      </c>
      <c r="M391" s="78" t="s">
        <v>399</v>
      </c>
      <c r="N391" s="77">
        <v>4.5202854194824864</v>
      </c>
    </row>
    <row r="392" spans="1:14" ht="30" x14ac:dyDescent="0.25">
      <c r="A392" s="75">
        <v>9</v>
      </c>
      <c r="B392" s="75">
        <v>30</v>
      </c>
      <c r="C392" s="76" t="s">
        <v>330</v>
      </c>
      <c r="D392" s="76" t="s">
        <v>402</v>
      </c>
      <c r="E392" s="75">
        <v>0</v>
      </c>
      <c r="F392" s="75">
        <v>1</v>
      </c>
      <c r="G392" s="75">
        <v>0</v>
      </c>
      <c r="H392" s="75">
        <v>14</v>
      </c>
      <c r="J392" s="75">
        <v>9</v>
      </c>
      <c r="K392" s="75">
        <v>30</v>
      </c>
      <c r="L392" s="76" t="s">
        <v>330</v>
      </c>
      <c r="M392" s="76" t="s">
        <v>402</v>
      </c>
      <c r="N392" s="75">
        <v>4.5202854194824864</v>
      </c>
    </row>
    <row r="393" spans="1:14" ht="30" x14ac:dyDescent="0.25">
      <c r="A393" s="77">
        <v>9</v>
      </c>
      <c r="B393" s="77">
        <v>31</v>
      </c>
      <c r="C393" s="78" t="s">
        <v>330</v>
      </c>
      <c r="D393" s="78" t="s">
        <v>406</v>
      </c>
      <c r="E393" s="77">
        <v>0.75</v>
      </c>
      <c r="F393" s="77">
        <v>0.25</v>
      </c>
      <c r="G393" s="77">
        <v>12</v>
      </c>
      <c r="H393" s="77">
        <v>16</v>
      </c>
      <c r="J393" s="77">
        <v>9</v>
      </c>
      <c r="K393" s="77">
        <v>31</v>
      </c>
      <c r="L393" s="78" t="s">
        <v>330</v>
      </c>
      <c r="M393" s="78" t="s">
        <v>406</v>
      </c>
      <c r="N393" s="77">
        <v>3.5238395706871</v>
      </c>
    </row>
    <row r="394" spans="1:14" ht="30" x14ac:dyDescent="0.25">
      <c r="A394" s="75">
        <v>9</v>
      </c>
      <c r="B394" s="75">
        <v>32</v>
      </c>
      <c r="C394" s="76" t="s">
        <v>330</v>
      </c>
      <c r="D394" s="76" t="s">
        <v>407</v>
      </c>
      <c r="E394" s="75">
        <v>0.72222222222222221</v>
      </c>
      <c r="F394" s="75">
        <v>0.27777777777777779</v>
      </c>
      <c r="G394" s="75">
        <v>13</v>
      </c>
      <c r="H394" s="75">
        <v>18</v>
      </c>
      <c r="J394" s="75">
        <v>9</v>
      </c>
      <c r="K394" s="75">
        <v>32</v>
      </c>
      <c r="L394" s="76" t="s">
        <v>330</v>
      </c>
      <c r="M394" s="76" t="s">
        <v>407</v>
      </c>
      <c r="N394" s="75">
        <v>5.1921115275038314</v>
      </c>
    </row>
    <row r="395" spans="1:14" ht="30" x14ac:dyDescent="0.25">
      <c r="A395" s="77">
        <v>9</v>
      </c>
      <c r="B395" s="77">
        <v>33</v>
      </c>
      <c r="C395" s="78" t="s">
        <v>330</v>
      </c>
      <c r="D395" s="78" t="s">
        <v>410</v>
      </c>
      <c r="E395" s="77">
        <v>0</v>
      </c>
      <c r="F395" s="77">
        <v>1</v>
      </c>
      <c r="G395" s="77">
        <v>0</v>
      </c>
      <c r="H395" s="77">
        <v>14</v>
      </c>
      <c r="J395" s="77">
        <v>9</v>
      </c>
      <c r="K395" s="77">
        <v>33</v>
      </c>
      <c r="L395" s="78" t="s">
        <v>330</v>
      </c>
      <c r="M395" s="78" t="s">
        <v>410</v>
      </c>
      <c r="N395" s="77">
        <v>4.5202854194824864</v>
      </c>
    </row>
    <row r="396" spans="1:14" ht="30" x14ac:dyDescent="0.25">
      <c r="A396" s="75">
        <v>9</v>
      </c>
      <c r="B396" s="75">
        <v>34</v>
      </c>
      <c r="C396" s="76" t="s">
        <v>330</v>
      </c>
      <c r="D396" s="76" t="s">
        <v>413</v>
      </c>
      <c r="E396" s="75">
        <v>0.70588235294117652</v>
      </c>
      <c r="F396" s="75">
        <v>0.29411764705882348</v>
      </c>
      <c r="G396" s="75">
        <v>12</v>
      </c>
      <c r="H396" s="75">
        <v>17</v>
      </c>
      <c r="J396" s="75">
        <v>9</v>
      </c>
      <c r="K396" s="75">
        <v>34</v>
      </c>
      <c r="L396" s="76" t="s">
        <v>330</v>
      </c>
      <c r="M396" s="76" t="s">
        <v>413</v>
      </c>
      <c r="N396" s="75">
        <v>1.301889109808239</v>
      </c>
    </row>
    <row r="397" spans="1:14" ht="30" x14ac:dyDescent="0.25">
      <c r="A397" s="77">
        <v>9</v>
      </c>
      <c r="B397" s="77">
        <v>35</v>
      </c>
      <c r="C397" s="78" t="s">
        <v>330</v>
      </c>
      <c r="D397" s="78" t="s">
        <v>416</v>
      </c>
      <c r="E397" s="77">
        <v>0</v>
      </c>
      <c r="F397" s="77">
        <v>1</v>
      </c>
      <c r="G397" s="77">
        <v>0</v>
      </c>
      <c r="H397" s="77">
        <v>14</v>
      </c>
      <c r="J397" s="77">
        <v>9</v>
      </c>
      <c r="K397" s="77">
        <v>35</v>
      </c>
      <c r="L397" s="78" t="s">
        <v>330</v>
      </c>
      <c r="M397" s="78" t="s">
        <v>416</v>
      </c>
      <c r="N397" s="77">
        <v>4.5202854194824864</v>
      </c>
    </row>
    <row r="398" spans="1:14" ht="45" x14ac:dyDescent="0.25">
      <c r="A398" s="75">
        <v>9</v>
      </c>
      <c r="B398" s="75">
        <v>36</v>
      </c>
      <c r="C398" s="76" t="s">
        <v>330</v>
      </c>
      <c r="D398" s="76" t="s">
        <v>420</v>
      </c>
      <c r="E398" s="75">
        <v>0.625</v>
      </c>
      <c r="F398" s="75">
        <v>0.375</v>
      </c>
      <c r="G398" s="75">
        <v>10</v>
      </c>
      <c r="H398" s="75">
        <v>16</v>
      </c>
      <c r="J398" s="75">
        <v>9</v>
      </c>
      <c r="K398" s="75">
        <v>36</v>
      </c>
      <c r="L398" s="76" t="s">
        <v>330</v>
      </c>
      <c r="M398" s="76" t="s">
        <v>420</v>
      </c>
      <c r="N398" s="75">
        <v>2.7078957803483461</v>
      </c>
    </row>
    <row r="399" spans="1:14" ht="30" x14ac:dyDescent="0.25">
      <c r="A399" s="77">
        <v>9</v>
      </c>
      <c r="B399" s="77">
        <v>37</v>
      </c>
      <c r="C399" s="78" t="s">
        <v>330</v>
      </c>
      <c r="D399" s="78" t="s">
        <v>422</v>
      </c>
      <c r="E399" s="77">
        <v>0</v>
      </c>
      <c r="F399" s="77">
        <v>1</v>
      </c>
      <c r="G399" s="77">
        <v>0</v>
      </c>
      <c r="H399" s="77">
        <v>14</v>
      </c>
      <c r="J399" s="77">
        <v>9</v>
      </c>
      <c r="K399" s="77">
        <v>37</v>
      </c>
      <c r="L399" s="78" t="s">
        <v>330</v>
      </c>
      <c r="M399" s="78" t="s">
        <v>422</v>
      </c>
      <c r="N399" s="77">
        <v>4.5202854194824864</v>
      </c>
    </row>
    <row r="400" spans="1:14" ht="30" x14ac:dyDescent="0.25">
      <c r="A400" s="75">
        <v>9</v>
      </c>
      <c r="B400" s="75">
        <v>38</v>
      </c>
      <c r="C400" s="76" t="s">
        <v>330</v>
      </c>
      <c r="D400" s="76" t="s">
        <v>425</v>
      </c>
      <c r="E400" s="75">
        <v>0.6</v>
      </c>
      <c r="F400" s="75">
        <v>0.4</v>
      </c>
      <c r="G400" s="75">
        <v>9</v>
      </c>
      <c r="H400" s="75">
        <v>15</v>
      </c>
      <c r="J400" s="75">
        <v>9</v>
      </c>
      <c r="K400" s="75">
        <v>38</v>
      </c>
      <c r="L400" s="76" t="s">
        <v>330</v>
      </c>
      <c r="M400" s="76" t="s">
        <v>425</v>
      </c>
      <c r="N400" s="75">
        <v>4.5202854194824864</v>
      </c>
    </row>
    <row r="401" spans="1:14" ht="30" x14ac:dyDescent="0.25">
      <c r="A401" s="77">
        <v>9</v>
      </c>
      <c r="B401" s="77">
        <v>39</v>
      </c>
      <c r="C401" s="78" t="s">
        <v>330</v>
      </c>
      <c r="D401" s="78" t="s">
        <v>427</v>
      </c>
      <c r="E401" s="77">
        <v>0</v>
      </c>
      <c r="F401" s="77">
        <v>1</v>
      </c>
      <c r="G401" s="77">
        <v>0</v>
      </c>
      <c r="H401" s="77">
        <v>14</v>
      </c>
      <c r="J401" s="77">
        <v>9</v>
      </c>
      <c r="K401" s="77">
        <v>39</v>
      </c>
      <c r="L401" s="78" t="s">
        <v>330</v>
      </c>
      <c r="M401" s="78" t="s">
        <v>427</v>
      </c>
      <c r="N401" s="77">
        <v>4.5202854194824864</v>
      </c>
    </row>
    <row r="402" spans="1:14" ht="30" x14ac:dyDescent="0.25">
      <c r="A402" s="75">
        <v>9</v>
      </c>
      <c r="B402" s="75">
        <v>40</v>
      </c>
      <c r="C402" s="76" t="s">
        <v>330</v>
      </c>
      <c r="D402" s="76" t="s">
        <v>431</v>
      </c>
      <c r="E402" s="75">
        <v>0.7857142857142857</v>
      </c>
      <c r="F402" s="75">
        <v>0.2142857142857143</v>
      </c>
      <c r="G402" s="75">
        <v>11</v>
      </c>
      <c r="H402" s="75">
        <v>14</v>
      </c>
      <c r="J402" s="75">
        <v>9</v>
      </c>
      <c r="K402" s="75">
        <v>40</v>
      </c>
      <c r="L402" s="76" t="s">
        <v>330</v>
      </c>
      <c r="M402" s="76" t="s">
        <v>431</v>
      </c>
      <c r="N402" s="75">
        <v>1.0633635547027009</v>
      </c>
    </row>
    <row r="403" spans="1:14" ht="30" x14ac:dyDescent="0.25">
      <c r="A403" s="77">
        <v>10</v>
      </c>
      <c r="B403" s="77">
        <v>11</v>
      </c>
      <c r="C403" s="78" t="s">
        <v>334</v>
      </c>
      <c r="D403" s="78" t="s">
        <v>338</v>
      </c>
      <c r="E403" s="77">
        <v>0.27272727272727271</v>
      </c>
      <c r="F403" s="77">
        <v>0.72727272727272729</v>
      </c>
      <c r="G403" s="77">
        <v>3</v>
      </c>
      <c r="H403" s="77">
        <v>11</v>
      </c>
      <c r="J403" s="77">
        <v>10</v>
      </c>
      <c r="K403" s="77">
        <v>11</v>
      </c>
      <c r="L403" s="78" t="s">
        <v>334</v>
      </c>
      <c r="M403" s="78" t="s">
        <v>338</v>
      </c>
      <c r="N403" s="77">
        <v>1.301889109808239</v>
      </c>
    </row>
    <row r="404" spans="1:14" ht="30" x14ac:dyDescent="0.25">
      <c r="A404" s="75">
        <v>10</v>
      </c>
      <c r="B404" s="75">
        <v>12</v>
      </c>
      <c r="C404" s="76" t="s">
        <v>334</v>
      </c>
      <c r="D404" s="76" t="s">
        <v>342</v>
      </c>
      <c r="E404" s="75">
        <v>0.46666666666666667</v>
      </c>
      <c r="F404" s="75">
        <v>0.53333333333333333</v>
      </c>
      <c r="G404" s="75">
        <v>7</v>
      </c>
      <c r="H404" s="75">
        <v>15</v>
      </c>
      <c r="J404" s="75">
        <v>10</v>
      </c>
      <c r="K404" s="75">
        <v>12</v>
      </c>
      <c r="L404" s="76" t="s">
        <v>334</v>
      </c>
      <c r="M404" s="76" t="s">
        <v>342</v>
      </c>
      <c r="N404" s="75">
        <v>3.730430797440488</v>
      </c>
    </row>
    <row r="405" spans="1:14" ht="30" x14ac:dyDescent="0.25">
      <c r="A405" s="77">
        <v>10</v>
      </c>
      <c r="B405" s="77">
        <v>13</v>
      </c>
      <c r="C405" s="78" t="s">
        <v>334</v>
      </c>
      <c r="D405" s="78" t="s">
        <v>344</v>
      </c>
      <c r="E405" s="77">
        <v>0.4</v>
      </c>
      <c r="F405" s="77">
        <v>0.6</v>
      </c>
      <c r="G405" s="77">
        <v>4</v>
      </c>
      <c r="H405" s="77">
        <v>10</v>
      </c>
      <c r="J405" s="77">
        <v>10</v>
      </c>
      <c r="K405" s="77">
        <v>13</v>
      </c>
      <c r="L405" s="78" t="s">
        <v>334</v>
      </c>
      <c r="M405" s="78" t="s">
        <v>344</v>
      </c>
      <c r="N405" s="77">
        <v>2.5822141010712909</v>
      </c>
    </row>
    <row r="406" spans="1:14" ht="30" x14ac:dyDescent="0.25">
      <c r="A406" s="75">
        <v>10</v>
      </c>
      <c r="B406" s="75">
        <v>14</v>
      </c>
      <c r="C406" s="76" t="s">
        <v>334</v>
      </c>
      <c r="D406" s="76" t="s">
        <v>348</v>
      </c>
      <c r="E406" s="75">
        <v>0</v>
      </c>
      <c r="F406" s="75">
        <v>1</v>
      </c>
      <c r="G406" s="75">
        <v>0</v>
      </c>
      <c r="H406" s="75">
        <v>8</v>
      </c>
      <c r="J406" s="75">
        <v>10</v>
      </c>
      <c r="K406" s="75">
        <v>14</v>
      </c>
      <c r="L406" s="76" t="s">
        <v>334</v>
      </c>
      <c r="M406" s="76" t="s">
        <v>348</v>
      </c>
      <c r="N406" s="75">
        <v>1.6544668419494699</v>
      </c>
    </row>
    <row r="407" spans="1:14" ht="30" x14ac:dyDescent="0.25">
      <c r="A407" s="77">
        <v>10</v>
      </c>
      <c r="B407" s="77">
        <v>15</v>
      </c>
      <c r="C407" s="78" t="s">
        <v>334</v>
      </c>
      <c r="D407" s="78" t="s">
        <v>352</v>
      </c>
      <c r="E407" s="77">
        <v>0.44444444444444442</v>
      </c>
      <c r="F407" s="77">
        <v>0.55555555555555558</v>
      </c>
      <c r="G407" s="77">
        <v>8</v>
      </c>
      <c r="H407" s="77">
        <v>18</v>
      </c>
      <c r="J407" s="77">
        <v>10</v>
      </c>
      <c r="K407" s="77">
        <v>15</v>
      </c>
      <c r="L407" s="78" t="s">
        <v>334</v>
      </c>
      <c r="M407" s="78" t="s">
        <v>352</v>
      </c>
      <c r="N407" s="77">
        <v>6.4252063878178456</v>
      </c>
    </row>
    <row r="408" spans="1:14" x14ac:dyDescent="0.25">
      <c r="A408" s="75">
        <v>10</v>
      </c>
      <c r="B408" s="75">
        <v>16</v>
      </c>
      <c r="C408" s="76" t="s">
        <v>334</v>
      </c>
      <c r="D408" s="76" t="s">
        <v>356</v>
      </c>
      <c r="E408" s="75">
        <v>0</v>
      </c>
      <c r="F408" s="75">
        <v>1</v>
      </c>
      <c r="G408" s="75">
        <v>0</v>
      </c>
      <c r="H408" s="75">
        <v>8</v>
      </c>
      <c r="J408" s="75">
        <v>10</v>
      </c>
      <c r="K408" s="75">
        <v>16</v>
      </c>
      <c r="L408" s="76" t="s">
        <v>334</v>
      </c>
      <c r="M408" s="76" t="s">
        <v>356</v>
      </c>
      <c r="N408" s="75">
        <v>1.6544668419494699</v>
      </c>
    </row>
    <row r="409" spans="1:14" x14ac:dyDescent="0.25">
      <c r="A409" s="77">
        <v>10</v>
      </c>
      <c r="B409" s="77">
        <v>17</v>
      </c>
      <c r="C409" s="78" t="s">
        <v>334</v>
      </c>
      <c r="D409" s="78" t="s">
        <v>359</v>
      </c>
      <c r="E409" s="77">
        <v>0.47058823529411759</v>
      </c>
      <c r="F409" s="77">
        <v>0.52941176470588236</v>
      </c>
      <c r="G409" s="77">
        <v>8</v>
      </c>
      <c r="H409" s="77">
        <v>17</v>
      </c>
      <c r="J409" s="77">
        <v>10</v>
      </c>
      <c r="K409" s="77">
        <v>17</v>
      </c>
      <c r="L409" s="78" t="s">
        <v>334</v>
      </c>
      <c r="M409" s="78" t="s">
        <v>359</v>
      </c>
      <c r="N409" s="77">
        <v>3.2834655372641781</v>
      </c>
    </row>
    <row r="410" spans="1:14" ht="45" x14ac:dyDescent="0.25">
      <c r="A410" s="75">
        <v>10</v>
      </c>
      <c r="B410" s="75">
        <v>18</v>
      </c>
      <c r="C410" s="76" t="s">
        <v>334</v>
      </c>
      <c r="D410" s="76" t="s">
        <v>363</v>
      </c>
      <c r="E410" s="75">
        <v>0</v>
      </c>
      <c r="F410" s="75">
        <v>1</v>
      </c>
      <c r="G410" s="75">
        <v>0</v>
      </c>
      <c r="H410" s="75">
        <v>8</v>
      </c>
      <c r="J410" s="75">
        <v>10</v>
      </c>
      <c r="K410" s="75">
        <v>18</v>
      </c>
      <c r="L410" s="76" t="s">
        <v>334</v>
      </c>
      <c r="M410" s="76" t="s">
        <v>363</v>
      </c>
      <c r="N410" s="75">
        <v>1.6544668419494699</v>
      </c>
    </row>
    <row r="411" spans="1:14" x14ac:dyDescent="0.25">
      <c r="A411" s="77">
        <v>10</v>
      </c>
      <c r="B411" s="77">
        <v>19</v>
      </c>
      <c r="C411" s="78" t="s">
        <v>334</v>
      </c>
      <c r="D411" s="78" t="s">
        <v>367</v>
      </c>
      <c r="E411" s="77">
        <v>0.5</v>
      </c>
      <c r="F411" s="77">
        <v>0.5</v>
      </c>
      <c r="G411" s="77">
        <v>7</v>
      </c>
      <c r="H411" s="77">
        <v>14</v>
      </c>
      <c r="J411" s="77">
        <v>10</v>
      </c>
      <c r="K411" s="77">
        <v>19</v>
      </c>
      <c r="L411" s="78" t="s">
        <v>334</v>
      </c>
      <c r="M411" s="78" t="s">
        <v>367</v>
      </c>
      <c r="N411" s="77">
        <v>3.7307518778964379</v>
      </c>
    </row>
    <row r="412" spans="1:14" ht="30" x14ac:dyDescent="0.25">
      <c r="A412" s="75">
        <v>10</v>
      </c>
      <c r="B412" s="75">
        <v>20</v>
      </c>
      <c r="C412" s="76" t="s">
        <v>334</v>
      </c>
      <c r="D412" s="76" t="s">
        <v>371</v>
      </c>
      <c r="E412" s="75">
        <v>0.3</v>
      </c>
      <c r="F412" s="75">
        <v>0.7</v>
      </c>
      <c r="G412" s="75">
        <v>3</v>
      </c>
      <c r="H412" s="75">
        <v>10</v>
      </c>
      <c r="J412" s="75">
        <v>10</v>
      </c>
      <c r="K412" s="75">
        <v>20</v>
      </c>
      <c r="L412" s="76" t="s">
        <v>334</v>
      </c>
      <c r="M412" s="76" t="s">
        <v>371</v>
      </c>
      <c r="N412" s="75">
        <v>1.301889109808239</v>
      </c>
    </row>
    <row r="413" spans="1:14" ht="30" x14ac:dyDescent="0.25">
      <c r="A413" s="77">
        <v>10</v>
      </c>
      <c r="B413" s="77">
        <v>21</v>
      </c>
      <c r="C413" s="78" t="s">
        <v>334</v>
      </c>
      <c r="D413" s="78" t="s">
        <v>373</v>
      </c>
      <c r="E413" s="77">
        <v>0</v>
      </c>
      <c r="F413" s="77">
        <v>1</v>
      </c>
      <c r="G413" s="77">
        <v>0</v>
      </c>
      <c r="H413" s="77">
        <v>8</v>
      </c>
      <c r="J413" s="77">
        <v>10</v>
      </c>
      <c r="K413" s="77">
        <v>21</v>
      </c>
      <c r="L413" s="78" t="s">
        <v>334</v>
      </c>
      <c r="M413" s="78" t="s">
        <v>373</v>
      </c>
      <c r="N413" s="77">
        <v>1.6544668419494699</v>
      </c>
    </row>
    <row r="414" spans="1:14" x14ac:dyDescent="0.25">
      <c r="A414" s="75">
        <v>10</v>
      </c>
      <c r="B414" s="75">
        <v>22</v>
      </c>
      <c r="C414" s="76" t="s">
        <v>334</v>
      </c>
      <c r="D414" s="76" t="s">
        <v>377</v>
      </c>
      <c r="E414" s="75">
        <v>0.4</v>
      </c>
      <c r="F414" s="75">
        <v>0.6</v>
      </c>
      <c r="G414" s="75">
        <v>4</v>
      </c>
      <c r="H414" s="75">
        <v>10</v>
      </c>
      <c r="J414" s="75">
        <v>10</v>
      </c>
      <c r="K414" s="75">
        <v>22</v>
      </c>
      <c r="L414" s="76" t="s">
        <v>334</v>
      </c>
      <c r="M414" s="76" t="s">
        <v>377</v>
      </c>
      <c r="N414" s="75">
        <v>1.9232261938338699</v>
      </c>
    </row>
    <row r="415" spans="1:14" x14ac:dyDescent="0.25">
      <c r="A415" s="77">
        <v>10</v>
      </c>
      <c r="B415" s="77">
        <v>23</v>
      </c>
      <c r="C415" s="78" t="s">
        <v>334</v>
      </c>
      <c r="D415" s="78" t="s">
        <v>380</v>
      </c>
      <c r="E415" s="77">
        <v>0.61538461538461542</v>
      </c>
      <c r="F415" s="77">
        <v>0.38461538461538458</v>
      </c>
      <c r="G415" s="77">
        <v>8</v>
      </c>
      <c r="H415" s="77">
        <v>13</v>
      </c>
      <c r="J415" s="77">
        <v>10</v>
      </c>
      <c r="K415" s="77">
        <v>23</v>
      </c>
      <c r="L415" s="78" t="s">
        <v>334</v>
      </c>
      <c r="M415" s="78" t="s">
        <v>380</v>
      </c>
      <c r="N415" s="77">
        <v>3.730430797440488</v>
      </c>
    </row>
    <row r="416" spans="1:14" ht="30" x14ac:dyDescent="0.25">
      <c r="A416" s="75">
        <v>10</v>
      </c>
      <c r="B416" s="75">
        <v>24</v>
      </c>
      <c r="C416" s="76" t="s">
        <v>334</v>
      </c>
      <c r="D416" s="76" t="s">
        <v>384</v>
      </c>
      <c r="E416" s="75">
        <v>0.53846153846153844</v>
      </c>
      <c r="F416" s="75">
        <v>0.46153846153846162</v>
      </c>
      <c r="G416" s="75">
        <v>7</v>
      </c>
      <c r="H416" s="75">
        <v>13</v>
      </c>
      <c r="J416" s="75">
        <v>10</v>
      </c>
      <c r="K416" s="75">
        <v>24</v>
      </c>
      <c r="L416" s="76" t="s">
        <v>334</v>
      </c>
      <c r="M416" s="76" t="s">
        <v>384</v>
      </c>
      <c r="N416" s="75">
        <v>2.5658165127818671</v>
      </c>
    </row>
    <row r="417" spans="1:14" x14ac:dyDescent="0.25">
      <c r="A417" s="77">
        <v>10</v>
      </c>
      <c r="B417" s="77">
        <v>25</v>
      </c>
      <c r="C417" s="78" t="s">
        <v>334</v>
      </c>
      <c r="D417" s="78" t="s">
        <v>386</v>
      </c>
      <c r="E417" s="77">
        <v>0.5</v>
      </c>
      <c r="F417" s="77">
        <v>0.5</v>
      </c>
      <c r="G417" s="77">
        <v>8</v>
      </c>
      <c r="H417" s="77">
        <v>16</v>
      </c>
      <c r="J417" s="77">
        <v>10</v>
      </c>
      <c r="K417" s="77">
        <v>25</v>
      </c>
      <c r="L417" s="78" t="s">
        <v>334</v>
      </c>
      <c r="M417" s="78" t="s">
        <v>386</v>
      </c>
      <c r="N417" s="77">
        <v>6.4082969651840518</v>
      </c>
    </row>
    <row r="418" spans="1:14" ht="30" x14ac:dyDescent="0.25">
      <c r="A418" s="75">
        <v>10</v>
      </c>
      <c r="B418" s="75">
        <v>26</v>
      </c>
      <c r="C418" s="76" t="s">
        <v>334</v>
      </c>
      <c r="D418" s="76" t="s">
        <v>389</v>
      </c>
      <c r="E418" s="75">
        <v>0</v>
      </c>
      <c r="F418" s="75">
        <v>1</v>
      </c>
      <c r="G418" s="75">
        <v>0</v>
      </c>
      <c r="H418" s="75">
        <v>8</v>
      </c>
      <c r="J418" s="75">
        <v>10</v>
      </c>
      <c r="K418" s="75">
        <v>26</v>
      </c>
      <c r="L418" s="76" t="s">
        <v>334</v>
      </c>
      <c r="M418" s="76" t="s">
        <v>389</v>
      </c>
      <c r="N418" s="75">
        <v>1.6544668419494699</v>
      </c>
    </row>
    <row r="419" spans="1:14" ht="30" x14ac:dyDescent="0.25">
      <c r="A419" s="77">
        <v>10</v>
      </c>
      <c r="B419" s="77">
        <v>27</v>
      </c>
      <c r="C419" s="78" t="s">
        <v>334</v>
      </c>
      <c r="D419" s="78" t="s">
        <v>393</v>
      </c>
      <c r="E419" s="77">
        <v>0.6</v>
      </c>
      <c r="F419" s="77">
        <v>0.4</v>
      </c>
      <c r="G419" s="77">
        <v>6</v>
      </c>
      <c r="H419" s="77">
        <v>10</v>
      </c>
      <c r="J419" s="77">
        <v>10</v>
      </c>
      <c r="K419" s="77">
        <v>27</v>
      </c>
      <c r="L419" s="78" t="s">
        <v>334</v>
      </c>
      <c r="M419" s="78" t="s">
        <v>393</v>
      </c>
      <c r="N419" s="77">
        <v>4.9329630632797548</v>
      </c>
    </row>
    <row r="420" spans="1:14" ht="45" x14ac:dyDescent="0.25">
      <c r="A420" s="75">
        <v>10</v>
      </c>
      <c r="B420" s="75">
        <v>28</v>
      </c>
      <c r="C420" s="76" t="s">
        <v>334</v>
      </c>
      <c r="D420" s="76" t="s">
        <v>396</v>
      </c>
      <c r="E420" s="75">
        <v>0</v>
      </c>
      <c r="F420" s="75">
        <v>1</v>
      </c>
      <c r="G420" s="75">
        <v>0</v>
      </c>
      <c r="H420" s="75">
        <v>8</v>
      </c>
      <c r="J420" s="75">
        <v>10</v>
      </c>
      <c r="K420" s="75">
        <v>28</v>
      </c>
      <c r="L420" s="76" t="s">
        <v>334</v>
      </c>
      <c r="M420" s="76" t="s">
        <v>396</v>
      </c>
      <c r="N420" s="75">
        <v>1.6544668419494699</v>
      </c>
    </row>
    <row r="421" spans="1:14" x14ac:dyDescent="0.25">
      <c r="A421" s="77">
        <v>10</v>
      </c>
      <c r="B421" s="77">
        <v>29</v>
      </c>
      <c r="C421" s="78" t="s">
        <v>334</v>
      </c>
      <c r="D421" s="78" t="s">
        <v>399</v>
      </c>
      <c r="E421" s="77">
        <v>0</v>
      </c>
      <c r="F421" s="77">
        <v>1</v>
      </c>
      <c r="G421" s="77">
        <v>0</v>
      </c>
      <c r="H421" s="77">
        <v>8</v>
      </c>
      <c r="J421" s="77">
        <v>10</v>
      </c>
      <c r="K421" s="77">
        <v>29</v>
      </c>
      <c r="L421" s="78" t="s">
        <v>334</v>
      </c>
      <c r="M421" s="78" t="s">
        <v>399</v>
      </c>
      <c r="N421" s="77">
        <v>1.6544668419494699</v>
      </c>
    </row>
    <row r="422" spans="1:14" ht="30" x14ac:dyDescent="0.25">
      <c r="A422" s="75">
        <v>10</v>
      </c>
      <c r="B422" s="75">
        <v>30</v>
      </c>
      <c r="C422" s="76" t="s">
        <v>334</v>
      </c>
      <c r="D422" s="76" t="s">
        <v>402</v>
      </c>
      <c r="E422" s="75">
        <v>0</v>
      </c>
      <c r="F422" s="75">
        <v>1</v>
      </c>
      <c r="G422" s="75">
        <v>0</v>
      </c>
      <c r="H422" s="75">
        <v>8</v>
      </c>
      <c r="J422" s="75">
        <v>10</v>
      </c>
      <c r="K422" s="75">
        <v>30</v>
      </c>
      <c r="L422" s="76" t="s">
        <v>334</v>
      </c>
      <c r="M422" s="76" t="s">
        <v>402</v>
      </c>
      <c r="N422" s="75">
        <v>1.6544668419494699</v>
      </c>
    </row>
    <row r="423" spans="1:14" x14ac:dyDescent="0.25">
      <c r="A423" s="77">
        <v>10</v>
      </c>
      <c r="B423" s="77">
        <v>31</v>
      </c>
      <c r="C423" s="78" t="s">
        <v>334</v>
      </c>
      <c r="D423" s="78" t="s">
        <v>406</v>
      </c>
      <c r="E423" s="77">
        <v>0.46666666666666667</v>
      </c>
      <c r="F423" s="77">
        <v>0.53333333333333333</v>
      </c>
      <c r="G423" s="77">
        <v>7</v>
      </c>
      <c r="H423" s="77">
        <v>15</v>
      </c>
      <c r="J423" s="77">
        <v>10</v>
      </c>
      <c r="K423" s="77">
        <v>31</v>
      </c>
      <c r="L423" s="78" t="s">
        <v>334</v>
      </c>
      <c r="M423" s="78" t="s">
        <v>406</v>
      </c>
      <c r="N423" s="77">
        <v>2.5658165127818671</v>
      </c>
    </row>
    <row r="424" spans="1:14" x14ac:dyDescent="0.25">
      <c r="A424" s="75">
        <v>10</v>
      </c>
      <c r="B424" s="75">
        <v>32</v>
      </c>
      <c r="C424" s="76" t="s">
        <v>334</v>
      </c>
      <c r="D424" s="76" t="s">
        <v>407</v>
      </c>
      <c r="E424" s="75">
        <v>0.47058823529411759</v>
      </c>
      <c r="F424" s="75">
        <v>0.52941176470588236</v>
      </c>
      <c r="G424" s="75">
        <v>8</v>
      </c>
      <c r="H424" s="75">
        <v>17</v>
      </c>
      <c r="J424" s="75">
        <v>10</v>
      </c>
      <c r="K424" s="75">
        <v>32</v>
      </c>
      <c r="L424" s="76" t="s">
        <v>334</v>
      </c>
      <c r="M424" s="76" t="s">
        <v>407</v>
      </c>
      <c r="N424" s="75">
        <v>6.4374455254575382</v>
      </c>
    </row>
    <row r="425" spans="1:14" x14ac:dyDescent="0.25">
      <c r="A425" s="77">
        <v>10</v>
      </c>
      <c r="B425" s="77">
        <v>33</v>
      </c>
      <c r="C425" s="78" t="s">
        <v>334</v>
      </c>
      <c r="D425" s="78" t="s">
        <v>410</v>
      </c>
      <c r="E425" s="77">
        <v>0</v>
      </c>
      <c r="F425" s="77">
        <v>1</v>
      </c>
      <c r="G425" s="77">
        <v>0</v>
      </c>
      <c r="H425" s="77">
        <v>8</v>
      </c>
      <c r="J425" s="77">
        <v>10</v>
      </c>
      <c r="K425" s="77">
        <v>33</v>
      </c>
      <c r="L425" s="78" t="s">
        <v>334</v>
      </c>
      <c r="M425" s="78" t="s">
        <v>410</v>
      </c>
      <c r="N425" s="77">
        <v>1.6544668419494699</v>
      </c>
    </row>
    <row r="426" spans="1:14" x14ac:dyDescent="0.25">
      <c r="A426" s="75">
        <v>10</v>
      </c>
      <c r="B426" s="75">
        <v>34</v>
      </c>
      <c r="C426" s="76" t="s">
        <v>334</v>
      </c>
      <c r="D426" s="76" t="s">
        <v>413</v>
      </c>
      <c r="E426" s="75">
        <v>0.53333333333333333</v>
      </c>
      <c r="F426" s="75">
        <v>0.46666666666666667</v>
      </c>
      <c r="G426" s="75">
        <v>8</v>
      </c>
      <c r="H426" s="75">
        <v>15</v>
      </c>
      <c r="J426" s="75">
        <v>10</v>
      </c>
      <c r="K426" s="75">
        <v>34</v>
      </c>
      <c r="L426" s="76" t="s">
        <v>334</v>
      </c>
      <c r="M426" s="76" t="s">
        <v>413</v>
      </c>
      <c r="N426" s="75">
        <v>3.730430797440488</v>
      </c>
    </row>
    <row r="427" spans="1:14" ht="30" x14ac:dyDescent="0.25">
      <c r="A427" s="77">
        <v>10</v>
      </c>
      <c r="B427" s="77">
        <v>35</v>
      </c>
      <c r="C427" s="78" t="s">
        <v>334</v>
      </c>
      <c r="D427" s="78" t="s">
        <v>416</v>
      </c>
      <c r="E427" s="77">
        <v>0</v>
      </c>
      <c r="F427" s="77">
        <v>1</v>
      </c>
      <c r="G427" s="77">
        <v>0</v>
      </c>
      <c r="H427" s="77">
        <v>8</v>
      </c>
      <c r="J427" s="77">
        <v>10</v>
      </c>
      <c r="K427" s="77">
        <v>35</v>
      </c>
      <c r="L427" s="78" t="s">
        <v>334</v>
      </c>
      <c r="M427" s="78" t="s">
        <v>416</v>
      </c>
      <c r="N427" s="77">
        <v>1.6544668419494699</v>
      </c>
    </row>
    <row r="428" spans="1:14" ht="45" x14ac:dyDescent="0.25">
      <c r="A428" s="75">
        <v>10</v>
      </c>
      <c r="B428" s="75">
        <v>36</v>
      </c>
      <c r="C428" s="76" t="s">
        <v>334</v>
      </c>
      <c r="D428" s="76" t="s">
        <v>420</v>
      </c>
      <c r="E428" s="75">
        <v>0.42857142857142849</v>
      </c>
      <c r="F428" s="75">
        <v>0.5714285714285714</v>
      </c>
      <c r="G428" s="75">
        <v>6</v>
      </c>
      <c r="H428" s="75">
        <v>14</v>
      </c>
      <c r="J428" s="75">
        <v>10</v>
      </c>
      <c r="K428" s="75">
        <v>36</v>
      </c>
      <c r="L428" s="76" t="s">
        <v>334</v>
      </c>
      <c r="M428" s="76" t="s">
        <v>420</v>
      </c>
      <c r="N428" s="75">
        <v>2.8772086527572842</v>
      </c>
    </row>
    <row r="429" spans="1:14" x14ac:dyDescent="0.25">
      <c r="A429" s="77">
        <v>10</v>
      </c>
      <c r="B429" s="77">
        <v>37</v>
      </c>
      <c r="C429" s="78" t="s">
        <v>334</v>
      </c>
      <c r="D429" s="78" t="s">
        <v>422</v>
      </c>
      <c r="E429" s="77">
        <v>0</v>
      </c>
      <c r="F429" s="77">
        <v>1</v>
      </c>
      <c r="G429" s="77">
        <v>0</v>
      </c>
      <c r="H429" s="77">
        <v>8</v>
      </c>
      <c r="J429" s="77">
        <v>10</v>
      </c>
      <c r="K429" s="77">
        <v>37</v>
      </c>
      <c r="L429" s="78" t="s">
        <v>334</v>
      </c>
      <c r="M429" s="78" t="s">
        <v>422</v>
      </c>
      <c r="N429" s="77">
        <v>1.6544668419494699</v>
      </c>
    </row>
    <row r="430" spans="1:14" ht="30" x14ac:dyDescent="0.25">
      <c r="A430" s="75">
        <v>10</v>
      </c>
      <c r="B430" s="75">
        <v>38</v>
      </c>
      <c r="C430" s="76" t="s">
        <v>334</v>
      </c>
      <c r="D430" s="76" t="s">
        <v>425</v>
      </c>
      <c r="E430" s="75">
        <v>0.38461538461538458</v>
      </c>
      <c r="F430" s="75">
        <v>0.61538461538461542</v>
      </c>
      <c r="G430" s="75">
        <v>5</v>
      </c>
      <c r="H430" s="75">
        <v>13</v>
      </c>
      <c r="J430" s="75">
        <v>10</v>
      </c>
      <c r="K430" s="75">
        <v>38</v>
      </c>
      <c r="L430" s="76" t="s">
        <v>334</v>
      </c>
      <c r="M430" s="76" t="s">
        <v>425</v>
      </c>
      <c r="N430" s="75">
        <v>1.6544668419494699</v>
      </c>
    </row>
    <row r="431" spans="1:14" x14ac:dyDescent="0.25">
      <c r="A431" s="77">
        <v>10</v>
      </c>
      <c r="B431" s="77">
        <v>39</v>
      </c>
      <c r="C431" s="78" t="s">
        <v>334</v>
      </c>
      <c r="D431" s="78" t="s">
        <v>427</v>
      </c>
      <c r="E431" s="77">
        <v>0</v>
      </c>
      <c r="F431" s="77">
        <v>1</v>
      </c>
      <c r="G431" s="77">
        <v>0</v>
      </c>
      <c r="H431" s="77">
        <v>8</v>
      </c>
      <c r="J431" s="77">
        <v>10</v>
      </c>
      <c r="K431" s="77">
        <v>39</v>
      </c>
      <c r="L431" s="78" t="s">
        <v>334</v>
      </c>
      <c r="M431" s="78" t="s">
        <v>427</v>
      </c>
      <c r="N431" s="77">
        <v>1.6544668419494699</v>
      </c>
    </row>
    <row r="432" spans="1:14" x14ac:dyDescent="0.25">
      <c r="A432" s="75">
        <v>10</v>
      </c>
      <c r="B432" s="75">
        <v>40</v>
      </c>
      <c r="C432" s="76" t="s">
        <v>334</v>
      </c>
      <c r="D432" s="76" t="s">
        <v>431</v>
      </c>
      <c r="E432" s="75">
        <v>0.58333333333333337</v>
      </c>
      <c r="F432" s="75">
        <v>0.41666666666666657</v>
      </c>
      <c r="G432" s="75">
        <v>7</v>
      </c>
      <c r="H432" s="75">
        <v>12</v>
      </c>
      <c r="J432" s="75">
        <v>10</v>
      </c>
      <c r="K432" s="75">
        <v>40</v>
      </c>
      <c r="L432" s="76" t="s">
        <v>334</v>
      </c>
      <c r="M432" s="76" t="s">
        <v>431</v>
      </c>
      <c r="N432" s="75">
        <v>4.7321333292305114</v>
      </c>
    </row>
    <row r="433" spans="1:14" ht="30" x14ac:dyDescent="0.25">
      <c r="A433" s="77">
        <v>11</v>
      </c>
      <c r="B433" s="77">
        <v>12</v>
      </c>
      <c r="C433" s="78" t="s">
        <v>338</v>
      </c>
      <c r="D433" s="78" t="s">
        <v>342</v>
      </c>
      <c r="E433" s="77">
        <v>0.42857142857142849</v>
      </c>
      <c r="F433" s="77">
        <v>0.5714285714285714</v>
      </c>
      <c r="G433" s="77">
        <v>6</v>
      </c>
      <c r="H433" s="77">
        <v>14</v>
      </c>
      <c r="J433" s="77">
        <v>11</v>
      </c>
      <c r="K433" s="77">
        <v>12</v>
      </c>
      <c r="L433" s="78" t="s">
        <v>338</v>
      </c>
      <c r="M433" s="78" t="s">
        <v>342</v>
      </c>
      <c r="N433" s="77">
        <v>3.495883104489506</v>
      </c>
    </row>
    <row r="434" spans="1:14" ht="30" x14ac:dyDescent="0.25">
      <c r="A434" s="75">
        <v>11</v>
      </c>
      <c r="B434" s="75">
        <v>13</v>
      </c>
      <c r="C434" s="76" t="s">
        <v>338</v>
      </c>
      <c r="D434" s="76" t="s">
        <v>344</v>
      </c>
      <c r="E434" s="75">
        <v>0.33333333333333331</v>
      </c>
      <c r="F434" s="75">
        <v>0.66666666666666674</v>
      </c>
      <c r="G434" s="75">
        <v>3</v>
      </c>
      <c r="H434" s="75">
        <v>9</v>
      </c>
      <c r="J434" s="75">
        <v>11</v>
      </c>
      <c r="K434" s="75">
        <v>13</v>
      </c>
      <c r="L434" s="76" t="s">
        <v>338</v>
      </c>
      <c r="M434" s="76" t="s">
        <v>344</v>
      </c>
      <c r="N434" s="75">
        <v>2.230003230834908</v>
      </c>
    </row>
    <row r="435" spans="1:14" ht="30" x14ac:dyDescent="0.25">
      <c r="A435" s="77">
        <v>11</v>
      </c>
      <c r="B435" s="77">
        <v>14</v>
      </c>
      <c r="C435" s="78" t="s">
        <v>338</v>
      </c>
      <c r="D435" s="78" t="s">
        <v>348</v>
      </c>
      <c r="E435" s="77">
        <v>0</v>
      </c>
      <c r="F435" s="77">
        <v>1</v>
      </c>
      <c r="G435" s="77">
        <v>0</v>
      </c>
      <c r="H435" s="77">
        <v>6</v>
      </c>
      <c r="J435" s="77">
        <v>11</v>
      </c>
      <c r="K435" s="77">
        <v>14</v>
      </c>
      <c r="L435" s="78" t="s">
        <v>338</v>
      </c>
      <c r="M435" s="78" t="s">
        <v>348</v>
      </c>
      <c r="N435" s="77">
        <v>1.0209531217803121</v>
      </c>
    </row>
    <row r="436" spans="1:14" ht="30" x14ac:dyDescent="0.25">
      <c r="A436" s="75">
        <v>11</v>
      </c>
      <c r="B436" s="75">
        <v>15</v>
      </c>
      <c r="C436" s="76" t="s">
        <v>338</v>
      </c>
      <c r="D436" s="76" t="s">
        <v>352</v>
      </c>
      <c r="E436" s="75">
        <v>0.33333333333333331</v>
      </c>
      <c r="F436" s="75">
        <v>0.66666666666666674</v>
      </c>
      <c r="G436" s="75">
        <v>6</v>
      </c>
      <c r="H436" s="75">
        <v>18</v>
      </c>
      <c r="J436" s="75">
        <v>11</v>
      </c>
      <c r="K436" s="75">
        <v>15</v>
      </c>
      <c r="L436" s="76" t="s">
        <v>338</v>
      </c>
      <c r="M436" s="76" t="s">
        <v>352</v>
      </c>
      <c r="N436" s="75">
        <v>6.8094069410461229</v>
      </c>
    </row>
    <row r="437" spans="1:14" ht="30" x14ac:dyDescent="0.25">
      <c r="A437" s="77">
        <v>11</v>
      </c>
      <c r="B437" s="77">
        <v>16</v>
      </c>
      <c r="C437" s="78" t="s">
        <v>338</v>
      </c>
      <c r="D437" s="78" t="s">
        <v>356</v>
      </c>
      <c r="E437" s="77">
        <v>0</v>
      </c>
      <c r="F437" s="77">
        <v>1</v>
      </c>
      <c r="G437" s="77">
        <v>0</v>
      </c>
      <c r="H437" s="77">
        <v>6</v>
      </c>
      <c r="J437" s="77">
        <v>11</v>
      </c>
      <c r="K437" s="77">
        <v>16</v>
      </c>
      <c r="L437" s="78" t="s">
        <v>338</v>
      </c>
      <c r="M437" s="78" t="s">
        <v>356</v>
      </c>
      <c r="N437" s="77">
        <v>1.0209531217803121</v>
      </c>
    </row>
    <row r="438" spans="1:14" ht="30" x14ac:dyDescent="0.25">
      <c r="A438" s="75">
        <v>11</v>
      </c>
      <c r="B438" s="75">
        <v>17</v>
      </c>
      <c r="C438" s="76" t="s">
        <v>338</v>
      </c>
      <c r="D438" s="76" t="s">
        <v>359</v>
      </c>
      <c r="E438" s="75">
        <v>0.35294117647058831</v>
      </c>
      <c r="F438" s="75">
        <v>0.64705882352941169</v>
      </c>
      <c r="G438" s="75">
        <v>6</v>
      </c>
      <c r="H438" s="75">
        <v>17</v>
      </c>
      <c r="J438" s="75">
        <v>11</v>
      </c>
      <c r="K438" s="75">
        <v>17</v>
      </c>
      <c r="L438" s="76" t="s">
        <v>338</v>
      </c>
      <c r="M438" s="76" t="s">
        <v>359</v>
      </c>
      <c r="N438" s="75">
        <v>3.5321468243320271</v>
      </c>
    </row>
    <row r="439" spans="1:14" ht="45" x14ac:dyDescent="0.25">
      <c r="A439" s="77">
        <v>11</v>
      </c>
      <c r="B439" s="77">
        <v>18</v>
      </c>
      <c r="C439" s="78" t="s">
        <v>338</v>
      </c>
      <c r="D439" s="78" t="s">
        <v>363</v>
      </c>
      <c r="E439" s="77">
        <v>0</v>
      </c>
      <c r="F439" s="77">
        <v>1</v>
      </c>
      <c r="G439" s="77">
        <v>0</v>
      </c>
      <c r="H439" s="77">
        <v>6</v>
      </c>
      <c r="J439" s="77">
        <v>11</v>
      </c>
      <c r="K439" s="77">
        <v>18</v>
      </c>
      <c r="L439" s="78" t="s">
        <v>338</v>
      </c>
      <c r="M439" s="78" t="s">
        <v>363</v>
      </c>
      <c r="N439" s="77">
        <v>1.0209531217803121</v>
      </c>
    </row>
    <row r="440" spans="1:14" ht="30" x14ac:dyDescent="0.25">
      <c r="A440" s="75">
        <v>11</v>
      </c>
      <c r="B440" s="75">
        <v>19</v>
      </c>
      <c r="C440" s="76" t="s">
        <v>338</v>
      </c>
      <c r="D440" s="76" t="s">
        <v>367</v>
      </c>
      <c r="E440" s="75">
        <v>0.26666666666666672</v>
      </c>
      <c r="F440" s="75">
        <v>0.73333333333333339</v>
      </c>
      <c r="G440" s="75">
        <v>4</v>
      </c>
      <c r="H440" s="75">
        <v>15</v>
      </c>
      <c r="J440" s="75">
        <v>11</v>
      </c>
      <c r="K440" s="75">
        <v>19</v>
      </c>
      <c r="L440" s="76" t="s">
        <v>338</v>
      </c>
      <c r="M440" s="76" t="s">
        <v>367</v>
      </c>
      <c r="N440" s="75">
        <v>3.9513826477152381</v>
      </c>
    </row>
    <row r="441" spans="1:14" ht="30" x14ac:dyDescent="0.25">
      <c r="A441" s="77">
        <v>11</v>
      </c>
      <c r="B441" s="77">
        <v>20</v>
      </c>
      <c r="C441" s="78" t="s">
        <v>338</v>
      </c>
      <c r="D441" s="78" t="s">
        <v>371</v>
      </c>
      <c r="E441" s="77">
        <v>0.375</v>
      </c>
      <c r="F441" s="77">
        <v>0.625</v>
      </c>
      <c r="G441" s="77">
        <v>3</v>
      </c>
      <c r="H441" s="77">
        <v>8</v>
      </c>
      <c r="J441" s="77">
        <v>11</v>
      </c>
      <c r="K441" s="77">
        <v>20</v>
      </c>
      <c r="L441" s="78" t="s">
        <v>338</v>
      </c>
      <c r="M441" s="78" t="s">
        <v>371</v>
      </c>
      <c r="N441" s="77">
        <v>0</v>
      </c>
    </row>
    <row r="442" spans="1:14" ht="30" x14ac:dyDescent="0.25">
      <c r="A442" s="75">
        <v>11</v>
      </c>
      <c r="B442" s="75">
        <v>21</v>
      </c>
      <c r="C442" s="76" t="s">
        <v>338</v>
      </c>
      <c r="D442" s="76" t="s">
        <v>373</v>
      </c>
      <c r="E442" s="75">
        <v>0</v>
      </c>
      <c r="F442" s="75">
        <v>1</v>
      </c>
      <c r="G442" s="75">
        <v>0</v>
      </c>
      <c r="H442" s="75">
        <v>6</v>
      </c>
      <c r="J442" s="75">
        <v>11</v>
      </c>
      <c r="K442" s="75">
        <v>21</v>
      </c>
      <c r="L442" s="76" t="s">
        <v>338</v>
      </c>
      <c r="M442" s="76" t="s">
        <v>373</v>
      </c>
      <c r="N442" s="75">
        <v>1.0209531217803121</v>
      </c>
    </row>
    <row r="443" spans="1:14" ht="30" x14ac:dyDescent="0.25">
      <c r="A443" s="77">
        <v>11</v>
      </c>
      <c r="B443" s="77">
        <v>22</v>
      </c>
      <c r="C443" s="78" t="s">
        <v>338</v>
      </c>
      <c r="D443" s="78" t="s">
        <v>377</v>
      </c>
      <c r="E443" s="77">
        <v>0.2</v>
      </c>
      <c r="F443" s="77">
        <v>0.8</v>
      </c>
      <c r="G443" s="77">
        <v>2</v>
      </c>
      <c r="H443" s="77">
        <v>10</v>
      </c>
      <c r="J443" s="77">
        <v>11</v>
      </c>
      <c r="K443" s="77">
        <v>22</v>
      </c>
      <c r="L443" s="78" t="s">
        <v>338</v>
      </c>
      <c r="M443" s="78" t="s">
        <v>377</v>
      </c>
      <c r="N443" s="77">
        <v>1.415586005303608</v>
      </c>
    </row>
    <row r="444" spans="1:14" ht="30" x14ac:dyDescent="0.25">
      <c r="A444" s="75">
        <v>11</v>
      </c>
      <c r="B444" s="75">
        <v>23</v>
      </c>
      <c r="C444" s="76" t="s">
        <v>338</v>
      </c>
      <c r="D444" s="76" t="s">
        <v>380</v>
      </c>
      <c r="E444" s="75">
        <v>0.35714285714285721</v>
      </c>
      <c r="F444" s="75">
        <v>0.64285714285714279</v>
      </c>
      <c r="G444" s="75">
        <v>5</v>
      </c>
      <c r="H444" s="75">
        <v>14</v>
      </c>
      <c r="J444" s="75">
        <v>11</v>
      </c>
      <c r="K444" s="75">
        <v>23</v>
      </c>
      <c r="L444" s="76" t="s">
        <v>338</v>
      </c>
      <c r="M444" s="76" t="s">
        <v>380</v>
      </c>
      <c r="N444" s="75">
        <v>4.3589975564577159</v>
      </c>
    </row>
    <row r="445" spans="1:14" ht="30" x14ac:dyDescent="0.25">
      <c r="A445" s="77">
        <v>11</v>
      </c>
      <c r="B445" s="77">
        <v>24</v>
      </c>
      <c r="C445" s="78" t="s">
        <v>338</v>
      </c>
      <c r="D445" s="78" t="s">
        <v>384</v>
      </c>
      <c r="E445" s="77">
        <v>0.5</v>
      </c>
      <c r="F445" s="77">
        <v>0.5</v>
      </c>
      <c r="G445" s="77">
        <v>6</v>
      </c>
      <c r="H445" s="77">
        <v>12</v>
      </c>
      <c r="J445" s="77">
        <v>11</v>
      </c>
      <c r="K445" s="77">
        <v>24</v>
      </c>
      <c r="L445" s="78" t="s">
        <v>338</v>
      </c>
      <c r="M445" s="78" t="s">
        <v>384</v>
      </c>
      <c r="N445" s="77">
        <v>2.2109950526916178</v>
      </c>
    </row>
    <row r="446" spans="1:14" ht="30" x14ac:dyDescent="0.25">
      <c r="A446" s="75">
        <v>11</v>
      </c>
      <c r="B446" s="75">
        <v>25</v>
      </c>
      <c r="C446" s="76" t="s">
        <v>338</v>
      </c>
      <c r="D446" s="76" t="s">
        <v>386</v>
      </c>
      <c r="E446" s="75">
        <v>0.375</v>
      </c>
      <c r="F446" s="75">
        <v>0.625</v>
      </c>
      <c r="G446" s="75">
        <v>6</v>
      </c>
      <c r="H446" s="75">
        <v>16</v>
      </c>
      <c r="J446" s="75">
        <v>11</v>
      </c>
      <c r="K446" s="75">
        <v>25</v>
      </c>
      <c r="L446" s="76" t="s">
        <v>338</v>
      </c>
      <c r="M446" s="76" t="s">
        <v>386</v>
      </c>
      <c r="N446" s="75">
        <v>7.0385258588125943</v>
      </c>
    </row>
    <row r="447" spans="1:14" ht="30" x14ac:dyDescent="0.25">
      <c r="A447" s="77">
        <v>11</v>
      </c>
      <c r="B447" s="77">
        <v>26</v>
      </c>
      <c r="C447" s="78" t="s">
        <v>338</v>
      </c>
      <c r="D447" s="78" t="s">
        <v>389</v>
      </c>
      <c r="E447" s="77">
        <v>0</v>
      </c>
      <c r="F447" s="77">
        <v>1</v>
      </c>
      <c r="G447" s="77">
        <v>0</v>
      </c>
      <c r="H447" s="77">
        <v>6</v>
      </c>
      <c r="J447" s="77">
        <v>11</v>
      </c>
      <c r="K447" s="77">
        <v>26</v>
      </c>
      <c r="L447" s="78" t="s">
        <v>338</v>
      </c>
      <c r="M447" s="78" t="s">
        <v>389</v>
      </c>
      <c r="N447" s="77">
        <v>1.0209531217803121</v>
      </c>
    </row>
    <row r="448" spans="1:14" ht="30" x14ac:dyDescent="0.25">
      <c r="A448" s="75">
        <v>11</v>
      </c>
      <c r="B448" s="75">
        <v>27</v>
      </c>
      <c r="C448" s="76" t="s">
        <v>338</v>
      </c>
      <c r="D448" s="76" t="s">
        <v>393</v>
      </c>
      <c r="E448" s="75">
        <v>0.27272727272727271</v>
      </c>
      <c r="F448" s="75">
        <v>0.72727272727272729</v>
      </c>
      <c r="G448" s="75">
        <v>3</v>
      </c>
      <c r="H448" s="75">
        <v>11</v>
      </c>
      <c r="J448" s="75">
        <v>11</v>
      </c>
      <c r="K448" s="75">
        <v>27</v>
      </c>
      <c r="L448" s="76" t="s">
        <v>338</v>
      </c>
      <c r="M448" s="76" t="s">
        <v>393</v>
      </c>
      <c r="N448" s="75">
        <v>5.101866309295028</v>
      </c>
    </row>
    <row r="449" spans="1:14" ht="45" x14ac:dyDescent="0.25">
      <c r="A449" s="77">
        <v>11</v>
      </c>
      <c r="B449" s="77">
        <v>28</v>
      </c>
      <c r="C449" s="78" t="s">
        <v>338</v>
      </c>
      <c r="D449" s="78" t="s">
        <v>396</v>
      </c>
      <c r="E449" s="77">
        <v>0</v>
      </c>
      <c r="F449" s="77">
        <v>1</v>
      </c>
      <c r="G449" s="77">
        <v>0</v>
      </c>
      <c r="H449" s="77">
        <v>6</v>
      </c>
      <c r="J449" s="77">
        <v>11</v>
      </c>
      <c r="K449" s="77">
        <v>28</v>
      </c>
      <c r="L449" s="78" t="s">
        <v>338</v>
      </c>
      <c r="M449" s="78" t="s">
        <v>396</v>
      </c>
      <c r="N449" s="77">
        <v>1.0209531217803121</v>
      </c>
    </row>
    <row r="450" spans="1:14" ht="30" x14ac:dyDescent="0.25">
      <c r="A450" s="75">
        <v>11</v>
      </c>
      <c r="B450" s="75">
        <v>29</v>
      </c>
      <c r="C450" s="76" t="s">
        <v>338</v>
      </c>
      <c r="D450" s="76" t="s">
        <v>399</v>
      </c>
      <c r="E450" s="75">
        <v>0</v>
      </c>
      <c r="F450" s="75">
        <v>1</v>
      </c>
      <c r="G450" s="75">
        <v>0</v>
      </c>
      <c r="H450" s="75">
        <v>6</v>
      </c>
      <c r="J450" s="75">
        <v>11</v>
      </c>
      <c r="K450" s="75">
        <v>29</v>
      </c>
      <c r="L450" s="76" t="s">
        <v>338</v>
      </c>
      <c r="M450" s="76" t="s">
        <v>399</v>
      </c>
      <c r="N450" s="75">
        <v>1.0209531217803121</v>
      </c>
    </row>
    <row r="451" spans="1:14" ht="30" x14ac:dyDescent="0.25">
      <c r="A451" s="77">
        <v>11</v>
      </c>
      <c r="B451" s="77">
        <v>30</v>
      </c>
      <c r="C451" s="78" t="s">
        <v>338</v>
      </c>
      <c r="D451" s="78" t="s">
        <v>402</v>
      </c>
      <c r="E451" s="77">
        <v>0</v>
      </c>
      <c r="F451" s="77">
        <v>1</v>
      </c>
      <c r="G451" s="77">
        <v>0</v>
      </c>
      <c r="H451" s="77">
        <v>6</v>
      </c>
      <c r="J451" s="77">
        <v>11</v>
      </c>
      <c r="K451" s="77">
        <v>30</v>
      </c>
      <c r="L451" s="78" t="s">
        <v>338</v>
      </c>
      <c r="M451" s="78" t="s">
        <v>402</v>
      </c>
      <c r="N451" s="77">
        <v>1.0209531217803121</v>
      </c>
    </row>
    <row r="452" spans="1:14" ht="30" x14ac:dyDescent="0.25">
      <c r="A452" s="75">
        <v>11</v>
      </c>
      <c r="B452" s="75">
        <v>31</v>
      </c>
      <c r="C452" s="76" t="s">
        <v>338</v>
      </c>
      <c r="D452" s="76" t="s">
        <v>406</v>
      </c>
      <c r="E452" s="75">
        <v>0.42857142857142849</v>
      </c>
      <c r="F452" s="75">
        <v>0.5714285714285714</v>
      </c>
      <c r="G452" s="75">
        <v>6</v>
      </c>
      <c r="H452" s="75">
        <v>14</v>
      </c>
      <c r="J452" s="75">
        <v>11</v>
      </c>
      <c r="K452" s="75">
        <v>31</v>
      </c>
      <c r="L452" s="76" t="s">
        <v>338</v>
      </c>
      <c r="M452" s="76" t="s">
        <v>406</v>
      </c>
      <c r="N452" s="75">
        <v>2.2109950526916178</v>
      </c>
    </row>
    <row r="453" spans="1:14" ht="30" x14ac:dyDescent="0.25">
      <c r="A453" s="77">
        <v>11</v>
      </c>
      <c r="B453" s="77">
        <v>32</v>
      </c>
      <c r="C453" s="78" t="s">
        <v>338</v>
      </c>
      <c r="D453" s="78" t="s">
        <v>407</v>
      </c>
      <c r="E453" s="77">
        <v>0.35294117647058831</v>
      </c>
      <c r="F453" s="77">
        <v>0.64705882352941169</v>
      </c>
      <c r="G453" s="77">
        <v>6</v>
      </c>
      <c r="H453" s="77">
        <v>17</v>
      </c>
      <c r="J453" s="77">
        <v>11</v>
      </c>
      <c r="K453" s="77">
        <v>32</v>
      </c>
      <c r="L453" s="78" t="s">
        <v>338</v>
      </c>
      <c r="M453" s="78" t="s">
        <v>407</v>
      </c>
      <c r="N453" s="77">
        <v>6.8209567258519641</v>
      </c>
    </row>
    <row r="454" spans="1:14" ht="30" x14ac:dyDescent="0.25">
      <c r="A454" s="75">
        <v>11</v>
      </c>
      <c r="B454" s="75">
        <v>33</v>
      </c>
      <c r="C454" s="76" t="s">
        <v>338</v>
      </c>
      <c r="D454" s="76" t="s">
        <v>410</v>
      </c>
      <c r="E454" s="75">
        <v>0</v>
      </c>
      <c r="F454" s="75">
        <v>1</v>
      </c>
      <c r="G454" s="75">
        <v>0</v>
      </c>
      <c r="H454" s="75">
        <v>6</v>
      </c>
      <c r="J454" s="75">
        <v>11</v>
      </c>
      <c r="K454" s="75">
        <v>33</v>
      </c>
      <c r="L454" s="76" t="s">
        <v>338</v>
      </c>
      <c r="M454" s="76" t="s">
        <v>410</v>
      </c>
      <c r="N454" s="75">
        <v>1.0209531217803121</v>
      </c>
    </row>
    <row r="455" spans="1:14" ht="30" x14ac:dyDescent="0.25">
      <c r="A455" s="77">
        <v>11</v>
      </c>
      <c r="B455" s="77">
        <v>34</v>
      </c>
      <c r="C455" s="78" t="s">
        <v>338</v>
      </c>
      <c r="D455" s="78" t="s">
        <v>413</v>
      </c>
      <c r="E455" s="77">
        <v>0.4</v>
      </c>
      <c r="F455" s="77">
        <v>0.6</v>
      </c>
      <c r="G455" s="77">
        <v>6</v>
      </c>
      <c r="H455" s="77">
        <v>15</v>
      </c>
      <c r="J455" s="77">
        <v>11</v>
      </c>
      <c r="K455" s="77">
        <v>34</v>
      </c>
      <c r="L455" s="78" t="s">
        <v>338</v>
      </c>
      <c r="M455" s="78" t="s">
        <v>413</v>
      </c>
      <c r="N455" s="77">
        <v>3.495883104489506</v>
      </c>
    </row>
    <row r="456" spans="1:14" ht="30" x14ac:dyDescent="0.25">
      <c r="A456" s="75">
        <v>11</v>
      </c>
      <c r="B456" s="75">
        <v>35</v>
      </c>
      <c r="C456" s="76" t="s">
        <v>338</v>
      </c>
      <c r="D456" s="76" t="s">
        <v>416</v>
      </c>
      <c r="E456" s="75">
        <v>0</v>
      </c>
      <c r="F456" s="75">
        <v>1</v>
      </c>
      <c r="G456" s="75">
        <v>0</v>
      </c>
      <c r="H456" s="75">
        <v>6</v>
      </c>
      <c r="J456" s="75">
        <v>11</v>
      </c>
      <c r="K456" s="75">
        <v>35</v>
      </c>
      <c r="L456" s="76" t="s">
        <v>338</v>
      </c>
      <c r="M456" s="76" t="s">
        <v>416</v>
      </c>
      <c r="N456" s="75">
        <v>1.0209531217803121</v>
      </c>
    </row>
    <row r="457" spans="1:14" ht="45" x14ac:dyDescent="0.25">
      <c r="A457" s="77">
        <v>11</v>
      </c>
      <c r="B457" s="77">
        <v>36</v>
      </c>
      <c r="C457" s="78" t="s">
        <v>338</v>
      </c>
      <c r="D457" s="78" t="s">
        <v>420</v>
      </c>
      <c r="E457" s="77">
        <v>0.2857142857142857</v>
      </c>
      <c r="F457" s="77">
        <v>0.7142857142857143</v>
      </c>
      <c r="G457" s="77">
        <v>4</v>
      </c>
      <c r="H457" s="77">
        <v>14</v>
      </c>
      <c r="J457" s="77">
        <v>11</v>
      </c>
      <c r="K457" s="77">
        <v>36</v>
      </c>
      <c r="L457" s="78" t="s">
        <v>338</v>
      </c>
      <c r="M457" s="78" t="s">
        <v>420</v>
      </c>
      <c r="N457" s="77">
        <v>2.5658165127818671</v>
      </c>
    </row>
    <row r="458" spans="1:14" ht="30" x14ac:dyDescent="0.25">
      <c r="A458" s="75">
        <v>11</v>
      </c>
      <c r="B458" s="75">
        <v>37</v>
      </c>
      <c r="C458" s="76" t="s">
        <v>338</v>
      </c>
      <c r="D458" s="76" t="s">
        <v>422</v>
      </c>
      <c r="E458" s="75">
        <v>0</v>
      </c>
      <c r="F458" s="75">
        <v>1</v>
      </c>
      <c r="G458" s="75">
        <v>0</v>
      </c>
      <c r="H458" s="75">
        <v>6</v>
      </c>
      <c r="J458" s="75">
        <v>11</v>
      </c>
      <c r="K458" s="75">
        <v>37</v>
      </c>
      <c r="L458" s="76" t="s">
        <v>338</v>
      </c>
      <c r="M458" s="76" t="s">
        <v>422</v>
      </c>
      <c r="N458" s="75">
        <v>1.0209531217803121</v>
      </c>
    </row>
    <row r="459" spans="1:14" ht="30" x14ac:dyDescent="0.25">
      <c r="A459" s="77">
        <v>11</v>
      </c>
      <c r="B459" s="77">
        <v>38</v>
      </c>
      <c r="C459" s="78" t="s">
        <v>338</v>
      </c>
      <c r="D459" s="78" t="s">
        <v>425</v>
      </c>
      <c r="E459" s="77">
        <v>0.33333333333333331</v>
      </c>
      <c r="F459" s="77">
        <v>0.66666666666666674</v>
      </c>
      <c r="G459" s="77">
        <v>4</v>
      </c>
      <c r="H459" s="77">
        <v>12</v>
      </c>
      <c r="J459" s="77">
        <v>11</v>
      </c>
      <c r="K459" s="77">
        <v>38</v>
      </c>
      <c r="L459" s="78" t="s">
        <v>338</v>
      </c>
      <c r="M459" s="78" t="s">
        <v>425</v>
      </c>
      <c r="N459" s="77">
        <v>1.0209531217803121</v>
      </c>
    </row>
    <row r="460" spans="1:14" ht="30" x14ac:dyDescent="0.25">
      <c r="A460" s="75">
        <v>11</v>
      </c>
      <c r="B460" s="75">
        <v>39</v>
      </c>
      <c r="C460" s="76" t="s">
        <v>338</v>
      </c>
      <c r="D460" s="76" t="s">
        <v>427</v>
      </c>
      <c r="E460" s="75">
        <v>0</v>
      </c>
      <c r="F460" s="75">
        <v>1</v>
      </c>
      <c r="G460" s="75">
        <v>0</v>
      </c>
      <c r="H460" s="75">
        <v>6</v>
      </c>
      <c r="J460" s="75">
        <v>11</v>
      </c>
      <c r="K460" s="75">
        <v>39</v>
      </c>
      <c r="L460" s="76" t="s">
        <v>338</v>
      </c>
      <c r="M460" s="76" t="s">
        <v>427</v>
      </c>
      <c r="N460" s="75">
        <v>1.0209531217803121</v>
      </c>
    </row>
    <row r="461" spans="1:14" ht="30" x14ac:dyDescent="0.25">
      <c r="A461" s="77">
        <v>11</v>
      </c>
      <c r="B461" s="77">
        <v>40</v>
      </c>
      <c r="C461" s="78" t="s">
        <v>338</v>
      </c>
      <c r="D461" s="78" t="s">
        <v>431</v>
      </c>
      <c r="E461" s="77">
        <v>0.41666666666666669</v>
      </c>
      <c r="F461" s="77">
        <v>0.58333333333333326</v>
      </c>
      <c r="G461" s="77">
        <v>5</v>
      </c>
      <c r="H461" s="77">
        <v>12</v>
      </c>
      <c r="J461" s="77">
        <v>11</v>
      </c>
      <c r="K461" s="77">
        <v>40</v>
      </c>
      <c r="L461" s="78" t="s">
        <v>338</v>
      </c>
      <c r="M461" s="78" t="s">
        <v>431</v>
      </c>
      <c r="N461" s="77">
        <v>4.5495242159347784</v>
      </c>
    </row>
    <row r="462" spans="1:14" ht="30" x14ac:dyDescent="0.25">
      <c r="A462" s="75">
        <v>12</v>
      </c>
      <c r="B462" s="75">
        <v>13</v>
      </c>
      <c r="C462" s="76" t="s">
        <v>342</v>
      </c>
      <c r="D462" s="76" t="s">
        <v>344</v>
      </c>
      <c r="E462" s="75">
        <v>0.42857142857142849</v>
      </c>
      <c r="F462" s="75">
        <v>0.5714285714285714</v>
      </c>
      <c r="G462" s="75">
        <v>6</v>
      </c>
      <c r="H462" s="75">
        <v>14</v>
      </c>
      <c r="J462" s="75">
        <v>12</v>
      </c>
      <c r="K462" s="75">
        <v>13</v>
      </c>
      <c r="L462" s="76" t="s">
        <v>342</v>
      </c>
      <c r="M462" s="76" t="s">
        <v>344</v>
      </c>
      <c r="N462" s="75">
        <v>2.23489667411281</v>
      </c>
    </row>
    <row r="463" spans="1:14" ht="30" x14ac:dyDescent="0.25">
      <c r="A463" s="77">
        <v>12</v>
      </c>
      <c r="B463" s="77">
        <v>14</v>
      </c>
      <c r="C463" s="78" t="s">
        <v>342</v>
      </c>
      <c r="D463" s="78" t="s">
        <v>348</v>
      </c>
      <c r="E463" s="77">
        <v>0</v>
      </c>
      <c r="F463" s="77">
        <v>1</v>
      </c>
      <c r="G463" s="77">
        <v>0</v>
      </c>
      <c r="H463" s="77">
        <v>14</v>
      </c>
      <c r="J463" s="77">
        <v>12</v>
      </c>
      <c r="K463" s="77">
        <v>14</v>
      </c>
      <c r="L463" s="78" t="s">
        <v>342</v>
      </c>
      <c r="M463" s="78" t="s">
        <v>348</v>
      </c>
      <c r="N463" s="77">
        <v>3.9176822881487059</v>
      </c>
    </row>
    <row r="464" spans="1:14" ht="30" x14ac:dyDescent="0.25">
      <c r="A464" s="75">
        <v>12</v>
      </c>
      <c r="B464" s="75">
        <v>15</v>
      </c>
      <c r="C464" s="76" t="s">
        <v>342</v>
      </c>
      <c r="D464" s="76" t="s">
        <v>352</v>
      </c>
      <c r="E464" s="75">
        <v>0.77777777777777779</v>
      </c>
      <c r="F464" s="75">
        <v>0.22222222222222221</v>
      </c>
      <c r="G464" s="75">
        <v>14</v>
      </c>
      <c r="H464" s="75">
        <v>18</v>
      </c>
      <c r="J464" s="75">
        <v>12</v>
      </c>
      <c r="K464" s="75">
        <v>15</v>
      </c>
      <c r="L464" s="76" t="s">
        <v>342</v>
      </c>
      <c r="M464" s="76" t="s">
        <v>352</v>
      </c>
      <c r="N464" s="75">
        <v>4.7795601255432416</v>
      </c>
    </row>
    <row r="465" spans="1:14" ht="30" x14ac:dyDescent="0.25">
      <c r="A465" s="77">
        <v>12</v>
      </c>
      <c r="B465" s="77">
        <v>16</v>
      </c>
      <c r="C465" s="78" t="s">
        <v>342</v>
      </c>
      <c r="D465" s="78" t="s">
        <v>356</v>
      </c>
      <c r="E465" s="77">
        <v>0</v>
      </c>
      <c r="F465" s="77">
        <v>1</v>
      </c>
      <c r="G465" s="77">
        <v>0</v>
      </c>
      <c r="H465" s="77">
        <v>14</v>
      </c>
      <c r="J465" s="77">
        <v>12</v>
      </c>
      <c r="K465" s="77">
        <v>16</v>
      </c>
      <c r="L465" s="78" t="s">
        <v>342</v>
      </c>
      <c r="M465" s="78" t="s">
        <v>356</v>
      </c>
      <c r="N465" s="77">
        <v>3.9176822881487059</v>
      </c>
    </row>
    <row r="466" spans="1:14" ht="30" x14ac:dyDescent="0.25">
      <c r="A466" s="75">
        <v>12</v>
      </c>
      <c r="B466" s="75">
        <v>17</v>
      </c>
      <c r="C466" s="76" t="s">
        <v>342</v>
      </c>
      <c r="D466" s="76" t="s">
        <v>359</v>
      </c>
      <c r="E466" s="75">
        <v>0.82352941176470584</v>
      </c>
      <c r="F466" s="75">
        <v>0.17647058823529421</v>
      </c>
      <c r="G466" s="75">
        <v>14</v>
      </c>
      <c r="H466" s="75">
        <v>17</v>
      </c>
      <c r="J466" s="75">
        <v>12</v>
      </c>
      <c r="K466" s="75">
        <v>17</v>
      </c>
      <c r="L466" s="76" t="s">
        <v>342</v>
      </c>
      <c r="M466" s="76" t="s">
        <v>359</v>
      </c>
      <c r="N466" s="75">
        <v>3.5579175825053149</v>
      </c>
    </row>
    <row r="467" spans="1:14" ht="45" x14ac:dyDescent="0.25">
      <c r="A467" s="77">
        <v>12</v>
      </c>
      <c r="B467" s="77">
        <v>18</v>
      </c>
      <c r="C467" s="78" t="s">
        <v>342</v>
      </c>
      <c r="D467" s="78" t="s">
        <v>363</v>
      </c>
      <c r="E467" s="77">
        <v>0</v>
      </c>
      <c r="F467" s="77">
        <v>1</v>
      </c>
      <c r="G467" s="77">
        <v>0</v>
      </c>
      <c r="H467" s="77">
        <v>14</v>
      </c>
      <c r="J467" s="77">
        <v>12</v>
      </c>
      <c r="K467" s="77">
        <v>18</v>
      </c>
      <c r="L467" s="78" t="s">
        <v>342</v>
      </c>
      <c r="M467" s="78" t="s">
        <v>363</v>
      </c>
      <c r="N467" s="77">
        <v>3.9176822881487059</v>
      </c>
    </row>
    <row r="468" spans="1:14" ht="30" x14ac:dyDescent="0.25">
      <c r="A468" s="75">
        <v>12</v>
      </c>
      <c r="B468" s="75">
        <v>19</v>
      </c>
      <c r="C468" s="76" t="s">
        <v>342</v>
      </c>
      <c r="D468" s="76" t="s">
        <v>367</v>
      </c>
      <c r="E468" s="75">
        <v>0.6875</v>
      </c>
      <c r="F468" s="75">
        <v>0.3125</v>
      </c>
      <c r="G468" s="75">
        <v>11</v>
      </c>
      <c r="H468" s="75">
        <v>16</v>
      </c>
      <c r="J468" s="75">
        <v>12</v>
      </c>
      <c r="K468" s="75">
        <v>19</v>
      </c>
      <c r="L468" s="76" t="s">
        <v>342</v>
      </c>
      <c r="M468" s="76" t="s">
        <v>367</v>
      </c>
      <c r="N468" s="75">
        <v>2.12616381258466</v>
      </c>
    </row>
    <row r="469" spans="1:14" ht="30" x14ac:dyDescent="0.25">
      <c r="A469" s="77">
        <v>12</v>
      </c>
      <c r="B469" s="77">
        <v>20</v>
      </c>
      <c r="C469" s="78" t="s">
        <v>342</v>
      </c>
      <c r="D469" s="78" t="s">
        <v>371</v>
      </c>
      <c r="E469" s="77">
        <v>0.35714285714285721</v>
      </c>
      <c r="F469" s="77">
        <v>0.64285714285714279</v>
      </c>
      <c r="G469" s="77">
        <v>5</v>
      </c>
      <c r="H469" s="77">
        <v>14</v>
      </c>
      <c r="J469" s="77">
        <v>12</v>
      </c>
      <c r="K469" s="77">
        <v>20</v>
      </c>
      <c r="L469" s="78" t="s">
        <v>342</v>
      </c>
      <c r="M469" s="78" t="s">
        <v>371</v>
      </c>
      <c r="N469" s="77">
        <v>3.495883104489506</v>
      </c>
    </row>
    <row r="470" spans="1:14" ht="30" x14ac:dyDescent="0.25">
      <c r="A470" s="75">
        <v>12</v>
      </c>
      <c r="B470" s="75">
        <v>21</v>
      </c>
      <c r="C470" s="76" t="s">
        <v>342</v>
      </c>
      <c r="D470" s="76" t="s">
        <v>373</v>
      </c>
      <c r="E470" s="75">
        <v>0</v>
      </c>
      <c r="F470" s="75">
        <v>1</v>
      </c>
      <c r="G470" s="75">
        <v>0</v>
      </c>
      <c r="H470" s="75">
        <v>14</v>
      </c>
      <c r="J470" s="75">
        <v>12</v>
      </c>
      <c r="K470" s="75">
        <v>21</v>
      </c>
      <c r="L470" s="76" t="s">
        <v>342</v>
      </c>
      <c r="M470" s="76" t="s">
        <v>373</v>
      </c>
      <c r="N470" s="75">
        <v>3.9176822881487059</v>
      </c>
    </row>
    <row r="471" spans="1:14" ht="30" x14ac:dyDescent="0.25">
      <c r="A471" s="77">
        <v>12</v>
      </c>
      <c r="B471" s="77">
        <v>22</v>
      </c>
      <c r="C471" s="78" t="s">
        <v>342</v>
      </c>
      <c r="D471" s="78" t="s">
        <v>377</v>
      </c>
      <c r="E471" s="77">
        <v>0.42857142857142849</v>
      </c>
      <c r="F471" s="77">
        <v>0.5714285714285714</v>
      </c>
      <c r="G471" s="77">
        <v>6</v>
      </c>
      <c r="H471" s="77">
        <v>14</v>
      </c>
      <c r="J471" s="77">
        <v>12</v>
      </c>
      <c r="K471" s="77">
        <v>22</v>
      </c>
      <c r="L471" s="78" t="s">
        <v>342</v>
      </c>
      <c r="M471" s="78" t="s">
        <v>377</v>
      </c>
      <c r="N471" s="77">
        <v>3.5303851243538138</v>
      </c>
    </row>
    <row r="472" spans="1:14" ht="30" x14ac:dyDescent="0.25">
      <c r="A472" s="75">
        <v>12</v>
      </c>
      <c r="B472" s="75">
        <v>23</v>
      </c>
      <c r="C472" s="76" t="s">
        <v>342</v>
      </c>
      <c r="D472" s="76" t="s">
        <v>380</v>
      </c>
      <c r="E472" s="75">
        <v>0.58823529411764708</v>
      </c>
      <c r="F472" s="75">
        <v>0.41176470588235292</v>
      </c>
      <c r="G472" s="75">
        <v>10</v>
      </c>
      <c r="H472" s="75">
        <v>17</v>
      </c>
      <c r="J472" s="75">
        <v>12</v>
      </c>
      <c r="K472" s="75">
        <v>23</v>
      </c>
      <c r="L472" s="76" t="s">
        <v>342</v>
      </c>
      <c r="M472" s="76" t="s">
        <v>380</v>
      </c>
      <c r="N472" s="75">
        <v>2.6037782196164772</v>
      </c>
    </row>
    <row r="473" spans="1:14" ht="30" x14ac:dyDescent="0.25">
      <c r="A473" s="77">
        <v>12</v>
      </c>
      <c r="B473" s="77">
        <v>24</v>
      </c>
      <c r="C473" s="78" t="s">
        <v>342</v>
      </c>
      <c r="D473" s="78" t="s">
        <v>384</v>
      </c>
      <c r="E473" s="77">
        <v>0.73333333333333328</v>
      </c>
      <c r="F473" s="77">
        <v>0.26666666666666672</v>
      </c>
      <c r="G473" s="77">
        <v>11</v>
      </c>
      <c r="H473" s="77">
        <v>15</v>
      </c>
      <c r="J473" s="77">
        <v>12</v>
      </c>
      <c r="K473" s="77">
        <v>24</v>
      </c>
      <c r="L473" s="78" t="s">
        <v>342</v>
      </c>
      <c r="M473" s="78" t="s">
        <v>384</v>
      </c>
      <c r="N473" s="77">
        <v>2.7078957803483461</v>
      </c>
    </row>
    <row r="474" spans="1:14" ht="30" x14ac:dyDescent="0.25">
      <c r="A474" s="75">
        <v>12</v>
      </c>
      <c r="B474" s="75">
        <v>25</v>
      </c>
      <c r="C474" s="76" t="s">
        <v>342</v>
      </c>
      <c r="D474" s="76" t="s">
        <v>386</v>
      </c>
      <c r="E474" s="75">
        <v>0.76470588235294112</v>
      </c>
      <c r="F474" s="75">
        <v>0.2352941176470589</v>
      </c>
      <c r="G474" s="75">
        <v>13</v>
      </c>
      <c r="H474" s="75">
        <v>17</v>
      </c>
      <c r="J474" s="75">
        <v>12</v>
      </c>
      <c r="K474" s="75">
        <v>25</v>
      </c>
      <c r="L474" s="76" t="s">
        <v>342</v>
      </c>
      <c r="M474" s="76" t="s">
        <v>386</v>
      </c>
      <c r="N474" s="75">
        <v>4.8452042762575207</v>
      </c>
    </row>
    <row r="475" spans="1:14" ht="30" x14ac:dyDescent="0.25">
      <c r="A475" s="77">
        <v>12</v>
      </c>
      <c r="B475" s="77">
        <v>26</v>
      </c>
      <c r="C475" s="78" t="s">
        <v>342</v>
      </c>
      <c r="D475" s="78" t="s">
        <v>389</v>
      </c>
      <c r="E475" s="77">
        <v>0</v>
      </c>
      <c r="F475" s="77">
        <v>1</v>
      </c>
      <c r="G475" s="77">
        <v>0</v>
      </c>
      <c r="H475" s="77">
        <v>14</v>
      </c>
      <c r="J475" s="77">
        <v>12</v>
      </c>
      <c r="K475" s="77">
        <v>26</v>
      </c>
      <c r="L475" s="78" t="s">
        <v>342</v>
      </c>
      <c r="M475" s="78" t="s">
        <v>389</v>
      </c>
      <c r="N475" s="77">
        <v>3.9176822881487059</v>
      </c>
    </row>
    <row r="476" spans="1:14" ht="30" x14ac:dyDescent="0.25">
      <c r="A476" s="75">
        <v>12</v>
      </c>
      <c r="B476" s="75">
        <v>27</v>
      </c>
      <c r="C476" s="76" t="s">
        <v>342</v>
      </c>
      <c r="D476" s="76" t="s">
        <v>393</v>
      </c>
      <c r="E476" s="75">
        <v>0.375</v>
      </c>
      <c r="F476" s="75">
        <v>0.625</v>
      </c>
      <c r="G476" s="75">
        <v>6</v>
      </c>
      <c r="H476" s="75">
        <v>16</v>
      </c>
      <c r="J476" s="75">
        <v>12</v>
      </c>
      <c r="K476" s="75">
        <v>27</v>
      </c>
      <c r="L476" s="76" t="s">
        <v>342</v>
      </c>
      <c r="M476" s="76" t="s">
        <v>393</v>
      </c>
      <c r="N476" s="75">
        <v>3.5601549781237329</v>
      </c>
    </row>
    <row r="477" spans="1:14" ht="45" x14ac:dyDescent="0.25">
      <c r="A477" s="77">
        <v>12</v>
      </c>
      <c r="B477" s="77">
        <v>28</v>
      </c>
      <c r="C477" s="78" t="s">
        <v>342</v>
      </c>
      <c r="D477" s="78" t="s">
        <v>396</v>
      </c>
      <c r="E477" s="77">
        <v>0</v>
      </c>
      <c r="F477" s="77">
        <v>1</v>
      </c>
      <c r="G477" s="77">
        <v>0</v>
      </c>
      <c r="H477" s="77">
        <v>14</v>
      </c>
      <c r="J477" s="77">
        <v>12</v>
      </c>
      <c r="K477" s="77">
        <v>28</v>
      </c>
      <c r="L477" s="78" t="s">
        <v>342</v>
      </c>
      <c r="M477" s="78" t="s">
        <v>396</v>
      </c>
      <c r="N477" s="77">
        <v>3.9176822881487059</v>
      </c>
    </row>
    <row r="478" spans="1:14" ht="30" x14ac:dyDescent="0.25">
      <c r="A478" s="75">
        <v>12</v>
      </c>
      <c r="B478" s="75">
        <v>29</v>
      </c>
      <c r="C478" s="76" t="s">
        <v>342</v>
      </c>
      <c r="D478" s="76" t="s">
        <v>399</v>
      </c>
      <c r="E478" s="75">
        <v>0</v>
      </c>
      <c r="F478" s="75">
        <v>1</v>
      </c>
      <c r="G478" s="75">
        <v>0</v>
      </c>
      <c r="H478" s="75">
        <v>14</v>
      </c>
      <c r="J478" s="75">
        <v>12</v>
      </c>
      <c r="K478" s="75">
        <v>29</v>
      </c>
      <c r="L478" s="76" t="s">
        <v>342</v>
      </c>
      <c r="M478" s="76" t="s">
        <v>399</v>
      </c>
      <c r="N478" s="75">
        <v>3.9176822881487059</v>
      </c>
    </row>
    <row r="479" spans="1:14" ht="30" x14ac:dyDescent="0.25">
      <c r="A479" s="77">
        <v>12</v>
      </c>
      <c r="B479" s="77">
        <v>30</v>
      </c>
      <c r="C479" s="78" t="s">
        <v>342</v>
      </c>
      <c r="D479" s="78" t="s">
        <v>402</v>
      </c>
      <c r="E479" s="77">
        <v>0</v>
      </c>
      <c r="F479" s="77">
        <v>1</v>
      </c>
      <c r="G479" s="77">
        <v>0</v>
      </c>
      <c r="H479" s="77">
        <v>14</v>
      </c>
      <c r="J479" s="77">
        <v>12</v>
      </c>
      <c r="K479" s="77">
        <v>30</v>
      </c>
      <c r="L479" s="78" t="s">
        <v>342</v>
      </c>
      <c r="M479" s="78" t="s">
        <v>402</v>
      </c>
      <c r="N479" s="77">
        <v>3.9176822881487059</v>
      </c>
    </row>
    <row r="480" spans="1:14" ht="30" x14ac:dyDescent="0.25">
      <c r="A480" s="75">
        <v>12</v>
      </c>
      <c r="B480" s="75">
        <v>31</v>
      </c>
      <c r="C480" s="76" t="s">
        <v>342</v>
      </c>
      <c r="D480" s="76" t="s">
        <v>406</v>
      </c>
      <c r="E480" s="75">
        <v>0.6470588235294118</v>
      </c>
      <c r="F480" s="75">
        <v>0.3529411764705882</v>
      </c>
      <c r="G480" s="75">
        <v>11</v>
      </c>
      <c r="H480" s="75">
        <v>17</v>
      </c>
      <c r="J480" s="75">
        <v>12</v>
      </c>
      <c r="K480" s="75">
        <v>31</v>
      </c>
      <c r="L480" s="76" t="s">
        <v>342</v>
      </c>
      <c r="M480" s="76" t="s">
        <v>406</v>
      </c>
      <c r="N480" s="75">
        <v>2.7078957803483461</v>
      </c>
    </row>
    <row r="481" spans="1:14" ht="30" x14ac:dyDescent="0.25">
      <c r="A481" s="77">
        <v>12</v>
      </c>
      <c r="B481" s="77">
        <v>32</v>
      </c>
      <c r="C481" s="78" t="s">
        <v>342</v>
      </c>
      <c r="D481" s="78" t="s">
        <v>407</v>
      </c>
      <c r="E481" s="77">
        <v>0.72222222222222221</v>
      </c>
      <c r="F481" s="77">
        <v>0.27777777777777779</v>
      </c>
      <c r="G481" s="77">
        <v>13</v>
      </c>
      <c r="H481" s="77">
        <v>18</v>
      </c>
      <c r="J481" s="77">
        <v>12</v>
      </c>
      <c r="K481" s="77">
        <v>32</v>
      </c>
      <c r="L481" s="78" t="s">
        <v>342</v>
      </c>
      <c r="M481" s="78" t="s">
        <v>407</v>
      </c>
      <c r="N481" s="77">
        <v>5.3528438580137427</v>
      </c>
    </row>
    <row r="482" spans="1:14" ht="30" x14ac:dyDescent="0.25">
      <c r="A482" s="75">
        <v>12</v>
      </c>
      <c r="B482" s="75">
        <v>33</v>
      </c>
      <c r="C482" s="76" t="s">
        <v>342</v>
      </c>
      <c r="D482" s="76" t="s">
        <v>410</v>
      </c>
      <c r="E482" s="75">
        <v>0</v>
      </c>
      <c r="F482" s="75">
        <v>1</v>
      </c>
      <c r="G482" s="75">
        <v>0</v>
      </c>
      <c r="H482" s="75">
        <v>14</v>
      </c>
      <c r="J482" s="75">
        <v>12</v>
      </c>
      <c r="K482" s="75">
        <v>33</v>
      </c>
      <c r="L482" s="76" t="s">
        <v>342</v>
      </c>
      <c r="M482" s="76" t="s">
        <v>410</v>
      </c>
      <c r="N482" s="75">
        <v>3.9176822881487059</v>
      </c>
    </row>
    <row r="483" spans="1:14" ht="30" x14ac:dyDescent="0.25">
      <c r="A483" s="77">
        <v>12</v>
      </c>
      <c r="B483" s="77">
        <v>34</v>
      </c>
      <c r="C483" s="78" t="s">
        <v>342</v>
      </c>
      <c r="D483" s="78" t="s">
        <v>413</v>
      </c>
      <c r="E483" s="77">
        <v>0.8125</v>
      </c>
      <c r="F483" s="77">
        <v>0.1875</v>
      </c>
      <c r="G483" s="77">
        <v>13</v>
      </c>
      <c r="H483" s="77">
        <v>16</v>
      </c>
      <c r="J483" s="77">
        <v>12</v>
      </c>
      <c r="K483" s="77">
        <v>34</v>
      </c>
      <c r="L483" s="78" t="s">
        <v>342</v>
      </c>
      <c r="M483" s="78" t="s">
        <v>413</v>
      </c>
      <c r="N483" s="77">
        <v>0</v>
      </c>
    </row>
    <row r="484" spans="1:14" ht="30" x14ac:dyDescent="0.25">
      <c r="A484" s="75">
        <v>12</v>
      </c>
      <c r="B484" s="75">
        <v>35</v>
      </c>
      <c r="C484" s="76" t="s">
        <v>342</v>
      </c>
      <c r="D484" s="76" t="s">
        <v>416</v>
      </c>
      <c r="E484" s="75">
        <v>0</v>
      </c>
      <c r="F484" s="75">
        <v>1</v>
      </c>
      <c r="G484" s="75">
        <v>0</v>
      </c>
      <c r="H484" s="75">
        <v>14</v>
      </c>
      <c r="J484" s="75">
        <v>12</v>
      </c>
      <c r="K484" s="75">
        <v>35</v>
      </c>
      <c r="L484" s="76" t="s">
        <v>342</v>
      </c>
      <c r="M484" s="76" t="s">
        <v>416</v>
      </c>
      <c r="N484" s="75">
        <v>3.9176822881487059</v>
      </c>
    </row>
    <row r="485" spans="1:14" ht="45" x14ac:dyDescent="0.25">
      <c r="A485" s="77">
        <v>12</v>
      </c>
      <c r="B485" s="77">
        <v>36</v>
      </c>
      <c r="C485" s="78" t="s">
        <v>342</v>
      </c>
      <c r="D485" s="78" t="s">
        <v>420</v>
      </c>
      <c r="E485" s="77">
        <v>0.73333333333333328</v>
      </c>
      <c r="F485" s="77">
        <v>0.26666666666666672</v>
      </c>
      <c r="G485" s="77">
        <v>11</v>
      </c>
      <c r="H485" s="77">
        <v>15</v>
      </c>
      <c r="J485" s="77">
        <v>12</v>
      </c>
      <c r="K485" s="77">
        <v>36</v>
      </c>
      <c r="L485" s="78" t="s">
        <v>342</v>
      </c>
      <c r="M485" s="78" t="s">
        <v>420</v>
      </c>
      <c r="N485" s="77">
        <v>2.3744018832099778</v>
      </c>
    </row>
    <row r="486" spans="1:14" ht="30" x14ac:dyDescent="0.25">
      <c r="A486" s="75">
        <v>12</v>
      </c>
      <c r="B486" s="75">
        <v>37</v>
      </c>
      <c r="C486" s="76" t="s">
        <v>342</v>
      </c>
      <c r="D486" s="76" t="s">
        <v>422</v>
      </c>
      <c r="E486" s="75">
        <v>0</v>
      </c>
      <c r="F486" s="75">
        <v>1</v>
      </c>
      <c r="G486" s="75">
        <v>0</v>
      </c>
      <c r="H486" s="75">
        <v>14</v>
      </c>
      <c r="J486" s="75">
        <v>12</v>
      </c>
      <c r="K486" s="75">
        <v>37</v>
      </c>
      <c r="L486" s="76" t="s">
        <v>342</v>
      </c>
      <c r="M486" s="76" t="s">
        <v>422</v>
      </c>
      <c r="N486" s="75">
        <v>3.9176822881487059</v>
      </c>
    </row>
    <row r="487" spans="1:14" ht="30" x14ac:dyDescent="0.25">
      <c r="A487" s="77">
        <v>12</v>
      </c>
      <c r="B487" s="77">
        <v>38</v>
      </c>
      <c r="C487" s="78" t="s">
        <v>342</v>
      </c>
      <c r="D487" s="78" t="s">
        <v>425</v>
      </c>
      <c r="E487" s="77">
        <v>0.5</v>
      </c>
      <c r="F487" s="77">
        <v>0.5</v>
      </c>
      <c r="G487" s="77">
        <v>8</v>
      </c>
      <c r="H487" s="77">
        <v>16</v>
      </c>
      <c r="J487" s="77">
        <v>12</v>
      </c>
      <c r="K487" s="77">
        <v>38</v>
      </c>
      <c r="L487" s="78" t="s">
        <v>342</v>
      </c>
      <c r="M487" s="78" t="s">
        <v>425</v>
      </c>
      <c r="N487" s="77">
        <v>3.9176822881487059</v>
      </c>
    </row>
    <row r="488" spans="1:14" ht="30" x14ac:dyDescent="0.25">
      <c r="A488" s="75">
        <v>12</v>
      </c>
      <c r="B488" s="75">
        <v>39</v>
      </c>
      <c r="C488" s="76" t="s">
        <v>342</v>
      </c>
      <c r="D488" s="76" t="s">
        <v>427</v>
      </c>
      <c r="E488" s="75">
        <v>0</v>
      </c>
      <c r="F488" s="75">
        <v>1</v>
      </c>
      <c r="G488" s="75">
        <v>0</v>
      </c>
      <c r="H488" s="75">
        <v>14</v>
      </c>
      <c r="J488" s="75">
        <v>12</v>
      </c>
      <c r="K488" s="75">
        <v>39</v>
      </c>
      <c r="L488" s="76" t="s">
        <v>342</v>
      </c>
      <c r="M488" s="76" t="s">
        <v>427</v>
      </c>
      <c r="N488" s="75">
        <v>3.9176822881487059</v>
      </c>
    </row>
    <row r="489" spans="1:14" ht="30" x14ac:dyDescent="0.25">
      <c r="A489" s="77">
        <v>12</v>
      </c>
      <c r="B489" s="77">
        <v>40</v>
      </c>
      <c r="C489" s="78" t="s">
        <v>342</v>
      </c>
      <c r="D489" s="78" t="s">
        <v>431</v>
      </c>
      <c r="E489" s="77">
        <v>0.7857142857142857</v>
      </c>
      <c r="F489" s="77">
        <v>0.2142857142857143</v>
      </c>
      <c r="G489" s="77">
        <v>11</v>
      </c>
      <c r="H489" s="77">
        <v>14</v>
      </c>
      <c r="J489" s="77">
        <v>12</v>
      </c>
      <c r="K489" s="77">
        <v>40</v>
      </c>
      <c r="L489" s="78" t="s">
        <v>342</v>
      </c>
      <c r="M489" s="78" t="s">
        <v>431</v>
      </c>
      <c r="N489" s="77">
        <v>1.6809691560844451</v>
      </c>
    </row>
    <row r="490" spans="1:14" ht="30" x14ac:dyDescent="0.25">
      <c r="A490" s="75">
        <v>13</v>
      </c>
      <c r="B490" s="75">
        <v>14</v>
      </c>
      <c r="C490" s="76" t="s">
        <v>344</v>
      </c>
      <c r="D490" s="76" t="s">
        <v>348</v>
      </c>
      <c r="E490" s="75">
        <v>0</v>
      </c>
      <c r="F490" s="75">
        <v>1</v>
      </c>
      <c r="G490" s="75">
        <v>0</v>
      </c>
      <c r="H490" s="75">
        <v>6</v>
      </c>
      <c r="J490" s="75">
        <v>13</v>
      </c>
      <c r="K490" s="75">
        <v>14</v>
      </c>
      <c r="L490" s="76" t="s">
        <v>344</v>
      </c>
      <c r="M490" s="76" t="s">
        <v>348</v>
      </c>
      <c r="N490" s="75">
        <v>2.4526026352442609</v>
      </c>
    </row>
    <row r="491" spans="1:14" ht="30" x14ac:dyDescent="0.25">
      <c r="A491" s="77">
        <v>13</v>
      </c>
      <c r="B491" s="77">
        <v>15</v>
      </c>
      <c r="C491" s="78" t="s">
        <v>344</v>
      </c>
      <c r="D491" s="78" t="s">
        <v>352</v>
      </c>
      <c r="E491" s="77">
        <v>0.33333333333333331</v>
      </c>
      <c r="F491" s="77">
        <v>0.66666666666666674</v>
      </c>
      <c r="G491" s="77">
        <v>6</v>
      </c>
      <c r="H491" s="77">
        <v>18</v>
      </c>
      <c r="J491" s="77">
        <v>13</v>
      </c>
      <c r="K491" s="77">
        <v>15</v>
      </c>
      <c r="L491" s="78" t="s">
        <v>344</v>
      </c>
      <c r="M491" s="78" t="s">
        <v>352</v>
      </c>
      <c r="N491" s="77">
        <v>6.2563237889732362</v>
      </c>
    </row>
    <row r="492" spans="1:14" ht="30" x14ac:dyDescent="0.25">
      <c r="A492" s="75">
        <v>13</v>
      </c>
      <c r="B492" s="75">
        <v>16</v>
      </c>
      <c r="C492" s="76" t="s">
        <v>344</v>
      </c>
      <c r="D492" s="76" t="s">
        <v>356</v>
      </c>
      <c r="E492" s="75">
        <v>0</v>
      </c>
      <c r="F492" s="75">
        <v>1</v>
      </c>
      <c r="G492" s="75">
        <v>0</v>
      </c>
      <c r="H492" s="75">
        <v>6</v>
      </c>
      <c r="J492" s="75">
        <v>13</v>
      </c>
      <c r="K492" s="75">
        <v>16</v>
      </c>
      <c r="L492" s="76" t="s">
        <v>344</v>
      </c>
      <c r="M492" s="76" t="s">
        <v>356</v>
      </c>
      <c r="N492" s="75">
        <v>2.4526026352442609</v>
      </c>
    </row>
    <row r="493" spans="1:14" ht="30" x14ac:dyDescent="0.25">
      <c r="A493" s="77">
        <v>13</v>
      </c>
      <c r="B493" s="77">
        <v>17</v>
      </c>
      <c r="C493" s="78" t="s">
        <v>344</v>
      </c>
      <c r="D493" s="78" t="s">
        <v>359</v>
      </c>
      <c r="E493" s="77">
        <v>0.35294117647058831</v>
      </c>
      <c r="F493" s="77">
        <v>0.64705882352941169</v>
      </c>
      <c r="G493" s="77">
        <v>6</v>
      </c>
      <c r="H493" s="77">
        <v>17</v>
      </c>
      <c r="J493" s="77">
        <v>13</v>
      </c>
      <c r="K493" s="77">
        <v>17</v>
      </c>
      <c r="L493" s="78" t="s">
        <v>344</v>
      </c>
      <c r="M493" s="78" t="s">
        <v>359</v>
      </c>
      <c r="N493" s="77">
        <v>3.123566536167472</v>
      </c>
    </row>
    <row r="494" spans="1:14" ht="45" x14ac:dyDescent="0.25">
      <c r="A494" s="75">
        <v>13</v>
      </c>
      <c r="B494" s="75">
        <v>18</v>
      </c>
      <c r="C494" s="76" t="s">
        <v>344</v>
      </c>
      <c r="D494" s="76" t="s">
        <v>363</v>
      </c>
      <c r="E494" s="75">
        <v>0</v>
      </c>
      <c r="F494" s="75">
        <v>1</v>
      </c>
      <c r="G494" s="75">
        <v>0</v>
      </c>
      <c r="H494" s="75">
        <v>6</v>
      </c>
      <c r="J494" s="75">
        <v>13</v>
      </c>
      <c r="K494" s="75">
        <v>18</v>
      </c>
      <c r="L494" s="76" t="s">
        <v>344</v>
      </c>
      <c r="M494" s="76" t="s">
        <v>363</v>
      </c>
      <c r="N494" s="75">
        <v>2.4526026352442609</v>
      </c>
    </row>
    <row r="495" spans="1:14" ht="30" x14ac:dyDescent="0.25">
      <c r="A495" s="77">
        <v>13</v>
      </c>
      <c r="B495" s="77">
        <v>19</v>
      </c>
      <c r="C495" s="78" t="s">
        <v>344</v>
      </c>
      <c r="D495" s="78" t="s">
        <v>367</v>
      </c>
      <c r="E495" s="77">
        <v>0.1875</v>
      </c>
      <c r="F495" s="77">
        <v>0.8125</v>
      </c>
      <c r="G495" s="77">
        <v>3</v>
      </c>
      <c r="H495" s="77">
        <v>16</v>
      </c>
      <c r="J495" s="77">
        <v>13</v>
      </c>
      <c r="K495" s="77">
        <v>19</v>
      </c>
      <c r="L495" s="78" t="s">
        <v>344</v>
      </c>
      <c r="M495" s="78" t="s">
        <v>367</v>
      </c>
      <c r="N495" s="77">
        <v>2.8960299191082939</v>
      </c>
    </row>
    <row r="496" spans="1:14" ht="30" x14ac:dyDescent="0.25">
      <c r="A496" s="75">
        <v>13</v>
      </c>
      <c r="B496" s="75">
        <v>20</v>
      </c>
      <c r="C496" s="76" t="s">
        <v>344</v>
      </c>
      <c r="D496" s="76" t="s">
        <v>371</v>
      </c>
      <c r="E496" s="75">
        <v>0.22222222222222221</v>
      </c>
      <c r="F496" s="75">
        <v>0.77777777777777779</v>
      </c>
      <c r="G496" s="75">
        <v>2</v>
      </c>
      <c r="H496" s="75">
        <v>9</v>
      </c>
      <c r="J496" s="75">
        <v>13</v>
      </c>
      <c r="K496" s="75">
        <v>20</v>
      </c>
      <c r="L496" s="76" t="s">
        <v>344</v>
      </c>
      <c r="M496" s="76" t="s">
        <v>371</v>
      </c>
      <c r="N496" s="75">
        <v>2.230003230834908</v>
      </c>
    </row>
    <row r="497" spans="1:14" ht="30" x14ac:dyDescent="0.25">
      <c r="A497" s="77">
        <v>13</v>
      </c>
      <c r="B497" s="77">
        <v>21</v>
      </c>
      <c r="C497" s="78" t="s">
        <v>344</v>
      </c>
      <c r="D497" s="78" t="s">
        <v>373</v>
      </c>
      <c r="E497" s="77">
        <v>0</v>
      </c>
      <c r="F497" s="77">
        <v>1</v>
      </c>
      <c r="G497" s="77">
        <v>0</v>
      </c>
      <c r="H497" s="77">
        <v>6</v>
      </c>
      <c r="J497" s="77">
        <v>13</v>
      </c>
      <c r="K497" s="77">
        <v>21</v>
      </c>
      <c r="L497" s="78" t="s">
        <v>344</v>
      </c>
      <c r="M497" s="78" t="s">
        <v>373</v>
      </c>
      <c r="N497" s="77">
        <v>2.4526026352442609</v>
      </c>
    </row>
    <row r="498" spans="1:14" ht="30" x14ac:dyDescent="0.25">
      <c r="A498" s="75">
        <v>13</v>
      </c>
      <c r="B498" s="75">
        <v>22</v>
      </c>
      <c r="C498" s="76" t="s">
        <v>344</v>
      </c>
      <c r="D498" s="76" t="s">
        <v>377</v>
      </c>
      <c r="E498" s="75">
        <v>0.2</v>
      </c>
      <c r="F498" s="75">
        <v>0.8</v>
      </c>
      <c r="G498" s="75">
        <v>2</v>
      </c>
      <c r="H498" s="75">
        <v>10</v>
      </c>
      <c r="J498" s="75">
        <v>13</v>
      </c>
      <c r="K498" s="75">
        <v>22</v>
      </c>
      <c r="L498" s="76" t="s">
        <v>344</v>
      </c>
      <c r="M498" s="76" t="s">
        <v>377</v>
      </c>
      <c r="N498" s="75">
        <v>1.769362682377954</v>
      </c>
    </row>
    <row r="499" spans="1:14" ht="30" x14ac:dyDescent="0.25">
      <c r="A499" s="77">
        <v>13</v>
      </c>
      <c r="B499" s="77">
        <v>23</v>
      </c>
      <c r="C499" s="78" t="s">
        <v>344</v>
      </c>
      <c r="D499" s="78" t="s">
        <v>380</v>
      </c>
      <c r="E499" s="77">
        <v>0.26666666666666672</v>
      </c>
      <c r="F499" s="77">
        <v>0.73333333333333339</v>
      </c>
      <c r="G499" s="77">
        <v>4</v>
      </c>
      <c r="H499" s="77">
        <v>15</v>
      </c>
      <c r="J499" s="77">
        <v>13</v>
      </c>
      <c r="K499" s="77">
        <v>23</v>
      </c>
      <c r="L499" s="78" t="s">
        <v>344</v>
      </c>
      <c r="M499" s="78" t="s">
        <v>380</v>
      </c>
      <c r="N499" s="77">
        <v>3.4313880807786301</v>
      </c>
    </row>
    <row r="500" spans="1:14" ht="30" x14ac:dyDescent="0.25">
      <c r="A500" s="75">
        <v>13</v>
      </c>
      <c r="B500" s="75">
        <v>24</v>
      </c>
      <c r="C500" s="76" t="s">
        <v>344</v>
      </c>
      <c r="D500" s="76" t="s">
        <v>384</v>
      </c>
      <c r="E500" s="75">
        <v>0.5</v>
      </c>
      <c r="F500" s="75">
        <v>0.5</v>
      </c>
      <c r="G500" s="75">
        <v>6</v>
      </c>
      <c r="H500" s="75">
        <v>12</v>
      </c>
      <c r="J500" s="75">
        <v>13</v>
      </c>
      <c r="K500" s="75">
        <v>24</v>
      </c>
      <c r="L500" s="76" t="s">
        <v>344</v>
      </c>
      <c r="M500" s="76" t="s">
        <v>384</v>
      </c>
      <c r="N500" s="75">
        <v>1.4727884574008741</v>
      </c>
    </row>
    <row r="501" spans="1:14" ht="30" x14ac:dyDescent="0.25">
      <c r="A501" s="77">
        <v>13</v>
      </c>
      <c r="B501" s="77">
        <v>25</v>
      </c>
      <c r="C501" s="78" t="s">
        <v>344</v>
      </c>
      <c r="D501" s="78" t="s">
        <v>386</v>
      </c>
      <c r="E501" s="77">
        <v>0.375</v>
      </c>
      <c r="F501" s="77">
        <v>0.625</v>
      </c>
      <c r="G501" s="77">
        <v>6</v>
      </c>
      <c r="H501" s="77">
        <v>16</v>
      </c>
      <c r="J501" s="77">
        <v>13</v>
      </c>
      <c r="K501" s="77">
        <v>25</v>
      </c>
      <c r="L501" s="78" t="s">
        <v>344</v>
      </c>
      <c r="M501" s="78" t="s">
        <v>386</v>
      </c>
      <c r="N501" s="77">
        <v>6.2022783622411719</v>
      </c>
    </row>
    <row r="502" spans="1:14" ht="30" x14ac:dyDescent="0.25">
      <c r="A502" s="75">
        <v>13</v>
      </c>
      <c r="B502" s="75">
        <v>26</v>
      </c>
      <c r="C502" s="76" t="s">
        <v>344</v>
      </c>
      <c r="D502" s="76" t="s">
        <v>389</v>
      </c>
      <c r="E502" s="75">
        <v>0</v>
      </c>
      <c r="F502" s="75">
        <v>1</v>
      </c>
      <c r="G502" s="75">
        <v>0</v>
      </c>
      <c r="H502" s="75">
        <v>6</v>
      </c>
      <c r="J502" s="75">
        <v>13</v>
      </c>
      <c r="K502" s="75">
        <v>26</v>
      </c>
      <c r="L502" s="76" t="s">
        <v>344</v>
      </c>
      <c r="M502" s="76" t="s">
        <v>389</v>
      </c>
      <c r="N502" s="75">
        <v>2.4526026352442609</v>
      </c>
    </row>
    <row r="503" spans="1:14" ht="30" x14ac:dyDescent="0.25">
      <c r="A503" s="77">
        <v>13</v>
      </c>
      <c r="B503" s="77">
        <v>27</v>
      </c>
      <c r="C503" s="78" t="s">
        <v>344</v>
      </c>
      <c r="D503" s="78" t="s">
        <v>393</v>
      </c>
      <c r="E503" s="77">
        <v>0.55555555555555558</v>
      </c>
      <c r="F503" s="77">
        <v>0.44444444444444442</v>
      </c>
      <c r="G503" s="77">
        <v>5</v>
      </c>
      <c r="H503" s="77">
        <v>9</v>
      </c>
      <c r="J503" s="77">
        <v>13</v>
      </c>
      <c r="K503" s="77">
        <v>27</v>
      </c>
      <c r="L503" s="78" t="s">
        <v>344</v>
      </c>
      <c r="M503" s="78" t="s">
        <v>393</v>
      </c>
      <c r="N503" s="77">
        <v>4.3361969860264624</v>
      </c>
    </row>
    <row r="504" spans="1:14" ht="45" x14ac:dyDescent="0.25">
      <c r="A504" s="75">
        <v>13</v>
      </c>
      <c r="B504" s="75">
        <v>28</v>
      </c>
      <c r="C504" s="76" t="s">
        <v>344</v>
      </c>
      <c r="D504" s="76" t="s">
        <v>396</v>
      </c>
      <c r="E504" s="75">
        <v>0</v>
      </c>
      <c r="F504" s="75">
        <v>1</v>
      </c>
      <c r="G504" s="75">
        <v>0</v>
      </c>
      <c r="H504" s="75">
        <v>6</v>
      </c>
      <c r="J504" s="75">
        <v>13</v>
      </c>
      <c r="K504" s="75">
        <v>28</v>
      </c>
      <c r="L504" s="76" t="s">
        <v>344</v>
      </c>
      <c r="M504" s="76" t="s">
        <v>396</v>
      </c>
      <c r="N504" s="75">
        <v>2.4526026352442609</v>
      </c>
    </row>
    <row r="505" spans="1:14" ht="30" x14ac:dyDescent="0.25">
      <c r="A505" s="77">
        <v>13</v>
      </c>
      <c r="B505" s="77">
        <v>29</v>
      </c>
      <c r="C505" s="78" t="s">
        <v>344</v>
      </c>
      <c r="D505" s="78" t="s">
        <v>399</v>
      </c>
      <c r="E505" s="77">
        <v>0</v>
      </c>
      <c r="F505" s="77">
        <v>1</v>
      </c>
      <c r="G505" s="77">
        <v>0</v>
      </c>
      <c r="H505" s="77">
        <v>6</v>
      </c>
      <c r="J505" s="77">
        <v>13</v>
      </c>
      <c r="K505" s="77">
        <v>29</v>
      </c>
      <c r="L505" s="78" t="s">
        <v>344</v>
      </c>
      <c r="M505" s="78" t="s">
        <v>399</v>
      </c>
      <c r="N505" s="77">
        <v>2.4526026352442609</v>
      </c>
    </row>
    <row r="506" spans="1:14" ht="30" x14ac:dyDescent="0.25">
      <c r="A506" s="75">
        <v>13</v>
      </c>
      <c r="B506" s="75">
        <v>30</v>
      </c>
      <c r="C506" s="76" t="s">
        <v>344</v>
      </c>
      <c r="D506" s="76" t="s">
        <v>402</v>
      </c>
      <c r="E506" s="75">
        <v>0</v>
      </c>
      <c r="F506" s="75">
        <v>1</v>
      </c>
      <c r="G506" s="75">
        <v>0</v>
      </c>
      <c r="H506" s="75">
        <v>6</v>
      </c>
      <c r="J506" s="75">
        <v>13</v>
      </c>
      <c r="K506" s="75">
        <v>30</v>
      </c>
      <c r="L506" s="76" t="s">
        <v>344</v>
      </c>
      <c r="M506" s="76" t="s">
        <v>402</v>
      </c>
      <c r="N506" s="75">
        <v>2.4526026352442609</v>
      </c>
    </row>
    <row r="507" spans="1:14" ht="30" x14ac:dyDescent="0.25">
      <c r="A507" s="77">
        <v>13</v>
      </c>
      <c r="B507" s="77">
        <v>31</v>
      </c>
      <c r="C507" s="78" t="s">
        <v>344</v>
      </c>
      <c r="D507" s="78" t="s">
        <v>406</v>
      </c>
      <c r="E507" s="77">
        <v>0.42857142857142849</v>
      </c>
      <c r="F507" s="77">
        <v>0.5714285714285714</v>
      </c>
      <c r="G507" s="77">
        <v>6</v>
      </c>
      <c r="H507" s="77">
        <v>14</v>
      </c>
      <c r="J507" s="77">
        <v>13</v>
      </c>
      <c r="K507" s="77">
        <v>31</v>
      </c>
      <c r="L507" s="78" t="s">
        <v>344</v>
      </c>
      <c r="M507" s="78" t="s">
        <v>406</v>
      </c>
      <c r="N507" s="77">
        <v>1.4727884574008741</v>
      </c>
    </row>
    <row r="508" spans="1:14" ht="30" x14ac:dyDescent="0.25">
      <c r="A508" s="75">
        <v>13</v>
      </c>
      <c r="B508" s="75">
        <v>32</v>
      </c>
      <c r="C508" s="76" t="s">
        <v>344</v>
      </c>
      <c r="D508" s="76" t="s">
        <v>407</v>
      </c>
      <c r="E508" s="75">
        <v>0.35294117647058831</v>
      </c>
      <c r="F508" s="75">
        <v>0.64705882352941169</v>
      </c>
      <c r="G508" s="75">
        <v>6</v>
      </c>
      <c r="H508" s="75">
        <v>17</v>
      </c>
      <c r="J508" s="75">
        <v>13</v>
      </c>
      <c r="K508" s="75">
        <v>32</v>
      </c>
      <c r="L508" s="76" t="s">
        <v>344</v>
      </c>
      <c r="M508" s="76" t="s">
        <v>407</v>
      </c>
      <c r="N508" s="75">
        <v>6.2688926549790631</v>
      </c>
    </row>
    <row r="509" spans="1:14" ht="30" x14ac:dyDescent="0.25">
      <c r="A509" s="77">
        <v>13</v>
      </c>
      <c r="B509" s="77">
        <v>33</v>
      </c>
      <c r="C509" s="78" t="s">
        <v>344</v>
      </c>
      <c r="D509" s="78" t="s">
        <v>410</v>
      </c>
      <c r="E509" s="77">
        <v>0</v>
      </c>
      <c r="F509" s="77">
        <v>1</v>
      </c>
      <c r="G509" s="77">
        <v>0</v>
      </c>
      <c r="H509" s="77">
        <v>6</v>
      </c>
      <c r="J509" s="77">
        <v>13</v>
      </c>
      <c r="K509" s="77">
        <v>33</v>
      </c>
      <c r="L509" s="78" t="s">
        <v>344</v>
      </c>
      <c r="M509" s="78" t="s">
        <v>410</v>
      </c>
      <c r="N509" s="77">
        <v>2.4526026352442609</v>
      </c>
    </row>
    <row r="510" spans="1:14" ht="30" x14ac:dyDescent="0.25">
      <c r="A510" s="75">
        <v>13</v>
      </c>
      <c r="B510" s="75">
        <v>34</v>
      </c>
      <c r="C510" s="76" t="s">
        <v>344</v>
      </c>
      <c r="D510" s="76" t="s">
        <v>413</v>
      </c>
      <c r="E510" s="75">
        <v>0.4</v>
      </c>
      <c r="F510" s="75">
        <v>0.6</v>
      </c>
      <c r="G510" s="75">
        <v>6</v>
      </c>
      <c r="H510" s="75">
        <v>15</v>
      </c>
      <c r="J510" s="75">
        <v>13</v>
      </c>
      <c r="K510" s="75">
        <v>34</v>
      </c>
      <c r="L510" s="76" t="s">
        <v>344</v>
      </c>
      <c r="M510" s="76" t="s">
        <v>413</v>
      </c>
      <c r="N510" s="75">
        <v>2.23489667411281</v>
      </c>
    </row>
    <row r="511" spans="1:14" ht="30" x14ac:dyDescent="0.25">
      <c r="A511" s="77">
        <v>13</v>
      </c>
      <c r="B511" s="77">
        <v>35</v>
      </c>
      <c r="C511" s="78" t="s">
        <v>344</v>
      </c>
      <c r="D511" s="78" t="s">
        <v>416</v>
      </c>
      <c r="E511" s="77">
        <v>0</v>
      </c>
      <c r="F511" s="77">
        <v>1</v>
      </c>
      <c r="G511" s="77">
        <v>0</v>
      </c>
      <c r="H511" s="77">
        <v>6</v>
      </c>
      <c r="J511" s="77">
        <v>13</v>
      </c>
      <c r="K511" s="77">
        <v>35</v>
      </c>
      <c r="L511" s="78" t="s">
        <v>344</v>
      </c>
      <c r="M511" s="78" t="s">
        <v>416</v>
      </c>
      <c r="N511" s="77">
        <v>2.4526026352442609</v>
      </c>
    </row>
    <row r="512" spans="1:14" ht="45" x14ac:dyDescent="0.25">
      <c r="A512" s="75">
        <v>13</v>
      </c>
      <c r="B512" s="75">
        <v>36</v>
      </c>
      <c r="C512" s="76" t="s">
        <v>344</v>
      </c>
      <c r="D512" s="76" t="s">
        <v>420</v>
      </c>
      <c r="E512" s="75">
        <v>0.2857142857142857</v>
      </c>
      <c r="F512" s="75">
        <v>0.7142857142857143</v>
      </c>
      <c r="G512" s="75">
        <v>4</v>
      </c>
      <c r="H512" s="75">
        <v>14</v>
      </c>
      <c r="J512" s="75">
        <v>13</v>
      </c>
      <c r="K512" s="75">
        <v>36</v>
      </c>
      <c r="L512" s="76" t="s">
        <v>344</v>
      </c>
      <c r="M512" s="76" t="s">
        <v>420</v>
      </c>
      <c r="N512" s="75">
        <v>1.9657113456686699</v>
      </c>
    </row>
    <row r="513" spans="1:14" ht="30" x14ac:dyDescent="0.25">
      <c r="A513" s="77">
        <v>13</v>
      </c>
      <c r="B513" s="77">
        <v>37</v>
      </c>
      <c r="C513" s="78" t="s">
        <v>344</v>
      </c>
      <c r="D513" s="78" t="s">
        <v>422</v>
      </c>
      <c r="E513" s="77">
        <v>0</v>
      </c>
      <c r="F513" s="77">
        <v>1</v>
      </c>
      <c r="G513" s="77">
        <v>0</v>
      </c>
      <c r="H513" s="77">
        <v>6</v>
      </c>
      <c r="J513" s="77">
        <v>13</v>
      </c>
      <c r="K513" s="77">
        <v>37</v>
      </c>
      <c r="L513" s="78" t="s">
        <v>344</v>
      </c>
      <c r="M513" s="78" t="s">
        <v>422</v>
      </c>
      <c r="N513" s="77">
        <v>2.4526026352442609</v>
      </c>
    </row>
    <row r="514" spans="1:14" ht="30" x14ac:dyDescent="0.25">
      <c r="A514" s="75">
        <v>13</v>
      </c>
      <c r="B514" s="75">
        <v>38</v>
      </c>
      <c r="C514" s="76" t="s">
        <v>344</v>
      </c>
      <c r="D514" s="76" t="s">
        <v>425</v>
      </c>
      <c r="E514" s="75">
        <v>0.23076923076923081</v>
      </c>
      <c r="F514" s="75">
        <v>0.76923076923076916</v>
      </c>
      <c r="G514" s="75">
        <v>3</v>
      </c>
      <c r="H514" s="75">
        <v>13</v>
      </c>
      <c r="J514" s="75">
        <v>13</v>
      </c>
      <c r="K514" s="75">
        <v>38</v>
      </c>
      <c r="L514" s="76" t="s">
        <v>344</v>
      </c>
      <c r="M514" s="76" t="s">
        <v>425</v>
      </c>
      <c r="N514" s="75">
        <v>2.4526026352442609</v>
      </c>
    </row>
    <row r="515" spans="1:14" ht="30" x14ac:dyDescent="0.25">
      <c r="A515" s="77">
        <v>13</v>
      </c>
      <c r="B515" s="77">
        <v>39</v>
      </c>
      <c r="C515" s="78" t="s">
        <v>344</v>
      </c>
      <c r="D515" s="78" t="s">
        <v>427</v>
      </c>
      <c r="E515" s="77">
        <v>0</v>
      </c>
      <c r="F515" s="77">
        <v>1</v>
      </c>
      <c r="G515" s="77">
        <v>0</v>
      </c>
      <c r="H515" s="77">
        <v>6</v>
      </c>
      <c r="J515" s="77">
        <v>13</v>
      </c>
      <c r="K515" s="77">
        <v>39</v>
      </c>
      <c r="L515" s="78" t="s">
        <v>344</v>
      </c>
      <c r="M515" s="78" t="s">
        <v>427</v>
      </c>
      <c r="N515" s="77">
        <v>2.4526026352442609</v>
      </c>
    </row>
    <row r="516" spans="1:14" ht="30" x14ac:dyDescent="0.25">
      <c r="A516" s="75">
        <v>13</v>
      </c>
      <c r="B516" s="75">
        <v>40</v>
      </c>
      <c r="C516" s="76" t="s">
        <v>344</v>
      </c>
      <c r="D516" s="76" t="s">
        <v>431</v>
      </c>
      <c r="E516" s="75">
        <v>0.54545454545454541</v>
      </c>
      <c r="F516" s="75">
        <v>0.45454545454545459</v>
      </c>
      <c r="G516" s="75">
        <v>6</v>
      </c>
      <c r="H516" s="75">
        <v>11</v>
      </c>
      <c r="J516" s="75">
        <v>13</v>
      </c>
      <c r="K516" s="75">
        <v>40</v>
      </c>
      <c r="L516" s="76" t="s">
        <v>344</v>
      </c>
      <c r="M516" s="76" t="s">
        <v>431</v>
      </c>
      <c r="N516" s="75">
        <v>3.67038622696335</v>
      </c>
    </row>
    <row r="517" spans="1:14" ht="30" x14ac:dyDescent="0.25">
      <c r="A517" s="77">
        <v>14</v>
      </c>
      <c r="B517" s="77">
        <v>15</v>
      </c>
      <c r="C517" s="78" t="s">
        <v>348</v>
      </c>
      <c r="D517" s="78" t="s">
        <v>352</v>
      </c>
      <c r="E517" s="77">
        <v>0</v>
      </c>
      <c r="F517" s="77">
        <v>1</v>
      </c>
      <c r="G517" s="77">
        <v>0</v>
      </c>
      <c r="H517" s="77">
        <v>18</v>
      </c>
      <c r="J517" s="77">
        <v>14</v>
      </c>
      <c r="K517" s="77">
        <v>15</v>
      </c>
      <c r="L517" s="78" t="s">
        <v>348</v>
      </c>
      <c r="M517" s="78" t="s">
        <v>352</v>
      </c>
      <c r="N517" s="77">
        <v>7.0352724694489277</v>
      </c>
    </row>
    <row r="518" spans="1:14" ht="30" x14ac:dyDescent="0.25">
      <c r="A518" s="75">
        <v>14</v>
      </c>
      <c r="B518" s="75">
        <v>16</v>
      </c>
      <c r="C518" s="76" t="s">
        <v>348</v>
      </c>
      <c r="D518" s="76" t="s">
        <v>356</v>
      </c>
      <c r="E518" s="75"/>
      <c r="F518" s="75"/>
      <c r="G518" s="75">
        <v>0</v>
      </c>
      <c r="H518" s="75">
        <v>0</v>
      </c>
      <c r="J518" s="75">
        <v>14</v>
      </c>
      <c r="K518" s="75">
        <v>16</v>
      </c>
      <c r="L518" s="76" t="s">
        <v>348</v>
      </c>
      <c r="M518" s="76" t="s">
        <v>356</v>
      </c>
      <c r="N518" s="75">
        <v>0</v>
      </c>
    </row>
    <row r="519" spans="1:14" ht="30" x14ac:dyDescent="0.25">
      <c r="A519" s="77">
        <v>14</v>
      </c>
      <c r="B519" s="77">
        <v>17</v>
      </c>
      <c r="C519" s="78" t="s">
        <v>348</v>
      </c>
      <c r="D519" s="78" t="s">
        <v>359</v>
      </c>
      <c r="E519" s="77">
        <v>0</v>
      </c>
      <c r="F519" s="77">
        <v>1</v>
      </c>
      <c r="G519" s="77">
        <v>0</v>
      </c>
      <c r="H519" s="77">
        <v>17</v>
      </c>
      <c r="J519" s="77">
        <v>14</v>
      </c>
      <c r="K519" s="77">
        <v>17</v>
      </c>
      <c r="L519" s="78" t="s">
        <v>348</v>
      </c>
      <c r="M519" s="78" t="s">
        <v>359</v>
      </c>
      <c r="N519" s="77">
        <v>3.9500755713350242</v>
      </c>
    </row>
    <row r="520" spans="1:14" ht="45" x14ac:dyDescent="0.25">
      <c r="A520" s="75">
        <v>14</v>
      </c>
      <c r="B520" s="75">
        <v>18</v>
      </c>
      <c r="C520" s="76" t="s">
        <v>348</v>
      </c>
      <c r="D520" s="76" t="s">
        <v>363</v>
      </c>
      <c r="E520" s="75"/>
      <c r="F520" s="75"/>
      <c r="G520" s="75">
        <v>0</v>
      </c>
      <c r="H520" s="75">
        <v>0</v>
      </c>
      <c r="J520" s="75">
        <v>14</v>
      </c>
      <c r="K520" s="75">
        <v>18</v>
      </c>
      <c r="L520" s="76" t="s">
        <v>348</v>
      </c>
      <c r="M520" s="76" t="s">
        <v>363</v>
      </c>
      <c r="N520" s="75">
        <v>0</v>
      </c>
    </row>
    <row r="521" spans="1:14" ht="30" x14ac:dyDescent="0.25">
      <c r="A521" s="77">
        <v>14</v>
      </c>
      <c r="B521" s="77">
        <v>19</v>
      </c>
      <c r="C521" s="78" t="s">
        <v>348</v>
      </c>
      <c r="D521" s="78" t="s">
        <v>367</v>
      </c>
      <c r="E521" s="77">
        <v>0</v>
      </c>
      <c r="F521" s="77">
        <v>1</v>
      </c>
      <c r="G521" s="77">
        <v>0</v>
      </c>
      <c r="H521" s="77">
        <v>13</v>
      </c>
      <c r="J521" s="77">
        <v>14</v>
      </c>
      <c r="K521" s="77">
        <v>19</v>
      </c>
      <c r="L521" s="78" t="s">
        <v>348</v>
      </c>
      <c r="M521" s="78" t="s">
        <v>367</v>
      </c>
      <c r="N521" s="77">
        <v>4.3290253705983259</v>
      </c>
    </row>
    <row r="522" spans="1:14" ht="30" x14ac:dyDescent="0.25">
      <c r="A522" s="75">
        <v>14</v>
      </c>
      <c r="B522" s="75">
        <v>20</v>
      </c>
      <c r="C522" s="76" t="s">
        <v>348</v>
      </c>
      <c r="D522" s="76" t="s">
        <v>371</v>
      </c>
      <c r="E522" s="75">
        <v>0</v>
      </c>
      <c r="F522" s="75">
        <v>1</v>
      </c>
      <c r="G522" s="75">
        <v>0</v>
      </c>
      <c r="H522" s="75">
        <v>5</v>
      </c>
      <c r="J522" s="75">
        <v>14</v>
      </c>
      <c r="K522" s="75">
        <v>20</v>
      </c>
      <c r="L522" s="76" t="s">
        <v>348</v>
      </c>
      <c r="M522" s="76" t="s">
        <v>371</v>
      </c>
      <c r="N522" s="75">
        <v>1.0209531217803121</v>
      </c>
    </row>
    <row r="523" spans="1:14" ht="30" x14ac:dyDescent="0.25">
      <c r="A523" s="77">
        <v>14</v>
      </c>
      <c r="B523" s="77">
        <v>21</v>
      </c>
      <c r="C523" s="78" t="s">
        <v>348</v>
      </c>
      <c r="D523" s="78" t="s">
        <v>373</v>
      </c>
      <c r="E523" s="77"/>
      <c r="F523" s="77"/>
      <c r="G523" s="77">
        <v>0</v>
      </c>
      <c r="H523" s="77">
        <v>0</v>
      </c>
      <c r="J523" s="77">
        <v>14</v>
      </c>
      <c r="K523" s="77">
        <v>21</v>
      </c>
      <c r="L523" s="78" t="s">
        <v>348</v>
      </c>
      <c r="M523" s="78" t="s">
        <v>373</v>
      </c>
      <c r="N523" s="77">
        <v>0</v>
      </c>
    </row>
    <row r="524" spans="1:14" ht="30" x14ac:dyDescent="0.25">
      <c r="A524" s="75">
        <v>14</v>
      </c>
      <c r="B524" s="75">
        <v>22</v>
      </c>
      <c r="C524" s="76" t="s">
        <v>348</v>
      </c>
      <c r="D524" s="76" t="s">
        <v>377</v>
      </c>
      <c r="E524" s="75">
        <v>0</v>
      </c>
      <c r="F524" s="75">
        <v>1</v>
      </c>
      <c r="G524" s="75">
        <v>0</v>
      </c>
      <c r="H524" s="75">
        <v>6</v>
      </c>
      <c r="J524" s="75">
        <v>14</v>
      </c>
      <c r="K524" s="75">
        <v>22</v>
      </c>
      <c r="L524" s="76" t="s">
        <v>348</v>
      </c>
      <c r="M524" s="76" t="s">
        <v>377</v>
      </c>
      <c r="N524" s="75">
        <v>0.98058067569092033</v>
      </c>
    </row>
    <row r="525" spans="1:14" ht="30" x14ac:dyDescent="0.25">
      <c r="A525" s="77">
        <v>14</v>
      </c>
      <c r="B525" s="77">
        <v>23</v>
      </c>
      <c r="C525" s="78" t="s">
        <v>348</v>
      </c>
      <c r="D525" s="78" t="s">
        <v>380</v>
      </c>
      <c r="E525" s="77">
        <v>0</v>
      </c>
      <c r="F525" s="77">
        <v>1</v>
      </c>
      <c r="G525" s="77">
        <v>0</v>
      </c>
      <c r="H525" s="77">
        <v>13</v>
      </c>
      <c r="J525" s="77">
        <v>14</v>
      </c>
      <c r="K525" s="77">
        <v>23</v>
      </c>
      <c r="L525" s="78" t="s">
        <v>348</v>
      </c>
      <c r="M525" s="78" t="s">
        <v>380</v>
      </c>
      <c r="N525" s="77">
        <v>4.7040297116220717</v>
      </c>
    </row>
    <row r="526" spans="1:14" ht="30" x14ac:dyDescent="0.25">
      <c r="A526" s="75">
        <v>14</v>
      </c>
      <c r="B526" s="75">
        <v>24</v>
      </c>
      <c r="C526" s="76" t="s">
        <v>348</v>
      </c>
      <c r="D526" s="76" t="s">
        <v>384</v>
      </c>
      <c r="E526" s="75">
        <v>0</v>
      </c>
      <c r="F526" s="75">
        <v>1</v>
      </c>
      <c r="G526" s="75">
        <v>0</v>
      </c>
      <c r="H526" s="75">
        <v>12</v>
      </c>
      <c r="J526" s="75">
        <v>14</v>
      </c>
      <c r="K526" s="75">
        <v>24</v>
      </c>
      <c r="L526" s="76" t="s">
        <v>348</v>
      </c>
      <c r="M526" s="76" t="s">
        <v>384</v>
      </c>
      <c r="N526" s="75">
        <v>2.831172010607216</v>
      </c>
    </row>
    <row r="527" spans="1:14" ht="30" x14ac:dyDescent="0.25">
      <c r="A527" s="77">
        <v>14</v>
      </c>
      <c r="B527" s="77">
        <v>25</v>
      </c>
      <c r="C527" s="78" t="s">
        <v>348</v>
      </c>
      <c r="D527" s="78" t="s">
        <v>386</v>
      </c>
      <c r="E527" s="77">
        <v>0</v>
      </c>
      <c r="F527" s="77">
        <v>1</v>
      </c>
      <c r="G527" s="77">
        <v>0</v>
      </c>
      <c r="H527" s="77">
        <v>16</v>
      </c>
      <c r="J527" s="77">
        <v>14</v>
      </c>
      <c r="K527" s="77">
        <v>25</v>
      </c>
      <c r="L527" s="78" t="s">
        <v>348</v>
      </c>
      <c r="M527" s="78" t="s">
        <v>386</v>
      </c>
      <c r="N527" s="77">
        <v>7.3994981349776952</v>
      </c>
    </row>
    <row r="528" spans="1:14" ht="30" x14ac:dyDescent="0.25">
      <c r="A528" s="75">
        <v>14</v>
      </c>
      <c r="B528" s="75">
        <v>26</v>
      </c>
      <c r="C528" s="76" t="s">
        <v>348</v>
      </c>
      <c r="D528" s="76" t="s">
        <v>389</v>
      </c>
      <c r="E528" s="75"/>
      <c r="F528" s="75"/>
      <c r="G528" s="75">
        <v>0</v>
      </c>
      <c r="H528" s="75">
        <v>0</v>
      </c>
      <c r="J528" s="75">
        <v>14</v>
      </c>
      <c r="K528" s="75">
        <v>26</v>
      </c>
      <c r="L528" s="76" t="s">
        <v>348</v>
      </c>
      <c r="M528" s="76" t="s">
        <v>389</v>
      </c>
      <c r="N528" s="75">
        <v>0</v>
      </c>
    </row>
    <row r="529" spans="1:14" ht="30" x14ac:dyDescent="0.25">
      <c r="A529" s="77">
        <v>14</v>
      </c>
      <c r="B529" s="77">
        <v>27</v>
      </c>
      <c r="C529" s="78" t="s">
        <v>348</v>
      </c>
      <c r="D529" s="78" t="s">
        <v>393</v>
      </c>
      <c r="E529" s="77">
        <v>0</v>
      </c>
      <c r="F529" s="77">
        <v>1</v>
      </c>
      <c r="G529" s="77">
        <v>0</v>
      </c>
      <c r="H529" s="77">
        <v>8</v>
      </c>
      <c r="J529" s="77">
        <v>14</v>
      </c>
      <c r="K529" s="77">
        <v>27</v>
      </c>
      <c r="L529" s="78" t="s">
        <v>348</v>
      </c>
      <c r="M529" s="78" t="s">
        <v>393</v>
      </c>
      <c r="N529" s="77">
        <v>5.3996366237496529</v>
      </c>
    </row>
    <row r="530" spans="1:14" ht="45" x14ac:dyDescent="0.25">
      <c r="A530" s="75">
        <v>14</v>
      </c>
      <c r="B530" s="75">
        <v>28</v>
      </c>
      <c r="C530" s="76" t="s">
        <v>348</v>
      </c>
      <c r="D530" s="76" t="s">
        <v>396</v>
      </c>
      <c r="E530" s="75"/>
      <c r="F530" s="75"/>
      <c r="G530" s="75">
        <v>0</v>
      </c>
      <c r="H530" s="75">
        <v>0</v>
      </c>
      <c r="J530" s="75">
        <v>14</v>
      </c>
      <c r="K530" s="75">
        <v>28</v>
      </c>
      <c r="L530" s="76" t="s">
        <v>348</v>
      </c>
      <c r="M530" s="76" t="s">
        <v>396</v>
      </c>
      <c r="N530" s="75">
        <v>0</v>
      </c>
    </row>
    <row r="531" spans="1:14" ht="30" x14ac:dyDescent="0.25">
      <c r="A531" s="77">
        <v>14</v>
      </c>
      <c r="B531" s="77">
        <v>29</v>
      </c>
      <c r="C531" s="78" t="s">
        <v>348</v>
      </c>
      <c r="D531" s="78" t="s">
        <v>399</v>
      </c>
      <c r="E531" s="77"/>
      <c r="F531" s="77"/>
      <c r="G531" s="77">
        <v>0</v>
      </c>
      <c r="H531" s="77">
        <v>0</v>
      </c>
      <c r="J531" s="77">
        <v>14</v>
      </c>
      <c r="K531" s="77">
        <v>29</v>
      </c>
      <c r="L531" s="78" t="s">
        <v>348</v>
      </c>
      <c r="M531" s="78" t="s">
        <v>399</v>
      </c>
      <c r="N531" s="77">
        <v>0</v>
      </c>
    </row>
    <row r="532" spans="1:14" ht="30" x14ac:dyDescent="0.25">
      <c r="A532" s="75">
        <v>14</v>
      </c>
      <c r="B532" s="75">
        <v>30</v>
      </c>
      <c r="C532" s="76" t="s">
        <v>348</v>
      </c>
      <c r="D532" s="76" t="s">
        <v>402</v>
      </c>
      <c r="E532" s="75"/>
      <c r="F532" s="75"/>
      <c r="G532" s="75">
        <v>0</v>
      </c>
      <c r="H532" s="75">
        <v>0</v>
      </c>
      <c r="J532" s="75">
        <v>14</v>
      </c>
      <c r="K532" s="75">
        <v>30</v>
      </c>
      <c r="L532" s="76" t="s">
        <v>348</v>
      </c>
      <c r="M532" s="76" t="s">
        <v>402</v>
      </c>
      <c r="N532" s="75">
        <v>0</v>
      </c>
    </row>
    <row r="533" spans="1:14" ht="30" x14ac:dyDescent="0.25">
      <c r="A533" s="77">
        <v>14</v>
      </c>
      <c r="B533" s="77">
        <v>31</v>
      </c>
      <c r="C533" s="78" t="s">
        <v>348</v>
      </c>
      <c r="D533" s="78" t="s">
        <v>406</v>
      </c>
      <c r="E533" s="77">
        <v>0</v>
      </c>
      <c r="F533" s="77">
        <v>1</v>
      </c>
      <c r="G533" s="77">
        <v>0</v>
      </c>
      <c r="H533" s="77">
        <v>14</v>
      </c>
      <c r="J533" s="77">
        <v>14</v>
      </c>
      <c r="K533" s="77">
        <v>31</v>
      </c>
      <c r="L533" s="78" t="s">
        <v>348</v>
      </c>
      <c r="M533" s="78" t="s">
        <v>406</v>
      </c>
      <c r="N533" s="77">
        <v>2.831172010607216</v>
      </c>
    </row>
    <row r="534" spans="1:14" ht="30" x14ac:dyDescent="0.25">
      <c r="A534" s="75">
        <v>14</v>
      </c>
      <c r="B534" s="75">
        <v>32</v>
      </c>
      <c r="C534" s="76" t="s">
        <v>348</v>
      </c>
      <c r="D534" s="76" t="s">
        <v>407</v>
      </c>
      <c r="E534" s="75">
        <v>0</v>
      </c>
      <c r="F534" s="75">
        <v>1</v>
      </c>
      <c r="G534" s="75">
        <v>0</v>
      </c>
      <c r="H534" s="75">
        <v>17</v>
      </c>
      <c r="J534" s="75">
        <v>14</v>
      </c>
      <c r="K534" s="75">
        <v>32</v>
      </c>
      <c r="L534" s="76" t="s">
        <v>348</v>
      </c>
      <c r="M534" s="76" t="s">
        <v>407</v>
      </c>
      <c r="N534" s="75">
        <v>7.0464520495469234</v>
      </c>
    </row>
    <row r="535" spans="1:14" ht="30" x14ac:dyDescent="0.25">
      <c r="A535" s="77">
        <v>14</v>
      </c>
      <c r="B535" s="77">
        <v>33</v>
      </c>
      <c r="C535" s="78" t="s">
        <v>348</v>
      </c>
      <c r="D535" s="78" t="s">
        <v>410</v>
      </c>
      <c r="E535" s="77"/>
      <c r="F535" s="77"/>
      <c r="G535" s="77">
        <v>0</v>
      </c>
      <c r="H535" s="77">
        <v>0</v>
      </c>
      <c r="J535" s="77">
        <v>14</v>
      </c>
      <c r="K535" s="77">
        <v>33</v>
      </c>
      <c r="L535" s="78" t="s">
        <v>348</v>
      </c>
      <c r="M535" s="78" t="s">
        <v>410</v>
      </c>
      <c r="N535" s="77">
        <v>0</v>
      </c>
    </row>
    <row r="536" spans="1:14" ht="30" x14ac:dyDescent="0.25">
      <c r="A536" s="75">
        <v>14</v>
      </c>
      <c r="B536" s="75">
        <v>34</v>
      </c>
      <c r="C536" s="76" t="s">
        <v>348</v>
      </c>
      <c r="D536" s="76" t="s">
        <v>413</v>
      </c>
      <c r="E536" s="75">
        <v>0</v>
      </c>
      <c r="F536" s="75">
        <v>1</v>
      </c>
      <c r="G536" s="75">
        <v>0</v>
      </c>
      <c r="H536" s="75">
        <v>15</v>
      </c>
      <c r="J536" s="75">
        <v>14</v>
      </c>
      <c r="K536" s="75">
        <v>34</v>
      </c>
      <c r="L536" s="76" t="s">
        <v>348</v>
      </c>
      <c r="M536" s="76" t="s">
        <v>413</v>
      </c>
      <c r="N536" s="75">
        <v>3.9176822881487059</v>
      </c>
    </row>
    <row r="537" spans="1:14" ht="30" x14ac:dyDescent="0.25">
      <c r="A537" s="77">
        <v>14</v>
      </c>
      <c r="B537" s="77">
        <v>35</v>
      </c>
      <c r="C537" s="78" t="s">
        <v>348</v>
      </c>
      <c r="D537" s="78" t="s">
        <v>416</v>
      </c>
      <c r="E537" s="77"/>
      <c r="F537" s="77"/>
      <c r="G537" s="77">
        <v>0</v>
      </c>
      <c r="H537" s="77">
        <v>0</v>
      </c>
      <c r="J537" s="77">
        <v>14</v>
      </c>
      <c r="K537" s="77">
        <v>35</v>
      </c>
      <c r="L537" s="78" t="s">
        <v>348</v>
      </c>
      <c r="M537" s="78" t="s">
        <v>416</v>
      </c>
      <c r="N537" s="77">
        <v>0</v>
      </c>
    </row>
    <row r="538" spans="1:14" ht="45" x14ac:dyDescent="0.25">
      <c r="A538" s="75">
        <v>14</v>
      </c>
      <c r="B538" s="75">
        <v>36</v>
      </c>
      <c r="C538" s="76" t="s">
        <v>348</v>
      </c>
      <c r="D538" s="76" t="s">
        <v>420</v>
      </c>
      <c r="E538" s="75">
        <v>0</v>
      </c>
      <c r="F538" s="75">
        <v>1</v>
      </c>
      <c r="G538" s="75">
        <v>0</v>
      </c>
      <c r="H538" s="75">
        <v>12</v>
      </c>
      <c r="J538" s="75">
        <v>14</v>
      </c>
      <c r="K538" s="75">
        <v>36</v>
      </c>
      <c r="L538" s="76" t="s">
        <v>348</v>
      </c>
      <c r="M538" s="76" t="s">
        <v>420</v>
      </c>
      <c r="N538" s="75">
        <v>3.1161595286318371</v>
      </c>
    </row>
    <row r="539" spans="1:14" ht="30" x14ac:dyDescent="0.25">
      <c r="A539" s="77">
        <v>14</v>
      </c>
      <c r="B539" s="77">
        <v>37</v>
      </c>
      <c r="C539" s="78" t="s">
        <v>348</v>
      </c>
      <c r="D539" s="78" t="s">
        <v>422</v>
      </c>
      <c r="E539" s="77"/>
      <c r="F539" s="77"/>
      <c r="G539" s="77">
        <v>0</v>
      </c>
      <c r="H539" s="77">
        <v>0</v>
      </c>
      <c r="J539" s="77">
        <v>14</v>
      </c>
      <c r="K539" s="77">
        <v>37</v>
      </c>
      <c r="L539" s="78" t="s">
        <v>348</v>
      </c>
      <c r="M539" s="78" t="s">
        <v>422</v>
      </c>
      <c r="N539" s="77">
        <v>0</v>
      </c>
    </row>
    <row r="540" spans="1:14" ht="30" x14ac:dyDescent="0.25">
      <c r="A540" s="75">
        <v>14</v>
      </c>
      <c r="B540" s="75">
        <v>38</v>
      </c>
      <c r="C540" s="76" t="s">
        <v>348</v>
      </c>
      <c r="D540" s="76" t="s">
        <v>425</v>
      </c>
      <c r="E540" s="75">
        <v>0</v>
      </c>
      <c r="F540" s="75">
        <v>1</v>
      </c>
      <c r="G540" s="75">
        <v>0</v>
      </c>
      <c r="H540" s="75">
        <v>10</v>
      </c>
      <c r="J540" s="75">
        <v>14</v>
      </c>
      <c r="K540" s="75">
        <v>38</v>
      </c>
      <c r="L540" s="76" t="s">
        <v>348</v>
      </c>
      <c r="M540" s="76" t="s">
        <v>425</v>
      </c>
      <c r="N540" s="75">
        <v>0</v>
      </c>
    </row>
    <row r="541" spans="1:14" ht="30" x14ac:dyDescent="0.25">
      <c r="A541" s="77">
        <v>14</v>
      </c>
      <c r="B541" s="77">
        <v>39</v>
      </c>
      <c r="C541" s="78" t="s">
        <v>348</v>
      </c>
      <c r="D541" s="78" t="s">
        <v>427</v>
      </c>
      <c r="E541" s="77"/>
      <c r="F541" s="77"/>
      <c r="G541" s="77">
        <v>0</v>
      </c>
      <c r="H541" s="77">
        <v>0</v>
      </c>
      <c r="J541" s="77">
        <v>14</v>
      </c>
      <c r="K541" s="77">
        <v>39</v>
      </c>
      <c r="L541" s="78" t="s">
        <v>348</v>
      </c>
      <c r="M541" s="78" t="s">
        <v>427</v>
      </c>
      <c r="N541" s="77">
        <v>0</v>
      </c>
    </row>
    <row r="542" spans="1:14" ht="30" x14ac:dyDescent="0.25">
      <c r="A542" s="75">
        <v>14</v>
      </c>
      <c r="B542" s="75">
        <v>40</v>
      </c>
      <c r="C542" s="76" t="s">
        <v>348</v>
      </c>
      <c r="D542" s="76" t="s">
        <v>431</v>
      </c>
      <c r="E542" s="75">
        <v>0</v>
      </c>
      <c r="F542" s="75">
        <v>1</v>
      </c>
      <c r="G542" s="75">
        <v>0</v>
      </c>
      <c r="H542" s="75">
        <v>11</v>
      </c>
      <c r="J542" s="75">
        <v>14</v>
      </c>
      <c r="K542" s="75">
        <v>40</v>
      </c>
      <c r="L542" s="76" t="s">
        <v>348</v>
      </c>
      <c r="M542" s="76" t="s">
        <v>431</v>
      </c>
      <c r="N542" s="75">
        <v>4.8811070897897579</v>
      </c>
    </row>
    <row r="543" spans="1:14" ht="30" x14ac:dyDescent="0.25">
      <c r="A543" s="77">
        <v>15</v>
      </c>
      <c r="B543" s="77">
        <v>16</v>
      </c>
      <c r="C543" s="78" t="s">
        <v>352</v>
      </c>
      <c r="D543" s="78" t="s">
        <v>356</v>
      </c>
      <c r="E543" s="77">
        <v>0</v>
      </c>
      <c r="F543" s="77">
        <v>1</v>
      </c>
      <c r="G543" s="77">
        <v>0</v>
      </c>
      <c r="H543" s="77">
        <v>18</v>
      </c>
      <c r="J543" s="77">
        <v>15</v>
      </c>
      <c r="K543" s="77">
        <v>16</v>
      </c>
      <c r="L543" s="78" t="s">
        <v>352</v>
      </c>
      <c r="M543" s="78" t="s">
        <v>356</v>
      </c>
      <c r="N543" s="77">
        <v>7.0352724694489277</v>
      </c>
    </row>
    <row r="544" spans="1:14" ht="30" x14ac:dyDescent="0.25">
      <c r="A544" s="75">
        <v>15</v>
      </c>
      <c r="B544" s="75">
        <v>17</v>
      </c>
      <c r="C544" s="76" t="s">
        <v>352</v>
      </c>
      <c r="D544" s="76" t="s">
        <v>359</v>
      </c>
      <c r="E544" s="75">
        <v>0.94444444444444442</v>
      </c>
      <c r="F544" s="75">
        <v>5.555555555555558E-2</v>
      </c>
      <c r="G544" s="75">
        <v>17</v>
      </c>
      <c r="H544" s="75">
        <v>18</v>
      </c>
      <c r="J544" s="75">
        <v>15</v>
      </c>
      <c r="K544" s="75">
        <v>17</v>
      </c>
      <c r="L544" s="76" t="s">
        <v>352</v>
      </c>
      <c r="M544" s="76" t="s">
        <v>359</v>
      </c>
      <c r="N544" s="75">
        <v>5.0969758674898458</v>
      </c>
    </row>
    <row r="545" spans="1:14" ht="45" x14ac:dyDescent="0.25">
      <c r="A545" s="77">
        <v>15</v>
      </c>
      <c r="B545" s="77">
        <v>18</v>
      </c>
      <c r="C545" s="78" t="s">
        <v>352</v>
      </c>
      <c r="D545" s="78" t="s">
        <v>363</v>
      </c>
      <c r="E545" s="77">
        <v>0</v>
      </c>
      <c r="F545" s="77">
        <v>1</v>
      </c>
      <c r="G545" s="77">
        <v>0</v>
      </c>
      <c r="H545" s="77">
        <v>18</v>
      </c>
      <c r="J545" s="77">
        <v>15</v>
      </c>
      <c r="K545" s="77">
        <v>18</v>
      </c>
      <c r="L545" s="78" t="s">
        <v>352</v>
      </c>
      <c r="M545" s="78" t="s">
        <v>363</v>
      </c>
      <c r="N545" s="77">
        <v>7.0352724694489277</v>
      </c>
    </row>
    <row r="546" spans="1:14" ht="30" x14ac:dyDescent="0.25">
      <c r="A546" s="75">
        <v>15</v>
      </c>
      <c r="B546" s="75">
        <v>19</v>
      </c>
      <c r="C546" s="76" t="s">
        <v>352</v>
      </c>
      <c r="D546" s="76" t="s">
        <v>367</v>
      </c>
      <c r="E546" s="75">
        <v>0.72222222222222221</v>
      </c>
      <c r="F546" s="75">
        <v>0.27777777777777779</v>
      </c>
      <c r="G546" s="75">
        <v>13</v>
      </c>
      <c r="H546" s="75">
        <v>18</v>
      </c>
      <c r="J546" s="75">
        <v>15</v>
      </c>
      <c r="K546" s="75">
        <v>19</v>
      </c>
      <c r="L546" s="76" t="s">
        <v>352</v>
      </c>
      <c r="M546" s="76" t="s">
        <v>367</v>
      </c>
      <c r="N546" s="75">
        <v>4.7793095059587438</v>
      </c>
    </row>
    <row r="547" spans="1:14" ht="30" x14ac:dyDescent="0.25">
      <c r="A547" s="77">
        <v>15</v>
      </c>
      <c r="B547" s="77">
        <v>20</v>
      </c>
      <c r="C547" s="78" t="s">
        <v>352</v>
      </c>
      <c r="D547" s="78" t="s">
        <v>371</v>
      </c>
      <c r="E547" s="77">
        <v>0.27777777777777779</v>
      </c>
      <c r="F547" s="77">
        <v>0.72222222222222221</v>
      </c>
      <c r="G547" s="77">
        <v>5</v>
      </c>
      <c r="H547" s="77">
        <v>18</v>
      </c>
      <c r="J547" s="77">
        <v>15</v>
      </c>
      <c r="K547" s="77">
        <v>20</v>
      </c>
      <c r="L547" s="78" t="s">
        <v>352</v>
      </c>
      <c r="M547" s="78" t="s">
        <v>371</v>
      </c>
      <c r="N547" s="77">
        <v>6.8094069410461229</v>
      </c>
    </row>
    <row r="548" spans="1:14" ht="30" x14ac:dyDescent="0.25">
      <c r="A548" s="75">
        <v>15</v>
      </c>
      <c r="B548" s="75">
        <v>21</v>
      </c>
      <c r="C548" s="76" t="s">
        <v>352</v>
      </c>
      <c r="D548" s="76" t="s">
        <v>373</v>
      </c>
      <c r="E548" s="75">
        <v>0</v>
      </c>
      <c r="F548" s="75">
        <v>1</v>
      </c>
      <c r="G548" s="75">
        <v>0</v>
      </c>
      <c r="H548" s="75">
        <v>18</v>
      </c>
      <c r="J548" s="75">
        <v>15</v>
      </c>
      <c r="K548" s="75">
        <v>21</v>
      </c>
      <c r="L548" s="76" t="s">
        <v>352</v>
      </c>
      <c r="M548" s="76" t="s">
        <v>373</v>
      </c>
      <c r="N548" s="75">
        <v>7.0352724694489277</v>
      </c>
    </row>
    <row r="549" spans="1:14" ht="30" x14ac:dyDescent="0.25">
      <c r="A549" s="77">
        <v>15</v>
      </c>
      <c r="B549" s="77">
        <v>22</v>
      </c>
      <c r="C549" s="78" t="s">
        <v>352</v>
      </c>
      <c r="D549" s="78" t="s">
        <v>377</v>
      </c>
      <c r="E549" s="77">
        <v>0.33333333333333331</v>
      </c>
      <c r="F549" s="77">
        <v>0.66666666666666674</v>
      </c>
      <c r="G549" s="77">
        <v>6</v>
      </c>
      <c r="H549" s="77">
        <v>18</v>
      </c>
      <c r="J549" s="77">
        <v>15</v>
      </c>
      <c r="K549" s="77">
        <v>22</v>
      </c>
      <c r="L549" s="78" t="s">
        <v>352</v>
      </c>
      <c r="M549" s="78" t="s">
        <v>377</v>
      </c>
      <c r="N549" s="77">
        <v>6.8271841439037386</v>
      </c>
    </row>
    <row r="550" spans="1:14" ht="30" x14ac:dyDescent="0.25">
      <c r="A550" s="75">
        <v>15</v>
      </c>
      <c r="B550" s="75">
        <v>23</v>
      </c>
      <c r="C550" s="76" t="s">
        <v>352</v>
      </c>
      <c r="D550" s="76" t="s">
        <v>380</v>
      </c>
      <c r="E550" s="75">
        <v>0.72222222222222221</v>
      </c>
      <c r="F550" s="75">
        <v>0.27777777777777779</v>
      </c>
      <c r="G550" s="75">
        <v>13</v>
      </c>
      <c r="H550" s="75">
        <v>18</v>
      </c>
      <c r="J550" s="75">
        <v>15</v>
      </c>
      <c r="K550" s="75">
        <v>23</v>
      </c>
      <c r="L550" s="76" t="s">
        <v>352</v>
      </c>
      <c r="M550" s="76" t="s">
        <v>380</v>
      </c>
      <c r="N550" s="75">
        <v>4.008058629403239</v>
      </c>
    </row>
    <row r="551" spans="1:14" ht="30" x14ac:dyDescent="0.25">
      <c r="A551" s="77">
        <v>15</v>
      </c>
      <c r="B551" s="77">
        <v>24</v>
      </c>
      <c r="C551" s="78" t="s">
        <v>352</v>
      </c>
      <c r="D551" s="78" t="s">
        <v>384</v>
      </c>
      <c r="E551" s="77">
        <v>0.66666666666666663</v>
      </c>
      <c r="F551" s="77">
        <v>0.33333333333333343</v>
      </c>
      <c r="G551" s="77">
        <v>12</v>
      </c>
      <c r="H551" s="77">
        <v>18</v>
      </c>
      <c r="J551" s="77">
        <v>15</v>
      </c>
      <c r="K551" s="77">
        <v>24</v>
      </c>
      <c r="L551" s="78" t="s">
        <v>352</v>
      </c>
      <c r="M551" s="78" t="s">
        <v>384</v>
      </c>
      <c r="N551" s="77">
        <v>6.4404599032786711</v>
      </c>
    </row>
    <row r="552" spans="1:14" ht="30" x14ac:dyDescent="0.25">
      <c r="A552" s="75">
        <v>15</v>
      </c>
      <c r="B552" s="75">
        <v>25</v>
      </c>
      <c r="C552" s="76" t="s">
        <v>352</v>
      </c>
      <c r="D552" s="76" t="s">
        <v>386</v>
      </c>
      <c r="E552" s="75">
        <v>0.88888888888888884</v>
      </c>
      <c r="F552" s="75">
        <v>0.1111111111111112</v>
      </c>
      <c r="G552" s="75">
        <v>16</v>
      </c>
      <c r="H552" s="75">
        <v>18</v>
      </c>
      <c r="J552" s="75">
        <v>15</v>
      </c>
      <c r="K552" s="75">
        <v>25</v>
      </c>
      <c r="L552" s="76" t="s">
        <v>352</v>
      </c>
      <c r="M552" s="76" t="s">
        <v>386</v>
      </c>
      <c r="N552" s="75">
        <v>3.1867881964119871</v>
      </c>
    </row>
    <row r="553" spans="1:14" ht="30" x14ac:dyDescent="0.25">
      <c r="A553" s="77">
        <v>15</v>
      </c>
      <c r="B553" s="77">
        <v>26</v>
      </c>
      <c r="C553" s="78" t="s">
        <v>352</v>
      </c>
      <c r="D553" s="78" t="s">
        <v>389</v>
      </c>
      <c r="E553" s="77">
        <v>0</v>
      </c>
      <c r="F553" s="77">
        <v>1</v>
      </c>
      <c r="G553" s="77">
        <v>0</v>
      </c>
      <c r="H553" s="77">
        <v>18</v>
      </c>
      <c r="J553" s="77">
        <v>15</v>
      </c>
      <c r="K553" s="77">
        <v>26</v>
      </c>
      <c r="L553" s="78" t="s">
        <v>352</v>
      </c>
      <c r="M553" s="78" t="s">
        <v>389</v>
      </c>
      <c r="N553" s="77">
        <v>7.0352724694489277</v>
      </c>
    </row>
    <row r="554" spans="1:14" ht="30" x14ac:dyDescent="0.25">
      <c r="A554" s="75">
        <v>15</v>
      </c>
      <c r="B554" s="75">
        <v>27</v>
      </c>
      <c r="C554" s="76" t="s">
        <v>352</v>
      </c>
      <c r="D554" s="76" t="s">
        <v>393</v>
      </c>
      <c r="E554" s="75">
        <v>0.44444444444444442</v>
      </c>
      <c r="F554" s="75">
        <v>0.55555555555555558</v>
      </c>
      <c r="G554" s="75">
        <v>8</v>
      </c>
      <c r="H554" s="75">
        <v>18</v>
      </c>
      <c r="J554" s="75">
        <v>15</v>
      </c>
      <c r="K554" s="75">
        <v>27</v>
      </c>
      <c r="L554" s="76" t="s">
        <v>352</v>
      </c>
      <c r="M554" s="76" t="s">
        <v>393</v>
      </c>
      <c r="N554" s="75">
        <v>4.1169348479630914</v>
      </c>
    </row>
    <row r="555" spans="1:14" ht="45" x14ac:dyDescent="0.25">
      <c r="A555" s="77">
        <v>15</v>
      </c>
      <c r="B555" s="77">
        <v>28</v>
      </c>
      <c r="C555" s="78" t="s">
        <v>352</v>
      </c>
      <c r="D555" s="78" t="s">
        <v>396</v>
      </c>
      <c r="E555" s="77">
        <v>0</v>
      </c>
      <c r="F555" s="77">
        <v>1</v>
      </c>
      <c r="G555" s="77">
        <v>0</v>
      </c>
      <c r="H555" s="77">
        <v>18</v>
      </c>
      <c r="J555" s="77">
        <v>15</v>
      </c>
      <c r="K555" s="77">
        <v>28</v>
      </c>
      <c r="L555" s="78" t="s">
        <v>352</v>
      </c>
      <c r="M555" s="78" t="s">
        <v>396</v>
      </c>
      <c r="N555" s="77">
        <v>7.0352724694489277</v>
      </c>
    </row>
    <row r="556" spans="1:14" ht="30" x14ac:dyDescent="0.25">
      <c r="A556" s="75">
        <v>15</v>
      </c>
      <c r="B556" s="75">
        <v>29</v>
      </c>
      <c r="C556" s="76" t="s">
        <v>352</v>
      </c>
      <c r="D556" s="76" t="s">
        <v>399</v>
      </c>
      <c r="E556" s="75">
        <v>0</v>
      </c>
      <c r="F556" s="75">
        <v>1</v>
      </c>
      <c r="G556" s="75">
        <v>0</v>
      </c>
      <c r="H556" s="75">
        <v>18</v>
      </c>
      <c r="J556" s="75">
        <v>15</v>
      </c>
      <c r="K556" s="75">
        <v>29</v>
      </c>
      <c r="L556" s="76" t="s">
        <v>352</v>
      </c>
      <c r="M556" s="76" t="s">
        <v>399</v>
      </c>
      <c r="N556" s="75">
        <v>7.0352724694489277</v>
      </c>
    </row>
    <row r="557" spans="1:14" ht="30" x14ac:dyDescent="0.25">
      <c r="A557" s="77">
        <v>15</v>
      </c>
      <c r="B557" s="77">
        <v>30</v>
      </c>
      <c r="C557" s="78" t="s">
        <v>352</v>
      </c>
      <c r="D557" s="78" t="s">
        <v>402</v>
      </c>
      <c r="E557" s="77">
        <v>0</v>
      </c>
      <c r="F557" s="77">
        <v>1</v>
      </c>
      <c r="G557" s="77">
        <v>0</v>
      </c>
      <c r="H557" s="77">
        <v>18</v>
      </c>
      <c r="J557" s="77">
        <v>15</v>
      </c>
      <c r="K557" s="77">
        <v>30</v>
      </c>
      <c r="L557" s="78" t="s">
        <v>352</v>
      </c>
      <c r="M557" s="78" t="s">
        <v>402</v>
      </c>
      <c r="N557" s="77">
        <v>7.0352724694489277</v>
      </c>
    </row>
    <row r="558" spans="1:14" ht="30" x14ac:dyDescent="0.25">
      <c r="A558" s="75">
        <v>15</v>
      </c>
      <c r="B558" s="75">
        <v>31</v>
      </c>
      <c r="C558" s="76" t="s">
        <v>352</v>
      </c>
      <c r="D558" s="76" t="s">
        <v>406</v>
      </c>
      <c r="E558" s="75">
        <v>0.77777777777777779</v>
      </c>
      <c r="F558" s="75">
        <v>0.22222222222222221</v>
      </c>
      <c r="G558" s="75">
        <v>14</v>
      </c>
      <c r="H558" s="75">
        <v>18</v>
      </c>
      <c r="J558" s="75">
        <v>15</v>
      </c>
      <c r="K558" s="75">
        <v>31</v>
      </c>
      <c r="L558" s="76" t="s">
        <v>352</v>
      </c>
      <c r="M558" s="76" t="s">
        <v>406</v>
      </c>
      <c r="N558" s="75">
        <v>6.4404599032786711</v>
      </c>
    </row>
    <row r="559" spans="1:14" ht="30" x14ac:dyDescent="0.25">
      <c r="A559" s="77">
        <v>15</v>
      </c>
      <c r="B559" s="77">
        <v>32</v>
      </c>
      <c r="C559" s="78" t="s">
        <v>352</v>
      </c>
      <c r="D559" s="78" t="s">
        <v>407</v>
      </c>
      <c r="E559" s="77">
        <v>0.94444444444444442</v>
      </c>
      <c r="F559" s="77">
        <v>5.555555555555558E-2</v>
      </c>
      <c r="G559" s="77">
        <v>17</v>
      </c>
      <c r="H559" s="77">
        <v>18</v>
      </c>
      <c r="J559" s="77">
        <v>15</v>
      </c>
      <c r="K559" s="77">
        <v>32</v>
      </c>
      <c r="L559" s="78" t="s">
        <v>352</v>
      </c>
      <c r="M559" s="78" t="s">
        <v>407</v>
      </c>
      <c r="N559" s="77">
        <v>2.7545529701953479</v>
      </c>
    </row>
    <row r="560" spans="1:14" ht="30" x14ac:dyDescent="0.25">
      <c r="A560" s="75">
        <v>15</v>
      </c>
      <c r="B560" s="75">
        <v>33</v>
      </c>
      <c r="C560" s="76" t="s">
        <v>352</v>
      </c>
      <c r="D560" s="76" t="s">
        <v>410</v>
      </c>
      <c r="E560" s="75">
        <v>0</v>
      </c>
      <c r="F560" s="75">
        <v>1</v>
      </c>
      <c r="G560" s="75">
        <v>0</v>
      </c>
      <c r="H560" s="75">
        <v>18</v>
      </c>
      <c r="J560" s="75">
        <v>15</v>
      </c>
      <c r="K560" s="75">
        <v>33</v>
      </c>
      <c r="L560" s="76" t="s">
        <v>352</v>
      </c>
      <c r="M560" s="76" t="s">
        <v>410</v>
      </c>
      <c r="N560" s="75">
        <v>7.0352724694489277</v>
      </c>
    </row>
    <row r="561" spans="1:14" ht="30" x14ac:dyDescent="0.25">
      <c r="A561" s="77">
        <v>15</v>
      </c>
      <c r="B561" s="77">
        <v>34</v>
      </c>
      <c r="C561" s="78" t="s">
        <v>352</v>
      </c>
      <c r="D561" s="78" t="s">
        <v>413</v>
      </c>
      <c r="E561" s="77">
        <v>0.83333333333333337</v>
      </c>
      <c r="F561" s="77">
        <v>0.1666666666666666</v>
      </c>
      <c r="G561" s="77">
        <v>15</v>
      </c>
      <c r="H561" s="77">
        <v>18</v>
      </c>
      <c r="J561" s="77">
        <v>15</v>
      </c>
      <c r="K561" s="77">
        <v>34</v>
      </c>
      <c r="L561" s="78" t="s">
        <v>352</v>
      </c>
      <c r="M561" s="78" t="s">
        <v>413</v>
      </c>
      <c r="N561" s="77">
        <v>4.7795601255432416</v>
      </c>
    </row>
    <row r="562" spans="1:14" ht="30" x14ac:dyDescent="0.25">
      <c r="A562" s="75">
        <v>15</v>
      </c>
      <c r="B562" s="75">
        <v>35</v>
      </c>
      <c r="C562" s="76" t="s">
        <v>352</v>
      </c>
      <c r="D562" s="76" t="s">
        <v>416</v>
      </c>
      <c r="E562" s="75">
        <v>0</v>
      </c>
      <c r="F562" s="75">
        <v>1</v>
      </c>
      <c r="G562" s="75">
        <v>0</v>
      </c>
      <c r="H562" s="75">
        <v>18</v>
      </c>
      <c r="J562" s="75">
        <v>15</v>
      </c>
      <c r="K562" s="75">
        <v>35</v>
      </c>
      <c r="L562" s="76" t="s">
        <v>352</v>
      </c>
      <c r="M562" s="76" t="s">
        <v>416</v>
      </c>
      <c r="N562" s="75">
        <v>7.0352724694489277</v>
      </c>
    </row>
    <row r="563" spans="1:14" ht="45" x14ac:dyDescent="0.25">
      <c r="A563" s="77">
        <v>15</v>
      </c>
      <c r="B563" s="77">
        <v>36</v>
      </c>
      <c r="C563" s="78" t="s">
        <v>352</v>
      </c>
      <c r="D563" s="78" t="s">
        <v>420</v>
      </c>
      <c r="E563" s="77">
        <v>0.66666666666666663</v>
      </c>
      <c r="F563" s="77">
        <v>0.33333333333333343</v>
      </c>
      <c r="G563" s="77">
        <v>12</v>
      </c>
      <c r="H563" s="77">
        <v>18</v>
      </c>
      <c r="J563" s="77">
        <v>15</v>
      </c>
      <c r="K563" s="77">
        <v>36</v>
      </c>
      <c r="L563" s="78" t="s">
        <v>352</v>
      </c>
      <c r="M563" s="78" t="s">
        <v>420</v>
      </c>
      <c r="N563" s="77">
        <v>5.7449932545264044</v>
      </c>
    </row>
    <row r="564" spans="1:14" ht="30" x14ac:dyDescent="0.25">
      <c r="A564" s="75">
        <v>15</v>
      </c>
      <c r="B564" s="75">
        <v>37</v>
      </c>
      <c r="C564" s="76" t="s">
        <v>352</v>
      </c>
      <c r="D564" s="76" t="s">
        <v>422</v>
      </c>
      <c r="E564" s="75">
        <v>0</v>
      </c>
      <c r="F564" s="75">
        <v>1</v>
      </c>
      <c r="G564" s="75">
        <v>0</v>
      </c>
      <c r="H564" s="75">
        <v>18</v>
      </c>
      <c r="J564" s="75">
        <v>15</v>
      </c>
      <c r="K564" s="75">
        <v>37</v>
      </c>
      <c r="L564" s="76" t="s">
        <v>352</v>
      </c>
      <c r="M564" s="76" t="s">
        <v>422</v>
      </c>
      <c r="N564" s="75">
        <v>7.0352724694489277</v>
      </c>
    </row>
    <row r="565" spans="1:14" ht="30" x14ac:dyDescent="0.25">
      <c r="A565" s="77">
        <v>15</v>
      </c>
      <c r="B565" s="77">
        <v>38</v>
      </c>
      <c r="C565" s="78" t="s">
        <v>352</v>
      </c>
      <c r="D565" s="78" t="s">
        <v>425</v>
      </c>
      <c r="E565" s="77">
        <v>0.55555555555555558</v>
      </c>
      <c r="F565" s="77">
        <v>0.44444444444444442</v>
      </c>
      <c r="G565" s="77">
        <v>10</v>
      </c>
      <c r="H565" s="77">
        <v>18</v>
      </c>
      <c r="J565" s="77">
        <v>15</v>
      </c>
      <c r="K565" s="77">
        <v>38</v>
      </c>
      <c r="L565" s="78" t="s">
        <v>352</v>
      </c>
      <c r="M565" s="78" t="s">
        <v>425</v>
      </c>
      <c r="N565" s="77">
        <v>7.0352724694489277</v>
      </c>
    </row>
    <row r="566" spans="1:14" ht="30" x14ac:dyDescent="0.25">
      <c r="A566" s="75">
        <v>15</v>
      </c>
      <c r="B566" s="75">
        <v>39</v>
      </c>
      <c r="C566" s="76" t="s">
        <v>352</v>
      </c>
      <c r="D566" s="76" t="s">
        <v>427</v>
      </c>
      <c r="E566" s="75">
        <v>0</v>
      </c>
      <c r="F566" s="75">
        <v>1</v>
      </c>
      <c r="G566" s="75">
        <v>0</v>
      </c>
      <c r="H566" s="75">
        <v>18</v>
      </c>
      <c r="J566" s="75">
        <v>15</v>
      </c>
      <c r="K566" s="75">
        <v>39</v>
      </c>
      <c r="L566" s="76" t="s">
        <v>352</v>
      </c>
      <c r="M566" s="76" t="s">
        <v>427</v>
      </c>
      <c r="N566" s="75">
        <v>7.0352724694489277</v>
      </c>
    </row>
    <row r="567" spans="1:14" ht="30" x14ac:dyDescent="0.25">
      <c r="A567" s="77">
        <v>15</v>
      </c>
      <c r="B567" s="77">
        <v>40</v>
      </c>
      <c r="C567" s="78" t="s">
        <v>352</v>
      </c>
      <c r="D567" s="78" t="s">
        <v>431</v>
      </c>
      <c r="E567" s="77">
        <v>0.61111111111111116</v>
      </c>
      <c r="F567" s="77">
        <v>0.38888888888888878</v>
      </c>
      <c r="G567" s="77">
        <v>11</v>
      </c>
      <c r="H567" s="77">
        <v>18</v>
      </c>
      <c r="J567" s="77">
        <v>15</v>
      </c>
      <c r="K567" s="77">
        <v>40</v>
      </c>
      <c r="L567" s="78" t="s">
        <v>352</v>
      </c>
      <c r="M567" s="78" t="s">
        <v>431</v>
      </c>
      <c r="N567" s="77">
        <v>3.7904119937760279</v>
      </c>
    </row>
    <row r="568" spans="1:14" x14ac:dyDescent="0.25">
      <c r="A568" s="75">
        <v>16</v>
      </c>
      <c r="B568" s="75">
        <v>17</v>
      </c>
      <c r="C568" s="76" t="s">
        <v>356</v>
      </c>
      <c r="D568" s="76" t="s">
        <v>359</v>
      </c>
      <c r="E568" s="75">
        <v>0</v>
      </c>
      <c r="F568" s="75">
        <v>1</v>
      </c>
      <c r="G568" s="75">
        <v>0</v>
      </c>
      <c r="H568" s="75">
        <v>17</v>
      </c>
      <c r="J568" s="75">
        <v>16</v>
      </c>
      <c r="K568" s="75">
        <v>17</v>
      </c>
      <c r="L568" s="76" t="s">
        <v>356</v>
      </c>
      <c r="M568" s="76" t="s">
        <v>359</v>
      </c>
      <c r="N568" s="75">
        <v>3.9500755713350242</v>
      </c>
    </row>
    <row r="569" spans="1:14" ht="45" x14ac:dyDescent="0.25">
      <c r="A569" s="77">
        <v>16</v>
      </c>
      <c r="B569" s="77">
        <v>18</v>
      </c>
      <c r="C569" s="78" t="s">
        <v>356</v>
      </c>
      <c r="D569" s="78" t="s">
        <v>363</v>
      </c>
      <c r="E569" s="77"/>
      <c r="F569" s="77"/>
      <c r="G569" s="77">
        <v>0</v>
      </c>
      <c r="H569" s="77">
        <v>0</v>
      </c>
      <c r="J569" s="77">
        <v>16</v>
      </c>
      <c r="K569" s="77">
        <v>18</v>
      </c>
      <c r="L569" s="78" t="s">
        <v>356</v>
      </c>
      <c r="M569" s="78" t="s">
        <v>363</v>
      </c>
      <c r="N569" s="77">
        <v>0</v>
      </c>
    </row>
    <row r="570" spans="1:14" x14ac:dyDescent="0.25">
      <c r="A570" s="75">
        <v>16</v>
      </c>
      <c r="B570" s="75">
        <v>19</v>
      </c>
      <c r="C570" s="76" t="s">
        <v>356</v>
      </c>
      <c r="D570" s="76" t="s">
        <v>367</v>
      </c>
      <c r="E570" s="75">
        <v>0</v>
      </c>
      <c r="F570" s="75">
        <v>1</v>
      </c>
      <c r="G570" s="75">
        <v>0</v>
      </c>
      <c r="H570" s="75">
        <v>13</v>
      </c>
      <c r="J570" s="75">
        <v>16</v>
      </c>
      <c r="K570" s="75">
        <v>19</v>
      </c>
      <c r="L570" s="76" t="s">
        <v>356</v>
      </c>
      <c r="M570" s="76" t="s">
        <v>367</v>
      </c>
      <c r="N570" s="75">
        <v>4.3290253705983259</v>
      </c>
    </row>
    <row r="571" spans="1:14" ht="30" x14ac:dyDescent="0.25">
      <c r="A571" s="77">
        <v>16</v>
      </c>
      <c r="B571" s="77">
        <v>20</v>
      </c>
      <c r="C571" s="78" t="s">
        <v>356</v>
      </c>
      <c r="D571" s="78" t="s">
        <v>371</v>
      </c>
      <c r="E571" s="77">
        <v>0</v>
      </c>
      <c r="F571" s="77">
        <v>1</v>
      </c>
      <c r="G571" s="77">
        <v>0</v>
      </c>
      <c r="H571" s="77">
        <v>5</v>
      </c>
      <c r="J571" s="77">
        <v>16</v>
      </c>
      <c r="K571" s="77">
        <v>20</v>
      </c>
      <c r="L571" s="78" t="s">
        <v>356</v>
      </c>
      <c r="M571" s="78" t="s">
        <v>371</v>
      </c>
      <c r="N571" s="77">
        <v>1.0209531217803121</v>
      </c>
    </row>
    <row r="572" spans="1:14" ht="30" x14ac:dyDescent="0.25">
      <c r="A572" s="75">
        <v>16</v>
      </c>
      <c r="B572" s="75">
        <v>21</v>
      </c>
      <c r="C572" s="76" t="s">
        <v>356</v>
      </c>
      <c r="D572" s="76" t="s">
        <v>373</v>
      </c>
      <c r="E572" s="75"/>
      <c r="F572" s="75"/>
      <c r="G572" s="75">
        <v>0</v>
      </c>
      <c r="H572" s="75">
        <v>0</v>
      </c>
      <c r="J572" s="75">
        <v>16</v>
      </c>
      <c r="K572" s="75">
        <v>21</v>
      </c>
      <c r="L572" s="76" t="s">
        <v>356</v>
      </c>
      <c r="M572" s="76" t="s">
        <v>373</v>
      </c>
      <c r="N572" s="75">
        <v>0</v>
      </c>
    </row>
    <row r="573" spans="1:14" x14ac:dyDescent="0.25">
      <c r="A573" s="77">
        <v>16</v>
      </c>
      <c r="B573" s="77">
        <v>22</v>
      </c>
      <c r="C573" s="78" t="s">
        <v>356</v>
      </c>
      <c r="D573" s="78" t="s">
        <v>377</v>
      </c>
      <c r="E573" s="77">
        <v>0</v>
      </c>
      <c r="F573" s="77">
        <v>1</v>
      </c>
      <c r="G573" s="77">
        <v>0</v>
      </c>
      <c r="H573" s="77">
        <v>6</v>
      </c>
      <c r="J573" s="77">
        <v>16</v>
      </c>
      <c r="K573" s="77">
        <v>22</v>
      </c>
      <c r="L573" s="78" t="s">
        <v>356</v>
      </c>
      <c r="M573" s="78" t="s">
        <v>377</v>
      </c>
      <c r="N573" s="77">
        <v>0.98058067569092033</v>
      </c>
    </row>
    <row r="574" spans="1:14" x14ac:dyDescent="0.25">
      <c r="A574" s="75">
        <v>16</v>
      </c>
      <c r="B574" s="75">
        <v>23</v>
      </c>
      <c r="C574" s="76" t="s">
        <v>356</v>
      </c>
      <c r="D574" s="76" t="s">
        <v>380</v>
      </c>
      <c r="E574" s="75">
        <v>0</v>
      </c>
      <c r="F574" s="75">
        <v>1</v>
      </c>
      <c r="G574" s="75">
        <v>0</v>
      </c>
      <c r="H574" s="75">
        <v>13</v>
      </c>
      <c r="J574" s="75">
        <v>16</v>
      </c>
      <c r="K574" s="75">
        <v>23</v>
      </c>
      <c r="L574" s="76" t="s">
        <v>356</v>
      </c>
      <c r="M574" s="76" t="s">
        <v>380</v>
      </c>
      <c r="N574" s="75">
        <v>4.7040297116220717</v>
      </c>
    </row>
    <row r="575" spans="1:14" ht="30" x14ac:dyDescent="0.25">
      <c r="A575" s="77">
        <v>16</v>
      </c>
      <c r="B575" s="77">
        <v>24</v>
      </c>
      <c r="C575" s="78" t="s">
        <v>356</v>
      </c>
      <c r="D575" s="78" t="s">
        <v>384</v>
      </c>
      <c r="E575" s="77">
        <v>0</v>
      </c>
      <c r="F575" s="77">
        <v>1</v>
      </c>
      <c r="G575" s="77">
        <v>0</v>
      </c>
      <c r="H575" s="77">
        <v>12</v>
      </c>
      <c r="J575" s="77">
        <v>16</v>
      </c>
      <c r="K575" s="77">
        <v>24</v>
      </c>
      <c r="L575" s="78" t="s">
        <v>356</v>
      </c>
      <c r="M575" s="78" t="s">
        <v>384</v>
      </c>
      <c r="N575" s="77">
        <v>2.831172010607216</v>
      </c>
    </row>
    <row r="576" spans="1:14" x14ac:dyDescent="0.25">
      <c r="A576" s="75">
        <v>16</v>
      </c>
      <c r="B576" s="75">
        <v>25</v>
      </c>
      <c r="C576" s="76" t="s">
        <v>356</v>
      </c>
      <c r="D576" s="76" t="s">
        <v>386</v>
      </c>
      <c r="E576" s="75">
        <v>0</v>
      </c>
      <c r="F576" s="75">
        <v>1</v>
      </c>
      <c r="G576" s="75">
        <v>0</v>
      </c>
      <c r="H576" s="75">
        <v>16</v>
      </c>
      <c r="J576" s="75">
        <v>16</v>
      </c>
      <c r="K576" s="75">
        <v>25</v>
      </c>
      <c r="L576" s="76" t="s">
        <v>356</v>
      </c>
      <c r="M576" s="76" t="s">
        <v>386</v>
      </c>
      <c r="N576" s="75">
        <v>7.3994981349776952</v>
      </c>
    </row>
    <row r="577" spans="1:14" ht="30" x14ac:dyDescent="0.25">
      <c r="A577" s="77">
        <v>16</v>
      </c>
      <c r="B577" s="77">
        <v>26</v>
      </c>
      <c r="C577" s="78" t="s">
        <v>356</v>
      </c>
      <c r="D577" s="78" t="s">
        <v>389</v>
      </c>
      <c r="E577" s="77"/>
      <c r="F577" s="77"/>
      <c r="G577" s="77">
        <v>0</v>
      </c>
      <c r="H577" s="77">
        <v>0</v>
      </c>
      <c r="J577" s="77">
        <v>16</v>
      </c>
      <c r="K577" s="77">
        <v>26</v>
      </c>
      <c r="L577" s="78" t="s">
        <v>356</v>
      </c>
      <c r="M577" s="78" t="s">
        <v>389</v>
      </c>
      <c r="N577" s="77">
        <v>0</v>
      </c>
    </row>
    <row r="578" spans="1:14" ht="30" x14ac:dyDescent="0.25">
      <c r="A578" s="75">
        <v>16</v>
      </c>
      <c r="B578" s="75">
        <v>27</v>
      </c>
      <c r="C578" s="76" t="s">
        <v>356</v>
      </c>
      <c r="D578" s="76" t="s">
        <v>393</v>
      </c>
      <c r="E578" s="75">
        <v>0</v>
      </c>
      <c r="F578" s="75">
        <v>1</v>
      </c>
      <c r="G578" s="75">
        <v>0</v>
      </c>
      <c r="H578" s="75">
        <v>8</v>
      </c>
      <c r="J578" s="75">
        <v>16</v>
      </c>
      <c r="K578" s="75">
        <v>27</v>
      </c>
      <c r="L578" s="76" t="s">
        <v>356</v>
      </c>
      <c r="M578" s="76" t="s">
        <v>393</v>
      </c>
      <c r="N578" s="75">
        <v>5.3996366237496529</v>
      </c>
    </row>
    <row r="579" spans="1:14" ht="45" x14ac:dyDescent="0.25">
      <c r="A579" s="77">
        <v>16</v>
      </c>
      <c r="B579" s="77">
        <v>28</v>
      </c>
      <c r="C579" s="78" t="s">
        <v>356</v>
      </c>
      <c r="D579" s="78" t="s">
        <v>396</v>
      </c>
      <c r="E579" s="77"/>
      <c r="F579" s="77"/>
      <c r="G579" s="77">
        <v>0</v>
      </c>
      <c r="H579" s="77">
        <v>0</v>
      </c>
      <c r="J579" s="77">
        <v>16</v>
      </c>
      <c r="K579" s="77">
        <v>28</v>
      </c>
      <c r="L579" s="78" t="s">
        <v>356</v>
      </c>
      <c r="M579" s="78" t="s">
        <v>396</v>
      </c>
      <c r="N579" s="77">
        <v>0</v>
      </c>
    </row>
    <row r="580" spans="1:14" x14ac:dyDescent="0.25">
      <c r="A580" s="75">
        <v>16</v>
      </c>
      <c r="B580" s="75">
        <v>29</v>
      </c>
      <c r="C580" s="76" t="s">
        <v>356</v>
      </c>
      <c r="D580" s="76" t="s">
        <v>399</v>
      </c>
      <c r="E580" s="75"/>
      <c r="F580" s="75"/>
      <c r="G580" s="75">
        <v>0</v>
      </c>
      <c r="H580" s="75">
        <v>0</v>
      </c>
      <c r="J580" s="75">
        <v>16</v>
      </c>
      <c r="K580" s="75">
        <v>29</v>
      </c>
      <c r="L580" s="76" t="s">
        <v>356</v>
      </c>
      <c r="M580" s="76" t="s">
        <v>399</v>
      </c>
      <c r="N580" s="75">
        <v>0</v>
      </c>
    </row>
    <row r="581" spans="1:14" ht="30" x14ac:dyDescent="0.25">
      <c r="A581" s="77">
        <v>16</v>
      </c>
      <c r="B581" s="77">
        <v>30</v>
      </c>
      <c r="C581" s="78" t="s">
        <v>356</v>
      </c>
      <c r="D581" s="78" t="s">
        <v>402</v>
      </c>
      <c r="E581" s="77"/>
      <c r="F581" s="77"/>
      <c r="G581" s="77">
        <v>0</v>
      </c>
      <c r="H581" s="77">
        <v>0</v>
      </c>
      <c r="J581" s="77">
        <v>16</v>
      </c>
      <c r="K581" s="77">
        <v>30</v>
      </c>
      <c r="L581" s="78" t="s">
        <v>356</v>
      </c>
      <c r="M581" s="78" t="s">
        <v>402</v>
      </c>
      <c r="N581" s="77">
        <v>0</v>
      </c>
    </row>
    <row r="582" spans="1:14" x14ac:dyDescent="0.25">
      <c r="A582" s="75">
        <v>16</v>
      </c>
      <c r="B582" s="75">
        <v>31</v>
      </c>
      <c r="C582" s="76" t="s">
        <v>356</v>
      </c>
      <c r="D582" s="76" t="s">
        <v>406</v>
      </c>
      <c r="E582" s="75">
        <v>0</v>
      </c>
      <c r="F582" s="75">
        <v>1</v>
      </c>
      <c r="G582" s="75">
        <v>0</v>
      </c>
      <c r="H582" s="75">
        <v>14</v>
      </c>
      <c r="J582" s="75">
        <v>16</v>
      </c>
      <c r="K582" s="75">
        <v>31</v>
      </c>
      <c r="L582" s="76" t="s">
        <v>356</v>
      </c>
      <c r="M582" s="76" t="s">
        <v>406</v>
      </c>
      <c r="N582" s="75">
        <v>2.831172010607216</v>
      </c>
    </row>
    <row r="583" spans="1:14" x14ac:dyDescent="0.25">
      <c r="A583" s="77">
        <v>16</v>
      </c>
      <c r="B583" s="77">
        <v>32</v>
      </c>
      <c r="C583" s="78" t="s">
        <v>356</v>
      </c>
      <c r="D583" s="78" t="s">
        <v>407</v>
      </c>
      <c r="E583" s="77">
        <v>0</v>
      </c>
      <c r="F583" s="77">
        <v>1</v>
      </c>
      <c r="G583" s="77">
        <v>0</v>
      </c>
      <c r="H583" s="77">
        <v>17</v>
      </c>
      <c r="J583" s="77">
        <v>16</v>
      </c>
      <c r="K583" s="77">
        <v>32</v>
      </c>
      <c r="L583" s="78" t="s">
        <v>356</v>
      </c>
      <c r="M583" s="78" t="s">
        <v>407</v>
      </c>
      <c r="N583" s="77">
        <v>7.0464520495469234</v>
      </c>
    </row>
    <row r="584" spans="1:14" x14ac:dyDescent="0.25">
      <c r="A584" s="75">
        <v>16</v>
      </c>
      <c r="B584" s="75">
        <v>33</v>
      </c>
      <c r="C584" s="76" t="s">
        <v>356</v>
      </c>
      <c r="D584" s="76" t="s">
        <v>410</v>
      </c>
      <c r="E584" s="75"/>
      <c r="F584" s="75"/>
      <c r="G584" s="75">
        <v>0</v>
      </c>
      <c r="H584" s="75">
        <v>0</v>
      </c>
      <c r="J584" s="75">
        <v>16</v>
      </c>
      <c r="K584" s="75">
        <v>33</v>
      </c>
      <c r="L584" s="76" t="s">
        <v>356</v>
      </c>
      <c r="M584" s="76" t="s">
        <v>410</v>
      </c>
      <c r="N584" s="75">
        <v>0</v>
      </c>
    </row>
    <row r="585" spans="1:14" x14ac:dyDescent="0.25">
      <c r="A585" s="77">
        <v>16</v>
      </c>
      <c r="B585" s="77">
        <v>34</v>
      </c>
      <c r="C585" s="78" t="s">
        <v>356</v>
      </c>
      <c r="D585" s="78" t="s">
        <v>413</v>
      </c>
      <c r="E585" s="77">
        <v>0</v>
      </c>
      <c r="F585" s="77">
        <v>1</v>
      </c>
      <c r="G585" s="77">
        <v>0</v>
      </c>
      <c r="H585" s="77">
        <v>15</v>
      </c>
      <c r="J585" s="77">
        <v>16</v>
      </c>
      <c r="K585" s="77">
        <v>34</v>
      </c>
      <c r="L585" s="78" t="s">
        <v>356</v>
      </c>
      <c r="M585" s="78" t="s">
        <v>413</v>
      </c>
      <c r="N585" s="77">
        <v>3.9176822881487059</v>
      </c>
    </row>
    <row r="586" spans="1:14" ht="30" x14ac:dyDescent="0.25">
      <c r="A586" s="75">
        <v>16</v>
      </c>
      <c r="B586" s="75">
        <v>35</v>
      </c>
      <c r="C586" s="76" t="s">
        <v>356</v>
      </c>
      <c r="D586" s="76" t="s">
        <v>416</v>
      </c>
      <c r="E586" s="75"/>
      <c r="F586" s="75"/>
      <c r="G586" s="75">
        <v>0</v>
      </c>
      <c r="H586" s="75">
        <v>0</v>
      </c>
      <c r="J586" s="75">
        <v>16</v>
      </c>
      <c r="K586" s="75">
        <v>35</v>
      </c>
      <c r="L586" s="76" t="s">
        <v>356</v>
      </c>
      <c r="M586" s="76" t="s">
        <v>416</v>
      </c>
      <c r="N586" s="75">
        <v>0</v>
      </c>
    </row>
    <row r="587" spans="1:14" ht="45" x14ac:dyDescent="0.25">
      <c r="A587" s="77">
        <v>16</v>
      </c>
      <c r="B587" s="77">
        <v>36</v>
      </c>
      <c r="C587" s="78" t="s">
        <v>356</v>
      </c>
      <c r="D587" s="78" t="s">
        <v>420</v>
      </c>
      <c r="E587" s="77">
        <v>0</v>
      </c>
      <c r="F587" s="77">
        <v>1</v>
      </c>
      <c r="G587" s="77">
        <v>0</v>
      </c>
      <c r="H587" s="77">
        <v>12</v>
      </c>
      <c r="J587" s="77">
        <v>16</v>
      </c>
      <c r="K587" s="77">
        <v>36</v>
      </c>
      <c r="L587" s="78" t="s">
        <v>356</v>
      </c>
      <c r="M587" s="78" t="s">
        <v>420</v>
      </c>
      <c r="N587" s="77">
        <v>3.1161595286318371</v>
      </c>
    </row>
    <row r="588" spans="1:14" x14ac:dyDescent="0.25">
      <c r="A588" s="75">
        <v>16</v>
      </c>
      <c r="B588" s="75">
        <v>37</v>
      </c>
      <c r="C588" s="76" t="s">
        <v>356</v>
      </c>
      <c r="D588" s="76" t="s">
        <v>422</v>
      </c>
      <c r="E588" s="75"/>
      <c r="F588" s="75"/>
      <c r="G588" s="75">
        <v>0</v>
      </c>
      <c r="H588" s="75">
        <v>0</v>
      </c>
      <c r="J588" s="75">
        <v>16</v>
      </c>
      <c r="K588" s="75">
        <v>37</v>
      </c>
      <c r="L588" s="76" t="s">
        <v>356</v>
      </c>
      <c r="M588" s="76" t="s">
        <v>422</v>
      </c>
      <c r="N588" s="75">
        <v>0</v>
      </c>
    </row>
    <row r="589" spans="1:14" ht="30" x14ac:dyDescent="0.25">
      <c r="A589" s="77">
        <v>16</v>
      </c>
      <c r="B589" s="77">
        <v>38</v>
      </c>
      <c r="C589" s="78" t="s">
        <v>356</v>
      </c>
      <c r="D589" s="78" t="s">
        <v>425</v>
      </c>
      <c r="E589" s="77">
        <v>0</v>
      </c>
      <c r="F589" s="77">
        <v>1</v>
      </c>
      <c r="G589" s="77">
        <v>0</v>
      </c>
      <c r="H589" s="77">
        <v>10</v>
      </c>
      <c r="J589" s="77">
        <v>16</v>
      </c>
      <c r="K589" s="77">
        <v>38</v>
      </c>
      <c r="L589" s="78" t="s">
        <v>356</v>
      </c>
      <c r="M589" s="78" t="s">
        <v>425</v>
      </c>
      <c r="N589" s="77">
        <v>0</v>
      </c>
    </row>
    <row r="590" spans="1:14" x14ac:dyDescent="0.25">
      <c r="A590" s="75">
        <v>16</v>
      </c>
      <c r="B590" s="75">
        <v>39</v>
      </c>
      <c r="C590" s="76" t="s">
        <v>356</v>
      </c>
      <c r="D590" s="76" t="s">
        <v>427</v>
      </c>
      <c r="E590" s="75"/>
      <c r="F590" s="75"/>
      <c r="G590" s="75">
        <v>0</v>
      </c>
      <c r="H590" s="75">
        <v>0</v>
      </c>
      <c r="J590" s="75">
        <v>16</v>
      </c>
      <c r="K590" s="75">
        <v>39</v>
      </c>
      <c r="L590" s="76" t="s">
        <v>356</v>
      </c>
      <c r="M590" s="76" t="s">
        <v>427</v>
      </c>
      <c r="N590" s="75">
        <v>0</v>
      </c>
    </row>
    <row r="591" spans="1:14" x14ac:dyDescent="0.25">
      <c r="A591" s="77">
        <v>16</v>
      </c>
      <c r="B591" s="77">
        <v>40</v>
      </c>
      <c r="C591" s="78" t="s">
        <v>356</v>
      </c>
      <c r="D591" s="78" t="s">
        <v>431</v>
      </c>
      <c r="E591" s="77">
        <v>0</v>
      </c>
      <c r="F591" s="77">
        <v>1</v>
      </c>
      <c r="G591" s="77">
        <v>0</v>
      </c>
      <c r="H591" s="77">
        <v>11</v>
      </c>
      <c r="J591" s="77">
        <v>16</v>
      </c>
      <c r="K591" s="77">
        <v>40</v>
      </c>
      <c r="L591" s="78" t="s">
        <v>356</v>
      </c>
      <c r="M591" s="78" t="s">
        <v>431</v>
      </c>
      <c r="N591" s="77">
        <v>4.8811070897897579</v>
      </c>
    </row>
    <row r="592" spans="1:14" ht="45" x14ac:dyDescent="0.25">
      <c r="A592" s="75">
        <v>17</v>
      </c>
      <c r="B592" s="75">
        <v>18</v>
      </c>
      <c r="C592" s="76" t="s">
        <v>359</v>
      </c>
      <c r="D592" s="76" t="s">
        <v>363</v>
      </c>
      <c r="E592" s="75">
        <v>0</v>
      </c>
      <c r="F592" s="75">
        <v>1</v>
      </c>
      <c r="G592" s="75">
        <v>0</v>
      </c>
      <c r="H592" s="75">
        <v>17</v>
      </c>
      <c r="J592" s="75">
        <v>17</v>
      </c>
      <c r="K592" s="75">
        <v>18</v>
      </c>
      <c r="L592" s="76" t="s">
        <v>359</v>
      </c>
      <c r="M592" s="76" t="s">
        <v>363</v>
      </c>
      <c r="N592" s="75">
        <v>3.9500755713350242</v>
      </c>
    </row>
    <row r="593" spans="1:14" x14ac:dyDescent="0.25">
      <c r="A593" s="77">
        <v>17</v>
      </c>
      <c r="B593" s="77">
        <v>19</v>
      </c>
      <c r="C593" s="78" t="s">
        <v>359</v>
      </c>
      <c r="D593" s="78" t="s">
        <v>367</v>
      </c>
      <c r="E593" s="77">
        <v>0.66666666666666663</v>
      </c>
      <c r="F593" s="77">
        <v>0.33333333333333343</v>
      </c>
      <c r="G593" s="77">
        <v>12</v>
      </c>
      <c r="H593" s="77">
        <v>18</v>
      </c>
      <c r="J593" s="77">
        <v>17</v>
      </c>
      <c r="K593" s="77">
        <v>19</v>
      </c>
      <c r="L593" s="78" t="s">
        <v>359</v>
      </c>
      <c r="M593" s="78" t="s">
        <v>367</v>
      </c>
      <c r="N593" s="77">
        <v>3.224854890517689</v>
      </c>
    </row>
    <row r="594" spans="1:14" ht="30" x14ac:dyDescent="0.25">
      <c r="A594" s="75">
        <v>17</v>
      </c>
      <c r="B594" s="75">
        <v>20</v>
      </c>
      <c r="C594" s="76" t="s">
        <v>359</v>
      </c>
      <c r="D594" s="76" t="s">
        <v>371</v>
      </c>
      <c r="E594" s="75">
        <v>0.29411764705882348</v>
      </c>
      <c r="F594" s="75">
        <v>0.70588235294117641</v>
      </c>
      <c r="G594" s="75">
        <v>5</v>
      </c>
      <c r="H594" s="75">
        <v>17</v>
      </c>
      <c r="J594" s="75">
        <v>17</v>
      </c>
      <c r="K594" s="75">
        <v>20</v>
      </c>
      <c r="L594" s="76" t="s">
        <v>359</v>
      </c>
      <c r="M594" s="76" t="s">
        <v>371</v>
      </c>
      <c r="N594" s="75">
        <v>3.5321468243320271</v>
      </c>
    </row>
    <row r="595" spans="1:14" ht="30" x14ac:dyDescent="0.25">
      <c r="A595" s="77">
        <v>17</v>
      </c>
      <c r="B595" s="77">
        <v>21</v>
      </c>
      <c r="C595" s="78" t="s">
        <v>359</v>
      </c>
      <c r="D595" s="78" t="s">
        <v>373</v>
      </c>
      <c r="E595" s="77">
        <v>0</v>
      </c>
      <c r="F595" s="77">
        <v>1</v>
      </c>
      <c r="G595" s="77">
        <v>0</v>
      </c>
      <c r="H595" s="77">
        <v>17</v>
      </c>
      <c r="J595" s="77">
        <v>17</v>
      </c>
      <c r="K595" s="77">
        <v>21</v>
      </c>
      <c r="L595" s="78" t="s">
        <v>359</v>
      </c>
      <c r="M595" s="78" t="s">
        <v>373</v>
      </c>
      <c r="N595" s="77">
        <v>3.9500755713350242</v>
      </c>
    </row>
    <row r="596" spans="1:14" x14ac:dyDescent="0.25">
      <c r="A596" s="75">
        <v>17</v>
      </c>
      <c r="B596" s="75">
        <v>22</v>
      </c>
      <c r="C596" s="76" t="s">
        <v>359</v>
      </c>
      <c r="D596" s="76" t="s">
        <v>377</v>
      </c>
      <c r="E596" s="75">
        <v>0.35294117647058831</v>
      </c>
      <c r="F596" s="75">
        <v>0.64705882352941169</v>
      </c>
      <c r="G596" s="75">
        <v>6</v>
      </c>
      <c r="H596" s="75">
        <v>17</v>
      </c>
      <c r="J596" s="75">
        <v>17</v>
      </c>
      <c r="K596" s="75">
        <v>22</v>
      </c>
      <c r="L596" s="76" t="s">
        <v>359</v>
      </c>
      <c r="M596" s="76" t="s">
        <v>377</v>
      </c>
      <c r="N596" s="75">
        <v>3.56629802941963</v>
      </c>
    </row>
    <row r="597" spans="1:14" x14ac:dyDescent="0.25">
      <c r="A597" s="77">
        <v>17</v>
      </c>
      <c r="B597" s="77">
        <v>23</v>
      </c>
      <c r="C597" s="78" t="s">
        <v>359</v>
      </c>
      <c r="D597" s="78" t="s">
        <v>380</v>
      </c>
      <c r="E597" s="77">
        <v>0.66666666666666663</v>
      </c>
      <c r="F597" s="77">
        <v>0.33333333333333343</v>
      </c>
      <c r="G597" s="77">
        <v>12</v>
      </c>
      <c r="H597" s="77">
        <v>18</v>
      </c>
      <c r="J597" s="77">
        <v>17</v>
      </c>
      <c r="K597" s="77">
        <v>23</v>
      </c>
      <c r="L597" s="78" t="s">
        <v>359</v>
      </c>
      <c r="M597" s="78" t="s">
        <v>380</v>
      </c>
      <c r="N597" s="77">
        <v>3.5579175825053149</v>
      </c>
    </row>
    <row r="598" spans="1:14" ht="30" x14ac:dyDescent="0.25">
      <c r="A598" s="75">
        <v>17</v>
      </c>
      <c r="B598" s="75">
        <v>24</v>
      </c>
      <c r="C598" s="76" t="s">
        <v>359</v>
      </c>
      <c r="D598" s="76" t="s">
        <v>384</v>
      </c>
      <c r="E598" s="75">
        <v>0.70588235294117652</v>
      </c>
      <c r="F598" s="75">
        <v>0.29411764705882348</v>
      </c>
      <c r="G598" s="75">
        <v>12</v>
      </c>
      <c r="H598" s="75">
        <v>17</v>
      </c>
      <c r="J598" s="75">
        <v>17</v>
      </c>
      <c r="K598" s="75">
        <v>24</v>
      </c>
      <c r="L598" s="76" t="s">
        <v>359</v>
      </c>
      <c r="M598" s="76" t="s">
        <v>384</v>
      </c>
      <c r="N598" s="75">
        <v>2.7545529701953479</v>
      </c>
    </row>
    <row r="599" spans="1:14" x14ac:dyDescent="0.25">
      <c r="A599" s="77">
        <v>17</v>
      </c>
      <c r="B599" s="77">
        <v>25</v>
      </c>
      <c r="C599" s="78" t="s">
        <v>359</v>
      </c>
      <c r="D599" s="78" t="s">
        <v>386</v>
      </c>
      <c r="E599" s="77">
        <v>0.83333333333333337</v>
      </c>
      <c r="F599" s="77">
        <v>0.1666666666666666</v>
      </c>
      <c r="G599" s="77">
        <v>15</v>
      </c>
      <c r="H599" s="77">
        <v>18</v>
      </c>
      <c r="J599" s="77">
        <v>17</v>
      </c>
      <c r="K599" s="77">
        <v>25</v>
      </c>
      <c r="L599" s="78" t="s">
        <v>359</v>
      </c>
      <c r="M599" s="78" t="s">
        <v>386</v>
      </c>
      <c r="N599" s="77">
        <v>5.4180366356841363</v>
      </c>
    </row>
    <row r="600" spans="1:14" ht="30" x14ac:dyDescent="0.25">
      <c r="A600" s="75">
        <v>17</v>
      </c>
      <c r="B600" s="75">
        <v>26</v>
      </c>
      <c r="C600" s="76" t="s">
        <v>359</v>
      </c>
      <c r="D600" s="76" t="s">
        <v>389</v>
      </c>
      <c r="E600" s="75">
        <v>0</v>
      </c>
      <c r="F600" s="75">
        <v>1</v>
      </c>
      <c r="G600" s="75">
        <v>0</v>
      </c>
      <c r="H600" s="75">
        <v>17</v>
      </c>
      <c r="J600" s="75">
        <v>17</v>
      </c>
      <c r="K600" s="75">
        <v>26</v>
      </c>
      <c r="L600" s="76" t="s">
        <v>359</v>
      </c>
      <c r="M600" s="76" t="s">
        <v>389</v>
      </c>
      <c r="N600" s="75">
        <v>3.9500755713350242</v>
      </c>
    </row>
    <row r="601" spans="1:14" ht="30" x14ac:dyDescent="0.25">
      <c r="A601" s="77">
        <v>17</v>
      </c>
      <c r="B601" s="77">
        <v>27</v>
      </c>
      <c r="C601" s="78" t="s">
        <v>359</v>
      </c>
      <c r="D601" s="78" t="s">
        <v>393</v>
      </c>
      <c r="E601" s="77">
        <v>0.47058823529411759</v>
      </c>
      <c r="F601" s="77">
        <v>0.52941176470588236</v>
      </c>
      <c r="G601" s="77">
        <v>8</v>
      </c>
      <c r="H601" s="77">
        <v>17</v>
      </c>
      <c r="J601" s="77">
        <v>17</v>
      </c>
      <c r="K601" s="77">
        <v>27</v>
      </c>
      <c r="L601" s="78" t="s">
        <v>359</v>
      </c>
      <c r="M601" s="78" t="s">
        <v>393</v>
      </c>
      <c r="N601" s="77">
        <v>3.004997579267076</v>
      </c>
    </row>
    <row r="602" spans="1:14" ht="45" x14ac:dyDescent="0.25">
      <c r="A602" s="75">
        <v>17</v>
      </c>
      <c r="B602" s="75">
        <v>28</v>
      </c>
      <c r="C602" s="76" t="s">
        <v>359</v>
      </c>
      <c r="D602" s="76" t="s">
        <v>396</v>
      </c>
      <c r="E602" s="75">
        <v>0</v>
      </c>
      <c r="F602" s="75">
        <v>1</v>
      </c>
      <c r="G602" s="75">
        <v>0</v>
      </c>
      <c r="H602" s="75">
        <v>17</v>
      </c>
      <c r="J602" s="75">
        <v>17</v>
      </c>
      <c r="K602" s="75">
        <v>28</v>
      </c>
      <c r="L602" s="76" t="s">
        <v>359</v>
      </c>
      <c r="M602" s="76" t="s">
        <v>396</v>
      </c>
      <c r="N602" s="75">
        <v>3.9500755713350242</v>
      </c>
    </row>
    <row r="603" spans="1:14" x14ac:dyDescent="0.25">
      <c r="A603" s="77">
        <v>17</v>
      </c>
      <c r="B603" s="77">
        <v>29</v>
      </c>
      <c r="C603" s="78" t="s">
        <v>359</v>
      </c>
      <c r="D603" s="78" t="s">
        <v>399</v>
      </c>
      <c r="E603" s="77">
        <v>0</v>
      </c>
      <c r="F603" s="77">
        <v>1</v>
      </c>
      <c r="G603" s="77">
        <v>0</v>
      </c>
      <c r="H603" s="77">
        <v>17</v>
      </c>
      <c r="J603" s="77">
        <v>17</v>
      </c>
      <c r="K603" s="77">
        <v>29</v>
      </c>
      <c r="L603" s="78" t="s">
        <v>359</v>
      </c>
      <c r="M603" s="78" t="s">
        <v>399</v>
      </c>
      <c r="N603" s="77">
        <v>3.9500755713350242</v>
      </c>
    </row>
    <row r="604" spans="1:14" ht="30" x14ac:dyDescent="0.25">
      <c r="A604" s="75">
        <v>17</v>
      </c>
      <c r="B604" s="75">
        <v>30</v>
      </c>
      <c r="C604" s="76" t="s">
        <v>359</v>
      </c>
      <c r="D604" s="76" t="s">
        <v>402</v>
      </c>
      <c r="E604" s="75">
        <v>0</v>
      </c>
      <c r="F604" s="75">
        <v>1</v>
      </c>
      <c r="G604" s="75">
        <v>0</v>
      </c>
      <c r="H604" s="75">
        <v>17</v>
      </c>
      <c r="J604" s="75">
        <v>17</v>
      </c>
      <c r="K604" s="75">
        <v>30</v>
      </c>
      <c r="L604" s="76" t="s">
        <v>359</v>
      </c>
      <c r="M604" s="76" t="s">
        <v>402</v>
      </c>
      <c r="N604" s="75">
        <v>3.9500755713350242</v>
      </c>
    </row>
    <row r="605" spans="1:14" x14ac:dyDescent="0.25">
      <c r="A605" s="77">
        <v>17</v>
      </c>
      <c r="B605" s="77">
        <v>31</v>
      </c>
      <c r="C605" s="78" t="s">
        <v>359</v>
      </c>
      <c r="D605" s="78" t="s">
        <v>406</v>
      </c>
      <c r="E605" s="77">
        <v>0.72222222222222221</v>
      </c>
      <c r="F605" s="77">
        <v>0.27777777777777779</v>
      </c>
      <c r="G605" s="77">
        <v>13</v>
      </c>
      <c r="H605" s="77">
        <v>18</v>
      </c>
      <c r="J605" s="77">
        <v>17</v>
      </c>
      <c r="K605" s="77">
        <v>31</v>
      </c>
      <c r="L605" s="78" t="s">
        <v>359</v>
      </c>
      <c r="M605" s="78" t="s">
        <v>406</v>
      </c>
      <c r="N605" s="77">
        <v>2.7545529701953479</v>
      </c>
    </row>
    <row r="606" spans="1:14" x14ac:dyDescent="0.25">
      <c r="A606" s="75">
        <v>17</v>
      </c>
      <c r="B606" s="75">
        <v>32</v>
      </c>
      <c r="C606" s="76" t="s">
        <v>359</v>
      </c>
      <c r="D606" s="76" t="s">
        <v>407</v>
      </c>
      <c r="E606" s="75">
        <v>0.88888888888888884</v>
      </c>
      <c r="F606" s="75">
        <v>0.1111111111111112</v>
      </c>
      <c r="G606" s="75">
        <v>16</v>
      </c>
      <c r="H606" s="75">
        <v>18</v>
      </c>
      <c r="J606" s="75">
        <v>17</v>
      </c>
      <c r="K606" s="75">
        <v>32</v>
      </c>
      <c r="L606" s="76" t="s">
        <v>359</v>
      </c>
      <c r="M606" s="76" t="s">
        <v>407</v>
      </c>
      <c r="N606" s="75">
        <v>4.3444522481070367</v>
      </c>
    </row>
    <row r="607" spans="1:14" x14ac:dyDescent="0.25">
      <c r="A607" s="77">
        <v>17</v>
      </c>
      <c r="B607" s="77">
        <v>33</v>
      </c>
      <c r="C607" s="78" t="s">
        <v>359</v>
      </c>
      <c r="D607" s="78" t="s">
        <v>410</v>
      </c>
      <c r="E607" s="77">
        <v>0</v>
      </c>
      <c r="F607" s="77">
        <v>1</v>
      </c>
      <c r="G607" s="77">
        <v>0</v>
      </c>
      <c r="H607" s="77">
        <v>17</v>
      </c>
      <c r="J607" s="77">
        <v>17</v>
      </c>
      <c r="K607" s="77">
        <v>33</v>
      </c>
      <c r="L607" s="78" t="s">
        <v>359</v>
      </c>
      <c r="M607" s="78" t="s">
        <v>410</v>
      </c>
      <c r="N607" s="77">
        <v>3.9500755713350242</v>
      </c>
    </row>
    <row r="608" spans="1:14" x14ac:dyDescent="0.25">
      <c r="A608" s="75">
        <v>17</v>
      </c>
      <c r="B608" s="75">
        <v>34</v>
      </c>
      <c r="C608" s="76" t="s">
        <v>359</v>
      </c>
      <c r="D608" s="76" t="s">
        <v>413</v>
      </c>
      <c r="E608" s="75">
        <v>0.77777777777777779</v>
      </c>
      <c r="F608" s="75">
        <v>0.22222222222222221</v>
      </c>
      <c r="G608" s="75">
        <v>14</v>
      </c>
      <c r="H608" s="75">
        <v>18</v>
      </c>
      <c r="J608" s="75">
        <v>17</v>
      </c>
      <c r="K608" s="75">
        <v>34</v>
      </c>
      <c r="L608" s="76" t="s">
        <v>359</v>
      </c>
      <c r="M608" s="76" t="s">
        <v>413</v>
      </c>
      <c r="N608" s="75">
        <v>3.5579175825053149</v>
      </c>
    </row>
    <row r="609" spans="1:14" ht="30" x14ac:dyDescent="0.25">
      <c r="A609" s="77">
        <v>17</v>
      </c>
      <c r="B609" s="77">
        <v>35</v>
      </c>
      <c r="C609" s="78" t="s">
        <v>359</v>
      </c>
      <c r="D609" s="78" t="s">
        <v>416</v>
      </c>
      <c r="E609" s="77">
        <v>0</v>
      </c>
      <c r="F609" s="77">
        <v>1</v>
      </c>
      <c r="G609" s="77">
        <v>0</v>
      </c>
      <c r="H609" s="77">
        <v>17</v>
      </c>
      <c r="J609" s="77">
        <v>17</v>
      </c>
      <c r="K609" s="77">
        <v>35</v>
      </c>
      <c r="L609" s="78" t="s">
        <v>359</v>
      </c>
      <c r="M609" s="78" t="s">
        <v>416</v>
      </c>
      <c r="N609" s="77">
        <v>3.9500755713350242</v>
      </c>
    </row>
    <row r="610" spans="1:14" ht="45" x14ac:dyDescent="0.25">
      <c r="A610" s="75">
        <v>17</v>
      </c>
      <c r="B610" s="75">
        <v>36</v>
      </c>
      <c r="C610" s="76" t="s">
        <v>359</v>
      </c>
      <c r="D610" s="76" t="s">
        <v>420</v>
      </c>
      <c r="E610" s="75">
        <v>0.70588235294117652</v>
      </c>
      <c r="F610" s="75">
        <v>0.29411764705882348</v>
      </c>
      <c r="G610" s="75">
        <v>12</v>
      </c>
      <c r="H610" s="75">
        <v>17</v>
      </c>
      <c r="J610" s="75">
        <v>17</v>
      </c>
      <c r="K610" s="75">
        <v>36</v>
      </c>
      <c r="L610" s="76" t="s">
        <v>359</v>
      </c>
      <c r="M610" s="76" t="s">
        <v>420</v>
      </c>
      <c r="N610" s="75">
        <v>3.0467158252533659</v>
      </c>
    </row>
    <row r="611" spans="1:14" x14ac:dyDescent="0.25">
      <c r="A611" s="77">
        <v>17</v>
      </c>
      <c r="B611" s="77">
        <v>37</v>
      </c>
      <c r="C611" s="78" t="s">
        <v>359</v>
      </c>
      <c r="D611" s="78" t="s">
        <v>422</v>
      </c>
      <c r="E611" s="77">
        <v>0</v>
      </c>
      <c r="F611" s="77">
        <v>1</v>
      </c>
      <c r="G611" s="77">
        <v>0</v>
      </c>
      <c r="H611" s="77">
        <v>17</v>
      </c>
      <c r="J611" s="77">
        <v>17</v>
      </c>
      <c r="K611" s="77">
        <v>37</v>
      </c>
      <c r="L611" s="78" t="s">
        <v>359</v>
      </c>
      <c r="M611" s="78" t="s">
        <v>422</v>
      </c>
      <c r="N611" s="77">
        <v>3.9500755713350242</v>
      </c>
    </row>
    <row r="612" spans="1:14" ht="30" x14ac:dyDescent="0.25">
      <c r="A612" s="75">
        <v>17</v>
      </c>
      <c r="B612" s="75">
        <v>38</v>
      </c>
      <c r="C612" s="76" t="s">
        <v>359</v>
      </c>
      <c r="D612" s="76" t="s">
        <v>425</v>
      </c>
      <c r="E612" s="75">
        <v>0.5</v>
      </c>
      <c r="F612" s="75">
        <v>0.5</v>
      </c>
      <c r="G612" s="75">
        <v>9</v>
      </c>
      <c r="H612" s="75">
        <v>18</v>
      </c>
      <c r="J612" s="75">
        <v>17</v>
      </c>
      <c r="K612" s="75">
        <v>38</v>
      </c>
      <c r="L612" s="76" t="s">
        <v>359</v>
      </c>
      <c r="M612" s="76" t="s">
        <v>425</v>
      </c>
      <c r="N612" s="75">
        <v>3.9500755713350242</v>
      </c>
    </row>
    <row r="613" spans="1:14" x14ac:dyDescent="0.25">
      <c r="A613" s="77">
        <v>17</v>
      </c>
      <c r="B613" s="77">
        <v>39</v>
      </c>
      <c r="C613" s="78" t="s">
        <v>359</v>
      </c>
      <c r="D613" s="78" t="s">
        <v>427</v>
      </c>
      <c r="E613" s="77">
        <v>0</v>
      </c>
      <c r="F613" s="77">
        <v>1</v>
      </c>
      <c r="G613" s="77">
        <v>0</v>
      </c>
      <c r="H613" s="77">
        <v>17</v>
      </c>
      <c r="J613" s="77">
        <v>17</v>
      </c>
      <c r="K613" s="77">
        <v>39</v>
      </c>
      <c r="L613" s="78" t="s">
        <v>359</v>
      </c>
      <c r="M613" s="78" t="s">
        <v>427</v>
      </c>
      <c r="N613" s="77">
        <v>3.9500755713350242</v>
      </c>
    </row>
    <row r="614" spans="1:14" x14ac:dyDescent="0.25">
      <c r="A614" s="75">
        <v>17</v>
      </c>
      <c r="B614" s="75">
        <v>40</v>
      </c>
      <c r="C614" s="76" t="s">
        <v>359</v>
      </c>
      <c r="D614" s="76" t="s">
        <v>431</v>
      </c>
      <c r="E614" s="75">
        <v>0.6470588235294118</v>
      </c>
      <c r="F614" s="75">
        <v>0.3529411764705882</v>
      </c>
      <c r="G614" s="75">
        <v>11</v>
      </c>
      <c r="H614" s="75">
        <v>17</v>
      </c>
      <c r="J614" s="75">
        <v>17</v>
      </c>
      <c r="K614" s="75">
        <v>40</v>
      </c>
      <c r="L614" s="76" t="s">
        <v>359</v>
      </c>
      <c r="M614" s="76" t="s">
        <v>431</v>
      </c>
      <c r="N614" s="75">
        <v>4.3444522481070367</v>
      </c>
    </row>
    <row r="615" spans="1:14" ht="45" x14ac:dyDescent="0.25">
      <c r="A615" s="77">
        <v>18</v>
      </c>
      <c r="B615" s="77">
        <v>19</v>
      </c>
      <c r="C615" s="78" t="s">
        <v>363</v>
      </c>
      <c r="D615" s="78" t="s">
        <v>367</v>
      </c>
      <c r="E615" s="77">
        <v>0</v>
      </c>
      <c r="F615" s="77">
        <v>1</v>
      </c>
      <c r="G615" s="77">
        <v>0</v>
      </c>
      <c r="H615" s="77">
        <v>13</v>
      </c>
      <c r="J615" s="77">
        <v>18</v>
      </c>
      <c r="K615" s="77">
        <v>19</v>
      </c>
      <c r="L615" s="78" t="s">
        <v>363</v>
      </c>
      <c r="M615" s="78" t="s">
        <v>367</v>
      </c>
      <c r="N615" s="77">
        <v>4.3290253705983259</v>
      </c>
    </row>
    <row r="616" spans="1:14" ht="45" x14ac:dyDescent="0.25">
      <c r="A616" s="75">
        <v>18</v>
      </c>
      <c r="B616" s="75">
        <v>20</v>
      </c>
      <c r="C616" s="76" t="s">
        <v>363</v>
      </c>
      <c r="D616" s="76" t="s">
        <v>371</v>
      </c>
      <c r="E616" s="75">
        <v>0</v>
      </c>
      <c r="F616" s="75">
        <v>1</v>
      </c>
      <c r="G616" s="75">
        <v>0</v>
      </c>
      <c r="H616" s="75">
        <v>5</v>
      </c>
      <c r="J616" s="75">
        <v>18</v>
      </c>
      <c r="K616" s="75">
        <v>20</v>
      </c>
      <c r="L616" s="76" t="s">
        <v>363</v>
      </c>
      <c r="M616" s="76" t="s">
        <v>371</v>
      </c>
      <c r="N616" s="75">
        <v>1.0209531217803121</v>
      </c>
    </row>
    <row r="617" spans="1:14" ht="45" x14ac:dyDescent="0.25">
      <c r="A617" s="77">
        <v>18</v>
      </c>
      <c r="B617" s="77">
        <v>21</v>
      </c>
      <c r="C617" s="78" t="s">
        <v>363</v>
      </c>
      <c r="D617" s="78" t="s">
        <v>373</v>
      </c>
      <c r="E617" s="77"/>
      <c r="F617" s="77"/>
      <c r="G617" s="77">
        <v>0</v>
      </c>
      <c r="H617" s="77">
        <v>0</v>
      </c>
      <c r="J617" s="77">
        <v>18</v>
      </c>
      <c r="K617" s="77">
        <v>21</v>
      </c>
      <c r="L617" s="78" t="s">
        <v>363</v>
      </c>
      <c r="M617" s="78" t="s">
        <v>373</v>
      </c>
      <c r="N617" s="77">
        <v>0</v>
      </c>
    </row>
    <row r="618" spans="1:14" ht="45" x14ac:dyDescent="0.25">
      <c r="A618" s="75">
        <v>18</v>
      </c>
      <c r="B618" s="75">
        <v>22</v>
      </c>
      <c r="C618" s="76" t="s">
        <v>363</v>
      </c>
      <c r="D618" s="76" t="s">
        <v>377</v>
      </c>
      <c r="E618" s="75">
        <v>0</v>
      </c>
      <c r="F618" s="75">
        <v>1</v>
      </c>
      <c r="G618" s="75">
        <v>0</v>
      </c>
      <c r="H618" s="75">
        <v>6</v>
      </c>
      <c r="J618" s="75">
        <v>18</v>
      </c>
      <c r="K618" s="75">
        <v>22</v>
      </c>
      <c r="L618" s="76" t="s">
        <v>363</v>
      </c>
      <c r="M618" s="76" t="s">
        <v>377</v>
      </c>
      <c r="N618" s="75">
        <v>0.98058067569092033</v>
      </c>
    </row>
    <row r="619" spans="1:14" ht="45" x14ac:dyDescent="0.25">
      <c r="A619" s="77">
        <v>18</v>
      </c>
      <c r="B619" s="77">
        <v>23</v>
      </c>
      <c r="C619" s="78" t="s">
        <v>363</v>
      </c>
      <c r="D619" s="78" t="s">
        <v>380</v>
      </c>
      <c r="E619" s="77">
        <v>0</v>
      </c>
      <c r="F619" s="77">
        <v>1</v>
      </c>
      <c r="G619" s="77">
        <v>0</v>
      </c>
      <c r="H619" s="77">
        <v>13</v>
      </c>
      <c r="J619" s="77">
        <v>18</v>
      </c>
      <c r="K619" s="77">
        <v>23</v>
      </c>
      <c r="L619" s="78" t="s">
        <v>363</v>
      </c>
      <c r="M619" s="78" t="s">
        <v>380</v>
      </c>
      <c r="N619" s="77">
        <v>4.7040297116220717</v>
      </c>
    </row>
    <row r="620" spans="1:14" ht="45" x14ac:dyDescent="0.25">
      <c r="A620" s="75">
        <v>18</v>
      </c>
      <c r="B620" s="75">
        <v>24</v>
      </c>
      <c r="C620" s="76" t="s">
        <v>363</v>
      </c>
      <c r="D620" s="76" t="s">
        <v>384</v>
      </c>
      <c r="E620" s="75">
        <v>0</v>
      </c>
      <c r="F620" s="75">
        <v>1</v>
      </c>
      <c r="G620" s="75">
        <v>0</v>
      </c>
      <c r="H620" s="75">
        <v>12</v>
      </c>
      <c r="J620" s="75">
        <v>18</v>
      </c>
      <c r="K620" s="75">
        <v>24</v>
      </c>
      <c r="L620" s="76" t="s">
        <v>363</v>
      </c>
      <c r="M620" s="76" t="s">
        <v>384</v>
      </c>
      <c r="N620" s="75">
        <v>2.831172010607216</v>
      </c>
    </row>
    <row r="621" spans="1:14" ht="45" x14ac:dyDescent="0.25">
      <c r="A621" s="77">
        <v>18</v>
      </c>
      <c r="B621" s="77">
        <v>25</v>
      </c>
      <c r="C621" s="78" t="s">
        <v>363</v>
      </c>
      <c r="D621" s="78" t="s">
        <v>386</v>
      </c>
      <c r="E621" s="77">
        <v>0</v>
      </c>
      <c r="F621" s="77">
        <v>1</v>
      </c>
      <c r="G621" s="77">
        <v>0</v>
      </c>
      <c r="H621" s="77">
        <v>16</v>
      </c>
      <c r="J621" s="77">
        <v>18</v>
      </c>
      <c r="K621" s="77">
        <v>25</v>
      </c>
      <c r="L621" s="78" t="s">
        <v>363</v>
      </c>
      <c r="M621" s="78" t="s">
        <v>386</v>
      </c>
      <c r="N621" s="77">
        <v>7.3994981349776952</v>
      </c>
    </row>
    <row r="622" spans="1:14" ht="45" x14ac:dyDescent="0.25">
      <c r="A622" s="75">
        <v>18</v>
      </c>
      <c r="B622" s="75">
        <v>26</v>
      </c>
      <c r="C622" s="76" t="s">
        <v>363</v>
      </c>
      <c r="D622" s="76" t="s">
        <v>389</v>
      </c>
      <c r="E622" s="75"/>
      <c r="F622" s="75"/>
      <c r="G622" s="75">
        <v>0</v>
      </c>
      <c r="H622" s="75">
        <v>0</v>
      </c>
      <c r="J622" s="75">
        <v>18</v>
      </c>
      <c r="K622" s="75">
        <v>26</v>
      </c>
      <c r="L622" s="76" t="s">
        <v>363</v>
      </c>
      <c r="M622" s="76" t="s">
        <v>389</v>
      </c>
      <c r="N622" s="75">
        <v>0</v>
      </c>
    </row>
    <row r="623" spans="1:14" ht="45" x14ac:dyDescent="0.25">
      <c r="A623" s="77">
        <v>18</v>
      </c>
      <c r="B623" s="77">
        <v>27</v>
      </c>
      <c r="C623" s="78" t="s">
        <v>363</v>
      </c>
      <c r="D623" s="78" t="s">
        <v>393</v>
      </c>
      <c r="E623" s="77">
        <v>0</v>
      </c>
      <c r="F623" s="77">
        <v>1</v>
      </c>
      <c r="G623" s="77">
        <v>0</v>
      </c>
      <c r="H623" s="77">
        <v>8</v>
      </c>
      <c r="J623" s="77">
        <v>18</v>
      </c>
      <c r="K623" s="77">
        <v>27</v>
      </c>
      <c r="L623" s="78" t="s">
        <v>363</v>
      </c>
      <c r="M623" s="78" t="s">
        <v>393</v>
      </c>
      <c r="N623" s="77">
        <v>5.3996366237496529</v>
      </c>
    </row>
    <row r="624" spans="1:14" ht="45" x14ac:dyDescent="0.25">
      <c r="A624" s="75">
        <v>18</v>
      </c>
      <c r="B624" s="75">
        <v>28</v>
      </c>
      <c r="C624" s="76" t="s">
        <v>363</v>
      </c>
      <c r="D624" s="76" t="s">
        <v>396</v>
      </c>
      <c r="E624" s="75"/>
      <c r="F624" s="75"/>
      <c r="G624" s="75">
        <v>0</v>
      </c>
      <c r="H624" s="75">
        <v>0</v>
      </c>
      <c r="J624" s="75">
        <v>18</v>
      </c>
      <c r="K624" s="75">
        <v>28</v>
      </c>
      <c r="L624" s="76" t="s">
        <v>363</v>
      </c>
      <c r="M624" s="76" t="s">
        <v>396</v>
      </c>
      <c r="N624" s="75">
        <v>0</v>
      </c>
    </row>
    <row r="625" spans="1:14" ht="45" x14ac:dyDescent="0.25">
      <c r="A625" s="77">
        <v>18</v>
      </c>
      <c r="B625" s="77">
        <v>29</v>
      </c>
      <c r="C625" s="78" t="s">
        <v>363</v>
      </c>
      <c r="D625" s="78" t="s">
        <v>399</v>
      </c>
      <c r="E625" s="77"/>
      <c r="F625" s="77"/>
      <c r="G625" s="77">
        <v>0</v>
      </c>
      <c r="H625" s="77">
        <v>0</v>
      </c>
      <c r="J625" s="77">
        <v>18</v>
      </c>
      <c r="K625" s="77">
        <v>29</v>
      </c>
      <c r="L625" s="78" t="s">
        <v>363</v>
      </c>
      <c r="M625" s="78" t="s">
        <v>399</v>
      </c>
      <c r="N625" s="77">
        <v>0</v>
      </c>
    </row>
    <row r="626" spans="1:14" ht="45" x14ac:dyDescent="0.25">
      <c r="A626" s="75">
        <v>18</v>
      </c>
      <c r="B626" s="75">
        <v>30</v>
      </c>
      <c r="C626" s="76" t="s">
        <v>363</v>
      </c>
      <c r="D626" s="76" t="s">
        <v>402</v>
      </c>
      <c r="E626" s="75"/>
      <c r="F626" s="75"/>
      <c r="G626" s="75">
        <v>0</v>
      </c>
      <c r="H626" s="75">
        <v>0</v>
      </c>
      <c r="J626" s="75">
        <v>18</v>
      </c>
      <c r="K626" s="75">
        <v>30</v>
      </c>
      <c r="L626" s="76" t="s">
        <v>363</v>
      </c>
      <c r="M626" s="76" t="s">
        <v>402</v>
      </c>
      <c r="N626" s="75">
        <v>0</v>
      </c>
    </row>
    <row r="627" spans="1:14" ht="45" x14ac:dyDescent="0.25">
      <c r="A627" s="77">
        <v>18</v>
      </c>
      <c r="B627" s="77">
        <v>31</v>
      </c>
      <c r="C627" s="78" t="s">
        <v>363</v>
      </c>
      <c r="D627" s="78" t="s">
        <v>406</v>
      </c>
      <c r="E627" s="77">
        <v>0</v>
      </c>
      <c r="F627" s="77">
        <v>1</v>
      </c>
      <c r="G627" s="77">
        <v>0</v>
      </c>
      <c r="H627" s="77">
        <v>14</v>
      </c>
      <c r="J627" s="77">
        <v>18</v>
      </c>
      <c r="K627" s="77">
        <v>31</v>
      </c>
      <c r="L627" s="78" t="s">
        <v>363</v>
      </c>
      <c r="M627" s="78" t="s">
        <v>406</v>
      </c>
      <c r="N627" s="77">
        <v>2.831172010607216</v>
      </c>
    </row>
    <row r="628" spans="1:14" ht="45" x14ac:dyDescent="0.25">
      <c r="A628" s="75">
        <v>18</v>
      </c>
      <c r="B628" s="75">
        <v>32</v>
      </c>
      <c r="C628" s="76" t="s">
        <v>363</v>
      </c>
      <c r="D628" s="76" t="s">
        <v>407</v>
      </c>
      <c r="E628" s="75">
        <v>0</v>
      </c>
      <c r="F628" s="75">
        <v>1</v>
      </c>
      <c r="G628" s="75">
        <v>0</v>
      </c>
      <c r="H628" s="75">
        <v>17</v>
      </c>
      <c r="J628" s="75">
        <v>18</v>
      </c>
      <c r="K628" s="75">
        <v>32</v>
      </c>
      <c r="L628" s="76" t="s">
        <v>363</v>
      </c>
      <c r="M628" s="76" t="s">
        <v>407</v>
      </c>
      <c r="N628" s="75">
        <v>7.0464520495469234</v>
      </c>
    </row>
    <row r="629" spans="1:14" ht="45" x14ac:dyDescent="0.25">
      <c r="A629" s="77">
        <v>18</v>
      </c>
      <c r="B629" s="77">
        <v>33</v>
      </c>
      <c r="C629" s="78" t="s">
        <v>363</v>
      </c>
      <c r="D629" s="78" t="s">
        <v>410</v>
      </c>
      <c r="E629" s="77"/>
      <c r="F629" s="77"/>
      <c r="G629" s="77">
        <v>0</v>
      </c>
      <c r="H629" s="77">
        <v>0</v>
      </c>
      <c r="J629" s="77">
        <v>18</v>
      </c>
      <c r="K629" s="77">
        <v>33</v>
      </c>
      <c r="L629" s="78" t="s">
        <v>363</v>
      </c>
      <c r="M629" s="78" t="s">
        <v>410</v>
      </c>
      <c r="N629" s="77">
        <v>0</v>
      </c>
    </row>
    <row r="630" spans="1:14" ht="45" x14ac:dyDescent="0.25">
      <c r="A630" s="75">
        <v>18</v>
      </c>
      <c r="B630" s="75">
        <v>34</v>
      </c>
      <c r="C630" s="76" t="s">
        <v>363</v>
      </c>
      <c r="D630" s="76" t="s">
        <v>413</v>
      </c>
      <c r="E630" s="75">
        <v>0</v>
      </c>
      <c r="F630" s="75">
        <v>1</v>
      </c>
      <c r="G630" s="75">
        <v>0</v>
      </c>
      <c r="H630" s="75">
        <v>15</v>
      </c>
      <c r="J630" s="75">
        <v>18</v>
      </c>
      <c r="K630" s="75">
        <v>34</v>
      </c>
      <c r="L630" s="76" t="s">
        <v>363</v>
      </c>
      <c r="M630" s="76" t="s">
        <v>413</v>
      </c>
      <c r="N630" s="75">
        <v>3.9176822881487059</v>
      </c>
    </row>
    <row r="631" spans="1:14" ht="45" x14ac:dyDescent="0.25">
      <c r="A631" s="77">
        <v>18</v>
      </c>
      <c r="B631" s="77">
        <v>35</v>
      </c>
      <c r="C631" s="78" t="s">
        <v>363</v>
      </c>
      <c r="D631" s="78" t="s">
        <v>416</v>
      </c>
      <c r="E631" s="77"/>
      <c r="F631" s="77"/>
      <c r="G631" s="77">
        <v>0</v>
      </c>
      <c r="H631" s="77">
        <v>0</v>
      </c>
      <c r="J631" s="77">
        <v>18</v>
      </c>
      <c r="K631" s="77">
        <v>35</v>
      </c>
      <c r="L631" s="78" t="s">
        <v>363</v>
      </c>
      <c r="M631" s="78" t="s">
        <v>416</v>
      </c>
      <c r="N631" s="77">
        <v>0</v>
      </c>
    </row>
    <row r="632" spans="1:14" ht="45" x14ac:dyDescent="0.25">
      <c r="A632" s="75">
        <v>18</v>
      </c>
      <c r="B632" s="75">
        <v>36</v>
      </c>
      <c r="C632" s="76" t="s">
        <v>363</v>
      </c>
      <c r="D632" s="76" t="s">
        <v>420</v>
      </c>
      <c r="E632" s="75">
        <v>0</v>
      </c>
      <c r="F632" s="75">
        <v>1</v>
      </c>
      <c r="G632" s="75">
        <v>0</v>
      </c>
      <c r="H632" s="75">
        <v>12</v>
      </c>
      <c r="J632" s="75">
        <v>18</v>
      </c>
      <c r="K632" s="75">
        <v>36</v>
      </c>
      <c r="L632" s="76" t="s">
        <v>363</v>
      </c>
      <c r="M632" s="76" t="s">
        <v>420</v>
      </c>
      <c r="N632" s="75">
        <v>3.1161595286318371</v>
      </c>
    </row>
    <row r="633" spans="1:14" ht="45" x14ac:dyDescent="0.25">
      <c r="A633" s="77">
        <v>18</v>
      </c>
      <c r="B633" s="77">
        <v>37</v>
      </c>
      <c r="C633" s="78" t="s">
        <v>363</v>
      </c>
      <c r="D633" s="78" t="s">
        <v>422</v>
      </c>
      <c r="E633" s="77"/>
      <c r="F633" s="77"/>
      <c r="G633" s="77">
        <v>0</v>
      </c>
      <c r="H633" s="77">
        <v>0</v>
      </c>
      <c r="J633" s="77">
        <v>18</v>
      </c>
      <c r="K633" s="77">
        <v>37</v>
      </c>
      <c r="L633" s="78" t="s">
        <v>363</v>
      </c>
      <c r="M633" s="78" t="s">
        <v>422</v>
      </c>
      <c r="N633" s="77">
        <v>0</v>
      </c>
    </row>
    <row r="634" spans="1:14" ht="45" x14ac:dyDescent="0.25">
      <c r="A634" s="75">
        <v>18</v>
      </c>
      <c r="B634" s="75">
        <v>38</v>
      </c>
      <c r="C634" s="76" t="s">
        <v>363</v>
      </c>
      <c r="D634" s="76" t="s">
        <v>425</v>
      </c>
      <c r="E634" s="75">
        <v>0</v>
      </c>
      <c r="F634" s="75">
        <v>1</v>
      </c>
      <c r="G634" s="75">
        <v>0</v>
      </c>
      <c r="H634" s="75">
        <v>10</v>
      </c>
      <c r="J634" s="75">
        <v>18</v>
      </c>
      <c r="K634" s="75">
        <v>38</v>
      </c>
      <c r="L634" s="76" t="s">
        <v>363</v>
      </c>
      <c r="M634" s="76" t="s">
        <v>425</v>
      </c>
      <c r="N634" s="75">
        <v>0</v>
      </c>
    </row>
    <row r="635" spans="1:14" ht="45" x14ac:dyDescent="0.25">
      <c r="A635" s="77">
        <v>18</v>
      </c>
      <c r="B635" s="77">
        <v>39</v>
      </c>
      <c r="C635" s="78" t="s">
        <v>363</v>
      </c>
      <c r="D635" s="78" t="s">
        <v>427</v>
      </c>
      <c r="E635" s="77"/>
      <c r="F635" s="77"/>
      <c r="G635" s="77">
        <v>0</v>
      </c>
      <c r="H635" s="77">
        <v>0</v>
      </c>
      <c r="J635" s="77">
        <v>18</v>
      </c>
      <c r="K635" s="77">
        <v>39</v>
      </c>
      <c r="L635" s="78" t="s">
        <v>363</v>
      </c>
      <c r="M635" s="78" t="s">
        <v>427</v>
      </c>
      <c r="N635" s="77">
        <v>0</v>
      </c>
    </row>
    <row r="636" spans="1:14" ht="45" x14ac:dyDescent="0.25">
      <c r="A636" s="75">
        <v>18</v>
      </c>
      <c r="B636" s="75">
        <v>40</v>
      </c>
      <c r="C636" s="76" t="s">
        <v>363</v>
      </c>
      <c r="D636" s="76" t="s">
        <v>431</v>
      </c>
      <c r="E636" s="75">
        <v>0</v>
      </c>
      <c r="F636" s="75">
        <v>1</v>
      </c>
      <c r="G636" s="75">
        <v>0</v>
      </c>
      <c r="H636" s="75">
        <v>11</v>
      </c>
      <c r="J636" s="75">
        <v>18</v>
      </c>
      <c r="K636" s="75">
        <v>40</v>
      </c>
      <c r="L636" s="76" t="s">
        <v>363</v>
      </c>
      <c r="M636" s="76" t="s">
        <v>431</v>
      </c>
      <c r="N636" s="75">
        <v>4.8811070897897579</v>
      </c>
    </row>
    <row r="637" spans="1:14" ht="30" x14ac:dyDescent="0.25">
      <c r="A637" s="77">
        <v>19</v>
      </c>
      <c r="B637" s="77">
        <v>20</v>
      </c>
      <c r="C637" s="78" t="s">
        <v>367</v>
      </c>
      <c r="D637" s="78" t="s">
        <v>371</v>
      </c>
      <c r="E637" s="77">
        <v>0.38461538461538458</v>
      </c>
      <c r="F637" s="77">
        <v>0.61538461538461542</v>
      </c>
      <c r="G637" s="77">
        <v>5</v>
      </c>
      <c r="H637" s="77">
        <v>13</v>
      </c>
      <c r="J637" s="77">
        <v>19</v>
      </c>
      <c r="K637" s="77">
        <v>20</v>
      </c>
      <c r="L637" s="78" t="s">
        <v>367</v>
      </c>
      <c r="M637" s="78" t="s">
        <v>371</v>
      </c>
      <c r="N637" s="77">
        <v>3.9513826477152381</v>
      </c>
    </row>
    <row r="638" spans="1:14" ht="30" x14ac:dyDescent="0.25">
      <c r="A638" s="75">
        <v>19</v>
      </c>
      <c r="B638" s="75">
        <v>21</v>
      </c>
      <c r="C638" s="76" t="s">
        <v>367</v>
      </c>
      <c r="D638" s="76" t="s">
        <v>373</v>
      </c>
      <c r="E638" s="75">
        <v>0</v>
      </c>
      <c r="F638" s="75">
        <v>1</v>
      </c>
      <c r="G638" s="75">
        <v>0</v>
      </c>
      <c r="H638" s="75">
        <v>13</v>
      </c>
      <c r="J638" s="75">
        <v>19</v>
      </c>
      <c r="K638" s="75">
        <v>21</v>
      </c>
      <c r="L638" s="76" t="s">
        <v>367</v>
      </c>
      <c r="M638" s="76" t="s">
        <v>373</v>
      </c>
      <c r="N638" s="75">
        <v>4.3290253705983259</v>
      </c>
    </row>
    <row r="639" spans="1:14" x14ac:dyDescent="0.25">
      <c r="A639" s="77">
        <v>19</v>
      </c>
      <c r="B639" s="77">
        <v>22</v>
      </c>
      <c r="C639" s="78" t="s">
        <v>367</v>
      </c>
      <c r="D639" s="78" t="s">
        <v>377</v>
      </c>
      <c r="E639" s="77">
        <v>0.35714285714285721</v>
      </c>
      <c r="F639" s="77">
        <v>0.64285714285714279</v>
      </c>
      <c r="G639" s="77">
        <v>5</v>
      </c>
      <c r="H639" s="77">
        <v>14</v>
      </c>
      <c r="J639" s="77">
        <v>19</v>
      </c>
      <c r="K639" s="77">
        <v>22</v>
      </c>
      <c r="L639" s="78" t="s">
        <v>367</v>
      </c>
      <c r="M639" s="78" t="s">
        <v>377</v>
      </c>
      <c r="N639" s="77">
        <v>3.981939888379606</v>
      </c>
    </row>
    <row r="640" spans="1:14" x14ac:dyDescent="0.25">
      <c r="A640" s="75">
        <v>19</v>
      </c>
      <c r="B640" s="75">
        <v>23</v>
      </c>
      <c r="C640" s="76" t="s">
        <v>367</v>
      </c>
      <c r="D640" s="76" t="s">
        <v>380</v>
      </c>
      <c r="E640" s="75">
        <v>0.73333333333333328</v>
      </c>
      <c r="F640" s="75">
        <v>0.26666666666666672</v>
      </c>
      <c r="G640" s="75">
        <v>11</v>
      </c>
      <c r="H640" s="75">
        <v>15</v>
      </c>
      <c r="J640" s="75">
        <v>19</v>
      </c>
      <c r="K640" s="75">
        <v>23</v>
      </c>
      <c r="L640" s="76" t="s">
        <v>367</v>
      </c>
      <c r="M640" s="76" t="s">
        <v>380</v>
      </c>
      <c r="N640" s="75">
        <v>2.12616381258466</v>
      </c>
    </row>
    <row r="641" spans="1:14" ht="30" x14ac:dyDescent="0.25">
      <c r="A641" s="77">
        <v>19</v>
      </c>
      <c r="B641" s="77">
        <v>24</v>
      </c>
      <c r="C641" s="78" t="s">
        <v>367</v>
      </c>
      <c r="D641" s="78" t="s">
        <v>384</v>
      </c>
      <c r="E641" s="77">
        <v>0.5625</v>
      </c>
      <c r="F641" s="77">
        <v>0.4375</v>
      </c>
      <c r="G641" s="77">
        <v>9</v>
      </c>
      <c r="H641" s="77">
        <v>16</v>
      </c>
      <c r="J641" s="77">
        <v>19</v>
      </c>
      <c r="K641" s="77">
        <v>24</v>
      </c>
      <c r="L641" s="78" t="s">
        <v>367</v>
      </c>
      <c r="M641" s="78" t="s">
        <v>384</v>
      </c>
      <c r="N641" s="77">
        <v>3.2748932357617808</v>
      </c>
    </row>
    <row r="642" spans="1:14" x14ac:dyDescent="0.25">
      <c r="A642" s="75">
        <v>19</v>
      </c>
      <c r="B642" s="75">
        <v>25</v>
      </c>
      <c r="C642" s="76" t="s">
        <v>367</v>
      </c>
      <c r="D642" s="76" t="s">
        <v>386</v>
      </c>
      <c r="E642" s="75">
        <v>0.70588235294117652</v>
      </c>
      <c r="F642" s="75">
        <v>0.29411764705882348</v>
      </c>
      <c r="G642" s="75">
        <v>12</v>
      </c>
      <c r="H642" s="75">
        <v>17</v>
      </c>
      <c r="J642" s="75">
        <v>19</v>
      </c>
      <c r="K642" s="75">
        <v>25</v>
      </c>
      <c r="L642" s="76" t="s">
        <v>367</v>
      </c>
      <c r="M642" s="76" t="s">
        <v>386</v>
      </c>
      <c r="N642" s="75">
        <v>4.0858227839420174</v>
      </c>
    </row>
    <row r="643" spans="1:14" ht="30" x14ac:dyDescent="0.25">
      <c r="A643" s="77">
        <v>19</v>
      </c>
      <c r="B643" s="77">
        <v>26</v>
      </c>
      <c r="C643" s="78" t="s">
        <v>367</v>
      </c>
      <c r="D643" s="78" t="s">
        <v>389</v>
      </c>
      <c r="E643" s="77">
        <v>0</v>
      </c>
      <c r="F643" s="77">
        <v>1</v>
      </c>
      <c r="G643" s="77">
        <v>0</v>
      </c>
      <c r="H643" s="77">
        <v>13</v>
      </c>
      <c r="J643" s="77">
        <v>19</v>
      </c>
      <c r="K643" s="77">
        <v>26</v>
      </c>
      <c r="L643" s="78" t="s">
        <v>367</v>
      </c>
      <c r="M643" s="78" t="s">
        <v>389</v>
      </c>
      <c r="N643" s="77">
        <v>4.3290253705983259</v>
      </c>
    </row>
    <row r="644" spans="1:14" ht="30" x14ac:dyDescent="0.25">
      <c r="A644" s="75">
        <v>19</v>
      </c>
      <c r="B644" s="75">
        <v>27</v>
      </c>
      <c r="C644" s="76" t="s">
        <v>367</v>
      </c>
      <c r="D644" s="76" t="s">
        <v>393</v>
      </c>
      <c r="E644" s="75">
        <v>0.3125</v>
      </c>
      <c r="F644" s="75">
        <v>0.6875</v>
      </c>
      <c r="G644" s="75">
        <v>5</v>
      </c>
      <c r="H644" s="75">
        <v>16</v>
      </c>
      <c r="J644" s="75">
        <v>19</v>
      </c>
      <c r="K644" s="75">
        <v>27</v>
      </c>
      <c r="L644" s="76" t="s">
        <v>367</v>
      </c>
      <c r="M644" s="76" t="s">
        <v>393</v>
      </c>
      <c r="N644" s="75">
        <v>2.4274774584689198</v>
      </c>
    </row>
    <row r="645" spans="1:14" ht="45" x14ac:dyDescent="0.25">
      <c r="A645" s="77">
        <v>19</v>
      </c>
      <c r="B645" s="77">
        <v>28</v>
      </c>
      <c r="C645" s="78" t="s">
        <v>367</v>
      </c>
      <c r="D645" s="78" t="s">
        <v>396</v>
      </c>
      <c r="E645" s="77">
        <v>0</v>
      </c>
      <c r="F645" s="77">
        <v>1</v>
      </c>
      <c r="G645" s="77">
        <v>0</v>
      </c>
      <c r="H645" s="77">
        <v>13</v>
      </c>
      <c r="J645" s="77">
        <v>19</v>
      </c>
      <c r="K645" s="77">
        <v>28</v>
      </c>
      <c r="L645" s="78" t="s">
        <v>367</v>
      </c>
      <c r="M645" s="78" t="s">
        <v>396</v>
      </c>
      <c r="N645" s="77">
        <v>4.3290253705983259</v>
      </c>
    </row>
    <row r="646" spans="1:14" x14ac:dyDescent="0.25">
      <c r="A646" s="75">
        <v>19</v>
      </c>
      <c r="B646" s="75">
        <v>29</v>
      </c>
      <c r="C646" s="76" t="s">
        <v>367</v>
      </c>
      <c r="D646" s="76" t="s">
        <v>399</v>
      </c>
      <c r="E646" s="75">
        <v>0</v>
      </c>
      <c r="F646" s="75">
        <v>1</v>
      </c>
      <c r="G646" s="75">
        <v>0</v>
      </c>
      <c r="H646" s="75">
        <v>13</v>
      </c>
      <c r="J646" s="75">
        <v>19</v>
      </c>
      <c r="K646" s="75">
        <v>29</v>
      </c>
      <c r="L646" s="76" t="s">
        <v>367</v>
      </c>
      <c r="M646" s="76" t="s">
        <v>399</v>
      </c>
      <c r="N646" s="75">
        <v>4.3290253705983259</v>
      </c>
    </row>
    <row r="647" spans="1:14" ht="30" x14ac:dyDescent="0.25">
      <c r="A647" s="77">
        <v>19</v>
      </c>
      <c r="B647" s="77">
        <v>30</v>
      </c>
      <c r="C647" s="78" t="s">
        <v>367</v>
      </c>
      <c r="D647" s="78" t="s">
        <v>402</v>
      </c>
      <c r="E647" s="77">
        <v>0</v>
      </c>
      <c r="F647" s="77">
        <v>1</v>
      </c>
      <c r="G647" s="77">
        <v>0</v>
      </c>
      <c r="H647" s="77">
        <v>13</v>
      </c>
      <c r="J647" s="77">
        <v>19</v>
      </c>
      <c r="K647" s="77">
        <v>30</v>
      </c>
      <c r="L647" s="78" t="s">
        <v>367</v>
      </c>
      <c r="M647" s="78" t="s">
        <v>402</v>
      </c>
      <c r="N647" s="77">
        <v>4.3290253705983259</v>
      </c>
    </row>
    <row r="648" spans="1:14" x14ac:dyDescent="0.25">
      <c r="A648" s="75">
        <v>19</v>
      </c>
      <c r="B648" s="75">
        <v>31</v>
      </c>
      <c r="C648" s="76" t="s">
        <v>367</v>
      </c>
      <c r="D648" s="76" t="s">
        <v>406</v>
      </c>
      <c r="E648" s="75">
        <v>0.58823529411764708</v>
      </c>
      <c r="F648" s="75">
        <v>0.41176470588235292</v>
      </c>
      <c r="G648" s="75">
        <v>10</v>
      </c>
      <c r="H648" s="75">
        <v>17</v>
      </c>
      <c r="J648" s="75">
        <v>19</v>
      </c>
      <c r="K648" s="75">
        <v>31</v>
      </c>
      <c r="L648" s="76" t="s">
        <v>367</v>
      </c>
      <c r="M648" s="76" t="s">
        <v>406</v>
      </c>
      <c r="N648" s="75">
        <v>3.2748932357617808</v>
      </c>
    </row>
    <row r="649" spans="1:14" x14ac:dyDescent="0.25">
      <c r="A649" s="77">
        <v>19</v>
      </c>
      <c r="B649" s="77">
        <v>32</v>
      </c>
      <c r="C649" s="78" t="s">
        <v>367</v>
      </c>
      <c r="D649" s="78" t="s">
        <v>407</v>
      </c>
      <c r="E649" s="77">
        <v>0.66666666666666663</v>
      </c>
      <c r="F649" s="77">
        <v>0.33333333333333343</v>
      </c>
      <c r="G649" s="77">
        <v>12</v>
      </c>
      <c r="H649" s="77">
        <v>18</v>
      </c>
      <c r="J649" s="77">
        <v>19</v>
      </c>
      <c r="K649" s="77">
        <v>32</v>
      </c>
      <c r="L649" s="78" t="s">
        <v>367</v>
      </c>
      <c r="M649" s="78" t="s">
        <v>407</v>
      </c>
      <c r="N649" s="77">
        <v>5.2461600546309564</v>
      </c>
    </row>
    <row r="650" spans="1:14" x14ac:dyDescent="0.25">
      <c r="A650" s="75">
        <v>19</v>
      </c>
      <c r="B650" s="75">
        <v>33</v>
      </c>
      <c r="C650" s="76" t="s">
        <v>367</v>
      </c>
      <c r="D650" s="76" t="s">
        <v>410</v>
      </c>
      <c r="E650" s="75">
        <v>0</v>
      </c>
      <c r="F650" s="75">
        <v>1</v>
      </c>
      <c r="G650" s="75">
        <v>0</v>
      </c>
      <c r="H650" s="75">
        <v>13</v>
      </c>
      <c r="J650" s="75">
        <v>19</v>
      </c>
      <c r="K650" s="75">
        <v>33</v>
      </c>
      <c r="L650" s="76" t="s">
        <v>367</v>
      </c>
      <c r="M650" s="76" t="s">
        <v>410</v>
      </c>
      <c r="N650" s="75">
        <v>4.3290253705983259</v>
      </c>
    </row>
    <row r="651" spans="1:14" x14ac:dyDescent="0.25">
      <c r="A651" s="77">
        <v>19</v>
      </c>
      <c r="B651" s="77">
        <v>34</v>
      </c>
      <c r="C651" s="78" t="s">
        <v>367</v>
      </c>
      <c r="D651" s="78" t="s">
        <v>413</v>
      </c>
      <c r="E651" s="77">
        <v>0.75</v>
      </c>
      <c r="F651" s="77">
        <v>0.25</v>
      </c>
      <c r="G651" s="77">
        <v>12</v>
      </c>
      <c r="H651" s="77">
        <v>16</v>
      </c>
      <c r="J651" s="77">
        <v>19</v>
      </c>
      <c r="K651" s="77">
        <v>34</v>
      </c>
      <c r="L651" s="78" t="s">
        <v>367</v>
      </c>
      <c r="M651" s="78" t="s">
        <v>413</v>
      </c>
      <c r="N651" s="77">
        <v>2.12616381258466</v>
      </c>
    </row>
    <row r="652" spans="1:14" ht="30" x14ac:dyDescent="0.25">
      <c r="A652" s="75">
        <v>19</v>
      </c>
      <c r="B652" s="75">
        <v>35</v>
      </c>
      <c r="C652" s="76" t="s">
        <v>367</v>
      </c>
      <c r="D652" s="76" t="s">
        <v>416</v>
      </c>
      <c r="E652" s="75">
        <v>0</v>
      </c>
      <c r="F652" s="75">
        <v>1</v>
      </c>
      <c r="G652" s="75">
        <v>0</v>
      </c>
      <c r="H652" s="75">
        <v>13</v>
      </c>
      <c r="J652" s="75">
        <v>19</v>
      </c>
      <c r="K652" s="75">
        <v>35</v>
      </c>
      <c r="L652" s="76" t="s">
        <v>367</v>
      </c>
      <c r="M652" s="76" t="s">
        <v>416</v>
      </c>
      <c r="N652" s="75">
        <v>4.3290253705983259</v>
      </c>
    </row>
    <row r="653" spans="1:14" ht="45" x14ac:dyDescent="0.25">
      <c r="A653" s="77">
        <v>19</v>
      </c>
      <c r="B653" s="77">
        <v>36</v>
      </c>
      <c r="C653" s="78" t="s">
        <v>367</v>
      </c>
      <c r="D653" s="78" t="s">
        <v>420</v>
      </c>
      <c r="E653" s="77">
        <v>0.66666666666666663</v>
      </c>
      <c r="F653" s="77">
        <v>0.33333333333333343</v>
      </c>
      <c r="G653" s="77">
        <v>10</v>
      </c>
      <c r="H653" s="77">
        <v>15</v>
      </c>
      <c r="J653" s="77">
        <v>19</v>
      </c>
      <c r="K653" s="77">
        <v>36</v>
      </c>
      <c r="L653" s="78" t="s">
        <v>367</v>
      </c>
      <c r="M653" s="78" t="s">
        <v>420</v>
      </c>
      <c r="N653" s="77">
        <v>3.5241794732782208</v>
      </c>
    </row>
    <row r="654" spans="1:14" x14ac:dyDescent="0.25">
      <c r="A654" s="75">
        <v>19</v>
      </c>
      <c r="B654" s="75">
        <v>37</v>
      </c>
      <c r="C654" s="76" t="s">
        <v>367</v>
      </c>
      <c r="D654" s="76" t="s">
        <v>422</v>
      </c>
      <c r="E654" s="75">
        <v>0</v>
      </c>
      <c r="F654" s="75">
        <v>1</v>
      </c>
      <c r="G654" s="75">
        <v>0</v>
      </c>
      <c r="H654" s="75">
        <v>13</v>
      </c>
      <c r="J654" s="75">
        <v>19</v>
      </c>
      <c r="K654" s="75">
        <v>37</v>
      </c>
      <c r="L654" s="76" t="s">
        <v>367</v>
      </c>
      <c r="M654" s="76" t="s">
        <v>422</v>
      </c>
      <c r="N654" s="75">
        <v>4.3290253705983259</v>
      </c>
    </row>
    <row r="655" spans="1:14" ht="30" x14ac:dyDescent="0.25">
      <c r="A655" s="77">
        <v>19</v>
      </c>
      <c r="B655" s="77">
        <v>38</v>
      </c>
      <c r="C655" s="78" t="s">
        <v>367</v>
      </c>
      <c r="D655" s="78" t="s">
        <v>425</v>
      </c>
      <c r="E655" s="77">
        <v>0.53333333333333333</v>
      </c>
      <c r="F655" s="77">
        <v>0.46666666666666667</v>
      </c>
      <c r="G655" s="77">
        <v>8</v>
      </c>
      <c r="H655" s="77">
        <v>15</v>
      </c>
      <c r="J655" s="77">
        <v>19</v>
      </c>
      <c r="K655" s="77">
        <v>38</v>
      </c>
      <c r="L655" s="78" t="s">
        <v>367</v>
      </c>
      <c r="M655" s="78" t="s">
        <v>425</v>
      </c>
      <c r="N655" s="77">
        <v>4.3290253705983259</v>
      </c>
    </row>
    <row r="656" spans="1:14" x14ac:dyDescent="0.25">
      <c r="A656" s="75">
        <v>19</v>
      </c>
      <c r="B656" s="75">
        <v>39</v>
      </c>
      <c r="C656" s="76" t="s">
        <v>367</v>
      </c>
      <c r="D656" s="76" t="s">
        <v>427</v>
      </c>
      <c r="E656" s="75">
        <v>0</v>
      </c>
      <c r="F656" s="75">
        <v>1</v>
      </c>
      <c r="G656" s="75">
        <v>0</v>
      </c>
      <c r="H656" s="75">
        <v>13</v>
      </c>
      <c r="J656" s="75">
        <v>19</v>
      </c>
      <c r="K656" s="75">
        <v>39</v>
      </c>
      <c r="L656" s="76" t="s">
        <v>367</v>
      </c>
      <c r="M656" s="76" t="s">
        <v>427</v>
      </c>
      <c r="N656" s="75">
        <v>4.3290253705983259</v>
      </c>
    </row>
    <row r="657" spans="1:14" x14ac:dyDescent="0.25">
      <c r="A657" s="77">
        <v>19</v>
      </c>
      <c r="B657" s="77">
        <v>40</v>
      </c>
      <c r="C657" s="78" t="s">
        <v>367</v>
      </c>
      <c r="D657" s="78" t="s">
        <v>431</v>
      </c>
      <c r="E657" s="77">
        <v>0.5</v>
      </c>
      <c r="F657" s="77">
        <v>0.5</v>
      </c>
      <c r="G657" s="77">
        <v>8</v>
      </c>
      <c r="H657" s="77">
        <v>16</v>
      </c>
      <c r="J657" s="77">
        <v>19</v>
      </c>
      <c r="K657" s="77">
        <v>40</v>
      </c>
      <c r="L657" s="78" t="s">
        <v>367</v>
      </c>
      <c r="M657" s="78" t="s">
        <v>431</v>
      </c>
      <c r="N657" s="77">
        <v>2.911112548697909</v>
      </c>
    </row>
    <row r="658" spans="1:14" ht="30" x14ac:dyDescent="0.25">
      <c r="A658" s="75">
        <v>20</v>
      </c>
      <c r="B658" s="75">
        <v>21</v>
      </c>
      <c r="C658" s="76" t="s">
        <v>371</v>
      </c>
      <c r="D658" s="76" t="s">
        <v>373</v>
      </c>
      <c r="E658" s="75">
        <v>0</v>
      </c>
      <c r="F658" s="75">
        <v>1</v>
      </c>
      <c r="G658" s="75">
        <v>0</v>
      </c>
      <c r="H658" s="75">
        <v>5</v>
      </c>
      <c r="J658" s="75">
        <v>20</v>
      </c>
      <c r="K658" s="75">
        <v>21</v>
      </c>
      <c r="L658" s="76" t="s">
        <v>371</v>
      </c>
      <c r="M658" s="76" t="s">
        <v>373</v>
      </c>
      <c r="N658" s="75">
        <v>1.0209531217803121</v>
      </c>
    </row>
    <row r="659" spans="1:14" ht="30" x14ac:dyDescent="0.25">
      <c r="A659" s="77">
        <v>20</v>
      </c>
      <c r="B659" s="77">
        <v>22</v>
      </c>
      <c r="C659" s="78" t="s">
        <v>371</v>
      </c>
      <c r="D659" s="78" t="s">
        <v>377</v>
      </c>
      <c r="E659" s="77">
        <v>0.22222222222222221</v>
      </c>
      <c r="F659" s="77">
        <v>0.77777777777777779</v>
      </c>
      <c r="G659" s="77">
        <v>2</v>
      </c>
      <c r="H659" s="77">
        <v>9</v>
      </c>
      <c r="J659" s="77">
        <v>20</v>
      </c>
      <c r="K659" s="77">
        <v>22</v>
      </c>
      <c r="L659" s="78" t="s">
        <v>371</v>
      </c>
      <c r="M659" s="78" t="s">
        <v>377</v>
      </c>
      <c r="N659" s="77">
        <v>1.415586005303608</v>
      </c>
    </row>
    <row r="660" spans="1:14" ht="30" x14ac:dyDescent="0.25">
      <c r="A660" s="75">
        <v>20</v>
      </c>
      <c r="B660" s="75">
        <v>23</v>
      </c>
      <c r="C660" s="76" t="s">
        <v>371</v>
      </c>
      <c r="D660" s="76" t="s">
        <v>380</v>
      </c>
      <c r="E660" s="75">
        <v>0.38461538461538458</v>
      </c>
      <c r="F660" s="75">
        <v>0.61538461538461542</v>
      </c>
      <c r="G660" s="75">
        <v>5</v>
      </c>
      <c r="H660" s="75">
        <v>13</v>
      </c>
      <c r="J660" s="75">
        <v>20</v>
      </c>
      <c r="K660" s="75">
        <v>23</v>
      </c>
      <c r="L660" s="76" t="s">
        <v>371</v>
      </c>
      <c r="M660" s="76" t="s">
        <v>380</v>
      </c>
      <c r="N660" s="75">
        <v>4.3589975564577159</v>
      </c>
    </row>
    <row r="661" spans="1:14" ht="30" x14ac:dyDescent="0.25">
      <c r="A661" s="77">
        <v>20</v>
      </c>
      <c r="B661" s="77">
        <v>24</v>
      </c>
      <c r="C661" s="78" t="s">
        <v>371</v>
      </c>
      <c r="D661" s="78" t="s">
        <v>384</v>
      </c>
      <c r="E661" s="77">
        <v>0.41666666666666669</v>
      </c>
      <c r="F661" s="77">
        <v>0.58333333333333326</v>
      </c>
      <c r="G661" s="77">
        <v>5</v>
      </c>
      <c r="H661" s="77">
        <v>12</v>
      </c>
      <c r="J661" s="77">
        <v>20</v>
      </c>
      <c r="K661" s="77">
        <v>24</v>
      </c>
      <c r="L661" s="78" t="s">
        <v>371</v>
      </c>
      <c r="M661" s="78" t="s">
        <v>384</v>
      </c>
      <c r="N661" s="77">
        <v>2.2109950526916178</v>
      </c>
    </row>
    <row r="662" spans="1:14" ht="30" x14ac:dyDescent="0.25">
      <c r="A662" s="75">
        <v>20</v>
      </c>
      <c r="B662" s="75">
        <v>25</v>
      </c>
      <c r="C662" s="76" t="s">
        <v>371</v>
      </c>
      <c r="D662" s="76" t="s">
        <v>386</v>
      </c>
      <c r="E662" s="75">
        <v>0.3125</v>
      </c>
      <c r="F662" s="75">
        <v>0.6875</v>
      </c>
      <c r="G662" s="75">
        <v>5</v>
      </c>
      <c r="H662" s="75">
        <v>16</v>
      </c>
      <c r="J662" s="75">
        <v>20</v>
      </c>
      <c r="K662" s="75">
        <v>25</v>
      </c>
      <c r="L662" s="76" t="s">
        <v>371</v>
      </c>
      <c r="M662" s="76" t="s">
        <v>386</v>
      </c>
      <c r="N662" s="75">
        <v>7.0385258588125943</v>
      </c>
    </row>
    <row r="663" spans="1:14" ht="30" x14ac:dyDescent="0.25">
      <c r="A663" s="77">
        <v>20</v>
      </c>
      <c r="B663" s="77">
        <v>26</v>
      </c>
      <c r="C663" s="78" t="s">
        <v>371</v>
      </c>
      <c r="D663" s="78" t="s">
        <v>389</v>
      </c>
      <c r="E663" s="77">
        <v>0</v>
      </c>
      <c r="F663" s="77">
        <v>1</v>
      </c>
      <c r="G663" s="77">
        <v>0</v>
      </c>
      <c r="H663" s="77">
        <v>5</v>
      </c>
      <c r="J663" s="77">
        <v>20</v>
      </c>
      <c r="K663" s="77">
        <v>26</v>
      </c>
      <c r="L663" s="78" t="s">
        <v>371</v>
      </c>
      <c r="M663" s="78" t="s">
        <v>389</v>
      </c>
      <c r="N663" s="77">
        <v>1.0209531217803121</v>
      </c>
    </row>
    <row r="664" spans="1:14" ht="30" x14ac:dyDescent="0.25">
      <c r="A664" s="75">
        <v>20</v>
      </c>
      <c r="B664" s="75">
        <v>27</v>
      </c>
      <c r="C664" s="76" t="s">
        <v>371</v>
      </c>
      <c r="D664" s="76" t="s">
        <v>393</v>
      </c>
      <c r="E664" s="75">
        <v>0.3</v>
      </c>
      <c r="F664" s="75">
        <v>0.7</v>
      </c>
      <c r="G664" s="75">
        <v>3</v>
      </c>
      <c r="H664" s="75">
        <v>10</v>
      </c>
      <c r="J664" s="75">
        <v>20</v>
      </c>
      <c r="K664" s="75">
        <v>27</v>
      </c>
      <c r="L664" s="76" t="s">
        <v>371</v>
      </c>
      <c r="M664" s="76" t="s">
        <v>393</v>
      </c>
      <c r="N664" s="75">
        <v>5.101866309295028</v>
      </c>
    </row>
    <row r="665" spans="1:14" ht="45" x14ac:dyDescent="0.25">
      <c r="A665" s="77">
        <v>20</v>
      </c>
      <c r="B665" s="77">
        <v>28</v>
      </c>
      <c r="C665" s="78" t="s">
        <v>371</v>
      </c>
      <c r="D665" s="78" t="s">
        <v>396</v>
      </c>
      <c r="E665" s="77">
        <v>0</v>
      </c>
      <c r="F665" s="77">
        <v>1</v>
      </c>
      <c r="G665" s="77">
        <v>0</v>
      </c>
      <c r="H665" s="77">
        <v>5</v>
      </c>
      <c r="J665" s="77">
        <v>20</v>
      </c>
      <c r="K665" s="77">
        <v>28</v>
      </c>
      <c r="L665" s="78" t="s">
        <v>371</v>
      </c>
      <c r="M665" s="78" t="s">
        <v>396</v>
      </c>
      <c r="N665" s="77">
        <v>1.0209531217803121</v>
      </c>
    </row>
    <row r="666" spans="1:14" ht="30" x14ac:dyDescent="0.25">
      <c r="A666" s="75">
        <v>20</v>
      </c>
      <c r="B666" s="75">
        <v>29</v>
      </c>
      <c r="C666" s="76" t="s">
        <v>371</v>
      </c>
      <c r="D666" s="76" t="s">
        <v>399</v>
      </c>
      <c r="E666" s="75">
        <v>0</v>
      </c>
      <c r="F666" s="75">
        <v>1</v>
      </c>
      <c r="G666" s="75">
        <v>0</v>
      </c>
      <c r="H666" s="75">
        <v>5</v>
      </c>
      <c r="J666" s="75">
        <v>20</v>
      </c>
      <c r="K666" s="75">
        <v>29</v>
      </c>
      <c r="L666" s="76" t="s">
        <v>371</v>
      </c>
      <c r="M666" s="76" t="s">
        <v>399</v>
      </c>
      <c r="N666" s="75">
        <v>1.0209531217803121</v>
      </c>
    </row>
    <row r="667" spans="1:14" ht="30" x14ac:dyDescent="0.25">
      <c r="A667" s="77">
        <v>20</v>
      </c>
      <c r="B667" s="77">
        <v>30</v>
      </c>
      <c r="C667" s="78" t="s">
        <v>371</v>
      </c>
      <c r="D667" s="78" t="s">
        <v>402</v>
      </c>
      <c r="E667" s="77">
        <v>0</v>
      </c>
      <c r="F667" s="77">
        <v>1</v>
      </c>
      <c r="G667" s="77">
        <v>0</v>
      </c>
      <c r="H667" s="77">
        <v>5</v>
      </c>
      <c r="J667" s="77">
        <v>20</v>
      </c>
      <c r="K667" s="77">
        <v>30</v>
      </c>
      <c r="L667" s="78" t="s">
        <v>371</v>
      </c>
      <c r="M667" s="78" t="s">
        <v>402</v>
      </c>
      <c r="N667" s="77">
        <v>1.0209531217803121</v>
      </c>
    </row>
    <row r="668" spans="1:14" ht="30" x14ac:dyDescent="0.25">
      <c r="A668" s="75">
        <v>20</v>
      </c>
      <c r="B668" s="75">
        <v>31</v>
      </c>
      <c r="C668" s="76" t="s">
        <v>371</v>
      </c>
      <c r="D668" s="76" t="s">
        <v>406</v>
      </c>
      <c r="E668" s="75">
        <v>0.35714285714285721</v>
      </c>
      <c r="F668" s="75">
        <v>0.64285714285714279</v>
      </c>
      <c r="G668" s="75">
        <v>5</v>
      </c>
      <c r="H668" s="75">
        <v>14</v>
      </c>
      <c r="J668" s="75">
        <v>20</v>
      </c>
      <c r="K668" s="75">
        <v>31</v>
      </c>
      <c r="L668" s="76" t="s">
        <v>371</v>
      </c>
      <c r="M668" s="76" t="s">
        <v>406</v>
      </c>
      <c r="N668" s="75">
        <v>2.2109950526916178</v>
      </c>
    </row>
    <row r="669" spans="1:14" ht="30" x14ac:dyDescent="0.25">
      <c r="A669" s="77">
        <v>20</v>
      </c>
      <c r="B669" s="77">
        <v>32</v>
      </c>
      <c r="C669" s="78" t="s">
        <v>371</v>
      </c>
      <c r="D669" s="78" t="s">
        <v>407</v>
      </c>
      <c r="E669" s="77">
        <v>0.29411764705882348</v>
      </c>
      <c r="F669" s="77">
        <v>0.70588235294117641</v>
      </c>
      <c r="G669" s="77">
        <v>5</v>
      </c>
      <c r="H669" s="77">
        <v>17</v>
      </c>
      <c r="J669" s="77">
        <v>20</v>
      </c>
      <c r="K669" s="77">
        <v>32</v>
      </c>
      <c r="L669" s="78" t="s">
        <v>371</v>
      </c>
      <c r="M669" s="78" t="s">
        <v>407</v>
      </c>
      <c r="N669" s="77">
        <v>6.8209567258519641</v>
      </c>
    </row>
    <row r="670" spans="1:14" ht="30" x14ac:dyDescent="0.25">
      <c r="A670" s="75">
        <v>20</v>
      </c>
      <c r="B670" s="75">
        <v>33</v>
      </c>
      <c r="C670" s="76" t="s">
        <v>371</v>
      </c>
      <c r="D670" s="76" t="s">
        <v>410</v>
      </c>
      <c r="E670" s="75">
        <v>0</v>
      </c>
      <c r="F670" s="75">
        <v>1</v>
      </c>
      <c r="G670" s="75">
        <v>0</v>
      </c>
      <c r="H670" s="75">
        <v>5</v>
      </c>
      <c r="J670" s="75">
        <v>20</v>
      </c>
      <c r="K670" s="75">
        <v>33</v>
      </c>
      <c r="L670" s="76" t="s">
        <v>371</v>
      </c>
      <c r="M670" s="76" t="s">
        <v>410</v>
      </c>
      <c r="N670" s="75">
        <v>1.0209531217803121</v>
      </c>
    </row>
    <row r="671" spans="1:14" ht="30" x14ac:dyDescent="0.25">
      <c r="A671" s="77">
        <v>20</v>
      </c>
      <c r="B671" s="77">
        <v>34</v>
      </c>
      <c r="C671" s="78" t="s">
        <v>371</v>
      </c>
      <c r="D671" s="78" t="s">
        <v>413</v>
      </c>
      <c r="E671" s="77">
        <v>0.33333333333333331</v>
      </c>
      <c r="F671" s="77">
        <v>0.66666666666666674</v>
      </c>
      <c r="G671" s="77">
        <v>5</v>
      </c>
      <c r="H671" s="77">
        <v>15</v>
      </c>
      <c r="J671" s="77">
        <v>20</v>
      </c>
      <c r="K671" s="77">
        <v>34</v>
      </c>
      <c r="L671" s="78" t="s">
        <v>371</v>
      </c>
      <c r="M671" s="78" t="s">
        <v>413</v>
      </c>
      <c r="N671" s="77">
        <v>3.495883104489506</v>
      </c>
    </row>
    <row r="672" spans="1:14" ht="30" x14ac:dyDescent="0.25">
      <c r="A672" s="75">
        <v>20</v>
      </c>
      <c r="B672" s="75">
        <v>35</v>
      </c>
      <c r="C672" s="76" t="s">
        <v>371</v>
      </c>
      <c r="D672" s="76" t="s">
        <v>416</v>
      </c>
      <c r="E672" s="75">
        <v>0</v>
      </c>
      <c r="F672" s="75">
        <v>1</v>
      </c>
      <c r="G672" s="75">
        <v>0</v>
      </c>
      <c r="H672" s="75">
        <v>5</v>
      </c>
      <c r="J672" s="75">
        <v>20</v>
      </c>
      <c r="K672" s="75">
        <v>35</v>
      </c>
      <c r="L672" s="76" t="s">
        <v>371</v>
      </c>
      <c r="M672" s="76" t="s">
        <v>416</v>
      </c>
      <c r="N672" s="75">
        <v>1.0209531217803121</v>
      </c>
    </row>
    <row r="673" spans="1:14" ht="45" x14ac:dyDescent="0.25">
      <c r="A673" s="77">
        <v>20</v>
      </c>
      <c r="B673" s="77">
        <v>36</v>
      </c>
      <c r="C673" s="78" t="s">
        <v>371</v>
      </c>
      <c r="D673" s="78" t="s">
        <v>420</v>
      </c>
      <c r="E673" s="77">
        <v>0.41666666666666669</v>
      </c>
      <c r="F673" s="77">
        <v>0.58333333333333326</v>
      </c>
      <c r="G673" s="77">
        <v>5</v>
      </c>
      <c r="H673" s="77">
        <v>12</v>
      </c>
      <c r="J673" s="77">
        <v>20</v>
      </c>
      <c r="K673" s="77">
        <v>36</v>
      </c>
      <c r="L673" s="78" t="s">
        <v>371</v>
      </c>
      <c r="M673" s="78" t="s">
        <v>420</v>
      </c>
      <c r="N673" s="77">
        <v>2.5658165127818671</v>
      </c>
    </row>
    <row r="674" spans="1:14" ht="30" x14ac:dyDescent="0.25">
      <c r="A674" s="75">
        <v>20</v>
      </c>
      <c r="B674" s="75">
        <v>37</v>
      </c>
      <c r="C674" s="76" t="s">
        <v>371</v>
      </c>
      <c r="D674" s="76" t="s">
        <v>422</v>
      </c>
      <c r="E674" s="75">
        <v>0</v>
      </c>
      <c r="F674" s="75">
        <v>1</v>
      </c>
      <c r="G674" s="75">
        <v>0</v>
      </c>
      <c r="H674" s="75">
        <v>5</v>
      </c>
      <c r="J674" s="75">
        <v>20</v>
      </c>
      <c r="K674" s="75">
        <v>37</v>
      </c>
      <c r="L674" s="76" t="s">
        <v>371</v>
      </c>
      <c r="M674" s="76" t="s">
        <v>422</v>
      </c>
      <c r="N674" s="75">
        <v>1.0209531217803121</v>
      </c>
    </row>
    <row r="675" spans="1:14" ht="30" x14ac:dyDescent="0.25">
      <c r="A675" s="77">
        <v>20</v>
      </c>
      <c r="B675" s="77">
        <v>38</v>
      </c>
      <c r="C675" s="78" t="s">
        <v>371</v>
      </c>
      <c r="D675" s="78" t="s">
        <v>425</v>
      </c>
      <c r="E675" s="77">
        <v>0.25</v>
      </c>
      <c r="F675" s="77">
        <v>0.75</v>
      </c>
      <c r="G675" s="77">
        <v>3</v>
      </c>
      <c r="H675" s="77">
        <v>12</v>
      </c>
      <c r="J675" s="77">
        <v>20</v>
      </c>
      <c r="K675" s="77">
        <v>38</v>
      </c>
      <c r="L675" s="78" t="s">
        <v>371</v>
      </c>
      <c r="M675" s="78" t="s">
        <v>425</v>
      </c>
      <c r="N675" s="77">
        <v>1.0209531217803121</v>
      </c>
    </row>
    <row r="676" spans="1:14" ht="30" x14ac:dyDescent="0.25">
      <c r="A676" s="75">
        <v>20</v>
      </c>
      <c r="B676" s="75">
        <v>39</v>
      </c>
      <c r="C676" s="76" t="s">
        <v>371</v>
      </c>
      <c r="D676" s="76" t="s">
        <v>427</v>
      </c>
      <c r="E676" s="75">
        <v>0</v>
      </c>
      <c r="F676" s="75">
        <v>1</v>
      </c>
      <c r="G676" s="75">
        <v>0</v>
      </c>
      <c r="H676" s="75">
        <v>5</v>
      </c>
      <c r="J676" s="75">
        <v>20</v>
      </c>
      <c r="K676" s="75">
        <v>39</v>
      </c>
      <c r="L676" s="76" t="s">
        <v>371</v>
      </c>
      <c r="M676" s="76" t="s">
        <v>427</v>
      </c>
      <c r="N676" s="75">
        <v>1.0209531217803121</v>
      </c>
    </row>
    <row r="677" spans="1:14" ht="30" x14ac:dyDescent="0.25">
      <c r="A677" s="77">
        <v>20</v>
      </c>
      <c r="B677" s="77">
        <v>40</v>
      </c>
      <c r="C677" s="78" t="s">
        <v>371</v>
      </c>
      <c r="D677" s="78" t="s">
        <v>431</v>
      </c>
      <c r="E677" s="77">
        <v>0.33333333333333331</v>
      </c>
      <c r="F677" s="77">
        <v>0.66666666666666674</v>
      </c>
      <c r="G677" s="77">
        <v>4</v>
      </c>
      <c r="H677" s="77">
        <v>12</v>
      </c>
      <c r="J677" s="77">
        <v>20</v>
      </c>
      <c r="K677" s="77">
        <v>40</v>
      </c>
      <c r="L677" s="78" t="s">
        <v>371</v>
      </c>
      <c r="M677" s="78" t="s">
        <v>431</v>
      </c>
      <c r="N677" s="77">
        <v>4.5495242159347784</v>
      </c>
    </row>
    <row r="678" spans="1:14" ht="30" x14ac:dyDescent="0.25">
      <c r="A678" s="75">
        <v>21</v>
      </c>
      <c r="B678" s="75">
        <v>22</v>
      </c>
      <c r="C678" s="76" t="s">
        <v>373</v>
      </c>
      <c r="D678" s="76" t="s">
        <v>377</v>
      </c>
      <c r="E678" s="75">
        <v>0</v>
      </c>
      <c r="F678" s="75">
        <v>1</v>
      </c>
      <c r="G678" s="75">
        <v>0</v>
      </c>
      <c r="H678" s="75">
        <v>6</v>
      </c>
      <c r="J678" s="75">
        <v>21</v>
      </c>
      <c r="K678" s="75">
        <v>22</v>
      </c>
      <c r="L678" s="76" t="s">
        <v>373</v>
      </c>
      <c r="M678" s="76" t="s">
        <v>377</v>
      </c>
      <c r="N678" s="75">
        <v>0.98058067569092033</v>
      </c>
    </row>
    <row r="679" spans="1:14" ht="30" x14ac:dyDescent="0.25">
      <c r="A679" s="77">
        <v>21</v>
      </c>
      <c r="B679" s="77">
        <v>23</v>
      </c>
      <c r="C679" s="78" t="s">
        <v>373</v>
      </c>
      <c r="D679" s="78" t="s">
        <v>380</v>
      </c>
      <c r="E679" s="77">
        <v>0</v>
      </c>
      <c r="F679" s="77">
        <v>1</v>
      </c>
      <c r="G679" s="77">
        <v>0</v>
      </c>
      <c r="H679" s="77">
        <v>13</v>
      </c>
      <c r="J679" s="77">
        <v>21</v>
      </c>
      <c r="K679" s="77">
        <v>23</v>
      </c>
      <c r="L679" s="78" t="s">
        <v>373</v>
      </c>
      <c r="M679" s="78" t="s">
        <v>380</v>
      </c>
      <c r="N679" s="77">
        <v>4.7040297116220717</v>
      </c>
    </row>
    <row r="680" spans="1:14" ht="30" x14ac:dyDescent="0.25">
      <c r="A680" s="75">
        <v>21</v>
      </c>
      <c r="B680" s="75">
        <v>24</v>
      </c>
      <c r="C680" s="76" t="s">
        <v>373</v>
      </c>
      <c r="D680" s="76" t="s">
        <v>384</v>
      </c>
      <c r="E680" s="75">
        <v>0</v>
      </c>
      <c r="F680" s="75">
        <v>1</v>
      </c>
      <c r="G680" s="75">
        <v>0</v>
      </c>
      <c r="H680" s="75">
        <v>12</v>
      </c>
      <c r="J680" s="75">
        <v>21</v>
      </c>
      <c r="K680" s="75">
        <v>24</v>
      </c>
      <c r="L680" s="76" t="s">
        <v>373</v>
      </c>
      <c r="M680" s="76" t="s">
        <v>384</v>
      </c>
      <c r="N680" s="75">
        <v>2.831172010607216</v>
      </c>
    </row>
    <row r="681" spans="1:14" ht="30" x14ac:dyDescent="0.25">
      <c r="A681" s="77">
        <v>21</v>
      </c>
      <c r="B681" s="77">
        <v>25</v>
      </c>
      <c r="C681" s="78" t="s">
        <v>373</v>
      </c>
      <c r="D681" s="78" t="s">
        <v>386</v>
      </c>
      <c r="E681" s="77">
        <v>0</v>
      </c>
      <c r="F681" s="77">
        <v>1</v>
      </c>
      <c r="G681" s="77">
        <v>0</v>
      </c>
      <c r="H681" s="77">
        <v>16</v>
      </c>
      <c r="J681" s="77">
        <v>21</v>
      </c>
      <c r="K681" s="77">
        <v>25</v>
      </c>
      <c r="L681" s="78" t="s">
        <v>373</v>
      </c>
      <c r="M681" s="78" t="s">
        <v>386</v>
      </c>
      <c r="N681" s="77">
        <v>7.3994981349776952</v>
      </c>
    </row>
    <row r="682" spans="1:14" ht="30" x14ac:dyDescent="0.25">
      <c r="A682" s="75">
        <v>21</v>
      </c>
      <c r="B682" s="75">
        <v>26</v>
      </c>
      <c r="C682" s="76" t="s">
        <v>373</v>
      </c>
      <c r="D682" s="76" t="s">
        <v>389</v>
      </c>
      <c r="E682" s="75"/>
      <c r="F682" s="75"/>
      <c r="G682" s="75">
        <v>0</v>
      </c>
      <c r="H682" s="75">
        <v>0</v>
      </c>
      <c r="J682" s="75">
        <v>21</v>
      </c>
      <c r="K682" s="75">
        <v>26</v>
      </c>
      <c r="L682" s="76" t="s">
        <v>373</v>
      </c>
      <c r="M682" s="76" t="s">
        <v>389</v>
      </c>
      <c r="N682" s="75">
        <v>0</v>
      </c>
    </row>
    <row r="683" spans="1:14" ht="30" x14ac:dyDescent="0.25">
      <c r="A683" s="77">
        <v>21</v>
      </c>
      <c r="B683" s="77">
        <v>27</v>
      </c>
      <c r="C683" s="78" t="s">
        <v>373</v>
      </c>
      <c r="D683" s="78" t="s">
        <v>393</v>
      </c>
      <c r="E683" s="77">
        <v>0</v>
      </c>
      <c r="F683" s="77">
        <v>1</v>
      </c>
      <c r="G683" s="77">
        <v>0</v>
      </c>
      <c r="H683" s="77">
        <v>8</v>
      </c>
      <c r="J683" s="77">
        <v>21</v>
      </c>
      <c r="K683" s="77">
        <v>27</v>
      </c>
      <c r="L683" s="78" t="s">
        <v>373</v>
      </c>
      <c r="M683" s="78" t="s">
        <v>393</v>
      </c>
      <c r="N683" s="77">
        <v>5.3996366237496529</v>
      </c>
    </row>
    <row r="684" spans="1:14" ht="45" x14ac:dyDescent="0.25">
      <c r="A684" s="75">
        <v>21</v>
      </c>
      <c r="B684" s="75">
        <v>28</v>
      </c>
      <c r="C684" s="76" t="s">
        <v>373</v>
      </c>
      <c r="D684" s="76" t="s">
        <v>396</v>
      </c>
      <c r="E684" s="75"/>
      <c r="F684" s="75"/>
      <c r="G684" s="75">
        <v>0</v>
      </c>
      <c r="H684" s="75">
        <v>0</v>
      </c>
      <c r="J684" s="75">
        <v>21</v>
      </c>
      <c r="K684" s="75">
        <v>28</v>
      </c>
      <c r="L684" s="76" t="s">
        <v>373</v>
      </c>
      <c r="M684" s="76" t="s">
        <v>396</v>
      </c>
      <c r="N684" s="75">
        <v>0</v>
      </c>
    </row>
    <row r="685" spans="1:14" ht="30" x14ac:dyDescent="0.25">
      <c r="A685" s="77">
        <v>21</v>
      </c>
      <c r="B685" s="77">
        <v>29</v>
      </c>
      <c r="C685" s="78" t="s">
        <v>373</v>
      </c>
      <c r="D685" s="78" t="s">
        <v>399</v>
      </c>
      <c r="E685" s="77"/>
      <c r="F685" s="77"/>
      <c r="G685" s="77">
        <v>0</v>
      </c>
      <c r="H685" s="77">
        <v>0</v>
      </c>
      <c r="J685" s="77">
        <v>21</v>
      </c>
      <c r="K685" s="77">
        <v>29</v>
      </c>
      <c r="L685" s="78" t="s">
        <v>373</v>
      </c>
      <c r="M685" s="78" t="s">
        <v>399</v>
      </c>
      <c r="N685" s="77">
        <v>0</v>
      </c>
    </row>
    <row r="686" spans="1:14" ht="30" x14ac:dyDescent="0.25">
      <c r="A686" s="75">
        <v>21</v>
      </c>
      <c r="B686" s="75">
        <v>30</v>
      </c>
      <c r="C686" s="76" t="s">
        <v>373</v>
      </c>
      <c r="D686" s="76" t="s">
        <v>402</v>
      </c>
      <c r="E686" s="75"/>
      <c r="F686" s="75"/>
      <c r="G686" s="75">
        <v>0</v>
      </c>
      <c r="H686" s="75">
        <v>0</v>
      </c>
      <c r="J686" s="75">
        <v>21</v>
      </c>
      <c r="K686" s="75">
        <v>30</v>
      </c>
      <c r="L686" s="76" t="s">
        <v>373</v>
      </c>
      <c r="M686" s="76" t="s">
        <v>402</v>
      </c>
      <c r="N686" s="75">
        <v>0</v>
      </c>
    </row>
    <row r="687" spans="1:14" ht="30" x14ac:dyDescent="0.25">
      <c r="A687" s="77">
        <v>21</v>
      </c>
      <c r="B687" s="77">
        <v>31</v>
      </c>
      <c r="C687" s="78" t="s">
        <v>373</v>
      </c>
      <c r="D687" s="78" t="s">
        <v>406</v>
      </c>
      <c r="E687" s="77">
        <v>0</v>
      </c>
      <c r="F687" s="77">
        <v>1</v>
      </c>
      <c r="G687" s="77">
        <v>0</v>
      </c>
      <c r="H687" s="77">
        <v>14</v>
      </c>
      <c r="J687" s="77">
        <v>21</v>
      </c>
      <c r="K687" s="77">
        <v>31</v>
      </c>
      <c r="L687" s="78" t="s">
        <v>373</v>
      </c>
      <c r="M687" s="78" t="s">
        <v>406</v>
      </c>
      <c r="N687" s="77">
        <v>2.831172010607216</v>
      </c>
    </row>
    <row r="688" spans="1:14" ht="30" x14ac:dyDescent="0.25">
      <c r="A688" s="75">
        <v>21</v>
      </c>
      <c r="B688" s="75">
        <v>32</v>
      </c>
      <c r="C688" s="76" t="s">
        <v>373</v>
      </c>
      <c r="D688" s="76" t="s">
        <v>407</v>
      </c>
      <c r="E688" s="75">
        <v>0</v>
      </c>
      <c r="F688" s="75">
        <v>1</v>
      </c>
      <c r="G688" s="75">
        <v>0</v>
      </c>
      <c r="H688" s="75">
        <v>17</v>
      </c>
      <c r="J688" s="75">
        <v>21</v>
      </c>
      <c r="K688" s="75">
        <v>32</v>
      </c>
      <c r="L688" s="76" t="s">
        <v>373</v>
      </c>
      <c r="M688" s="76" t="s">
        <v>407</v>
      </c>
      <c r="N688" s="75">
        <v>7.0464520495469234</v>
      </c>
    </row>
    <row r="689" spans="1:14" ht="30" x14ac:dyDescent="0.25">
      <c r="A689" s="77">
        <v>21</v>
      </c>
      <c r="B689" s="77">
        <v>33</v>
      </c>
      <c r="C689" s="78" t="s">
        <v>373</v>
      </c>
      <c r="D689" s="78" t="s">
        <v>410</v>
      </c>
      <c r="E689" s="77"/>
      <c r="F689" s="77"/>
      <c r="G689" s="77">
        <v>0</v>
      </c>
      <c r="H689" s="77">
        <v>0</v>
      </c>
      <c r="J689" s="77">
        <v>21</v>
      </c>
      <c r="K689" s="77">
        <v>33</v>
      </c>
      <c r="L689" s="78" t="s">
        <v>373</v>
      </c>
      <c r="M689" s="78" t="s">
        <v>410</v>
      </c>
      <c r="N689" s="77">
        <v>0</v>
      </c>
    </row>
    <row r="690" spans="1:14" ht="30" x14ac:dyDescent="0.25">
      <c r="A690" s="75">
        <v>21</v>
      </c>
      <c r="B690" s="75">
        <v>34</v>
      </c>
      <c r="C690" s="76" t="s">
        <v>373</v>
      </c>
      <c r="D690" s="76" t="s">
        <v>413</v>
      </c>
      <c r="E690" s="75">
        <v>0</v>
      </c>
      <c r="F690" s="75">
        <v>1</v>
      </c>
      <c r="G690" s="75">
        <v>0</v>
      </c>
      <c r="H690" s="75">
        <v>15</v>
      </c>
      <c r="J690" s="75">
        <v>21</v>
      </c>
      <c r="K690" s="75">
        <v>34</v>
      </c>
      <c r="L690" s="76" t="s">
        <v>373</v>
      </c>
      <c r="M690" s="76" t="s">
        <v>413</v>
      </c>
      <c r="N690" s="75">
        <v>3.9176822881487059</v>
      </c>
    </row>
    <row r="691" spans="1:14" ht="30" x14ac:dyDescent="0.25">
      <c r="A691" s="77">
        <v>21</v>
      </c>
      <c r="B691" s="77">
        <v>35</v>
      </c>
      <c r="C691" s="78" t="s">
        <v>373</v>
      </c>
      <c r="D691" s="78" t="s">
        <v>416</v>
      </c>
      <c r="E691" s="77"/>
      <c r="F691" s="77"/>
      <c r="G691" s="77">
        <v>0</v>
      </c>
      <c r="H691" s="77">
        <v>0</v>
      </c>
      <c r="J691" s="77">
        <v>21</v>
      </c>
      <c r="K691" s="77">
        <v>35</v>
      </c>
      <c r="L691" s="78" t="s">
        <v>373</v>
      </c>
      <c r="M691" s="78" t="s">
        <v>416</v>
      </c>
      <c r="N691" s="77">
        <v>0</v>
      </c>
    </row>
    <row r="692" spans="1:14" ht="45" x14ac:dyDescent="0.25">
      <c r="A692" s="75">
        <v>21</v>
      </c>
      <c r="B692" s="75">
        <v>36</v>
      </c>
      <c r="C692" s="76" t="s">
        <v>373</v>
      </c>
      <c r="D692" s="76" t="s">
        <v>420</v>
      </c>
      <c r="E692" s="75">
        <v>0</v>
      </c>
      <c r="F692" s="75">
        <v>1</v>
      </c>
      <c r="G692" s="75">
        <v>0</v>
      </c>
      <c r="H692" s="75">
        <v>12</v>
      </c>
      <c r="J692" s="75">
        <v>21</v>
      </c>
      <c r="K692" s="75">
        <v>36</v>
      </c>
      <c r="L692" s="76" t="s">
        <v>373</v>
      </c>
      <c r="M692" s="76" t="s">
        <v>420</v>
      </c>
      <c r="N692" s="75">
        <v>3.1161595286318371</v>
      </c>
    </row>
    <row r="693" spans="1:14" ht="30" x14ac:dyDescent="0.25">
      <c r="A693" s="77">
        <v>21</v>
      </c>
      <c r="B693" s="77">
        <v>37</v>
      </c>
      <c r="C693" s="78" t="s">
        <v>373</v>
      </c>
      <c r="D693" s="78" t="s">
        <v>422</v>
      </c>
      <c r="E693" s="77"/>
      <c r="F693" s="77"/>
      <c r="G693" s="77">
        <v>0</v>
      </c>
      <c r="H693" s="77">
        <v>0</v>
      </c>
      <c r="J693" s="77">
        <v>21</v>
      </c>
      <c r="K693" s="77">
        <v>37</v>
      </c>
      <c r="L693" s="78" t="s">
        <v>373</v>
      </c>
      <c r="M693" s="78" t="s">
        <v>422</v>
      </c>
      <c r="N693" s="77">
        <v>0</v>
      </c>
    </row>
    <row r="694" spans="1:14" ht="30" x14ac:dyDescent="0.25">
      <c r="A694" s="75">
        <v>21</v>
      </c>
      <c r="B694" s="75">
        <v>38</v>
      </c>
      <c r="C694" s="76" t="s">
        <v>373</v>
      </c>
      <c r="D694" s="76" t="s">
        <v>425</v>
      </c>
      <c r="E694" s="75">
        <v>0</v>
      </c>
      <c r="F694" s="75">
        <v>1</v>
      </c>
      <c r="G694" s="75">
        <v>0</v>
      </c>
      <c r="H694" s="75">
        <v>10</v>
      </c>
      <c r="J694" s="75">
        <v>21</v>
      </c>
      <c r="K694" s="75">
        <v>38</v>
      </c>
      <c r="L694" s="76" t="s">
        <v>373</v>
      </c>
      <c r="M694" s="76" t="s">
        <v>425</v>
      </c>
      <c r="N694" s="75">
        <v>0</v>
      </c>
    </row>
    <row r="695" spans="1:14" ht="30" x14ac:dyDescent="0.25">
      <c r="A695" s="77">
        <v>21</v>
      </c>
      <c r="B695" s="77">
        <v>39</v>
      </c>
      <c r="C695" s="78" t="s">
        <v>373</v>
      </c>
      <c r="D695" s="78" t="s">
        <v>427</v>
      </c>
      <c r="E695" s="77"/>
      <c r="F695" s="77"/>
      <c r="G695" s="77">
        <v>0</v>
      </c>
      <c r="H695" s="77">
        <v>0</v>
      </c>
      <c r="J695" s="77">
        <v>21</v>
      </c>
      <c r="K695" s="77">
        <v>39</v>
      </c>
      <c r="L695" s="78" t="s">
        <v>373</v>
      </c>
      <c r="M695" s="78" t="s">
        <v>427</v>
      </c>
      <c r="N695" s="77">
        <v>0</v>
      </c>
    </row>
    <row r="696" spans="1:14" ht="30" x14ac:dyDescent="0.25">
      <c r="A696" s="75">
        <v>21</v>
      </c>
      <c r="B696" s="75">
        <v>40</v>
      </c>
      <c r="C696" s="76" t="s">
        <v>373</v>
      </c>
      <c r="D696" s="76" t="s">
        <v>431</v>
      </c>
      <c r="E696" s="75">
        <v>0</v>
      </c>
      <c r="F696" s="75">
        <v>1</v>
      </c>
      <c r="G696" s="75">
        <v>0</v>
      </c>
      <c r="H696" s="75">
        <v>11</v>
      </c>
      <c r="J696" s="75">
        <v>21</v>
      </c>
      <c r="K696" s="75">
        <v>40</v>
      </c>
      <c r="L696" s="76" t="s">
        <v>373</v>
      </c>
      <c r="M696" s="76" t="s">
        <v>431</v>
      </c>
      <c r="N696" s="75">
        <v>4.8811070897897579</v>
      </c>
    </row>
    <row r="697" spans="1:14" x14ac:dyDescent="0.25">
      <c r="A697" s="77">
        <v>22</v>
      </c>
      <c r="B697" s="77">
        <v>23</v>
      </c>
      <c r="C697" s="78" t="s">
        <v>377</v>
      </c>
      <c r="D697" s="78" t="s">
        <v>380</v>
      </c>
      <c r="E697" s="77">
        <v>0.35714285714285721</v>
      </c>
      <c r="F697" s="77">
        <v>0.64285714285714279</v>
      </c>
      <c r="G697" s="77">
        <v>5</v>
      </c>
      <c r="H697" s="77">
        <v>14</v>
      </c>
      <c r="J697" s="77">
        <v>22</v>
      </c>
      <c r="K697" s="77">
        <v>23</v>
      </c>
      <c r="L697" s="78" t="s">
        <v>377</v>
      </c>
      <c r="M697" s="78" t="s">
        <v>380</v>
      </c>
      <c r="N697" s="77">
        <v>4.3867163280987116</v>
      </c>
    </row>
    <row r="698" spans="1:14" ht="30" x14ac:dyDescent="0.25">
      <c r="A698" s="75">
        <v>22</v>
      </c>
      <c r="B698" s="75">
        <v>24</v>
      </c>
      <c r="C698" s="76" t="s">
        <v>377</v>
      </c>
      <c r="D698" s="76" t="s">
        <v>384</v>
      </c>
      <c r="E698" s="75">
        <v>0.38461538461538458</v>
      </c>
      <c r="F698" s="75">
        <v>0.61538461538461542</v>
      </c>
      <c r="G698" s="75">
        <v>5</v>
      </c>
      <c r="H698" s="75">
        <v>13</v>
      </c>
      <c r="J698" s="75">
        <v>22</v>
      </c>
      <c r="K698" s="75">
        <v>24</v>
      </c>
      <c r="L698" s="76" t="s">
        <v>377</v>
      </c>
      <c r="M698" s="76" t="s">
        <v>384</v>
      </c>
      <c r="N698" s="75">
        <v>2.2651533213074821</v>
      </c>
    </row>
    <row r="699" spans="1:14" x14ac:dyDescent="0.25">
      <c r="A699" s="77">
        <v>22</v>
      </c>
      <c r="B699" s="77">
        <v>25</v>
      </c>
      <c r="C699" s="78" t="s">
        <v>377</v>
      </c>
      <c r="D699" s="78" t="s">
        <v>386</v>
      </c>
      <c r="E699" s="77">
        <v>0.375</v>
      </c>
      <c r="F699" s="77">
        <v>0.625</v>
      </c>
      <c r="G699" s="77">
        <v>6</v>
      </c>
      <c r="H699" s="77">
        <v>16</v>
      </c>
      <c r="J699" s="77">
        <v>22</v>
      </c>
      <c r="K699" s="77">
        <v>25</v>
      </c>
      <c r="L699" s="78" t="s">
        <v>377</v>
      </c>
      <c r="M699" s="78" t="s">
        <v>386</v>
      </c>
      <c r="N699" s="77">
        <v>7.0671691887095847</v>
      </c>
    </row>
    <row r="700" spans="1:14" ht="30" x14ac:dyDescent="0.25">
      <c r="A700" s="75">
        <v>22</v>
      </c>
      <c r="B700" s="75">
        <v>26</v>
      </c>
      <c r="C700" s="76" t="s">
        <v>377</v>
      </c>
      <c r="D700" s="76" t="s">
        <v>389</v>
      </c>
      <c r="E700" s="75">
        <v>0</v>
      </c>
      <c r="F700" s="75">
        <v>1</v>
      </c>
      <c r="G700" s="75">
        <v>0</v>
      </c>
      <c r="H700" s="75">
        <v>6</v>
      </c>
      <c r="J700" s="75">
        <v>22</v>
      </c>
      <c r="K700" s="75">
        <v>26</v>
      </c>
      <c r="L700" s="76" t="s">
        <v>377</v>
      </c>
      <c r="M700" s="76" t="s">
        <v>389</v>
      </c>
      <c r="N700" s="75">
        <v>0.98058067569092033</v>
      </c>
    </row>
    <row r="701" spans="1:14" ht="30" x14ac:dyDescent="0.25">
      <c r="A701" s="77">
        <v>22</v>
      </c>
      <c r="B701" s="77">
        <v>27</v>
      </c>
      <c r="C701" s="78" t="s">
        <v>377</v>
      </c>
      <c r="D701" s="78" t="s">
        <v>393</v>
      </c>
      <c r="E701" s="77">
        <v>0.16666666666666671</v>
      </c>
      <c r="F701" s="77">
        <v>0.83333333333333337</v>
      </c>
      <c r="G701" s="77">
        <v>2</v>
      </c>
      <c r="H701" s="77">
        <v>12</v>
      </c>
      <c r="J701" s="77">
        <v>22</v>
      </c>
      <c r="K701" s="77">
        <v>27</v>
      </c>
      <c r="L701" s="78" t="s">
        <v>377</v>
      </c>
      <c r="M701" s="78" t="s">
        <v>393</v>
      </c>
      <c r="N701" s="77">
        <v>5.1255692643767068</v>
      </c>
    </row>
    <row r="702" spans="1:14" ht="45" x14ac:dyDescent="0.25">
      <c r="A702" s="75">
        <v>22</v>
      </c>
      <c r="B702" s="75">
        <v>28</v>
      </c>
      <c r="C702" s="76" t="s">
        <v>377</v>
      </c>
      <c r="D702" s="76" t="s">
        <v>396</v>
      </c>
      <c r="E702" s="75">
        <v>0</v>
      </c>
      <c r="F702" s="75">
        <v>1</v>
      </c>
      <c r="G702" s="75">
        <v>0</v>
      </c>
      <c r="H702" s="75">
        <v>6</v>
      </c>
      <c r="J702" s="75">
        <v>22</v>
      </c>
      <c r="K702" s="75">
        <v>28</v>
      </c>
      <c r="L702" s="76" t="s">
        <v>377</v>
      </c>
      <c r="M702" s="76" t="s">
        <v>396</v>
      </c>
      <c r="N702" s="75">
        <v>0.98058067569092033</v>
      </c>
    </row>
    <row r="703" spans="1:14" x14ac:dyDescent="0.25">
      <c r="A703" s="77">
        <v>22</v>
      </c>
      <c r="B703" s="77">
        <v>29</v>
      </c>
      <c r="C703" s="78" t="s">
        <v>377</v>
      </c>
      <c r="D703" s="78" t="s">
        <v>399</v>
      </c>
      <c r="E703" s="77">
        <v>0</v>
      </c>
      <c r="F703" s="77">
        <v>1</v>
      </c>
      <c r="G703" s="77">
        <v>0</v>
      </c>
      <c r="H703" s="77">
        <v>6</v>
      </c>
      <c r="J703" s="77">
        <v>22</v>
      </c>
      <c r="K703" s="77">
        <v>29</v>
      </c>
      <c r="L703" s="78" t="s">
        <v>377</v>
      </c>
      <c r="M703" s="78" t="s">
        <v>399</v>
      </c>
      <c r="N703" s="77">
        <v>0.98058067569092033</v>
      </c>
    </row>
    <row r="704" spans="1:14" ht="30" x14ac:dyDescent="0.25">
      <c r="A704" s="75">
        <v>22</v>
      </c>
      <c r="B704" s="75">
        <v>30</v>
      </c>
      <c r="C704" s="76" t="s">
        <v>377</v>
      </c>
      <c r="D704" s="76" t="s">
        <v>402</v>
      </c>
      <c r="E704" s="75">
        <v>0</v>
      </c>
      <c r="F704" s="75">
        <v>1</v>
      </c>
      <c r="G704" s="75">
        <v>0</v>
      </c>
      <c r="H704" s="75">
        <v>6</v>
      </c>
      <c r="J704" s="75">
        <v>22</v>
      </c>
      <c r="K704" s="75">
        <v>30</v>
      </c>
      <c r="L704" s="76" t="s">
        <v>377</v>
      </c>
      <c r="M704" s="76" t="s">
        <v>402</v>
      </c>
      <c r="N704" s="75">
        <v>0.98058067569092033</v>
      </c>
    </row>
    <row r="705" spans="1:14" x14ac:dyDescent="0.25">
      <c r="A705" s="77">
        <v>22</v>
      </c>
      <c r="B705" s="77">
        <v>31</v>
      </c>
      <c r="C705" s="78" t="s">
        <v>377</v>
      </c>
      <c r="D705" s="78" t="s">
        <v>406</v>
      </c>
      <c r="E705" s="77">
        <v>0.33333333333333331</v>
      </c>
      <c r="F705" s="77">
        <v>0.66666666666666674</v>
      </c>
      <c r="G705" s="77">
        <v>5</v>
      </c>
      <c r="H705" s="77">
        <v>15</v>
      </c>
      <c r="J705" s="77">
        <v>22</v>
      </c>
      <c r="K705" s="77">
        <v>31</v>
      </c>
      <c r="L705" s="78" t="s">
        <v>377</v>
      </c>
      <c r="M705" s="78" t="s">
        <v>406</v>
      </c>
      <c r="N705" s="77">
        <v>2.2651533213074821</v>
      </c>
    </row>
    <row r="706" spans="1:14" x14ac:dyDescent="0.25">
      <c r="A706" s="75">
        <v>22</v>
      </c>
      <c r="B706" s="75">
        <v>32</v>
      </c>
      <c r="C706" s="76" t="s">
        <v>377</v>
      </c>
      <c r="D706" s="76" t="s">
        <v>407</v>
      </c>
      <c r="E706" s="75">
        <v>0.35294117647058831</v>
      </c>
      <c r="F706" s="75">
        <v>0.64705882352941169</v>
      </c>
      <c r="G706" s="75">
        <v>6</v>
      </c>
      <c r="H706" s="75">
        <v>17</v>
      </c>
      <c r="J706" s="75">
        <v>22</v>
      </c>
      <c r="K706" s="75">
        <v>32</v>
      </c>
      <c r="L706" s="76" t="s">
        <v>377</v>
      </c>
      <c r="M706" s="76" t="s">
        <v>407</v>
      </c>
      <c r="N706" s="75">
        <v>6.8387039051232978</v>
      </c>
    </row>
    <row r="707" spans="1:14" x14ac:dyDescent="0.25">
      <c r="A707" s="77">
        <v>22</v>
      </c>
      <c r="B707" s="77">
        <v>33</v>
      </c>
      <c r="C707" s="78" t="s">
        <v>377</v>
      </c>
      <c r="D707" s="78" t="s">
        <v>410</v>
      </c>
      <c r="E707" s="77">
        <v>0</v>
      </c>
      <c r="F707" s="77">
        <v>1</v>
      </c>
      <c r="G707" s="77">
        <v>0</v>
      </c>
      <c r="H707" s="77">
        <v>6</v>
      </c>
      <c r="J707" s="77">
        <v>22</v>
      </c>
      <c r="K707" s="77">
        <v>33</v>
      </c>
      <c r="L707" s="78" t="s">
        <v>377</v>
      </c>
      <c r="M707" s="78" t="s">
        <v>410</v>
      </c>
      <c r="N707" s="77">
        <v>0.98058067569092033</v>
      </c>
    </row>
    <row r="708" spans="1:14" x14ac:dyDescent="0.25">
      <c r="A708" s="75">
        <v>22</v>
      </c>
      <c r="B708" s="75">
        <v>34</v>
      </c>
      <c r="C708" s="76" t="s">
        <v>377</v>
      </c>
      <c r="D708" s="76" t="s">
        <v>413</v>
      </c>
      <c r="E708" s="75">
        <v>0.4</v>
      </c>
      <c r="F708" s="75">
        <v>0.6</v>
      </c>
      <c r="G708" s="75">
        <v>6</v>
      </c>
      <c r="H708" s="75">
        <v>15</v>
      </c>
      <c r="J708" s="75">
        <v>22</v>
      </c>
      <c r="K708" s="75">
        <v>34</v>
      </c>
      <c r="L708" s="76" t="s">
        <v>377</v>
      </c>
      <c r="M708" s="76" t="s">
        <v>413</v>
      </c>
      <c r="N708" s="75">
        <v>3.5303851243538138</v>
      </c>
    </row>
    <row r="709" spans="1:14" ht="30" x14ac:dyDescent="0.25">
      <c r="A709" s="77">
        <v>22</v>
      </c>
      <c r="B709" s="77">
        <v>35</v>
      </c>
      <c r="C709" s="78" t="s">
        <v>377</v>
      </c>
      <c r="D709" s="78" t="s">
        <v>416</v>
      </c>
      <c r="E709" s="77">
        <v>0</v>
      </c>
      <c r="F709" s="77">
        <v>1</v>
      </c>
      <c r="G709" s="77">
        <v>0</v>
      </c>
      <c r="H709" s="77">
        <v>6</v>
      </c>
      <c r="J709" s="77">
        <v>22</v>
      </c>
      <c r="K709" s="77">
        <v>35</v>
      </c>
      <c r="L709" s="78" t="s">
        <v>377</v>
      </c>
      <c r="M709" s="78" t="s">
        <v>416</v>
      </c>
      <c r="N709" s="77">
        <v>0.98058067569092033</v>
      </c>
    </row>
    <row r="710" spans="1:14" ht="45" x14ac:dyDescent="0.25">
      <c r="A710" s="75">
        <v>22</v>
      </c>
      <c r="B710" s="75">
        <v>36</v>
      </c>
      <c r="C710" s="76" t="s">
        <v>377</v>
      </c>
      <c r="D710" s="76" t="s">
        <v>420</v>
      </c>
      <c r="E710" s="75">
        <v>0.5</v>
      </c>
      <c r="F710" s="75">
        <v>0.5</v>
      </c>
      <c r="G710" s="75">
        <v>6</v>
      </c>
      <c r="H710" s="75">
        <v>12</v>
      </c>
      <c r="J710" s="75">
        <v>22</v>
      </c>
      <c r="K710" s="75">
        <v>36</v>
      </c>
      <c r="L710" s="76" t="s">
        <v>377</v>
      </c>
      <c r="M710" s="76" t="s">
        <v>420</v>
      </c>
      <c r="N710" s="75">
        <v>2.6126298672539909</v>
      </c>
    </row>
    <row r="711" spans="1:14" x14ac:dyDescent="0.25">
      <c r="A711" s="77">
        <v>22</v>
      </c>
      <c r="B711" s="77">
        <v>37</v>
      </c>
      <c r="C711" s="78" t="s">
        <v>377</v>
      </c>
      <c r="D711" s="78" t="s">
        <v>422</v>
      </c>
      <c r="E711" s="77">
        <v>0</v>
      </c>
      <c r="F711" s="77">
        <v>1</v>
      </c>
      <c r="G711" s="77">
        <v>0</v>
      </c>
      <c r="H711" s="77">
        <v>6</v>
      </c>
      <c r="J711" s="77">
        <v>22</v>
      </c>
      <c r="K711" s="77">
        <v>37</v>
      </c>
      <c r="L711" s="78" t="s">
        <v>377</v>
      </c>
      <c r="M711" s="78" t="s">
        <v>422</v>
      </c>
      <c r="N711" s="77">
        <v>0.98058067569092033</v>
      </c>
    </row>
    <row r="712" spans="1:14" ht="30" x14ac:dyDescent="0.25">
      <c r="A712" s="75">
        <v>22</v>
      </c>
      <c r="B712" s="75">
        <v>38</v>
      </c>
      <c r="C712" s="76" t="s">
        <v>377</v>
      </c>
      <c r="D712" s="76" t="s">
        <v>425</v>
      </c>
      <c r="E712" s="75">
        <v>0.6</v>
      </c>
      <c r="F712" s="75">
        <v>0.4</v>
      </c>
      <c r="G712" s="75">
        <v>6</v>
      </c>
      <c r="H712" s="75">
        <v>10</v>
      </c>
      <c r="J712" s="75">
        <v>22</v>
      </c>
      <c r="K712" s="75">
        <v>38</v>
      </c>
      <c r="L712" s="76" t="s">
        <v>377</v>
      </c>
      <c r="M712" s="76" t="s">
        <v>425</v>
      </c>
      <c r="N712" s="75">
        <v>0.98058067569092033</v>
      </c>
    </row>
    <row r="713" spans="1:14" x14ac:dyDescent="0.25">
      <c r="A713" s="77">
        <v>22</v>
      </c>
      <c r="B713" s="77">
        <v>39</v>
      </c>
      <c r="C713" s="78" t="s">
        <v>377</v>
      </c>
      <c r="D713" s="78" t="s">
        <v>427</v>
      </c>
      <c r="E713" s="77">
        <v>0</v>
      </c>
      <c r="F713" s="77">
        <v>1</v>
      </c>
      <c r="G713" s="77">
        <v>0</v>
      </c>
      <c r="H713" s="77">
        <v>6</v>
      </c>
      <c r="J713" s="77">
        <v>22</v>
      </c>
      <c r="K713" s="77">
        <v>39</v>
      </c>
      <c r="L713" s="78" t="s">
        <v>377</v>
      </c>
      <c r="M713" s="78" t="s">
        <v>427</v>
      </c>
      <c r="N713" s="77">
        <v>0.98058067569092033</v>
      </c>
    </row>
    <row r="714" spans="1:14" x14ac:dyDescent="0.25">
      <c r="A714" s="75">
        <v>22</v>
      </c>
      <c r="B714" s="75">
        <v>40</v>
      </c>
      <c r="C714" s="76" t="s">
        <v>377</v>
      </c>
      <c r="D714" s="76" t="s">
        <v>431</v>
      </c>
      <c r="E714" s="75">
        <v>0.54545454545454541</v>
      </c>
      <c r="F714" s="75">
        <v>0.45454545454545459</v>
      </c>
      <c r="G714" s="75">
        <v>6</v>
      </c>
      <c r="H714" s="75">
        <v>11</v>
      </c>
      <c r="J714" s="75">
        <v>22</v>
      </c>
      <c r="K714" s="75">
        <v>40</v>
      </c>
      <c r="L714" s="76" t="s">
        <v>377</v>
      </c>
      <c r="M714" s="76" t="s">
        <v>431</v>
      </c>
      <c r="N714" s="75">
        <v>4.5760890547912698</v>
      </c>
    </row>
    <row r="715" spans="1:14" ht="30" x14ac:dyDescent="0.25">
      <c r="A715" s="77">
        <v>23</v>
      </c>
      <c r="B715" s="77">
        <v>24</v>
      </c>
      <c r="C715" s="78" t="s">
        <v>380</v>
      </c>
      <c r="D715" s="78" t="s">
        <v>384</v>
      </c>
      <c r="E715" s="77">
        <v>0.66666666666666663</v>
      </c>
      <c r="F715" s="77">
        <v>0.33333333333333343</v>
      </c>
      <c r="G715" s="77">
        <v>10</v>
      </c>
      <c r="H715" s="77">
        <v>15</v>
      </c>
      <c r="J715" s="77">
        <v>23</v>
      </c>
      <c r="K715" s="77">
        <v>24</v>
      </c>
      <c r="L715" s="78" t="s">
        <v>380</v>
      </c>
      <c r="M715" s="78" t="s">
        <v>384</v>
      </c>
      <c r="N715" s="77">
        <v>3.7566421940580832</v>
      </c>
    </row>
    <row r="716" spans="1:14" x14ac:dyDescent="0.25">
      <c r="A716" s="75">
        <v>23</v>
      </c>
      <c r="B716" s="75">
        <v>25</v>
      </c>
      <c r="C716" s="76" t="s">
        <v>380</v>
      </c>
      <c r="D716" s="76" t="s">
        <v>386</v>
      </c>
      <c r="E716" s="75">
        <v>0.8125</v>
      </c>
      <c r="F716" s="75">
        <v>0.1875</v>
      </c>
      <c r="G716" s="75">
        <v>13</v>
      </c>
      <c r="H716" s="75">
        <v>16</v>
      </c>
      <c r="J716" s="75">
        <v>23</v>
      </c>
      <c r="K716" s="75">
        <v>25</v>
      </c>
      <c r="L716" s="76" t="s">
        <v>380</v>
      </c>
      <c r="M716" s="76" t="s">
        <v>386</v>
      </c>
      <c r="N716" s="75">
        <v>3.1490764431442209</v>
      </c>
    </row>
    <row r="717" spans="1:14" ht="30" x14ac:dyDescent="0.25">
      <c r="A717" s="77">
        <v>23</v>
      </c>
      <c r="B717" s="77">
        <v>26</v>
      </c>
      <c r="C717" s="78" t="s">
        <v>380</v>
      </c>
      <c r="D717" s="78" t="s">
        <v>389</v>
      </c>
      <c r="E717" s="77">
        <v>0</v>
      </c>
      <c r="F717" s="77">
        <v>1</v>
      </c>
      <c r="G717" s="77">
        <v>0</v>
      </c>
      <c r="H717" s="77">
        <v>13</v>
      </c>
      <c r="J717" s="77">
        <v>23</v>
      </c>
      <c r="K717" s="77">
        <v>26</v>
      </c>
      <c r="L717" s="78" t="s">
        <v>380</v>
      </c>
      <c r="M717" s="78" t="s">
        <v>389</v>
      </c>
      <c r="N717" s="77">
        <v>4.7040297116220717</v>
      </c>
    </row>
    <row r="718" spans="1:14" ht="30" x14ac:dyDescent="0.25">
      <c r="A718" s="75">
        <v>23</v>
      </c>
      <c r="B718" s="75">
        <v>27</v>
      </c>
      <c r="C718" s="76" t="s">
        <v>380</v>
      </c>
      <c r="D718" s="76" t="s">
        <v>393</v>
      </c>
      <c r="E718" s="75">
        <v>0.5</v>
      </c>
      <c r="F718" s="75">
        <v>0.5</v>
      </c>
      <c r="G718" s="75">
        <v>7</v>
      </c>
      <c r="H718" s="75">
        <v>14</v>
      </c>
      <c r="J718" s="75">
        <v>23</v>
      </c>
      <c r="K718" s="75">
        <v>27</v>
      </c>
      <c r="L718" s="76" t="s">
        <v>380</v>
      </c>
      <c r="M718" s="76" t="s">
        <v>393</v>
      </c>
      <c r="N718" s="75">
        <v>3.5601549781237329</v>
      </c>
    </row>
    <row r="719" spans="1:14" ht="45" x14ac:dyDescent="0.25">
      <c r="A719" s="77">
        <v>23</v>
      </c>
      <c r="B719" s="77">
        <v>28</v>
      </c>
      <c r="C719" s="78" t="s">
        <v>380</v>
      </c>
      <c r="D719" s="78" t="s">
        <v>396</v>
      </c>
      <c r="E719" s="77">
        <v>0</v>
      </c>
      <c r="F719" s="77">
        <v>1</v>
      </c>
      <c r="G719" s="77">
        <v>0</v>
      </c>
      <c r="H719" s="77">
        <v>13</v>
      </c>
      <c r="J719" s="77">
        <v>23</v>
      </c>
      <c r="K719" s="77">
        <v>28</v>
      </c>
      <c r="L719" s="78" t="s">
        <v>380</v>
      </c>
      <c r="M719" s="78" t="s">
        <v>396</v>
      </c>
      <c r="N719" s="77">
        <v>4.7040297116220717</v>
      </c>
    </row>
    <row r="720" spans="1:14" x14ac:dyDescent="0.25">
      <c r="A720" s="75">
        <v>23</v>
      </c>
      <c r="B720" s="75">
        <v>29</v>
      </c>
      <c r="C720" s="76" t="s">
        <v>380</v>
      </c>
      <c r="D720" s="76" t="s">
        <v>399</v>
      </c>
      <c r="E720" s="75">
        <v>0</v>
      </c>
      <c r="F720" s="75">
        <v>1</v>
      </c>
      <c r="G720" s="75">
        <v>0</v>
      </c>
      <c r="H720" s="75">
        <v>13</v>
      </c>
      <c r="J720" s="75">
        <v>23</v>
      </c>
      <c r="K720" s="75">
        <v>29</v>
      </c>
      <c r="L720" s="76" t="s">
        <v>380</v>
      </c>
      <c r="M720" s="76" t="s">
        <v>399</v>
      </c>
      <c r="N720" s="75">
        <v>4.7040297116220717</v>
      </c>
    </row>
    <row r="721" spans="1:14" ht="30" x14ac:dyDescent="0.25">
      <c r="A721" s="77">
        <v>23</v>
      </c>
      <c r="B721" s="77">
        <v>30</v>
      </c>
      <c r="C721" s="78" t="s">
        <v>380</v>
      </c>
      <c r="D721" s="78" t="s">
        <v>402</v>
      </c>
      <c r="E721" s="77">
        <v>0</v>
      </c>
      <c r="F721" s="77">
        <v>1</v>
      </c>
      <c r="G721" s="77">
        <v>0</v>
      </c>
      <c r="H721" s="77">
        <v>13</v>
      </c>
      <c r="J721" s="77">
        <v>23</v>
      </c>
      <c r="K721" s="77">
        <v>30</v>
      </c>
      <c r="L721" s="78" t="s">
        <v>380</v>
      </c>
      <c r="M721" s="78" t="s">
        <v>402</v>
      </c>
      <c r="N721" s="77">
        <v>4.7040297116220717</v>
      </c>
    </row>
    <row r="722" spans="1:14" x14ac:dyDescent="0.25">
      <c r="A722" s="75">
        <v>23</v>
      </c>
      <c r="B722" s="75">
        <v>31</v>
      </c>
      <c r="C722" s="76" t="s">
        <v>380</v>
      </c>
      <c r="D722" s="76" t="s">
        <v>406</v>
      </c>
      <c r="E722" s="75">
        <v>0.8</v>
      </c>
      <c r="F722" s="75">
        <v>0.2</v>
      </c>
      <c r="G722" s="75">
        <v>12</v>
      </c>
      <c r="H722" s="75">
        <v>15</v>
      </c>
      <c r="J722" s="75">
        <v>23</v>
      </c>
      <c r="K722" s="75">
        <v>31</v>
      </c>
      <c r="L722" s="76" t="s">
        <v>380</v>
      </c>
      <c r="M722" s="76" t="s">
        <v>406</v>
      </c>
      <c r="N722" s="75">
        <v>3.7566421940580832</v>
      </c>
    </row>
    <row r="723" spans="1:14" x14ac:dyDescent="0.25">
      <c r="A723" s="77">
        <v>23</v>
      </c>
      <c r="B723" s="77">
        <v>32</v>
      </c>
      <c r="C723" s="78" t="s">
        <v>380</v>
      </c>
      <c r="D723" s="78" t="s">
        <v>407</v>
      </c>
      <c r="E723" s="77">
        <v>0.76470588235294112</v>
      </c>
      <c r="F723" s="77">
        <v>0.2352941176470589</v>
      </c>
      <c r="G723" s="77">
        <v>13</v>
      </c>
      <c r="H723" s="77">
        <v>17</v>
      </c>
      <c r="J723" s="77">
        <v>23</v>
      </c>
      <c r="K723" s="77">
        <v>32</v>
      </c>
      <c r="L723" s="78" t="s">
        <v>380</v>
      </c>
      <c r="M723" s="78" t="s">
        <v>407</v>
      </c>
      <c r="N723" s="77">
        <v>4.6768874640433991</v>
      </c>
    </row>
    <row r="724" spans="1:14" x14ac:dyDescent="0.25">
      <c r="A724" s="75">
        <v>23</v>
      </c>
      <c r="B724" s="75">
        <v>33</v>
      </c>
      <c r="C724" s="76" t="s">
        <v>380</v>
      </c>
      <c r="D724" s="76" t="s">
        <v>410</v>
      </c>
      <c r="E724" s="75">
        <v>0</v>
      </c>
      <c r="F724" s="75">
        <v>1</v>
      </c>
      <c r="G724" s="75">
        <v>0</v>
      </c>
      <c r="H724" s="75">
        <v>13</v>
      </c>
      <c r="J724" s="75">
        <v>23</v>
      </c>
      <c r="K724" s="75">
        <v>33</v>
      </c>
      <c r="L724" s="76" t="s">
        <v>380</v>
      </c>
      <c r="M724" s="76" t="s">
        <v>410</v>
      </c>
      <c r="N724" s="75">
        <v>4.7040297116220717</v>
      </c>
    </row>
    <row r="725" spans="1:14" x14ac:dyDescent="0.25">
      <c r="A725" s="77">
        <v>23</v>
      </c>
      <c r="B725" s="77">
        <v>34</v>
      </c>
      <c r="C725" s="78" t="s">
        <v>380</v>
      </c>
      <c r="D725" s="78" t="s">
        <v>413</v>
      </c>
      <c r="E725" s="77">
        <v>0.75</v>
      </c>
      <c r="F725" s="77">
        <v>0.25</v>
      </c>
      <c r="G725" s="77">
        <v>12</v>
      </c>
      <c r="H725" s="77">
        <v>16</v>
      </c>
      <c r="J725" s="77">
        <v>23</v>
      </c>
      <c r="K725" s="77">
        <v>34</v>
      </c>
      <c r="L725" s="78" t="s">
        <v>380</v>
      </c>
      <c r="M725" s="78" t="s">
        <v>413</v>
      </c>
      <c r="N725" s="77">
        <v>2.6037782196164772</v>
      </c>
    </row>
    <row r="726" spans="1:14" ht="30" x14ac:dyDescent="0.25">
      <c r="A726" s="75">
        <v>23</v>
      </c>
      <c r="B726" s="75">
        <v>35</v>
      </c>
      <c r="C726" s="76" t="s">
        <v>380</v>
      </c>
      <c r="D726" s="76" t="s">
        <v>416</v>
      </c>
      <c r="E726" s="75">
        <v>0</v>
      </c>
      <c r="F726" s="75">
        <v>1</v>
      </c>
      <c r="G726" s="75">
        <v>0</v>
      </c>
      <c r="H726" s="75">
        <v>13</v>
      </c>
      <c r="J726" s="75">
        <v>23</v>
      </c>
      <c r="K726" s="75">
        <v>35</v>
      </c>
      <c r="L726" s="76" t="s">
        <v>380</v>
      </c>
      <c r="M726" s="76" t="s">
        <v>416</v>
      </c>
      <c r="N726" s="75">
        <v>4.7040297116220717</v>
      </c>
    </row>
    <row r="727" spans="1:14" ht="45" x14ac:dyDescent="0.25">
      <c r="A727" s="77">
        <v>23</v>
      </c>
      <c r="B727" s="77">
        <v>36</v>
      </c>
      <c r="C727" s="78" t="s">
        <v>380</v>
      </c>
      <c r="D727" s="78" t="s">
        <v>420</v>
      </c>
      <c r="E727" s="77">
        <v>0.5625</v>
      </c>
      <c r="F727" s="77">
        <v>0.4375</v>
      </c>
      <c r="G727" s="77">
        <v>9</v>
      </c>
      <c r="H727" s="77">
        <v>16</v>
      </c>
      <c r="J727" s="77">
        <v>23</v>
      </c>
      <c r="K727" s="77">
        <v>36</v>
      </c>
      <c r="L727" s="78" t="s">
        <v>380</v>
      </c>
      <c r="M727" s="78" t="s">
        <v>420</v>
      </c>
      <c r="N727" s="77">
        <v>3.5238395706871</v>
      </c>
    </row>
    <row r="728" spans="1:14" x14ac:dyDescent="0.25">
      <c r="A728" s="75">
        <v>23</v>
      </c>
      <c r="B728" s="75">
        <v>37</v>
      </c>
      <c r="C728" s="76" t="s">
        <v>380</v>
      </c>
      <c r="D728" s="76" t="s">
        <v>422</v>
      </c>
      <c r="E728" s="75">
        <v>0</v>
      </c>
      <c r="F728" s="75">
        <v>1</v>
      </c>
      <c r="G728" s="75">
        <v>0</v>
      </c>
      <c r="H728" s="75">
        <v>13</v>
      </c>
      <c r="J728" s="75">
        <v>23</v>
      </c>
      <c r="K728" s="75">
        <v>37</v>
      </c>
      <c r="L728" s="76" t="s">
        <v>380</v>
      </c>
      <c r="M728" s="76" t="s">
        <v>422</v>
      </c>
      <c r="N728" s="75">
        <v>4.7040297116220717</v>
      </c>
    </row>
    <row r="729" spans="1:14" ht="30" x14ac:dyDescent="0.25">
      <c r="A729" s="77">
        <v>23</v>
      </c>
      <c r="B729" s="77">
        <v>38</v>
      </c>
      <c r="C729" s="78" t="s">
        <v>380</v>
      </c>
      <c r="D729" s="78" t="s">
        <v>425</v>
      </c>
      <c r="E729" s="77">
        <v>0.6428571428571429</v>
      </c>
      <c r="F729" s="77">
        <v>0.3571428571428571</v>
      </c>
      <c r="G729" s="77">
        <v>9</v>
      </c>
      <c r="H729" s="77">
        <v>14</v>
      </c>
      <c r="J729" s="77">
        <v>23</v>
      </c>
      <c r="K729" s="77">
        <v>38</v>
      </c>
      <c r="L729" s="78" t="s">
        <v>380</v>
      </c>
      <c r="M729" s="78" t="s">
        <v>425</v>
      </c>
      <c r="N729" s="77">
        <v>4.7040297116220717</v>
      </c>
    </row>
    <row r="730" spans="1:14" x14ac:dyDescent="0.25">
      <c r="A730" s="75">
        <v>23</v>
      </c>
      <c r="B730" s="75">
        <v>39</v>
      </c>
      <c r="C730" s="76" t="s">
        <v>380</v>
      </c>
      <c r="D730" s="76" t="s">
        <v>427</v>
      </c>
      <c r="E730" s="75">
        <v>0</v>
      </c>
      <c r="F730" s="75">
        <v>1</v>
      </c>
      <c r="G730" s="75">
        <v>0</v>
      </c>
      <c r="H730" s="75">
        <v>13</v>
      </c>
      <c r="J730" s="75">
        <v>23</v>
      </c>
      <c r="K730" s="75">
        <v>39</v>
      </c>
      <c r="L730" s="76" t="s">
        <v>380</v>
      </c>
      <c r="M730" s="76" t="s">
        <v>427</v>
      </c>
      <c r="N730" s="75">
        <v>4.7040297116220717</v>
      </c>
    </row>
    <row r="731" spans="1:14" x14ac:dyDescent="0.25">
      <c r="A731" s="77">
        <v>23</v>
      </c>
      <c r="B731" s="77">
        <v>40</v>
      </c>
      <c r="C731" s="78" t="s">
        <v>380</v>
      </c>
      <c r="D731" s="78" t="s">
        <v>431</v>
      </c>
      <c r="E731" s="77">
        <v>0.6</v>
      </c>
      <c r="F731" s="77">
        <v>0.4</v>
      </c>
      <c r="G731" s="77">
        <v>9</v>
      </c>
      <c r="H731" s="77">
        <v>15</v>
      </c>
      <c r="J731" s="77">
        <v>23</v>
      </c>
      <c r="K731" s="77">
        <v>40</v>
      </c>
      <c r="L731" s="78" t="s">
        <v>380</v>
      </c>
      <c r="M731" s="78" t="s">
        <v>431</v>
      </c>
      <c r="N731" s="77">
        <v>3.0992447984398401</v>
      </c>
    </row>
    <row r="732" spans="1:14" ht="30" x14ac:dyDescent="0.25">
      <c r="A732" s="75">
        <v>24</v>
      </c>
      <c r="B732" s="75">
        <v>25</v>
      </c>
      <c r="C732" s="76" t="s">
        <v>384</v>
      </c>
      <c r="D732" s="76" t="s">
        <v>386</v>
      </c>
      <c r="E732" s="75">
        <v>0.75</v>
      </c>
      <c r="F732" s="75">
        <v>0.25</v>
      </c>
      <c r="G732" s="75">
        <v>12</v>
      </c>
      <c r="H732" s="75">
        <v>16</v>
      </c>
      <c r="J732" s="75">
        <v>24</v>
      </c>
      <c r="K732" s="75">
        <v>25</v>
      </c>
      <c r="L732" s="76" t="s">
        <v>384</v>
      </c>
      <c r="M732" s="76" t="s">
        <v>386</v>
      </c>
      <c r="N732" s="75">
        <v>6.2226604231829157</v>
      </c>
    </row>
    <row r="733" spans="1:14" ht="30" x14ac:dyDescent="0.25">
      <c r="A733" s="77">
        <v>24</v>
      </c>
      <c r="B733" s="77">
        <v>26</v>
      </c>
      <c r="C733" s="78" t="s">
        <v>384</v>
      </c>
      <c r="D733" s="78" t="s">
        <v>389</v>
      </c>
      <c r="E733" s="77">
        <v>0</v>
      </c>
      <c r="F733" s="77">
        <v>1</v>
      </c>
      <c r="G733" s="77">
        <v>0</v>
      </c>
      <c r="H733" s="77">
        <v>12</v>
      </c>
      <c r="J733" s="77">
        <v>24</v>
      </c>
      <c r="K733" s="77">
        <v>26</v>
      </c>
      <c r="L733" s="78" t="s">
        <v>384</v>
      </c>
      <c r="M733" s="78" t="s">
        <v>389</v>
      </c>
      <c r="N733" s="77">
        <v>2.831172010607216</v>
      </c>
    </row>
    <row r="734" spans="1:14" ht="30" x14ac:dyDescent="0.25">
      <c r="A734" s="75">
        <v>24</v>
      </c>
      <c r="B734" s="75">
        <v>27</v>
      </c>
      <c r="C734" s="76" t="s">
        <v>384</v>
      </c>
      <c r="D734" s="76" t="s">
        <v>393</v>
      </c>
      <c r="E734" s="75">
        <v>0.53846153846153844</v>
      </c>
      <c r="F734" s="75">
        <v>0.46153846153846162</v>
      </c>
      <c r="G734" s="75">
        <v>7</v>
      </c>
      <c r="H734" s="75">
        <v>13</v>
      </c>
      <c r="J734" s="75">
        <v>24</v>
      </c>
      <c r="K734" s="75">
        <v>27</v>
      </c>
      <c r="L734" s="76" t="s">
        <v>384</v>
      </c>
      <c r="M734" s="76" t="s">
        <v>393</v>
      </c>
      <c r="N734" s="75">
        <v>4.5978843738063766</v>
      </c>
    </row>
    <row r="735" spans="1:14" ht="45" x14ac:dyDescent="0.25">
      <c r="A735" s="77">
        <v>24</v>
      </c>
      <c r="B735" s="77">
        <v>28</v>
      </c>
      <c r="C735" s="78" t="s">
        <v>384</v>
      </c>
      <c r="D735" s="78" t="s">
        <v>396</v>
      </c>
      <c r="E735" s="77">
        <v>0</v>
      </c>
      <c r="F735" s="77">
        <v>1</v>
      </c>
      <c r="G735" s="77">
        <v>0</v>
      </c>
      <c r="H735" s="77">
        <v>12</v>
      </c>
      <c r="J735" s="77">
        <v>24</v>
      </c>
      <c r="K735" s="77">
        <v>28</v>
      </c>
      <c r="L735" s="78" t="s">
        <v>384</v>
      </c>
      <c r="M735" s="78" t="s">
        <v>396</v>
      </c>
      <c r="N735" s="77">
        <v>2.831172010607216</v>
      </c>
    </row>
    <row r="736" spans="1:14" ht="30" x14ac:dyDescent="0.25">
      <c r="A736" s="75">
        <v>24</v>
      </c>
      <c r="B736" s="75">
        <v>29</v>
      </c>
      <c r="C736" s="76" t="s">
        <v>384</v>
      </c>
      <c r="D736" s="76" t="s">
        <v>399</v>
      </c>
      <c r="E736" s="75">
        <v>0</v>
      </c>
      <c r="F736" s="75">
        <v>1</v>
      </c>
      <c r="G736" s="75">
        <v>0</v>
      </c>
      <c r="H736" s="75">
        <v>12</v>
      </c>
      <c r="J736" s="75">
        <v>24</v>
      </c>
      <c r="K736" s="75">
        <v>29</v>
      </c>
      <c r="L736" s="76" t="s">
        <v>384</v>
      </c>
      <c r="M736" s="76" t="s">
        <v>399</v>
      </c>
      <c r="N736" s="75">
        <v>2.831172010607216</v>
      </c>
    </row>
    <row r="737" spans="1:14" ht="30" x14ac:dyDescent="0.25">
      <c r="A737" s="77">
        <v>24</v>
      </c>
      <c r="B737" s="77">
        <v>30</v>
      </c>
      <c r="C737" s="78" t="s">
        <v>384</v>
      </c>
      <c r="D737" s="78" t="s">
        <v>402</v>
      </c>
      <c r="E737" s="77">
        <v>0</v>
      </c>
      <c r="F737" s="77">
        <v>1</v>
      </c>
      <c r="G737" s="77">
        <v>0</v>
      </c>
      <c r="H737" s="77">
        <v>12</v>
      </c>
      <c r="J737" s="77">
        <v>24</v>
      </c>
      <c r="K737" s="77">
        <v>30</v>
      </c>
      <c r="L737" s="78" t="s">
        <v>384</v>
      </c>
      <c r="M737" s="78" t="s">
        <v>402</v>
      </c>
      <c r="N737" s="77">
        <v>2.831172010607216</v>
      </c>
    </row>
    <row r="738" spans="1:14" ht="30" x14ac:dyDescent="0.25">
      <c r="A738" s="75">
        <v>24</v>
      </c>
      <c r="B738" s="75">
        <v>31</v>
      </c>
      <c r="C738" s="76" t="s">
        <v>384</v>
      </c>
      <c r="D738" s="76" t="s">
        <v>406</v>
      </c>
      <c r="E738" s="75">
        <v>0.8571428571428571</v>
      </c>
      <c r="F738" s="75">
        <v>0.1428571428571429</v>
      </c>
      <c r="G738" s="75">
        <v>12</v>
      </c>
      <c r="H738" s="75">
        <v>14</v>
      </c>
      <c r="J738" s="75">
        <v>24</v>
      </c>
      <c r="K738" s="75">
        <v>31</v>
      </c>
      <c r="L738" s="76" t="s">
        <v>384</v>
      </c>
      <c r="M738" s="76" t="s">
        <v>406</v>
      </c>
      <c r="N738" s="75">
        <v>0</v>
      </c>
    </row>
    <row r="739" spans="1:14" ht="30" x14ac:dyDescent="0.25">
      <c r="A739" s="77">
        <v>24</v>
      </c>
      <c r="B739" s="77">
        <v>32</v>
      </c>
      <c r="C739" s="78" t="s">
        <v>384</v>
      </c>
      <c r="D739" s="78" t="s">
        <v>407</v>
      </c>
      <c r="E739" s="77">
        <v>0.70588235294117652</v>
      </c>
      <c r="F739" s="77">
        <v>0.29411764705882348</v>
      </c>
      <c r="G739" s="77">
        <v>12</v>
      </c>
      <c r="H739" s="77">
        <v>17</v>
      </c>
      <c r="J739" s="77">
        <v>24</v>
      </c>
      <c r="K739" s="77">
        <v>32</v>
      </c>
      <c r="L739" s="78" t="s">
        <v>384</v>
      </c>
      <c r="M739" s="78" t="s">
        <v>407</v>
      </c>
      <c r="N739" s="77">
        <v>6.452670108793594</v>
      </c>
    </row>
    <row r="740" spans="1:14" ht="30" x14ac:dyDescent="0.25">
      <c r="A740" s="75">
        <v>24</v>
      </c>
      <c r="B740" s="75">
        <v>33</v>
      </c>
      <c r="C740" s="76" t="s">
        <v>384</v>
      </c>
      <c r="D740" s="76" t="s">
        <v>410</v>
      </c>
      <c r="E740" s="75">
        <v>0</v>
      </c>
      <c r="F740" s="75">
        <v>1</v>
      </c>
      <c r="G740" s="75">
        <v>0</v>
      </c>
      <c r="H740" s="75">
        <v>12</v>
      </c>
      <c r="J740" s="75">
        <v>24</v>
      </c>
      <c r="K740" s="75">
        <v>33</v>
      </c>
      <c r="L740" s="76" t="s">
        <v>384</v>
      </c>
      <c r="M740" s="76" t="s">
        <v>410</v>
      </c>
      <c r="N740" s="75">
        <v>2.831172010607216</v>
      </c>
    </row>
    <row r="741" spans="1:14" ht="30" x14ac:dyDescent="0.25">
      <c r="A741" s="77">
        <v>24</v>
      </c>
      <c r="B741" s="77">
        <v>34</v>
      </c>
      <c r="C741" s="78" t="s">
        <v>384</v>
      </c>
      <c r="D741" s="78" t="s">
        <v>413</v>
      </c>
      <c r="E741" s="77">
        <v>0.8</v>
      </c>
      <c r="F741" s="77">
        <v>0.2</v>
      </c>
      <c r="G741" s="77">
        <v>12</v>
      </c>
      <c r="H741" s="77">
        <v>15</v>
      </c>
      <c r="J741" s="77">
        <v>24</v>
      </c>
      <c r="K741" s="77">
        <v>34</v>
      </c>
      <c r="L741" s="78" t="s">
        <v>384</v>
      </c>
      <c r="M741" s="78" t="s">
        <v>413</v>
      </c>
      <c r="N741" s="77">
        <v>2.7078957803483461</v>
      </c>
    </row>
    <row r="742" spans="1:14" ht="30" x14ac:dyDescent="0.25">
      <c r="A742" s="75">
        <v>24</v>
      </c>
      <c r="B742" s="75">
        <v>35</v>
      </c>
      <c r="C742" s="76" t="s">
        <v>384</v>
      </c>
      <c r="D742" s="76" t="s">
        <v>416</v>
      </c>
      <c r="E742" s="75">
        <v>0</v>
      </c>
      <c r="F742" s="75">
        <v>1</v>
      </c>
      <c r="G742" s="75">
        <v>0</v>
      </c>
      <c r="H742" s="75">
        <v>12</v>
      </c>
      <c r="J742" s="75">
        <v>24</v>
      </c>
      <c r="K742" s="75">
        <v>35</v>
      </c>
      <c r="L742" s="76" t="s">
        <v>384</v>
      </c>
      <c r="M742" s="76" t="s">
        <v>416</v>
      </c>
      <c r="N742" s="75">
        <v>2.831172010607216</v>
      </c>
    </row>
    <row r="743" spans="1:14" ht="45" x14ac:dyDescent="0.25">
      <c r="A743" s="77">
        <v>24</v>
      </c>
      <c r="B743" s="77">
        <v>36</v>
      </c>
      <c r="C743" s="78" t="s">
        <v>384</v>
      </c>
      <c r="D743" s="78" t="s">
        <v>420</v>
      </c>
      <c r="E743" s="77">
        <v>0.7142857142857143</v>
      </c>
      <c r="F743" s="77">
        <v>0.2857142857142857</v>
      </c>
      <c r="G743" s="77">
        <v>10</v>
      </c>
      <c r="H743" s="77">
        <v>14</v>
      </c>
      <c r="J743" s="77">
        <v>24</v>
      </c>
      <c r="K743" s="77">
        <v>36</v>
      </c>
      <c r="L743" s="78" t="s">
        <v>384</v>
      </c>
      <c r="M743" s="78" t="s">
        <v>420</v>
      </c>
      <c r="N743" s="77">
        <v>1.301889109808239</v>
      </c>
    </row>
    <row r="744" spans="1:14" ht="30" x14ac:dyDescent="0.25">
      <c r="A744" s="75">
        <v>24</v>
      </c>
      <c r="B744" s="75">
        <v>37</v>
      </c>
      <c r="C744" s="76" t="s">
        <v>384</v>
      </c>
      <c r="D744" s="76" t="s">
        <v>422</v>
      </c>
      <c r="E744" s="75">
        <v>0</v>
      </c>
      <c r="F744" s="75">
        <v>1</v>
      </c>
      <c r="G744" s="75">
        <v>0</v>
      </c>
      <c r="H744" s="75">
        <v>12</v>
      </c>
      <c r="J744" s="75">
        <v>24</v>
      </c>
      <c r="K744" s="75">
        <v>37</v>
      </c>
      <c r="L744" s="76" t="s">
        <v>384</v>
      </c>
      <c r="M744" s="76" t="s">
        <v>422</v>
      </c>
      <c r="N744" s="75">
        <v>2.831172010607216</v>
      </c>
    </row>
    <row r="745" spans="1:14" ht="30" x14ac:dyDescent="0.25">
      <c r="A745" s="77">
        <v>24</v>
      </c>
      <c r="B745" s="77">
        <v>38</v>
      </c>
      <c r="C745" s="78" t="s">
        <v>384</v>
      </c>
      <c r="D745" s="78" t="s">
        <v>425</v>
      </c>
      <c r="E745" s="77">
        <v>0.46666666666666667</v>
      </c>
      <c r="F745" s="77">
        <v>0.53333333333333333</v>
      </c>
      <c r="G745" s="77">
        <v>7</v>
      </c>
      <c r="H745" s="77">
        <v>15</v>
      </c>
      <c r="J745" s="77">
        <v>24</v>
      </c>
      <c r="K745" s="77">
        <v>38</v>
      </c>
      <c r="L745" s="78" t="s">
        <v>384</v>
      </c>
      <c r="M745" s="78" t="s">
        <v>425</v>
      </c>
      <c r="N745" s="77">
        <v>2.831172010607216</v>
      </c>
    </row>
    <row r="746" spans="1:14" ht="30" x14ac:dyDescent="0.25">
      <c r="A746" s="75">
        <v>24</v>
      </c>
      <c r="B746" s="75">
        <v>39</v>
      </c>
      <c r="C746" s="76" t="s">
        <v>384</v>
      </c>
      <c r="D746" s="76" t="s">
        <v>427</v>
      </c>
      <c r="E746" s="75">
        <v>0</v>
      </c>
      <c r="F746" s="75">
        <v>1</v>
      </c>
      <c r="G746" s="75">
        <v>0</v>
      </c>
      <c r="H746" s="75">
        <v>12</v>
      </c>
      <c r="J746" s="75">
        <v>24</v>
      </c>
      <c r="K746" s="75">
        <v>39</v>
      </c>
      <c r="L746" s="76" t="s">
        <v>384</v>
      </c>
      <c r="M746" s="76" t="s">
        <v>427</v>
      </c>
      <c r="N746" s="75">
        <v>2.831172010607216</v>
      </c>
    </row>
    <row r="747" spans="1:14" ht="30" x14ac:dyDescent="0.25">
      <c r="A747" s="77">
        <v>24</v>
      </c>
      <c r="B747" s="77">
        <v>40</v>
      </c>
      <c r="C747" s="78" t="s">
        <v>384</v>
      </c>
      <c r="D747" s="78" t="s">
        <v>431</v>
      </c>
      <c r="E747" s="77">
        <v>0.76923076923076927</v>
      </c>
      <c r="F747" s="77">
        <v>0.2307692307692307</v>
      </c>
      <c r="G747" s="77">
        <v>10</v>
      </c>
      <c r="H747" s="77">
        <v>13</v>
      </c>
      <c r="J747" s="77">
        <v>24</v>
      </c>
      <c r="K747" s="77">
        <v>40</v>
      </c>
      <c r="L747" s="78" t="s">
        <v>384</v>
      </c>
      <c r="M747" s="78" t="s">
        <v>431</v>
      </c>
      <c r="N747" s="77">
        <v>3.9761377577179262</v>
      </c>
    </row>
    <row r="748" spans="1:14" ht="30" x14ac:dyDescent="0.25">
      <c r="A748" s="75">
        <v>25</v>
      </c>
      <c r="B748" s="75">
        <v>26</v>
      </c>
      <c r="C748" s="76" t="s">
        <v>386</v>
      </c>
      <c r="D748" s="76" t="s">
        <v>389</v>
      </c>
      <c r="E748" s="75">
        <v>0</v>
      </c>
      <c r="F748" s="75">
        <v>1</v>
      </c>
      <c r="G748" s="75">
        <v>0</v>
      </c>
      <c r="H748" s="75">
        <v>16</v>
      </c>
      <c r="J748" s="75">
        <v>25</v>
      </c>
      <c r="K748" s="75">
        <v>26</v>
      </c>
      <c r="L748" s="76" t="s">
        <v>386</v>
      </c>
      <c r="M748" s="76" t="s">
        <v>389</v>
      </c>
      <c r="N748" s="75">
        <v>7.3994981349776952</v>
      </c>
    </row>
    <row r="749" spans="1:14" ht="30" x14ac:dyDescent="0.25">
      <c r="A749" s="77">
        <v>25</v>
      </c>
      <c r="B749" s="77">
        <v>27</v>
      </c>
      <c r="C749" s="78" t="s">
        <v>386</v>
      </c>
      <c r="D749" s="78" t="s">
        <v>393</v>
      </c>
      <c r="E749" s="77">
        <v>0.5</v>
      </c>
      <c r="F749" s="77">
        <v>0.5</v>
      </c>
      <c r="G749" s="77">
        <v>8</v>
      </c>
      <c r="H749" s="77">
        <v>16</v>
      </c>
      <c r="J749" s="77">
        <v>25</v>
      </c>
      <c r="K749" s="77">
        <v>27</v>
      </c>
      <c r="L749" s="78" t="s">
        <v>386</v>
      </c>
      <c r="M749" s="78" t="s">
        <v>393</v>
      </c>
      <c r="N749" s="77">
        <v>4.508337890421978</v>
      </c>
    </row>
    <row r="750" spans="1:14" ht="45" x14ac:dyDescent="0.25">
      <c r="A750" s="75">
        <v>25</v>
      </c>
      <c r="B750" s="75">
        <v>28</v>
      </c>
      <c r="C750" s="76" t="s">
        <v>386</v>
      </c>
      <c r="D750" s="76" t="s">
        <v>396</v>
      </c>
      <c r="E750" s="75">
        <v>0</v>
      </c>
      <c r="F750" s="75">
        <v>1</v>
      </c>
      <c r="G750" s="75">
        <v>0</v>
      </c>
      <c r="H750" s="75">
        <v>16</v>
      </c>
      <c r="J750" s="75">
        <v>25</v>
      </c>
      <c r="K750" s="75">
        <v>28</v>
      </c>
      <c r="L750" s="76" t="s">
        <v>386</v>
      </c>
      <c r="M750" s="76" t="s">
        <v>396</v>
      </c>
      <c r="N750" s="75">
        <v>7.3994981349776952</v>
      </c>
    </row>
    <row r="751" spans="1:14" x14ac:dyDescent="0.25">
      <c r="A751" s="77">
        <v>25</v>
      </c>
      <c r="B751" s="77">
        <v>29</v>
      </c>
      <c r="C751" s="78" t="s">
        <v>386</v>
      </c>
      <c r="D751" s="78" t="s">
        <v>399</v>
      </c>
      <c r="E751" s="77">
        <v>0</v>
      </c>
      <c r="F751" s="77">
        <v>1</v>
      </c>
      <c r="G751" s="77">
        <v>0</v>
      </c>
      <c r="H751" s="77">
        <v>16</v>
      </c>
      <c r="J751" s="77">
        <v>25</v>
      </c>
      <c r="K751" s="77">
        <v>29</v>
      </c>
      <c r="L751" s="78" t="s">
        <v>386</v>
      </c>
      <c r="M751" s="78" t="s">
        <v>399</v>
      </c>
      <c r="N751" s="77">
        <v>7.3994981349776952</v>
      </c>
    </row>
    <row r="752" spans="1:14" ht="30" x14ac:dyDescent="0.25">
      <c r="A752" s="75">
        <v>25</v>
      </c>
      <c r="B752" s="75">
        <v>30</v>
      </c>
      <c r="C752" s="76" t="s">
        <v>386</v>
      </c>
      <c r="D752" s="76" t="s">
        <v>402</v>
      </c>
      <c r="E752" s="75">
        <v>0</v>
      </c>
      <c r="F752" s="75">
        <v>1</v>
      </c>
      <c r="G752" s="75">
        <v>0</v>
      </c>
      <c r="H752" s="75">
        <v>16</v>
      </c>
      <c r="J752" s="75">
        <v>25</v>
      </c>
      <c r="K752" s="75">
        <v>30</v>
      </c>
      <c r="L752" s="76" t="s">
        <v>386</v>
      </c>
      <c r="M752" s="76" t="s">
        <v>402</v>
      </c>
      <c r="N752" s="75">
        <v>7.3994981349776952</v>
      </c>
    </row>
    <row r="753" spans="1:14" x14ac:dyDescent="0.25">
      <c r="A753" s="77">
        <v>25</v>
      </c>
      <c r="B753" s="77">
        <v>31</v>
      </c>
      <c r="C753" s="78" t="s">
        <v>386</v>
      </c>
      <c r="D753" s="78" t="s">
        <v>406</v>
      </c>
      <c r="E753" s="77">
        <v>0.875</v>
      </c>
      <c r="F753" s="77">
        <v>0.125</v>
      </c>
      <c r="G753" s="77">
        <v>14</v>
      </c>
      <c r="H753" s="77">
        <v>16</v>
      </c>
      <c r="J753" s="77">
        <v>25</v>
      </c>
      <c r="K753" s="77">
        <v>31</v>
      </c>
      <c r="L753" s="78" t="s">
        <v>386</v>
      </c>
      <c r="M753" s="78" t="s">
        <v>406</v>
      </c>
      <c r="N753" s="77">
        <v>6.2226604231829157</v>
      </c>
    </row>
    <row r="754" spans="1:14" x14ac:dyDescent="0.25">
      <c r="A754" s="75">
        <v>25</v>
      </c>
      <c r="B754" s="75">
        <v>32</v>
      </c>
      <c r="C754" s="76" t="s">
        <v>386</v>
      </c>
      <c r="D754" s="76" t="s">
        <v>407</v>
      </c>
      <c r="E754" s="75">
        <v>0.94117647058823528</v>
      </c>
      <c r="F754" s="75">
        <v>5.8823529411764719E-2</v>
      </c>
      <c r="G754" s="75">
        <v>16</v>
      </c>
      <c r="H754" s="75">
        <v>17</v>
      </c>
      <c r="J754" s="75">
        <v>25</v>
      </c>
      <c r="K754" s="75">
        <v>32</v>
      </c>
      <c r="L754" s="76" t="s">
        <v>386</v>
      </c>
      <c r="M754" s="76" t="s">
        <v>407</v>
      </c>
      <c r="N754" s="75">
        <v>4.8864261060347287</v>
      </c>
    </row>
    <row r="755" spans="1:14" x14ac:dyDescent="0.25">
      <c r="A755" s="77">
        <v>25</v>
      </c>
      <c r="B755" s="77">
        <v>33</v>
      </c>
      <c r="C755" s="78" t="s">
        <v>386</v>
      </c>
      <c r="D755" s="78" t="s">
        <v>410</v>
      </c>
      <c r="E755" s="77">
        <v>0</v>
      </c>
      <c r="F755" s="77">
        <v>1</v>
      </c>
      <c r="G755" s="77">
        <v>0</v>
      </c>
      <c r="H755" s="77">
        <v>16</v>
      </c>
      <c r="J755" s="77">
        <v>25</v>
      </c>
      <c r="K755" s="77">
        <v>33</v>
      </c>
      <c r="L755" s="78" t="s">
        <v>386</v>
      </c>
      <c r="M755" s="78" t="s">
        <v>410</v>
      </c>
      <c r="N755" s="77">
        <v>7.3994981349776952</v>
      </c>
    </row>
    <row r="756" spans="1:14" x14ac:dyDescent="0.25">
      <c r="A756" s="75">
        <v>25</v>
      </c>
      <c r="B756" s="75">
        <v>34</v>
      </c>
      <c r="C756" s="76" t="s">
        <v>386</v>
      </c>
      <c r="D756" s="76" t="s">
        <v>413</v>
      </c>
      <c r="E756" s="75">
        <v>0.9375</v>
      </c>
      <c r="F756" s="75">
        <v>6.25E-2</v>
      </c>
      <c r="G756" s="75">
        <v>15</v>
      </c>
      <c r="H756" s="75">
        <v>16</v>
      </c>
      <c r="J756" s="75">
        <v>25</v>
      </c>
      <c r="K756" s="75">
        <v>34</v>
      </c>
      <c r="L756" s="76" t="s">
        <v>386</v>
      </c>
      <c r="M756" s="76" t="s">
        <v>413</v>
      </c>
      <c r="N756" s="75">
        <v>4.8452042762575207</v>
      </c>
    </row>
    <row r="757" spans="1:14" ht="30" x14ac:dyDescent="0.25">
      <c r="A757" s="77">
        <v>25</v>
      </c>
      <c r="B757" s="77">
        <v>35</v>
      </c>
      <c r="C757" s="78" t="s">
        <v>386</v>
      </c>
      <c r="D757" s="78" t="s">
        <v>416</v>
      </c>
      <c r="E757" s="77">
        <v>0</v>
      </c>
      <c r="F757" s="77">
        <v>1</v>
      </c>
      <c r="G757" s="77">
        <v>0</v>
      </c>
      <c r="H757" s="77">
        <v>16</v>
      </c>
      <c r="J757" s="77">
        <v>25</v>
      </c>
      <c r="K757" s="77">
        <v>35</v>
      </c>
      <c r="L757" s="78" t="s">
        <v>386</v>
      </c>
      <c r="M757" s="78" t="s">
        <v>416</v>
      </c>
      <c r="N757" s="77">
        <v>7.3994981349776952</v>
      </c>
    </row>
    <row r="758" spans="1:14" ht="45" x14ac:dyDescent="0.25">
      <c r="A758" s="75">
        <v>25</v>
      </c>
      <c r="B758" s="75">
        <v>36</v>
      </c>
      <c r="C758" s="76" t="s">
        <v>386</v>
      </c>
      <c r="D758" s="76" t="s">
        <v>420</v>
      </c>
      <c r="E758" s="75">
        <v>0.75</v>
      </c>
      <c r="F758" s="75">
        <v>0.25</v>
      </c>
      <c r="G758" s="75">
        <v>12</v>
      </c>
      <c r="H758" s="75">
        <v>16</v>
      </c>
      <c r="J758" s="75">
        <v>25</v>
      </c>
      <c r="K758" s="75">
        <v>36</v>
      </c>
      <c r="L758" s="76" t="s">
        <v>386</v>
      </c>
      <c r="M758" s="76" t="s">
        <v>420</v>
      </c>
      <c r="N758" s="75">
        <v>5.7997204225320313</v>
      </c>
    </row>
    <row r="759" spans="1:14" x14ac:dyDescent="0.25">
      <c r="A759" s="77">
        <v>25</v>
      </c>
      <c r="B759" s="77">
        <v>37</v>
      </c>
      <c r="C759" s="78" t="s">
        <v>386</v>
      </c>
      <c r="D759" s="78" t="s">
        <v>422</v>
      </c>
      <c r="E759" s="77">
        <v>0</v>
      </c>
      <c r="F759" s="77">
        <v>1</v>
      </c>
      <c r="G759" s="77">
        <v>0</v>
      </c>
      <c r="H759" s="77">
        <v>16</v>
      </c>
      <c r="J759" s="77">
        <v>25</v>
      </c>
      <c r="K759" s="77">
        <v>37</v>
      </c>
      <c r="L759" s="78" t="s">
        <v>386</v>
      </c>
      <c r="M759" s="78" t="s">
        <v>422</v>
      </c>
      <c r="N759" s="77">
        <v>7.3994981349776952</v>
      </c>
    </row>
    <row r="760" spans="1:14" ht="30" x14ac:dyDescent="0.25">
      <c r="A760" s="75">
        <v>25</v>
      </c>
      <c r="B760" s="75">
        <v>38</v>
      </c>
      <c r="C760" s="76" t="s">
        <v>386</v>
      </c>
      <c r="D760" s="76" t="s">
        <v>425</v>
      </c>
      <c r="E760" s="75">
        <v>0.625</v>
      </c>
      <c r="F760" s="75">
        <v>0.375</v>
      </c>
      <c r="G760" s="75">
        <v>10</v>
      </c>
      <c r="H760" s="75">
        <v>16</v>
      </c>
      <c r="J760" s="75">
        <v>25</v>
      </c>
      <c r="K760" s="75">
        <v>38</v>
      </c>
      <c r="L760" s="76" t="s">
        <v>386</v>
      </c>
      <c r="M760" s="76" t="s">
        <v>425</v>
      </c>
      <c r="N760" s="75">
        <v>7.3994981349776952</v>
      </c>
    </row>
    <row r="761" spans="1:14" x14ac:dyDescent="0.25">
      <c r="A761" s="77">
        <v>25</v>
      </c>
      <c r="B761" s="77">
        <v>39</v>
      </c>
      <c r="C761" s="78" t="s">
        <v>386</v>
      </c>
      <c r="D761" s="78" t="s">
        <v>427</v>
      </c>
      <c r="E761" s="77">
        <v>0</v>
      </c>
      <c r="F761" s="77">
        <v>1</v>
      </c>
      <c r="G761" s="77">
        <v>0</v>
      </c>
      <c r="H761" s="77">
        <v>16</v>
      </c>
      <c r="J761" s="77">
        <v>25</v>
      </c>
      <c r="K761" s="77">
        <v>39</v>
      </c>
      <c r="L761" s="78" t="s">
        <v>386</v>
      </c>
      <c r="M761" s="78" t="s">
        <v>427</v>
      </c>
      <c r="N761" s="77">
        <v>7.3994981349776952</v>
      </c>
    </row>
    <row r="762" spans="1:14" x14ac:dyDescent="0.25">
      <c r="A762" s="75">
        <v>25</v>
      </c>
      <c r="B762" s="75">
        <v>40</v>
      </c>
      <c r="C762" s="76" t="s">
        <v>386</v>
      </c>
      <c r="D762" s="76" t="s">
        <v>431</v>
      </c>
      <c r="E762" s="75">
        <v>0.6875</v>
      </c>
      <c r="F762" s="75">
        <v>0.3125</v>
      </c>
      <c r="G762" s="75">
        <v>11</v>
      </c>
      <c r="H762" s="75">
        <v>16</v>
      </c>
      <c r="J762" s="75">
        <v>25</v>
      </c>
      <c r="K762" s="75">
        <v>40</v>
      </c>
      <c r="L762" s="76" t="s">
        <v>386</v>
      </c>
      <c r="M762" s="76" t="s">
        <v>431</v>
      </c>
      <c r="N762" s="75">
        <v>4.2882237670178762</v>
      </c>
    </row>
    <row r="763" spans="1:14" ht="30" x14ac:dyDescent="0.25">
      <c r="A763" s="77">
        <v>26</v>
      </c>
      <c r="B763" s="77">
        <v>27</v>
      </c>
      <c r="C763" s="78" t="s">
        <v>389</v>
      </c>
      <c r="D763" s="78" t="s">
        <v>393</v>
      </c>
      <c r="E763" s="77">
        <v>0</v>
      </c>
      <c r="F763" s="77">
        <v>1</v>
      </c>
      <c r="G763" s="77">
        <v>0</v>
      </c>
      <c r="H763" s="77">
        <v>8</v>
      </c>
      <c r="J763" s="77">
        <v>26</v>
      </c>
      <c r="K763" s="77">
        <v>27</v>
      </c>
      <c r="L763" s="78" t="s">
        <v>389</v>
      </c>
      <c r="M763" s="78" t="s">
        <v>393</v>
      </c>
      <c r="N763" s="77">
        <v>5.3996366237496529</v>
      </c>
    </row>
    <row r="764" spans="1:14" ht="45" x14ac:dyDescent="0.25">
      <c r="A764" s="75">
        <v>26</v>
      </c>
      <c r="B764" s="75">
        <v>28</v>
      </c>
      <c r="C764" s="76" t="s">
        <v>389</v>
      </c>
      <c r="D764" s="76" t="s">
        <v>396</v>
      </c>
      <c r="E764" s="75"/>
      <c r="F764" s="75"/>
      <c r="G764" s="75">
        <v>0</v>
      </c>
      <c r="H764" s="75">
        <v>0</v>
      </c>
      <c r="J764" s="75">
        <v>26</v>
      </c>
      <c r="K764" s="75">
        <v>28</v>
      </c>
      <c r="L764" s="76" t="s">
        <v>389</v>
      </c>
      <c r="M764" s="76" t="s">
        <v>396</v>
      </c>
      <c r="N764" s="75">
        <v>0</v>
      </c>
    </row>
    <row r="765" spans="1:14" ht="30" x14ac:dyDescent="0.25">
      <c r="A765" s="77">
        <v>26</v>
      </c>
      <c r="B765" s="77">
        <v>29</v>
      </c>
      <c r="C765" s="78" t="s">
        <v>389</v>
      </c>
      <c r="D765" s="78" t="s">
        <v>399</v>
      </c>
      <c r="E765" s="77"/>
      <c r="F765" s="77"/>
      <c r="G765" s="77">
        <v>0</v>
      </c>
      <c r="H765" s="77">
        <v>0</v>
      </c>
      <c r="J765" s="77">
        <v>26</v>
      </c>
      <c r="K765" s="77">
        <v>29</v>
      </c>
      <c r="L765" s="78" t="s">
        <v>389</v>
      </c>
      <c r="M765" s="78" t="s">
        <v>399</v>
      </c>
      <c r="N765" s="77">
        <v>0</v>
      </c>
    </row>
    <row r="766" spans="1:14" ht="30" x14ac:dyDescent="0.25">
      <c r="A766" s="75">
        <v>26</v>
      </c>
      <c r="B766" s="75">
        <v>30</v>
      </c>
      <c r="C766" s="76" t="s">
        <v>389</v>
      </c>
      <c r="D766" s="76" t="s">
        <v>402</v>
      </c>
      <c r="E766" s="75"/>
      <c r="F766" s="75"/>
      <c r="G766" s="75">
        <v>0</v>
      </c>
      <c r="H766" s="75">
        <v>0</v>
      </c>
      <c r="J766" s="75">
        <v>26</v>
      </c>
      <c r="K766" s="75">
        <v>30</v>
      </c>
      <c r="L766" s="76" t="s">
        <v>389</v>
      </c>
      <c r="M766" s="76" t="s">
        <v>402</v>
      </c>
      <c r="N766" s="75">
        <v>0</v>
      </c>
    </row>
    <row r="767" spans="1:14" ht="30" x14ac:dyDescent="0.25">
      <c r="A767" s="77">
        <v>26</v>
      </c>
      <c r="B767" s="77">
        <v>31</v>
      </c>
      <c r="C767" s="78" t="s">
        <v>389</v>
      </c>
      <c r="D767" s="78" t="s">
        <v>406</v>
      </c>
      <c r="E767" s="77">
        <v>0</v>
      </c>
      <c r="F767" s="77">
        <v>1</v>
      </c>
      <c r="G767" s="77">
        <v>0</v>
      </c>
      <c r="H767" s="77">
        <v>14</v>
      </c>
      <c r="J767" s="77">
        <v>26</v>
      </c>
      <c r="K767" s="77">
        <v>31</v>
      </c>
      <c r="L767" s="78" t="s">
        <v>389</v>
      </c>
      <c r="M767" s="78" t="s">
        <v>406</v>
      </c>
      <c r="N767" s="77">
        <v>2.831172010607216</v>
      </c>
    </row>
    <row r="768" spans="1:14" ht="30" x14ac:dyDescent="0.25">
      <c r="A768" s="75">
        <v>26</v>
      </c>
      <c r="B768" s="75">
        <v>32</v>
      </c>
      <c r="C768" s="76" t="s">
        <v>389</v>
      </c>
      <c r="D768" s="76" t="s">
        <v>407</v>
      </c>
      <c r="E768" s="75">
        <v>0</v>
      </c>
      <c r="F768" s="75">
        <v>1</v>
      </c>
      <c r="G768" s="75">
        <v>0</v>
      </c>
      <c r="H768" s="75">
        <v>17</v>
      </c>
      <c r="J768" s="75">
        <v>26</v>
      </c>
      <c r="K768" s="75">
        <v>32</v>
      </c>
      <c r="L768" s="76" t="s">
        <v>389</v>
      </c>
      <c r="M768" s="76" t="s">
        <v>407</v>
      </c>
      <c r="N768" s="75">
        <v>7.0464520495469234</v>
      </c>
    </row>
    <row r="769" spans="1:14" ht="30" x14ac:dyDescent="0.25">
      <c r="A769" s="77">
        <v>26</v>
      </c>
      <c r="B769" s="77">
        <v>33</v>
      </c>
      <c r="C769" s="78" t="s">
        <v>389</v>
      </c>
      <c r="D769" s="78" t="s">
        <v>410</v>
      </c>
      <c r="E769" s="77"/>
      <c r="F769" s="77"/>
      <c r="G769" s="77">
        <v>0</v>
      </c>
      <c r="H769" s="77">
        <v>0</v>
      </c>
      <c r="J769" s="77">
        <v>26</v>
      </c>
      <c r="K769" s="77">
        <v>33</v>
      </c>
      <c r="L769" s="78" t="s">
        <v>389</v>
      </c>
      <c r="M769" s="78" t="s">
        <v>410</v>
      </c>
      <c r="N769" s="77">
        <v>0</v>
      </c>
    </row>
    <row r="770" spans="1:14" ht="30" x14ac:dyDescent="0.25">
      <c r="A770" s="75">
        <v>26</v>
      </c>
      <c r="B770" s="75">
        <v>34</v>
      </c>
      <c r="C770" s="76" t="s">
        <v>389</v>
      </c>
      <c r="D770" s="76" t="s">
        <v>413</v>
      </c>
      <c r="E770" s="75">
        <v>0</v>
      </c>
      <c r="F770" s="75">
        <v>1</v>
      </c>
      <c r="G770" s="75">
        <v>0</v>
      </c>
      <c r="H770" s="75">
        <v>15</v>
      </c>
      <c r="J770" s="75">
        <v>26</v>
      </c>
      <c r="K770" s="75">
        <v>34</v>
      </c>
      <c r="L770" s="76" t="s">
        <v>389</v>
      </c>
      <c r="M770" s="76" t="s">
        <v>413</v>
      </c>
      <c r="N770" s="75">
        <v>3.9176822881487059</v>
      </c>
    </row>
    <row r="771" spans="1:14" ht="30" x14ac:dyDescent="0.25">
      <c r="A771" s="77">
        <v>26</v>
      </c>
      <c r="B771" s="77">
        <v>35</v>
      </c>
      <c r="C771" s="78" t="s">
        <v>389</v>
      </c>
      <c r="D771" s="78" t="s">
        <v>416</v>
      </c>
      <c r="E771" s="77"/>
      <c r="F771" s="77"/>
      <c r="G771" s="77">
        <v>0</v>
      </c>
      <c r="H771" s="77">
        <v>0</v>
      </c>
      <c r="J771" s="77">
        <v>26</v>
      </c>
      <c r="K771" s="77">
        <v>35</v>
      </c>
      <c r="L771" s="78" t="s">
        <v>389</v>
      </c>
      <c r="M771" s="78" t="s">
        <v>416</v>
      </c>
      <c r="N771" s="77">
        <v>0</v>
      </c>
    </row>
    <row r="772" spans="1:14" ht="45" x14ac:dyDescent="0.25">
      <c r="A772" s="75">
        <v>26</v>
      </c>
      <c r="B772" s="75">
        <v>36</v>
      </c>
      <c r="C772" s="76" t="s">
        <v>389</v>
      </c>
      <c r="D772" s="76" t="s">
        <v>420</v>
      </c>
      <c r="E772" s="75">
        <v>0</v>
      </c>
      <c r="F772" s="75">
        <v>1</v>
      </c>
      <c r="G772" s="75">
        <v>0</v>
      </c>
      <c r="H772" s="75">
        <v>12</v>
      </c>
      <c r="J772" s="75">
        <v>26</v>
      </c>
      <c r="K772" s="75">
        <v>36</v>
      </c>
      <c r="L772" s="76" t="s">
        <v>389</v>
      </c>
      <c r="M772" s="76" t="s">
        <v>420</v>
      </c>
      <c r="N772" s="75">
        <v>3.1161595286318371</v>
      </c>
    </row>
    <row r="773" spans="1:14" ht="30" x14ac:dyDescent="0.25">
      <c r="A773" s="77">
        <v>26</v>
      </c>
      <c r="B773" s="77">
        <v>37</v>
      </c>
      <c r="C773" s="78" t="s">
        <v>389</v>
      </c>
      <c r="D773" s="78" t="s">
        <v>422</v>
      </c>
      <c r="E773" s="77"/>
      <c r="F773" s="77"/>
      <c r="G773" s="77">
        <v>0</v>
      </c>
      <c r="H773" s="77">
        <v>0</v>
      </c>
      <c r="J773" s="77">
        <v>26</v>
      </c>
      <c r="K773" s="77">
        <v>37</v>
      </c>
      <c r="L773" s="78" t="s">
        <v>389</v>
      </c>
      <c r="M773" s="78" t="s">
        <v>422</v>
      </c>
      <c r="N773" s="77">
        <v>0</v>
      </c>
    </row>
    <row r="774" spans="1:14" ht="30" x14ac:dyDescent="0.25">
      <c r="A774" s="75">
        <v>26</v>
      </c>
      <c r="B774" s="75">
        <v>38</v>
      </c>
      <c r="C774" s="76" t="s">
        <v>389</v>
      </c>
      <c r="D774" s="76" t="s">
        <v>425</v>
      </c>
      <c r="E774" s="75">
        <v>0</v>
      </c>
      <c r="F774" s="75">
        <v>1</v>
      </c>
      <c r="G774" s="75">
        <v>0</v>
      </c>
      <c r="H774" s="75">
        <v>10</v>
      </c>
      <c r="J774" s="75">
        <v>26</v>
      </c>
      <c r="K774" s="75">
        <v>38</v>
      </c>
      <c r="L774" s="76" t="s">
        <v>389</v>
      </c>
      <c r="M774" s="76" t="s">
        <v>425</v>
      </c>
      <c r="N774" s="75">
        <v>0</v>
      </c>
    </row>
    <row r="775" spans="1:14" ht="30" x14ac:dyDescent="0.25">
      <c r="A775" s="77">
        <v>26</v>
      </c>
      <c r="B775" s="77">
        <v>39</v>
      </c>
      <c r="C775" s="78" t="s">
        <v>389</v>
      </c>
      <c r="D775" s="78" t="s">
        <v>427</v>
      </c>
      <c r="E775" s="77"/>
      <c r="F775" s="77"/>
      <c r="G775" s="77">
        <v>0</v>
      </c>
      <c r="H775" s="77">
        <v>0</v>
      </c>
      <c r="J775" s="77">
        <v>26</v>
      </c>
      <c r="K775" s="77">
        <v>39</v>
      </c>
      <c r="L775" s="78" t="s">
        <v>389</v>
      </c>
      <c r="M775" s="78" t="s">
        <v>427</v>
      </c>
      <c r="N775" s="77">
        <v>0</v>
      </c>
    </row>
    <row r="776" spans="1:14" ht="30" x14ac:dyDescent="0.25">
      <c r="A776" s="75">
        <v>26</v>
      </c>
      <c r="B776" s="75">
        <v>40</v>
      </c>
      <c r="C776" s="76" t="s">
        <v>389</v>
      </c>
      <c r="D776" s="76" t="s">
        <v>431</v>
      </c>
      <c r="E776" s="75">
        <v>0</v>
      </c>
      <c r="F776" s="75">
        <v>1</v>
      </c>
      <c r="G776" s="75">
        <v>0</v>
      </c>
      <c r="H776" s="75">
        <v>11</v>
      </c>
      <c r="J776" s="75">
        <v>26</v>
      </c>
      <c r="K776" s="75">
        <v>40</v>
      </c>
      <c r="L776" s="76" t="s">
        <v>389</v>
      </c>
      <c r="M776" s="76" t="s">
        <v>431</v>
      </c>
      <c r="N776" s="75">
        <v>4.8811070897897579</v>
      </c>
    </row>
    <row r="777" spans="1:14" ht="45" x14ac:dyDescent="0.25">
      <c r="A777" s="77">
        <v>27</v>
      </c>
      <c r="B777" s="77">
        <v>28</v>
      </c>
      <c r="C777" s="78" t="s">
        <v>393</v>
      </c>
      <c r="D777" s="78" t="s">
        <v>396</v>
      </c>
      <c r="E777" s="77">
        <v>0</v>
      </c>
      <c r="F777" s="77">
        <v>1</v>
      </c>
      <c r="G777" s="77">
        <v>0</v>
      </c>
      <c r="H777" s="77">
        <v>8</v>
      </c>
      <c r="J777" s="77">
        <v>27</v>
      </c>
      <c r="K777" s="77">
        <v>28</v>
      </c>
      <c r="L777" s="78" t="s">
        <v>393</v>
      </c>
      <c r="M777" s="78" t="s">
        <v>396</v>
      </c>
      <c r="N777" s="77">
        <v>5.3996366237496529</v>
      </c>
    </row>
    <row r="778" spans="1:14" ht="30" x14ac:dyDescent="0.25">
      <c r="A778" s="75">
        <v>27</v>
      </c>
      <c r="B778" s="75">
        <v>29</v>
      </c>
      <c r="C778" s="76" t="s">
        <v>393</v>
      </c>
      <c r="D778" s="76" t="s">
        <v>399</v>
      </c>
      <c r="E778" s="75">
        <v>0</v>
      </c>
      <c r="F778" s="75">
        <v>1</v>
      </c>
      <c r="G778" s="75">
        <v>0</v>
      </c>
      <c r="H778" s="75">
        <v>8</v>
      </c>
      <c r="J778" s="75">
        <v>27</v>
      </c>
      <c r="K778" s="75">
        <v>29</v>
      </c>
      <c r="L778" s="76" t="s">
        <v>393</v>
      </c>
      <c r="M778" s="76" t="s">
        <v>399</v>
      </c>
      <c r="N778" s="75">
        <v>5.3996366237496529</v>
      </c>
    </row>
    <row r="779" spans="1:14" ht="30" x14ac:dyDescent="0.25">
      <c r="A779" s="77">
        <v>27</v>
      </c>
      <c r="B779" s="77">
        <v>30</v>
      </c>
      <c r="C779" s="78" t="s">
        <v>393</v>
      </c>
      <c r="D779" s="78" t="s">
        <v>402</v>
      </c>
      <c r="E779" s="77">
        <v>0</v>
      </c>
      <c r="F779" s="77">
        <v>1</v>
      </c>
      <c r="G779" s="77">
        <v>0</v>
      </c>
      <c r="H779" s="77">
        <v>8</v>
      </c>
      <c r="J779" s="77">
        <v>27</v>
      </c>
      <c r="K779" s="77">
        <v>30</v>
      </c>
      <c r="L779" s="78" t="s">
        <v>393</v>
      </c>
      <c r="M779" s="78" t="s">
        <v>402</v>
      </c>
      <c r="N779" s="77">
        <v>5.3996366237496529</v>
      </c>
    </row>
    <row r="780" spans="1:14" ht="30" x14ac:dyDescent="0.25">
      <c r="A780" s="75">
        <v>27</v>
      </c>
      <c r="B780" s="75">
        <v>31</v>
      </c>
      <c r="C780" s="76" t="s">
        <v>393</v>
      </c>
      <c r="D780" s="76" t="s">
        <v>406</v>
      </c>
      <c r="E780" s="75">
        <v>0.5714285714285714</v>
      </c>
      <c r="F780" s="75">
        <v>0.4285714285714286</v>
      </c>
      <c r="G780" s="75">
        <v>8</v>
      </c>
      <c r="H780" s="75">
        <v>14</v>
      </c>
      <c r="J780" s="75">
        <v>27</v>
      </c>
      <c r="K780" s="75">
        <v>31</v>
      </c>
      <c r="L780" s="76" t="s">
        <v>393</v>
      </c>
      <c r="M780" s="76" t="s">
        <v>406</v>
      </c>
      <c r="N780" s="75">
        <v>4.5978843738063766</v>
      </c>
    </row>
    <row r="781" spans="1:14" ht="30" x14ac:dyDescent="0.25">
      <c r="A781" s="77">
        <v>27</v>
      </c>
      <c r="B781" s="77">
        <v>32</v>
      </c>
      <c r="C781" s="78" t="s">
        <v>393</v>
      </c>
      <c r="D781" s="78" t="s">
        <v>407</v>
      </c>
      <c r="E781" s="77">
        <v>0.47058823529411759</v>
      </c>
      <c r="F781" s="77">
        <v>0.52941176470588236</v>
      </c>
      <c r="G781" s="77">
        <v>8</v>
      </c>
      <c r="H781" s="77">
        <v>17</v>
      </c>
      <c r="J781" s="77">
        <v>27</v>
      </c>
      <c r="K781" s="77">
        <v>32</v>
      </c>
      <c r="L781" s="78" t="s">
        <v>393</v>
      </c>
      <c r="M781" s="78" t="s">
        <v>407</v>
      </c>
      <c r="N781" s="77">
        <v>3.7904119937760279</v>
      </c>
    </row>
    <row r="782" spans="1:14" ht="30" x14ac:dyDescent="0.25">
      <c r="A782" s="75">
        <v>27</v>
      </c>
      <c r="B782" s="75">
        <v>33</v>
      </c>
      <c r="C782" s="76" t="s">
        <v>393</v>
      </c>
      <c r="D782" s="76" t="s">
        <v>410</v>
      </c>
      <c r="E782" s="75">
        <v>0</v>
      </c>
      <c r="F782" s="75">
        <v>1</v>
      </c>
      <c r="G782" s="75">
        <v>0</v>
      </c>
      <c r="H782" s="75">
        <v>8</v>
      </c>
      <c r="J782" s="75">
        <v>27</v>
      </c>
      <c r="K782" s="75">
        <v>33</v>
      </c>
      <c r="L782" s="76" t="s">
        <v>393</v>
      </c>
      <c r="M782" s="76" t="s">
        <v>410</v>
      </c>
      <c r="N782" s="75">
        <v>5.3996366237496529</v>
      </c>
    </row>
    <row r="783" spans="1:14" ht="30" x14ac:dyDescent="0.25">
      <c r="A783" s="77">
        <v>27</v>
      </c>
      <c r="B783" s="77">
        <v>34</v>
      </c>
      <c r="C783" s="78" t="s">
        <v>393</v>
      </c>
      <c r="D783" s="78" t="s">
        <v>413</v>
      </c>
      <c r="E783" s="77">
        <v>0.4375</v>
      </c>
      <c r="F783" s="77">
        <v>0.5625</v>
      </c>
      <c r="G783" s="77">
        <v>7</v>
      </c>
      <c r="H783" s="77">
        <v>16</v>
      </c>
      <c r="J783" s="77">
        <v>27</v>
      </c>
      <c r="K783" s="77">
        <v>34</v>
      </c>
      <c r="L783" s="78" t="s">
        <v>393</v>
      </c>
      <c r="M783" s="78" t="s">
        <v>413</v>
      </c>
      <c r="N783" s="77">
        <v>3.5601549781237329</v>
      </c>
    </row>
    <row r="784" spans="1:14" ht="30" x14ac:dyDescent="0.25">
      <c r="A784" s="75">
        <v>27</v>
      </c>
      <c r="B784" s="75">
        <v>35</v>
      </c>
      <c r="C784" s="76" t="s">
        <v>393</v>
      </c>
      <c r="D784" s="76" t="s">
        <v>416</v>
      </c>
      <c r="E784" s="75">
        <v>0</v>
      </c>
      <c r="F784" s="75">
        <v>1</v>
      </c>
      <c r="G784" s="75">
        <v>0</v>
      </c>
      <c r="H784" s="75">
        <v>8</v>
      </c>
      <c r="J784" s="75">
        <v>27</v>
      </c>
      <c r="K784" s="75">
        <v>35</v>
      </c>
      <c r="L784" s="76" t="s">
        <v>393</v>
      </c>
      <c r="M784" s="76" t="s">
        <v>416</v>
      </c>
      <c r="N784" s="75">
        <v>5.3996366237496529</v>
      </c>
    </row>
    <row r="785" spans="1:14" ht="45" x14ac:dyDescent="0.25">
      <c r="A785" s="77">
        <v>27</v>
      </c>
      <c r="B785" s="77">
        <v>36</v>
      </c>
      <c r="C785" s="78" t="s">
        <v>393</v>
      </c>
      <c r="D785" s="78" t="s">
        <v>420</v>
      </c>
      <c r="E785" s="77">
        <v>0.33333333333333331</v>
      </c>
      <c r="F785" s="77">
        <v>0.66666666666666674</v>
      </c>
      <c r="G785" s="77">
        <v>5</v>
      </c>
      <c r="H785" s="77">
        <v>15</v>
      </c>
      <c r="J785" s="77">
        <v>27</v>
      </c>
      <c r="K785" s="77">
        <v>36</v>
      </c>
      <c r="L785" s="78" t="s">
        <v>393</v>
      </c>
      <c r="M785" s="78" t="s">
        <v>420</v>
      </c>
      <c r="N785" s="77">
        <v>4.7786458300579406</v>
      </c>
    </row>
    <row r="786" spans="1:14" ht="30" x14ac:dyDescent="0.25">
      <c r="A786" s="75">
        <v>27</v>
      </c>
      <c r="B786" s="75">
        <v>37</v>
      </c>
      <c r="C786" s="76" t="s">
        <v>393</v>
      </c>
      <c r="D786" s="76" t="s">
        <v>422</v>
      </c>
      <c r="E786" s="75">
        <v>0</v>
      </c>
      <c r="F786" s="75">
        <v>1</v>
      </c>
      <c r="G786" s="75">
        <v>0</v>
      </c>
      <c r="H786" s="75">
        <v>8</v>
      </c>
      <c r="J786" s="75">
        <v>27</v>
      </c>
      <c r="K786" s="75">
        <v>37</v>
      </c>
      <c r="L786" s="76" t="s">
        <v>393</v>
      </c>
      <c r="M786" s="76" t="s">
        <v>422</v>
      </c>
      <c r="N786" s="75">
        <v>5.3996366237496529</v>
      </c>
    </row>
    <row r="787" spans="1:14" ht="30" x14ac:dyDescent="0.25">
      <c r="A787" s="77">
        <v>27</v>
      </c>
      <c r="B787" s="77">
        <v>38</v>
      </c>
      <c r="C787" s="78" t="s">
        <v>393</v>
      </c>
      <c r="D787" s="78" t="s">
        <v>425</v>
      </c>
      <c r="E787" s="77">
        <v>0.2857142857142857</v>
      </c>
      <c r="F787" s="77">
        <v>0.7142857142857143</v>
      </c>
      <c r="G787" s="77">
        <v>4</v>
      </c>
      <c r="H787" s="77">
        <v>14</v>
      </c>
      <c r="J787" s="77">
        <v>27</v>
      </c>
      <c r="K787" s="77">
        <v>38</v>
      </c>
      <c r="L787" s="78" t="s">
        <v>393</v>
      </c>
      <c r="M787" s="78" t="s">
        <v>425</v>
      </c>
      <c r="N787" s="77">
        <v>5.3996366237496529</v>
      </c>
    </row>
    <row r="788" spans="1:14" ht="30" x14ac:dyDescent="0.25">
      <c r="A788" s="75">
        <v>27</v>
      </c>
      <c r="B788" s="75">
        <v>39</v>
      </c>
      <c r="C788" s="76" t="s">
        <v>393</v>
      </c>
      <c r="D788" s="76" t="s">
        <v>427</v>
      </c>
      <c r="E788" s="75">
        <v>0</v>
      </c>
      <c r="F788" s="75">
        <v>1</v>
      </c>
      <c r="G788" s="75">
        <v>0</v>
      </c>
      <c r="H788" s="75">
        <v>8</v>
      </c>
      <c r="J788" s="75">
        <v>27</v>
      </c>
      <c r="K788" s="75">
        <v>39</v>
      </c>
      <c r="L788" s="76" t="s">
        <v>393</v>
      </c>
      <c r="M788" s="76" t="s">
        <v>427</v>
      </c>
      <c r="N788" s="75">
        <v>5.3996366237496529</v>
      </c>
    </row>
    <row r="789" spans="1:14" ht="30" x14ac:dyDescent="0.25">
      <c r="A789" s="77">
        <v>27</v>
      </c>
      <c r="B789" s="77">
        <v>40</v>
      </c>
      <c r="C789" s="78" t="s">
        <v>393</v>
      </c>
      <c r="D789" s="78" t="s">
        <v>431</v>
      </c>
      <c r="E789" s="77">
        <v>0.46153846153846162</v>
      </c>
      <c r="F789" s="77">
        <v>0.53846153846153844</v>
      </c>
      <c r="G789" s="77">
        <v>6</v>
      </c>
      <c r="H789" s="77">
        <v>13</v>
      </c>
      <c r="J789" s="77">
        <v>27</v>
      </c>
      <c r="K789" s="77">
        <v>40</v>
      </c>
      <c r="L789" s="78" t="s">
        <v>393</v>
      </c>
      <c r="M789" s="78" t="s">
        <v>431</v>
      </c>
      <c r="N789" s="77">
        <v>3.7904119937760279</v>
      </c>
    </row>
    <row r="790" spans="1:14" ht="45" x14ac:dyDescent="0.25">
      <c r="A790" s="75">
        <v>28</v>
      </c>
      <c r="B790" s="75">
        <v>29</v>
      </c>
      <c r="C790" s="76" t="s">
        <v>396</v>
      </c>
      <c r="D790" s="76" t="s">
        <v>399</v>
      </c>
      <c r="E790" s="75"/>
      <c r="F790" s="75"/>
      <c r="G790" s="75">
        <v>0</v>
      </c>
      <c r="H790" s="75">
        <v>0</v>
      </c>
      <c r="J790" s="75">
        <v>28</v>
      </c>
      <c r="K790" s="75">
        <v>29</v>
      </c>
      <c r="L790" s="76" t="s">
        <v>396</v>
      </c>
      <c r="M790" s="76" t="s">
        <v>399</v>
      </c>
      <c r="N790" s="75">
        <v>0</v>
      </c>
    </row>
    <row r="791" spans="1:14" ht="45" x14ac:dyDescent="0.25">
      <c r="A791" s="77">
        <v>28</v>
      </c>
      <c r="B791" s="77">
        <v>30</v>
      </c>
      <c r="C791" s="78" t="s">
        <v>396</v>
      </c>
      <c r="D791" s="78" t="s">
        <v>402</v>
      </c>
      <c r="E791" s="77"/>
      <c r="F791" s="77"/>
      <c r="G791" s="77">
        <v>0</v>
      </c>
      <c r="H791" s="77">
        <v>0</v>
      </c>
      <c r="J791" s="77">
        <v>28</v>
      </c>
      <c r="K791" s="77">
        <v>30</v>
      </c>
      <c r="L791" s="78" t="s">
        <v>396</v>
      </c>
      <c r="M791" s="78" t="s">
        <v>402</v>
      </c>
      <c r="N791" s="77">
        <v>0</v>
      </c>
    </row>
    <row r="792" spans="1:14" ht="45" x14ac:dyDescent="0.25">
      <c r="A792" s="75">
        <v>28</v>
      </c>
      <c r="B792" s="75">
        <v>31</v>
      </c>
      <c r="C792" s="76" t="s">
        <v>396</v>
      </c>
      <c r="D792" s="76" t="s">
        <v>406</v>
      </c>
      <c r="E792" s="75">
        <v>0</v>
      </c>
      <c r="F792" s="75">
        <v>1</v>
      </c>
      <c r="G792" s="75">
        <v>0</v>
      </c>
      <c r="H792" s="75">
        <v>14</v>
      </c>
      <c r="J792" s="75">
        <v>28</v>
      </c>
      <c r="K792" s="75">
        <v>31</v>
      </c>
      <c r="L792" s="76" t="s">
        <v>396</v>
      </c>
      <c r="M792" s="76" t="s">
        <v>406</v>
      </c>
      <c r="N792" s="75">
        <v>2.831172010607216</v>
      </c>
    </row>
    <row r="793" spans="1:14" ht="45" x14ac:dyDescent="0.25">
      <c r="A793" s="77">
        <v>28</v>
      </c>
      <c r="B793" s="77">
        <v>32</v>
      </c>
      <c r="C793" s="78" t="s">
        <v>396</v>
      </c>
      <c r="D793" s="78" t="s">
        <v>407</v>
      </c>
      <c r="E793" s="77">
        <v>0</v>
      </c>
      <c r="F793" s="77">
        <v>1</v>
      </c>
      <c r="G793" s="77">
        <v>0</v>
      </c>
      <c r="H793" s="77">
        <v>17</v>
      </c>
      <c r="J793" s="77">
        <v>28</v>
      </c>
      <c r="K793" s="77">
        <v>32</v>
      </c>
      <c r="L793" s="78" t="s">
        <v>396</v>
      </c>
      <c r="M793" s="78" t="s">
        <v>407</v>
      </c>
      <c r="N793" s="77">
        <v>7.0464520495469234</v>
      </c>
    </row>
    <row r="794" spans="1:14" ht="45" x14ac:dyDescent="0.25">
      <c r="A794" s="75">
        <v>28</v>
      </c>
      <c r="B794" s="75">
        <v>33</v>
      </c>
      <c r="C794" s="76" t="s">
        <v>396</v>
      </c>
      <c r="D794" s="76" t="s">
        <v>410</v>
      </c>
      <c r="E794" s="75"/>
      <c r="F794" s="75"/>
      <c r="G794" s="75">
        <v>0</v>
      </c>
      <c r="H794" s="75">
        <v>0</v>
      </c>
      <c r="J794" s="75">
        <v>28</v>
      </c>
      <c r="K794" s="75">
        <v>33</v>
      </c>
      <c r="L794" s="76" t="s">
        <v>396</v>
      </c>
      <c r="M794" s="76" t="s">
        <v>410</v>
      </c>
      <c r="N794" s="75">
        <v>0</v>
      </c>
    </row>
    <row r="795" spans="1:14" ht="45" x14ac:dyDescent="0.25">
      <c r="A795" s="77">
        <v>28</v>
      </c>
      <c r="B795" s="77">
        <v>34</v>
      </c>
      <c r="C795" s="78" t="s">
        <v>396</v>
      </c>
      <c r="D795" s="78" t="s">
        <v>413</v>
      </c>
      <c r="E795" s="77">
        <v>0</v>
      </c>
      <c r="F795" s="77">
        <v>1</v>
      </c>
      <c r="G795" s="77">
        <v>0</v>
      </c>
      <c r="H795" s="77">
        <v>15</v>
      </c>
      <c r="J795" s="77">
        <v>28</v>
      </c>
      <c r="K795" s="77">
        <v>34</v>
      </c>
      <c r="L795" s="78" t="s">
        <v>396</v>
      </c>
      <c r="M795" s="78" t="s">
        <v>413</v>
      </c>
      <c r="N795" s="77">
        <v>3.9176822881487059</v>
      </c>
    </row>
    <row r="796" spans="1:14" ht="45" x14ac:dyDescent="0.25">
      <c r="A796" s="75">
        <v>28</v>
      </c>
      <c r="B796" s="75">
        <v>35</v>
      </c>
      <c r="C796" s="76" t="s">
        <v>396</v>
      </c>
      <c r="D796" s="76" t="s">
        <v>416</v>
      </c>
      <c r="E796" s="75"/>
      <c r="F796" s="75"/>
      <c r="G796" s="75">
        <v>0</v>
      </c>
      <c r="H796" s="75">
        <v>0</v>
      </c>
      <c r="J796" s="75">
        <v>28</v>
      </c>
      <c r="K796" s="75">
        <v>35</v>
      </c>
      <c r="L796" s="76" t="s">
        <v>396</v>
      </c>
      <c r="M796" s="76" t="s">
        <v>416</v>
      </c>
      <c r="N796" s="75">
        <v>0</v>
      </c>
    </row>
    <row r="797" spans="1:14" ht="45" x14ac:dyDescent="0.25">
      <c r="A797" s="77">
        <v>28</v>
      </c>
      <c r="B797" s="77">
        <v>36</v>
      </c>
      <c r="C797" s="78" t="s">
        <v>396</v>
      </c>
      <c r="D797" s="78" t="s">
        <v>420</v>
      </c>
      <c r="E797" s="77">
        <v>0</v>
      </c>
      <c r="F797" s="77">
        <v>1</v>
      </c>
      <c r="G797" s="77">
        <v>0</v>
      </c>
      <c r="H797" s="77">
        <v>12</v>
      </c>
      <c r="J797" s="77">
        <v>28</v>
      </c>
      <c r="K797" s="77">
        <v>36</v>
      </c>
      <c r="L797" s="78" t="s">
        <v>396</v>
      </c>
      <c r="M797" s="78" t="s">
        <v>420</v>
      </c>
      <c r="N797" s="77">
        <v>3.1161595286318371</v>
      </c>
    </row>
    <row r="798" spans="1:14" ht="45" x14ac:dyDescent="0.25">
      <c r="A798" s="75">
        <v>28</v>
      </c>
      <c r="B798" s="75">
        <v>37</v>
      </c>
      <c r="C798" s="76" t="s">
        <v>396</v>
      </c>
      <c r="D798" s="76" t="s">
        <v>422</v>
      </c>
      <c r="E798" s="75"/>
      <c r="F798" s="75"/>
      <c r="G798" s="75">
        <v>0</v>
      </c>
      <c r="H798" s="75">
        <v>0</v>
      </c>
      <c r="J798" s="75">
        <v>28</v>
      </c>
      <c r="K798" s="75">
        <v>37</v>
      </c>
      <c r="L798" s="76" t="s">
        <v>396</v>
      </c>
      <c r="M798" s="76" t="s">
        <v>422</v>
      </c>
      <c r="N798" s="75">
        <v>0</v>
      </c>
    </row>
    <row r="799" spans="1:14" ht="45" x14ac:dyDescent="0.25">
      <c r="A799" s="77">
        <v>28</v>
      </c>
      <c r="B799" s="77">
        <v>38</v>
      </c>
      <c r="C799" s="78" t="s">
        <v>396</v>
      </c>
      <c r="D799" s="78" t="s">
        <v>425</v>
      </c>
      <c r="E799" s="77">
        <v>0</v>
      </c>
      <c r="F799" s="77">
        <v>1</v>
      </c>
      <c r="G799" s="77">
        <v>0</v>
      </c>
      <c r="H799" s="77">
        <v>10</v>
      </c>
      <c r="J799" s="77">
        <v>28</v>
      </c>
      <c r="K799" s="77">
        <v>38</v>
      </c>
      <c r="L799" s="78" t="s">
        <v>396</v>
      </c>
      <c r="M799" s="78" t="s">
        <v>425</v>
      </c>
      <c r="N799" s="77">
        <v>0</v>
      </c>
    </row>
    <row r="800" spans="1:14" ht="45" x14ac:dyDescent="0.25">
      <c r="A800" s="75">
        <v>28</v>
      </c>
      <c r="B800" s="75">
        <v>39</v>
      </c>
      <c r="C800" s="76" t="s">
        <v>396</v>
      </c>
      <c r="D800" s="76" t="s">
        <v>427</v>
      </c>
      <c r="E800" s="75"/>
      <c r="F800" s="75"/>
      <c r="G800" s="75">
        <v>0</v>
      </c>
      <c r="H800" s="75">
        <v>0</v>
      </c>
      <c r="J800" s="75">
        <v>28</v>
      </c>
      <c r="K800" s="75">
        <v>39</v>
      </c>
      <c r="L800" s="76" t="s">
        <v>396</v>
      </c>
      <c r="M800" s="76" t="s">
        <v>427</v>
      </c>
      <c r="N800" s="75">
        <v>0</v>
      </c>
    </row>
    <row r="801" spans="1:14" ht="45" x14ac:dyDescent="0.25">
      <c r="A801" s="77">
        <v>28</v>
      </c>
      <c r="B801" s="77">
        <v>40</v>
      </c>
      <c r="C801" s="78" t="s">
        <v>396</v>
      </c>
      <c r="D801" s="78" t="s">
        <v>431</v>
      </c>
      <c r="E801" s="77">
        <v>0</v>
      </c>
      <c r="F801" s="77">
        <v>1</v>
      </c>
      <c r="G801" s="77">
        <v>0</v>
      </c>
      <c r="H801" s="77">
        <v>11</v>
      </c>
      <c r="J801" s="77">
        <v>28</v>
      </c>
      <c r="K801" s="77">
        <v>40</v>
      </c>
      <c r="L801" s="78" t="s">
        <v>396</v>
      </c>
      <c r="M801" s="78" t="s">
        <v>431</v>
      </c>
      <c r="N801" s="77">
        <v>4.8811070897897579</v>
      </c>
    </row>
    <row r="802" spans="1:14" ht="30" x14ac:dyDescent="0.25">
      <c r="A802" s="75">
        <v>29</v>
      </c>
      <c r="B802" s="75">
        <v>30</v>
      </c>
      <c r="C802" s="76" t="s">
        <v>399</v>
      </c>
      <c r="D802" s="76" t="s">
        <v>402</v>
      </c>
      <c r="E802" s="75"/>
      <c r="F802" s="75"/>
      <c r="G802" s="75">
        <v>0</v>
      </c>
      <c r="H802" s="75">
        <v>0</v>
      </c>
      <c r="J802" s="75">
        <v>29</v>
      </c>
      <c r="K802" s="75">
        <v>30</v>
      </c>
      <c r="L802" s="76" t="s">
        <v>399</v>
      </c>
      <c r="M802" s="76" t="s">
        <v>402</v>
      </c>
      <c r="N802" s="75">
        <v>0</v>
      </c>
    </row>
    <row r="803" spans="1:14" x14ac:dyDescent="0.25">
      <c r="A803" s="77">
        <v>29</v>
      </c>
      <c r="B803" s="77">
        <v>31</v>
      </c>
      <c r="C803" s="78" t="s">
        <v>399</v>
      </c>
      <c r="D803" s="78" t="s">
        <v>406</v>
      </c>
      <c r="E803" s="77">
        <v>0</v>
      </c>
      <c r="F803" s="77">
        <v>1</v>
      </c>
      <c r="G803" s="77">
        <v>0</v>
      </c>
      <c r="H803" s="77">
        <v>14</v>
      </c>
      <c r="J803" s="77">
        <v>29</v>
      </c>
      <c r="K803" s="77">
        <v>31</v>
      </c>
      <c r="L803" s="78" t="s">
        <v>399</v>
      </c>
      <c r="M803" s="78" t="s">
        <v>406</v>
      </c>
      <c r="N803" s="77">
        <v>2.831172010607216</v>
      </c>
    </row>
    <row r="804" spans="1:14" x14ac:dyDescent="0.25">
      <c r="A804" s="75">
        <v>29</v>
      </c>
      <c r="B804" s="75">
        <v>32</v>
      </c>
      <c r="C804" s="76" t="s">
        <v>399</v>
      </c>
      <c r="D804" s="76" t="s">
        <v>407</v>
      </c>
      <c r="E804" s="75">
        <v>0</v>
      </c>
      <c r="F804" s="75">
        <v>1</v>
      </c>
      <c r="G804" s="75">
        <v>0</v>
      </c>
      <c r="H804" s="75">
        <v>17</v>
      </c>
      <c r="J804" s="75">
        <v>29</v>
      </c>
      <c r="K804" s="75">
        <v>32</v>
      </c>
      <c r="L804" s="76" t="s">
        <v>399</v>
      </c>
      <c r="M804" s="76" t="s">
        <v>407</v>
      </c>
      <c r="N804" s="75">
        <v>7.0464520495469234</v>
      </c>
    </row>
    <row r="805" spans="1:14" x14ac:dyDescent="0.25">
      <c r="A805" s="77">
        <v>29</v>
      </c>
      <c r="B805" s="77">
        <v>33</v>
      </c>
      <c r="C805" s="78" t="s">
        <v>399</v>
      </c>
      <c r="D805" s="78" t="s">
        <v>410</v>
      </c>
      <c r="E805" s="77"/>
      <c r="F805" s="77"/>
      <c r="G805" s="77">
        <v>0</v>
      </c>
      <c r="H805" s="77">
        <v>0</v>
      </c>
      <c r="J805" s="77">
        <v>29</v>
      </c>
      <c r="K805" s="77">
        <v>33</v>
      </c>
      <c r="L805" s="78" t="s">
        <v>399</v>
      </c>
      <c r="M805" s="78" t="s">
        <v>410</v>
      </c>
      <c r="N805" s="77">
        <v>0</v>
      </c>
    </row>
    <row r="806" spans="1:14" x14ac:dyDescent="0.25">
      <c r="A806" s="75">
        <v>29</v>
      </c>
      <c r="B806" s="75">
        <v>34</v>
      </c>
      <c r="C806" s="76" t="s">
        <v>399</v>
      </c>
      <c r="D806" s="76" t="s">
        <v>413</v>
      </c>
      <c r="E806" s="75">
        <v>0</v>
      </c>
      <c r="F806" s="75">
        <v>1</v>
      </c>
      <c r="G806" s="75">
        <v>0</v>
      </c>
      <c r="H806" s="75">
        <v>15</v>
      </c>
      <c r="J806" s="75">
        <v>29</v>
      </c>
      <c r="K806" s="75">
        <v>34</v>
      </c>
      <c r="L806" s="76" t="s">
        <v>399</v>
      </c>
      <c r="M806" s="76" t="s">
        <v>413</v>
      </c>
      <c r="N806" s="75">
        <v>3.9176822881487059</v>
      </c>
    </row>
    <row r="807" spans="1:14" ht="30" x14ac:dyDescent="0.25">
      <c r="A807" s="77">
        <v>29</v>
      </c>
      <c r="B807" s="77">
        <v>35</v>
      </c>
      <c r="C807" s="78" t="s">
        <v>399</v>
      </c>
      <c r="D807" s="78" t="s">
        <v>416</v>
      </c>
      <c r="E807" s="77"/>
      <c r="F807" s="77"/>
      <c r="G807" s="77">
        <v>0</v>
      </c>
      <c r="H807" s="77">
        <v>0</v>
      </c>
      <c r="J807" s="77">
        <v>29</v>
      </c>
      <c r="K807" s="77">
        <v>35</v>
      </c>
      <c r="L807" s="78" t="s">
        <v>399</v>
      </c>
      <c r="M807" s="78" t="s">
        <v>416</v>
      </c>
      <c r="N807" s="77">
        <v>0</v>
      </c>
    </row>
    <row r="808" spans="1:14" ht="45" x14ac:dyDescent="0.25">
      <c r="A808" s="75">
        <v>29</v>
      </c>
      <c r="B808" s="75">
        <v>36</v>
      </c>
      <c r="C808" s="76" t="s">
        <v>399</v>
      </c>
      <c r="D808" s="76" t="s">
        <v>420</v>
      </c>
      <c r="E808" s="75">
        <v>0</v>
      </c>
      <c r="F808" s="75">
        <v>1</v>
      </c>
      <c r="G808" s="75">
        <v>0</v>
      </c>
      <c r="H808" s="75">
        <v>12</v>
      </c>
      <c r="J808" s="75">
        <v>29</v>
      </c>
      <c r="K808" s="75">
        <v>36</v>
      </c>
      <c r="L808" s="76" t="s">
        <v>399</v>
      </c>
      <c r="M808" s="76" t="s">
        <v>420</v>
      </c>
      <c r="N808" s="75">
        <v>3.1161595286318371</v>
      </c>
    </row>
    <row r="809" spans="1:14" x14ac:dyDescent="0.25">
      <c r="A809" s="77">
        <v>29</v>
      </c>
      <c r="B809" s="77">
        <v>37</v>
      </c>
      <c r="C809" s="78" t="s">
        <v>399</v>
      </c>
      <c r="D809" s="78" t="s">
        <v>422</v>
      </c>
      <c r="E809" s="77"/>
      <c r="F809" s="77"/>
      <c r="G809" s="77">
        <v>0</v>
      </c>
      <c r="H809" s="77">
        <v>0</v>
      </c>
      <c r="J809" s="77">
        <v>29</v>
      </c>
      <c r="K809" s="77">
        <v>37</v>
      </c>
      <c r="L809" s="78" t="s">
        <v>399</v>
      </c>
      <c r="M809" s="78" t="s">
        <v>422</v>
      </c>
      <c r="N809" s="77">
        <v>0</v>
      </c>
    </row>
    <row r="810" spans="1:14" ht="30" x14ac:dyDescent="0.25">
      <c r="A810" s="75">
        <v>29</v>
      </c>
      <c r="B810" s="75">
        <v>38</v>
      </c>
      <c r="C810" s="76" t="s">
        <v>399</v>
      </c>
      <c r="D810" s="76" t="s">
        <v>425</v>
      </c>
      <c r="E810" s="75">
        <v>0</v>
      </c>
      <c r="F810" s="75">
        <v>1</v>
      </c>
      <c r="G810" s="75">
        <v>0</v>
      </c>
      <c r="H810" s="75">
        <v>10</v>
      </c>
      <c r="J810" s="75">
        <v>29</v>
      </c>
      <c r="K810" s="75">
        <v>38</v>
      </c>
      <c r="L810" s="76" t="s">
        <v>399</v>
      </c>
      <c r="M810" s="76" t="s">
        <v>425</v>
      </c>
      <c r="N810" s="75">
        <v>0</v>
      </c>
    </row>
    <row r="811" spans="1:14" x14ac:dyDescent="0.25">
      <c r="A811" s="77">
        <v>29</v>
      </c>
      <c r="B811" s="77">
        <v>39</v>
      </c>
      <c r="C811" s="78" t="s">
        <v>399</v>
      </c>
      <c r="D811" s="78" t="s">
        <v>427</v>
      </c>
      <c r="E811" s="77"/>
      <c r="F811" s="77"/>
      <c r="G811" s="77">
        <v>0</v>
      </c>
      <c r="H811" s="77">
        <v>0</v>
      </c>
      <c r="J811" s="77">
        <v>29</v>
      </c>
      <c r="K811" s="77">
        <v>39</v>
      </c>
      <c r="L811" s="78" t="s">
        <v>399</v>
      </c>
      <c r="M811" s="78" t="s">
        <v>427</v>
      </c>
      <c r="N811" s="77">
        <v>0</v>
      </c>
    </row>
    <row r="812" spans="1:14" x14ac:dyDescent="0.25">
      <c r="A812" s="75">
        <v>29</v>
      </c>
      <c r="B812" s="75">
        <v>40</v>
      </c>
      <c r="C812" s="76" t="s">
        <v>399</v>
      </c>
      <c r="D812" s="76" t="s">
        <v>431</v>
      </c>
      <c r="E812" s="75">
        <v>0</v>
      </c>
      <c r="F812" s="75">
        <v>1</v>
      </c>
      <c r="G812" s="75">
        <v>0</v>
      </c>
      <c r="H812" s="75">
        <v>11</v>
      </c>
      <c r="J812" s="75">
        <v>29</v>
      </c>
      <c r="K812" s="75">
        <v>40</v>
      </c>
      <c r="L812" s="76" t="s">
        <v>399</v>
      </c>
      <c r="M812" s="76" t="s">
        <v>431</v>
      </c>
      <c r="N812" s="75">
        <v>4.8811070897897579</v>
      </c>
    </row>
    <row r="813" spans="1:14" ht="30" x14ac:dyDescent="0.25">
      <c r="A813" s="77">
        <v>30</v>
      </c>
      <c r="B813" s="77">
        <v>31</v>
      </c>
      <c r="C813" s="78" t="s">
        <v>402</v>
      </c>
      <c r="D813" s="78" t="s">
        <v>406</v>
      </c>
      <c r="E813" s="77">
        <v>0</v>
      </c>
      <c r="F813" s="77">
        <v>1</v>
      </c>
      <c r="G813" s="77">
        <v>0</v>
      </c>
      <c r="H813" s="77">
        <v>14</v>
      </c>
      <c r="J813" s="77">
        <v>30</v>
      </c>
      <c r="K813" s="77">
        <v>31</v>
      </c>
      <c r="L813" s="78" t="s">
        <v>402</v>
      </c>
      <c r="M813" s="78" t="s">
        <v>406</v>
      </c>
      <c r="N813" s="77">
        <v>2.831172010607216</v>
      </c>
    </row>
    <row r="814" spans="1:14" ht="30" x14ac:dyDescent="0.25">
      <c r="A814" s="75">
        <v>30</v>
      </c>
      <c r="B814" s="75">
        <v>32</v>
      </c>
      <c r="C814" s="76" t="s">
        <v>402</v>
      </c>
      <c r="D814" s="76" t="s">
        <v>407</v>
      </c>
      <c r="E814" s="75">
        <v>0</v>
      </c>
      <c r="F814" s="75">
        <v>1</v>
      </c>
      <c r="G814" s="75">
        <v>0</v>
      </c>
      <c r="H814" s="75">
        <v>17</v>
      </c>
      <c r="J814" s="75">
        <v>30</v>
      </c>
      <c r="K814" s="75">
        <v>32</v>
      </c>
      <c r="L814" s="76" t="s">
        <v>402</v>
      </c>
      <c r="M814" s="76" t="s">
        <v>407</v>
      </c>
      <c r="N814" s="75">
        <v>7.0464520495469234</v>
      </c>
    </row>
    <row r="815" spans="1:14" ht="30" x14ac:dyDescent="0.25">
      <c r="A815" s="77">
        <v>30</v>
      </c>
      <c r="B815" s="77">
        <v>33</v>
      </c>
      <c r="C815" s="78" t="s">
        <v>402</v>
      </c>
      <c r="D815" s="78" t="s">
        <v>410</v>
      </c>
      <c r="E815" s="77"/>
      <c r="F815" s="77"/>
      <c r="G815" s="77">
        <v>0</v>
      </c>
      <c r="H815" s="77">
        <v>0</v>
      </c>
      <c r="J815" s="77">
        <v>30</v>
      </c>
      <c r="K815" s="77">
        <v>33</v>
      </c>
      <c r="L815" s="78" t="s">
        <v>402</v>
      </c>
      <c r="M815" s="78" t="s">
        <v>410</v>
      </c>
      <c r="N815" s="77">
        <v>0</v>
      </c>
    </row>
    <row r="816" spans="1:14" ht="30" x14ac:dyDescent="0.25">
      <c r="A816" s="75">
        <v>30</v>
      </c>
      <c r="B816" s="75">
        <v>34</v>
      </c>
      <c r="C816" s="76" t="s">
        <v>402</v>
      </c>
      <c r="D816" s="76" t="s">
        <v>413</v>
      </c>
      <c r="E816" s="75">
        <v>0</v>
      </c>
      <c r="F816" s="75">
        <v>1</v>
      </c>
      <c r="G816" s="75">
        <v>0</v>
      </c>
      <c r="H816" s="75">
        <v>15</v>
      </c>
      <c r="J816" s="75">
        <v>30</v>
      </c>
      <c r="K816" s="75">
        <v>34</v>
      </c>
      <c r="L816" s="76" t="s">
        <v>402</v>
      </c>
      <c r="M816" s="76" t="s">
        <v>413</v>
      </c>
      <c r="N816" s="75">
        <v>3.9176822881487059</v>
      </c>
    </row>
    <row r="817" spans="1:14" ht="30" x14ac:dyDescent="0.25">
      <c r="A817" s="77">
        <v>30</v>
      </c>
      <c r="B817" s="77">
        <v>35</v>
      </c>
      <c r="C817" s="78" t="s">
        <v>402</v>
      </c>
      <c r="D817" s="78" t="s">
        <v>416</v>
      </c>
      <c r="E817" s="77"/>
      <c r="F817" s="77"/>
      <c r="G817" s="77">
        <v>0</v>
      </c>
      <c r="H817" s="77">
        <v>0</v>
      </c>
      <c r="J817" s="77">
        <v>30</v>
      </c>
      <c r="K817" s="77">
        <v>35</v>
      </c>
      <c r="L817" s="78" t="s">
        <v>402</v>
      </c>
      <c r="M817" s="78" t="s">
        <v>416</v>
      </c>
      <c r="N817" s="77">
        <v>0</v>
      </c>
    </row>
    <row r="818" spans="1:14" ht="45" x14ac:dyDescent="0.25">
      <c r="A818" s="75">
        <v>30</v>
      </c>
      <c r="B818" s="75">
        <v>36</v>
      </c>
      <c r="C818" s="76" t="s">
        <v>402</v>
      </c>
      <c r="D818" s="76" t="s">
        <v>420</v>
      </c>
      <c r="E818" s="75">
        <v>0</v>
      </c>
      <c r="F818" s="75">
        <v>1</v>
      </c>
      <c r="G818" s="75">
        <v>0</v>
      </c>
      <c r="H818" s="75">
        <v>12</v>
      </c>
      <c r="J818" s="75">
        <v>30</v>
      </c>
      <c r="K818" s="75">
        <v>36</v>
      </c>
      <c r="L818" s="76" t="s">
        <v>402</v>
      </c>
      <c r="M818" s="76" t="s">
        <v>420</v>
      </c>
      <c r="N818" s="75">
        <v>3.1161595286318371</v>
      </c>
    </row>
    <row r="819" spans="1:14" ht="30" x14ac:dyDescent="0.25">
      <c r="A819" s="77">
        <v>30</v>
      </c>
      <c r="B819" s="77">
        <v>37</v>
      </c>
      <c r="C819" s="78" t="s">
        <v>402</v>
      </c>
      <c r="D819" s="78" t="s">
        <v>422</v>
      </c>
      <c r="E819" s="77"/>
      <c r="F819" s="77"/>
      <c r="G819" s="77">
        <v>0</v>
      </c>
      <c r="H819" s="77">
        <v>0</v>
      </c>
      <c r="J819" s="77">
        <v>30</v>
      </c>
      <c r="K819" s="77">
        <v>37</v>
      </c>
      <c r="L819" s="78" t="s">
        <v>402</v>
      </c>
      <c r="M819" s="78" t="s">
        <v>422</v>
      </c>
      <c r="N819" s="77">
        <v>0</v>
      </c>
    </row>
    <row r="820" spans="1:14" ht="30" x14ac:dyDescent="0.25">
      <c r="A820" s="75">
        <v>30</v>
      </c>
      <c r="B820" s="75">
        <v>38</v>
      </c>
      <c r="C820" s="76" t="s">
        <v>402</v>
      </c>
      <c r="D820" s="76" t="s">
        <v>425</v>
      </c>
      <c r="E820" s="75">
        <v>0</v>
      </c>
      <c r="F820" s="75">
        <v>1</v>
      </c>
      <c r="G820" s="75">
        <v>0</v>
      </c>
      <c r="H820" s="75">
        <v>10</v>
      </c>
      <c r="J820" s="75">
        <v>30</v>
      </c>
      <c r="K820" s="75">
        <v>38</v>
      </c>
      <c r="L820" s="76" t="s">
        <v>402</v>
      </c>
      <c r="M820" s="76" t="s">
        <v>425</v>
      </c>
      <c r="N820" s="75">
        <v>0</v>
      </c>
    </row>
    <row r="821" spans="1:14" ht="30" x14ac:dyDescent="0.25">
      <c r="A821" s="77">
        <v>30</v>
      </c>
      <c r="B821" s="77">
        <v>39</v>
      </c>
      <c r="C821" s="78" t="s">
        <v>402</v>
      </c>
      <c r="D821" s="78" t="s">
        <v>427</v>
      </c>
      <c r="E821" s="77"/>
      <c r="F821" s="77"/>
      <c r="G821" s="77">
        <v>0</v>
      </c>
      <c r="H821" s="77">
        <v>0</v>
      </c>
      <c r="J821" s="77">
        <v>30</v>
      </c>
      <c r="K821" s="77">
        <v>39</v>
      </c>
      <c r="L821" s="78" t="s">
        <v>402</v>
      </c>
      <c r="M821" s="78" t="s">
        <v>427</v>
      </c>
      <c r="N821" s="77">
        <v>0</v>
      </c>
    </row>
    <row r="822" spans="1:14" ht="30" x14ac:dyDescent="0.25">
      <c r="A822" s="75">
        <v>30</v>
      </c>
      <c r="B822" s="75">
        <v>40</v>
      </c>
      <c r="C822" s="76" t="s">
        <v>402</v>
      </c>
      <c r="D822" s="76" t="s">
        <v>431</v>
      </c>
      <c r="E822" s="75">
        <v>0</v>
      </c>
      <c r="F822" s="75">
        <v>1</v>
      </c>
      <c r="G822" s="75">
        <v>0</v>
      </c>
      <c r="H822" s="75">
        <v>11</v>
      </c>
      <c r="J822" s="75">
        <v>30</v>
      </c>
      <c r="K822" s="75">
        <v>40</v>
      </c>
      <c r="L822" s="76" t="s">
        <v>402</v>
      </c>
      <c r="M822" s="76" t="s">
        <v>431</v>
      </c>
      <c r="N822" s="75">
        <v>4.8811070897897579</v>
      </c>
    </row>
    <row r="823" spans="1:14" x14ac:dyDescent="0.25">
      <c r="A823" s="77">
        <v>31</v>
      </c>
      <c r="B823" s="77">
        <v>32</v>
      </c>
      <c r="C823" s="78" t="s">
        <v>406</v>
      </c>
      <c r="D823" s="78" t="s">
        <v>407</v>
      </c>
      <c r="E823" s="77">
        <v>0.82352941176470584</v>
      </c>
      <c r="F823" s="77">
        <v>0.17647058823529421</v>
      </c>
      <c r="G823" s="77">
        <v>14</v>
      </c>
      <c r="H823" s="77">
        <v>17</v>
      </c>
      <c r="J823" s="77">
        <v>31</v>
      </c>
      <c r="K823" s="77">
        <v>32</v>
      </c>
      <c r="L823" s="78" t="s">
        <v>406</v>
      </c>
      <c r="M823" s="78" t="s">
        <v>407</v>
      </c>
      <c r="N823" s="77">
        <v>6.452670108793594</v>
      </c>
    </row>
    <row r="824" spans="1:14" x14ac:dyDescent="0.25">
      <c r="A824" s="75">
        <v>31</v>
      </c>
      <c r="B824" s="75">
        <v>33</v>
      </c>
      <c r="C824" s="76" t="s">
        <v>406</v>
      </c>
      <c r="D824" s="76" t="s">
        <v>410</v>
      </c>
      <c r="E824" s="75">
        <v>0</v>
      </c>
      <c r="F824" s="75">
        <v>1</v>
      </c>
      <c r="G824" s="75">
        <v>0</v>
      </c>
      <c r="H824" s="75">
        <v>14</v>
      </c>
      <c r="J824" s="75">
        <v>31</v>
      </c>
      <c r="K824" s="75">
        <v>33</v>
      </c>
      <c r="L824" s="76" t="s">
        <v>406</v>
      </c>
      <c r="M824" s="76" t="s">
        <v>410</v>
      </c>
      <c r="N824" s="75">
        <v>2.831172010607216</v>
      </c>
    </row>
    <row r="825" spans="1:14" x14ac:dyDescent="0.25">
      <c r="A825" s="77">
        <v>31</v>
      </c>
      <c r="B825" s="77">
        <v>34</v>
      </c>
      <c r="C825" s="78" t="s">
        <v>406</v>
      </c>
      <c r="D825" s="78" t="s">
        <v>413</v>
      </c>
      <c r="E825" s="77">
        <v>0.8125</v>
      </c>
      <c r="F825" s="77">
        <v>0.1875</v>
      </c>
      <c r="G825" s="77">
        <v>13</v>
      </c>
      <c r="H825" s="77">
        <v>16</v>
      </c>
      <c r="J825" s="77">
        <v>31</v>
      </c>
      <c r="K825" s="77">
        <v>34</v>
      </c>
      <c r="L825" s="78" t="s">
        <v>406</v>
      </c>
      <c r="M825" s="78" t="s">
        <v>413</v>
      </c>
      <c r="N825" s="77">
        <v>2.7078957803483461</v>
      </c>
    </row>
    <row r="826" spans="1:14" ht="30" x14ac:dyDescent="0.25">
      <c r="A826" s="75">
        <v>31</v>
      </c>
      <c r="B826" s="75">
        <v>35</v>
      </c>
      <c r="C826" s="76" t="s">
        <v>406</v>
      </c>
      <c r="D826" s="76" t="s">
        <v>416</v>
      </c>
      <c r="E826" s="75">
        <v>0</v>
      </c>
      <c r="F826" s="75">
        <v>1</v>
      </c>
      <c r="G826" s="75">
        <v>0</v>
      </c>
      <c r="H826" s="75">
        <v>14</v>
      </c>
      <c r="J826" s="75">
        <v>31</v>
      </c>
      <c r="K826" s="75">
        <v>35</v>
      </c>
      <c r="L826" s="76" t="s">
        <v>406</v>
      </c>
      <c r="M826" s="76" t="s">
        <v>416</v>
      </c>
      <c r="N826" s="75">
        <v>2.831172010607216</v>
      </c>
    </row>
    <row r="827" spans="1:14" ht="45" x14ac:dyDescent="0.25">
      <c r="A827" s="77">
        <v>31</v>
      </c>
      <c r="B827" s="77">
        <v>36</v>
      </c>
      <c r="C827" s="78" t="s">
        <v>406</v>
      </c>
      <c r="D827" s="78" t="s">
        <v>420</v>
      </c>
      <c r="E827" s="77">
        <v>0.625</v>
      </c>
      <c r="F827" s="77">
        <v>0.375</v>
      </c>
      <c r="G827" s="77">
        <v>10</v>
      </c>
      <c r="H827" s="77">
        <v>16</v>
      </c>
      <c r="J827" s="77">
        <v>31</v>
      </c>
      <c r="K827" s="77">
        <v>36</v>
      </c>
      <c r="L827" s="78" t="s">
        <v>406</v>
      </c>
      <c r="M827" s="78" t="s">
        <v>420</v>
      </c>
      <c r="N827" s="77">
        <v>1.301889109808239</v>
      </c>
    </row>
    <row r="828" spans="1:14" x14ac:dyDescent="0.25">
      <c r="A828" s="75">
        <v>31</v>
      </c>
      <c r="B828" s="75">
        <v>37</v>
      </c>
      <c r="C828" s="76" t="s">
        <v>406</v>
      </c>
      <c r="D828" s="76" t="s">
        <v>422</v>
      </c>
      <c r="E828" s="75">
        <v>0</v>
      </c>
      <c r="F828" s="75">
        <v>1</v>
      </c>
      <c r="G828" s="75">
        <v>0</v>
      </c>
      <c r="H828" s="75">
        <v>14</v>
      </c>
      <c r="J828" s="75">
        <v>31</v>
      </c>
      <c r="K828" s="75">
        <v>37</v>
      </c>
      <c r="L828" s="76" t="s">
        <v>406</v>
      </c>
      <c r="M828" s="76" t="s">
        <v>422</v>
      </c>
      <c r="N828" s="75">
        <v>2.831172010607216</v>
      </c>
    </row>
    <row r="829" spans="1:14" ht="30" x14ac:dyDescent="0.25">
      <c r="A829" s="77">
        <v>31</v>
      </c>
      <c r="B829" s="77">
        <v>38</v>
      </c>
      <c r="C829" s="78" t="s">
        <v>406</v>
      </c>
      <c r="D829" s="78" t="s">
        <v>425</v>
      </c>
      <c r="E829" s="77">
        <v>0.6</v>
      </c>
      <c r="F829" s="77">
        <v>0.4</v>
      </c>
      <c r="G829" s="77">
        <v>9</v>
      </c>
      <c r="H829" s="77">
        <v>15</v>
      </c>
      <c r="J829" s="77">
        <v>31</v>
      </c>
      <c r="K829" s="77">
        <v>38</v>
      </c>
      <c r="L829" s="78" t="s">
        <v>406</v>
      </c>
      <c r="M829" s="78" t="s">
        <v>425</v>
      </c>
      <c r="N829" s="77">
        <v>2.831172010607216</v>
      </c>
    </row>
    <row r="830" spans="1:14" x14ac:dyDescent="0.25">
      <c r="A830" s="75">
        <v>31</v>
      </c>
      <c r="B830" s="75">
        <v>39</v>
      </c>
      <c r="C830" s="76" t="s">
        <v>406</v>
      </c>
      <c r="D830" s="76" t="s">
        <v>427</v>
      </c>
      <c r="E830" s="75">
        <v>0</v>
      </c>
      <c r="F830" s="75">
        <v>1</v>
      </c>
      <c r="G830" s="75">
        <v>0</v>
      </c>
      <c r="H830" s="75">
        <v>14</v>
      </c>
      <c r="J830" s="75">
        <v>31</v>
      </c>
      <c r="K830" s="75">
        <v>39</v>
      </c>
      <c r="L830" s="76" t="s">
        <v>406</v>
      </c>
      <c r="M830" s="76" t="s">
        <v>427</v>
      </c>
      <c r="N830" s="75">
        <v>2.831172010607216</v>
      </c>
    </row>
    <row r="831" spans="1:14" x14ac:dyDescent="0.25">
      <c r="A831" s="77">
        <v>31</v>
      </c>
      <c r="B831" s="77">
        <v>40</v>
      </c>
      <c r="C831" s="78" t="s">
        <v>406</v>
      </c>
      <c r="D831" s="78" t="s">
        <v>431</v>
      </c>
      <c r="E831" s="77">
        <v>0.66666666666666663</v>
      </c>
      <c r="F831" s="77">
        <v>0.33333333333333343</v>
      </c>
      <c r="G831" s="77">
        <v>10</v>
      </c>
      <c r="H831" s="77">
        <v>15</v>
      </c>
      <c r="J831" s="77">
        <v>31</v>
      </c>
      <c r="K831" s="77">
        <v>40</v>
      </c>
      <c r="L831" s="78" t="s">
        <v>406</v>
      </c>
      <c r="M831" s="78" t="s">
        <v>431</v>
      </c>
      <c r="N831" s="77">
        <v>3.9761377577179262</v>
      </c>
    </row>
    <row r="832" spans="1:14" x14ac:dyDescent="0.25">
      <c r="A832" s="75">
        <v>32</v>
      </c>
      <c r="B832" s="75">
        <v>33</v>
      </c>
      <c r="C832" s="76" t="s">
        <v>407</v>
      </c>
      <c r="D832" s="76" t="s">
        <v>410</v>
      </c>
      <c r="E832" s="75">
        <v>0</v>
      </c>
      <c r="F832" s="75">
        <v>1</v>
      </c>
      <c r="G832" s="75">
        <v>0</v>
      </c>
      <c r="H832" s="75">
        <v>17</v>
      </c>
      <c r="J832" s="75">
        <v>32</v>
      </c>
      <c r="K832" s="75">
        <v>33</v>
      </c>
      <c r="L832" s="76" t="s">
        <v>407</v>
      </c>
      <c r="M832" s="76" t="s">
        <v>410</v>
      </c>
      <c r="N832" s="75">
        <v>7.0464520495469234</v>
      </c>
    </row>
    <row r="833" spans="1:14" x14ac:dyDescent="0.25">
      <c r="A833" s="77">
        <v>32</v>
      </c>
      <c r="B833" s="77">
        <v>34</v>
      </c>
      <c r="C833" s="78" t="s">
        <v>407</v>
      </c>
      <c r="D833" s="78" t="s">
        <v>413</v>
      </c>
      <c r="E833" s="77">
        <v>0.88235294117647056</v>
      </c>
      <c r="F833" s="77">
        <v>0.1176470588235294</v>
      </c>
      <c r="G833" s="77">
        <v>15</v>
      </c>
      <c r="H833" s="77">
        <v>17</v>
      </c>
      <c r="J833" s="77">
        <v>32</v>
      </c>
      <c r="K833" s="77">
        <v>34</v>
      </c>
      <c r="L833" s="78" t="s">
        <v>407</v>
      </c>
      <c r="M833" s="78" t="s">
        <v>413</v>
      </c>
      <c r="N833" s="77">
        <v>5.3528438580137427</v>
      </c>
    </row>
    <row r="834" spans="1:14" ht="30" x14ac:dyDescent="0.25">
      <c r="A834" s="75">
        <v>32</v>
      </c>
      <c r="B834" s="75">
        <v>35</v>
      </c>
      <c r="C834" s="76" t="s">
        <v>407</v>
      </c>
      <c r="D834" s="76" t="s">
        <v>416</v>
      </c>
      <c r="E834" s="75">
        <v>0</v>
      </c>
      <c r="F834" s="75">
        <v>1</v>
      </c>
      <c r="G834" s="75">
        <v>0</v>
      </c>
      <c r="H834" s="75">
        <v>17</v>
      </c>
      <c r="J834" s="75">
        <v>32</v>
      </c>
      <c r="K834" s="75">
        <v>35</v>
      </c>
      <c r="L834" s="76" t="s">
        <v>407</v>
      </c>
      <c r="M834" s="76" t="s">
        <v>416</v>
      </c>
      <c r="N834" s="75">
        <v>7.0464520495469234</v>
      </c>
    </row>
    <row r="835" spans="1:14" ht="45" x14ac:dyDescent="0.25">
      <c r="A835" s="77">
        <v>32</v>
      </c>
      <c r="B835" s="77">
        <v>36</v>
      </c>
      <c r="C835" s="78" t="s">
        <v>407</v>
      </c>
      <c r="D835" s="78" t="s">
        <v>420</v>
      </c>
      <c r="E835" s="77">
        <v>0.70588235294117652</v>
      </c>
      <c r="F835" s="77">
        <v>0.29411764705882348</v>
      </c>
      <c r="G835" s="77">
        <v>12</v>
      </c>
      <c r="H835" s="77">
        <v>17</v>
      </c>
      <c r="J835" s="77">
        <v>32</v>
      </c>
      <c r="K835" s="77">
        <v>36</v>
      </c>
      <c r="L835" s="78" t="s">
        <v>407</v>
      </c>
      <c r="M835" s="78" t="s">
        <v>420</v>
      </c>
      <c r="N835" s="77">
        <v>6.0458420232591648</v>
      </c>
    </row>
    <row r="836" spans="1:14" x14ac:dyDescent="0.25">
      <c r="A836" s="75">
        <v>32</v>
      </c>
      <c r="B836" s="75">
        <v>37</v>
      </c>
      <c r="C836" s="76" t="s">
        <v>407</v>
      </c>
      <c r="D836" s="76" t="s">
        <v>422</v>
      </c>
      <c r="E836" s="75">
        <v>0</v>
      </c>
      <c r="F836" s="75">
        <v>1</v>
      </c>
      <c r="G836" s="75">
        <v>0</v>
      </c>
      <c r="H836" s="75">
        <v>17</v>
      </c>
      <c r="J836" s="75">
        <v>32</v>
      </c>
      <c r="K836" s="75">
        <v>37</v>
      </c>
      <c r="L836" s="76" t="s">
        <v>407</v>
      </c>
      <c r="M836" s="76" t="s">
        <v>422</v>
      </c>
      <c r="N836" s="75">
        <v>7.0464520495469234</v>
      </c>
    </row>
    <row r="837" spans="1:14" ht="30" x14ac:dyDescent="0.25">
      <c r="A837" s="77">
        <v>32</v>
      </c>
      <c r="B837" s="77">
        <v>38</v>
      </c>
      <c r="C837" s="78" t="s">
        <v>407</v>
      </c>
      <c r="D837" s="78" t="s">
        <v>425</v>
      </c>
      <c r="E837" s="77">
        <v>0.58823529411764708</v>
      </c>
      <c r="F837" s="77">
        <v>0.41176470588235292</v>
      </c>
      <c r="G837" s="77">
        <v>10</v>
      </c>
      <c r="H837" s="77">
        <v>17</v>
      </c>
      <c r="J837" s="77">
        <v>32</v>
      </c>
      <c r="K837" s="77">
        <v>38</v>
      </c>
      <c r="L837" s="78" t="s">
        <v>407</v>
      </c>
      <c r="M837" s="78" t="s">
        <v>425</v>
      </c>
      <c r="N837" s="77">
        <v>7.0464520495469234</v>
      </c>
    </row>
    <row r="838" spans="1:14" x14ac:dyDescent="0.25">
      <c r="A838" s="75">
        <v>32</v>
      </c>
      <c r="B838" s="75">
        <v>39</v>
      </c>
      <c r="C838" s="76" t="s">
        <v>407</v>
      </c>
      <c r="D838" s="76" t="s">
        <v>427</v>
      </c>
      <c r="E838" s="75">
        <v>0</v>
      </c>
      <c r="F838" s="75">
        <v>1</v>
      </c>
      <c r="G838" s="75">
        <v>0</v>
      </c>
      <c r="H838" s="75">
        <v>17</v>
      </c>
      <c r="J838" s="75">
        <v>32</v>
      </c>
      <c r="K838" s="75">
        <v>39</v>
      </c>
      <c r="L838" s="76" t="s">
        <v>407</v>
      </c>
      <c r="M838" s="76" t="s">
        <v>427</v>
      </c>
      <c r="N838" s="75">
        <v>7.0464520495469234</v>
      </c>
    </row>
    <row r="839" spans="1:14" x14ac:dyDescent="0.25">
      <c r="A839" s="77">
        <v>32</v>
      </c>
      <c r="B839" s="77">
        <v>40</v>
      </c>
      <c r="C839" s="78" t="s">
        <v>407</v>
      </c>
      <c r="D839" s="78" t="s">
        <v>431</v>
      </c>
      <c r="E839" s="77">
        <v>0.6470588235294118</v>
      </c>
      <c r="F839" s="77">
        <v>0.3529411764705882</v>
      </c>
      <c r="G839" s="77">
        <v>11</v>
      </c>
      <c r="H839" s="77">
        <v>17</v>
      </c>
      <c r="J839" s="77">
        <v>32</v>
      </c>
      <c r="K839" s="77">
        <v>40</v>
      </c>
      <c r="L839" s="78" t="s">
        <v>407</v>
      </c>
      <c r="M839" s="78" t="s">
        <v>431</v>
      </c>
      <c r="N839" s="77">
        <v>5.0820547089310439</v>
      </c>
    </row>
    <row r="840" spans="1:14" x14ac:dyDescent="0.25">
      <c r="A840" s="75">
        <v>33</v>
      </c>
      <c r="B840" s="75">
        <v>34</v>
      </c>
      <c r="C840" s="76" t="s">
        <v>410</v>
      </c>
      <c r="D840" s="76" t="s">
        <v>413</v>
      </c>
      <c r="E840" s="75">
        <v>0</v>
      </c>
      <c r="F840" s="75">
        <v>1</v>
      </c>
      <c r="G840" s="75">
        <v>0</v>
      </c>
      <c r="H840" s="75">
        <v>15</v>
      </c>
      <c r="J840" s="75">
        <v>33</v>
      </c>
      <c r="K840" s="75">
        <v>34</v>
      </c>
      <c r="L840" s="76" t="s">
        <v>410</v>
      </c>
      <c r="M840" s="76" t="s">
        <v>413</v>
      </c>
      <c r="N840" s="75">
        <v>3.9176822881487059</v>
      </c>
    </row>
    <row r="841" spans="1:14" ht="30" x14ac:dyDescent="0.25">
      <c r="A841" s="77">
        <v>33</v>
      </c>
      <c r="B841" s="77">
        <v>35</v>
      </c>
      <c r="C841" s="78" t="s">
        <v>410</v>
      </c>
      <c r="D841" s="78" t="s">
        <v>416</v>
      </c>
      <c r="E841" s="77"/>
      <c r="F841" s="77"/>
      <c r="G841" s="77">
        <v>0</v>
      </c>
      <c r="H841" s="77">
        <v>0</v>
      </c>
      <c r="J841" s="77">
        <v>33</v>
      </c>
      <c r="K841" s="77">
        <v>35</v>
      </c>
      <c r="L841" s="78" t="s">
        <v>410</v>
      </c>
      <c r="M841" s="78" t="s">
        <v>416</v>
      </c>
      <c r="N841" s="77">
        <v>0</v>
      </c>
    </row>
    <row r="842" spans="1:14" ht="45" x14ac:dyDescent="0.25">
      <c r="A842" s="75">
        <v>33</v>
      </c>
      <c r="B842" s="75">
        <v>36</v>
      </c>
      <c r="C842" s="76" t="s">
        <v>410</v>
      </c>
      <c r="D842" s="76" t="s">
        <v>420</v>
      </c>
      <c r="E842" s="75">
        <v>0</v>
      </c>
      <c r="F842" s="75">
        <v>1</v>
      </c>
      <c r="G842" s="75">
        <v>0</v>
      </c>
      <c r="H842" s="75">
        <v>12</v>
      </c>
      <c r="J842" s="75">
        <v>33</v>
      </c>
      <c r="K842" s="75">
        <v>36</v>
      </c>
      <c r="L842" s="76" t="s">
        <v>410</v>
      </c>
      <c r="M842" s="76" t="s">
        <v>420</v>
      </c>
      <c r="N842" s="75">
        <v>3.1161595286318371</v>
      </c>
    </row>
    <row r="843" spans="1:14" x14ac:dyDescent="0.25">
      <c r="A843" s="77">
        <v>33</v>
      </c>
      <c r="B843" s="77">
        <v>37</v>
      </c>
      <c r="C843" s="78" t="s">
        <v>410</v>
      </c>
      <c r="D843" s="78" t="s">
        <v>422</v>
      </c>
      <c r="E843" s="77"/>
      <c r="F843" s="77"/>
      <c r="G843" s="77">
        <v>0</v>
      </c>
      <c r="H843" s="77">
        <v>0</v>
      </c>
      <c r="J843" s="77">
        <v>33</v>
      </c>
      <c r="K843" s="77">
        <v>37</v>
      </c>
      <c r="L843" s="78" t="s">
        <v>410</v>
      </c>
      <c r="M843" s="78" t="s">
        <v>422</v>
      </c>
      <c r="N843" s="77">
        <v>0</v>
      </c>
    </row>
    <row r="844" spans="1:14" ht="30" x14ac:dyDescent="0.25">
      <c r="A844" s="75">
        <v>33</v>
      </c>
      <c r="B844" s="75">
        <v>38</v>
      </c>
      <c r="C844" s="76" t="s">
        <v>410</v>
      </c>
      <c r="D844" s="76" t="s">
        <v>425</v>
      </c>
      <c r="E844" s="75">
        <v>0</v>
      </c>
      <c r="F844" s="75">
        <v>1</v>
      </c>
      <c r="G844" s="75">
        <v>0</v>
      </c>
      <c r="H844" s="75">
        <v>10</v>
      </c>
      <c r="J844" s="75">
        <v>33</v>
      </c>
      <c r="K844" s="75">
        <v>38</v>
      </c>
      <c r="L844" s="76" t="s">
        <v>410</v>
      </c>
      <c r="M844" s="76" t="s">
        <v>425</v>
      </c>
      <c r="N844" s="75">
        <v>0</v>
      </c>
    </row>
    <row r="845" spans="1:14" x14ac:dyDescent="0.25">
      <c r="A845" s="77">
        <v>33</v>
      </c>
      <c r="B845" s="77">
        <v>39</v>
      </c>
      <c r="C845" s="78" t="s">
        <v>410</v>
      </c>
      <c r="D845" s="78" t="s">
        <v>427</v>
      </c>
      <c r="E845" s="77"/>
      <c r="F845" s="77"/>
      <c r="G845" s="77">
        <v>0</v>
      </c>
      <c r="H845" s="77">
        <v>0</v>
      </c>
      <c r="J845" s="77">
        <v>33</v>
      </c>
      <c r="K845" s="77">
        <v>39</v>
      </c>
      <c r="L845" s="78" t="s">
        <v>410</v>
      </c>
      <c r="M845" s="78" t="s">
        <v>427</v>
      </c>
      <c r="N845" s="77">
        <v>0</v>
      </c>
    </row>
    <row r="846" spans="1:14" x14ac:dyDescent="0.25">
      <c r="A846" s="75">
        <v>33</v>
      </c>
      <c r="B846" s="75">
        <v>40</v>
      </c>
      <c r="C846" s="76" t="s">
        <v>410</v>
      </c>
      <c r="D846" s="76" t="s">
        <v>431</v>
      </c>
      <c r="E846" s="75">
        <v>0</v>
      </c>
      <c r="F846" s="75">
        <v>1</v>
      </c>
      <c r="G846" s="75">
        <v>0</v>
      </c>
      <c r="H846" s="75">
        <v>11</v>
      </c>
      <c r="J846" s="75">
        <v>33</v>
      </c>
      <c r="K846" s="75">
        <v>40</v>
      </c>
      <c r="L846" s="76" t="s">
        <v>410</v>
      </c>
      <c r="M846" s="76" t="s">
        <v>431</v>
      </c>
      <c r="N846" s="75">
        <v>4.8811070897897579</v>
      </c>
    </row>
    <row r="847" spans="1:14" ht="30" x14ac:dyDescent="0.25">
      <c r="A847" s="77">
        <v>34</v>
      </c>
      <c r="B847" s="77">
        <v>35</v>
      </c>
      <c r="C847" s="78" t="s">
        <v>413</v>
      </c>
      <c r="D847" s="78" t="s">
        <v>416</v>
      </c>
      <c r="E847" s="77">
        <v>0</v>
      </c>
      <c r="F847" s="77">
        <v>1</v>
      </c>
      <c r="G847" s="77">
        <v>0</v>
      </c>
      <c r="H847" s="77">
        <v>15</v>
      </c>
      <c r="J847" s="77">
        <v>34</v>
      </c>
      <c r="K847" s="77">
        <v>35</v>
      </c>
      <c r="L847" s="78" t="s">
        <v>413</v>
      </c>
      <c r="M847" s="78" t="s">
        <v>416</v>
      </c>
      <c r="N847" s="77">
        <v>3.9176822881487059</v>
      </c>
    </row>
    <row r="848" spans="1:14" ht="45" x14ac:dyDescent="0.25">
      <c r="A848" s="75">
        <v>34</v>
      </c>
      <c r="B848" s="75">
        <v>36</v>
      </c>
      <c r="C848" s="76" t="s">
        <v>413</v>
      </c>
      <c r="D848" s="76" t="s">
        <v>420</v>
      </c>
      <c r="E848" s="75">
        <v>0.8</v>
      </c>
      <c r="F848" s="75">
        <v>0.2</v>
      </c>
      <c r="G848" s="75">
        <v>12</v>
      </c>
      <c r="H848" s="75">
        <v>15</v>
      </c>
      <c r="J848" s="75">
        <v>34</v>
      </c>
      <c r="K848" s="75">
        <v>36</v>
      </c>
      <c r="L848" s="76" t="s">
        <v>413</v>
      </c>
      <c r="M848" s="76" t="s">
        <v>420</v>
      </c>
      <c r="N848" s="75">
        <v>2.3744018832099778</v>
      </c>
    </row>
    <row r="849" spans="1:14" x14ac:dyDescent="0.25">
      <c r="A849" s="77">
        <v>34</v>
      </c>
      <c r="B849" s="77">
        <v>37</v>
      </c>
      <c r="C849" s="78" t="s">
        <v>413</v>
      </c>
      <c r="D849" s="78" t="s">
        <v>422</v>
      </c>
      <c r="E849" s="77">
        <v>0</v>
      </c>
      <c r="F849" s="77">
        <v>1</v>
      </c>
      <c r="G849" s="77">
        <v>0</v>
      </c>
      <c r="H849" s="77">
        <v>15</v>
      </c>
      <c r="J849" s="77">
        <v>34</v>
      </c>
      <c r="K849" s="77">
        <v>37</v>
      </c>
      <c r="L849" s="78" t="s">
        <v>413</v>
      </c>
      <c r="M849" s="78" t="s">
        <v>422</v>
      </c>
      <c r="N849" s="77">
        <v>3.9176822881487059</v>
      </c>
    </row>
    <row r="850" spans="1:14" ht="30" x14ac:dyDescent="0.25">
      <c r="A850" s="75">
        <v>34</v>
      </c>
      <c r="B850" s="75">
        <v>38</v>
      </c>
      <c r="C850" s="76" t="s">
        <v>413</v>
      </c>
      <c r="D850" s="76" t="s">
        <v>425</v>
      </c>
      <c r="E850" s="75">
        <v>0.5625</v>
      </c>
      <c r="F850" s="75">
        <v>0.4375</v>
      </c>
      <c r="G850" s="75">
        <v>9</v>
      </c>
      <c r="H850" s="75">
        <v>16</v>
      </c>
      <c r="J850" s="75">
        <v>34</v>
      </c>
      <c r="K850" s="75">
        <v>38</v>
      </c>
      <c r="L850" s="76" t="s">
        <v>413</v>
      </c>
      <c r="M850" s="76" t="s">
        <v>425</v>
      </c>
      <c r="N850" s="75">
        <v>3.9176822881487059</v>
      </c>
    </row>
    <row r="851" spans="1:14" x14ac:dyDescent="0.25">
      <c r="A851" s="77">
        <v>34</v>
      </c>
      <c r="B851" s="77">
        <v>39</v>
      </c>
      <c r="C851" s="78" t="s">
        <v>413</v>
      </c>
      <c r="D851" s="78" t="s">
        <v>427</v>
      </c>
      <c r="E851" s="77">
        <v>0</v>
      </c>
      <c r="F851" s="77">
        <v>1</v>
      </c>
      <c r="G851" s="77">
        <v>0</v>
      </c>
      <c r="H851" s="77">
        <v>15</v>
      </c>
      <c r="J851" s="77">
        <v>34</v>
      </c>
      <c r="K851" s="77">
        <v>39</v>
      </c>
      <c r="L851" s="78" t="s">
        <v>413</v>
      </c>
      <c r="M851" s="78" t="s">
        <v>427</v>
      </c>
      <c r="N851" s="77">
        <v>3.9176822881487059</v>
      </c>
    </row>
    <row r="852" spans="1:14" x14ac:dyDescent="0.25">
      <c r="A852" s="75">
        <v>34</v>
      </c>
      <c r="B852" s="75">
        <v>40</v>
      </c>
      <c r="C852" s="76" t="s">
        <v>413</v>
      </c>
      <c r="D852" s="76" t="s">
        <v>431</v>
      </c>
      <c r="E852" s="75">
        <v>0.73333333333333328</v>
      </c>
      <c r="F852" s="75">
        <v>0.26666666666666672</v>
      </c>
      <c r="G852" s="75">
        <v>11</v>
      </c>
      <c r="H852" s="75">
        <v>15</v>
      </c>
      <c r="J852" s="75">
        <v>34</v>
      </c>
      <c r="K852" s="75">
        <v>40</v>
      </c>
      <c r="L852" s="76" t="s">
        <v>413</v>
      </c>
      <c r="M852" s="76" t="s">
        <v>431</v>
      </c>
      <c r="N852" s="75">
        <v>1.6809691560844451</v>
      </c>
    </row>
    <row r="853" spans="1:14" ht="45" x14ac:dyDescent="0.25">
      <c r="A853" s="77">
        <v>35</v>
      </c>
      <c r="B853" s="77">
        <v>36</v>
      </c>
      <c r="C853" s="78" t="s">
        <v>416</v>
      </c>
      <c r="D853" s="78" t="s">
        <v>420</v>
      </c>
      <c r="E853" s="77">
        <v>0</v>
      </c>
      <c r="F853" s="77">
        <v>1</v>
      </c>
      <c r="G853" s="77">
        <v>0</v>
      </c>
      <c r="H853" s="77">
        <v>12</v>
      </c>
      <c r="J853" s="77">
        <v>35</v>
      </c>
      <c r="K853" s="77">
        <v>36</v>
      </c>
      <c r="L853" s="78" t="s">
        <v>416</v>
      </c>
      <c r="M853" s="78" t="s">
        <v>420</v>
      </c>
      <c r="N853" s="77">
        <v>3.1161595286318371</v>
      </c>
    </row>
    <row r="854" spans="1:14" ht="30" x14ac:dyDescent="0.25">
      <c r="A854" s="75">
        <v>35</v>
      </c>
      <c r="B854" s="75">
        <v>37</v>
      </c>
      <c r="C854" s="76" t="s">
        <v>416</v>
      </c>
      <c r="D854" s="76" t="s">
        <v>422</v>
      </c>
      <c r="E854" s="75"/>
      <c r="F854" s="75"/>
      <c r="G854" s="75">
        <v>0</v>
      </c>
      <c r="H854" s="75">
        <v>0</v>
      </c>
      <c r="J854" s="75">
        <v>35</v>
      </c>
      <c r="K854" s="75">
        <v>37</v>
      </c>
      <c r="L854" s="76" t="s">
        <v>416</v>
      </c>
      <c r="M854" s="76" t="s">
        <v>422</v>
      </c>
      <c r="N854" s="75">
        <v>0</v>
      </c>
    </row>
    <row r="855" spans="1:14" ht="30" x14ac:dyDescent="0.25">
      <c r="A855" s="77">
        <v>35</v>
      </c>
      <c r="B855" s="77">
        <v>38</v>
      </c>
      <c r="C855" s="78" t="s">
        <v>416</v>
      </c>
      <c r="D855" s="78" t="s">
        <v>425</v>
      </c>
      <c r="E855" s="77">
        <v>0</v>
      </c>
      <c r="F855" s="77">
        <v>1</v>
      </c>
      <c r="G855" s="77">
        <v>0</v>
      </c>
      <c r="H855" s="77">
        <v>10</v>
      </c>
      <c r="J855" s="77">
        <v>35</v>
      </c>
      <c r="K855" s="77">
        <v>38</v>
      </c>
      <c r="L855" s="78" t="s">
        <v>416</v>
      </c>
      <c r="M855" s="78" t="s">
        <v>425</v>
      </c>
      <c r="N855" s="77">
        <v>0</v>
      </c>
    </row>
    <row r="856" spans="1:14" ht="30" x14ac:dyDescent="0.25">
      <c r="A856" s="75">
        <v>35</v>
      </c>
      <c r="B856" s="75">
        <v>39</v>
      </c>
      <c r="C856" s="76" t="s">
        <v>416</v>
      </c>
      <c r="D856" s="76" t="s">
        <v>427</v>
      </c>
      <c r="E856" s="75"/>
      <c r="F856" s="75"/>
      <c r="G856" s="75">
        <v>0</v>
      </c>
      <c r="H856" s="75">
        <v>0</v>
      </c>
      <c r="J856" s="75">
        <v>35</v>
      </c>
      <c r="K856" s="75">
        <v>39</v>
      </c>
      <c r="L856" s="76" t="s">
        <v>416</v>
      </c>
      <c r="M856" s="76" t="s">
        <v>427</v>
      </c>
      <c r="N856" s="75">
        <v>0</v>
      </c>
    </row>
    <row r="857" spans="1:14" ht="30" x14ac:dyDescent="0.25">
      <c r="A857" s="77">
        <v>35</v>
      </c>
      <c r="B857" s="77">
        <v>40</v>
      </c>
      <c r="C857" s="78" t="s">
        <v>416</v>
      </c>
      <c r="D857" s="78" t="s">
        <v>431</v>
      </c>
      <c r="E857" s="77">
        <v>0</v>
      </c>
      <c r="F857" s="77">
        <v>1</v>
      </c>
      <c r="G857" s="77">
        <v>0</v>
      </c>
      <c r="H857" s="77">
        <v>11</v>
      </c>
      <c r="J857" s="77">
        <v>35</v>
      </c>
      <c r="K857" s="77">
        <v>40</v>
      </c>
      <c r="L857" s="78" t="s">
        <v>416</v>
      </c>
      <c r="M857" s="78" t="s">
        <v>431</v>
      </c>
      <c r="N857" s="77">
        <v>4.8811070897897579</v>
      </c>
    </row>
    <row r="858" spans="1:14" ht="45" x14ac:dyDescent="0.25">
      <c r="A858" s="75">
        <v>36</v>
      </c>
      <c r="B858" s="75">
        <v>37</v>
      </c>
      <c r="C858" s="76" t="s">
        <v>420</v>
      </c>
      <c r="D858" s="76" t="s">
        <v>422</v>
      </c>
      <c r="E858" s="75">
        <v>0</v>
      </c>
      <c r="F858" s="75">
        <v>1</v>
      </c>
      <c r="G858" s="75">
        <v>0</v>
      </c>
      <c r="H858" s="75">
        <v>12</v>
      </c>
      <c r="J858" s="75">
        <v>36</v>
      </c>
      <c r="K858" s="75">
        <v>37</v>
      </c>
      <c r="L858" s="76" t="s">
        <v>420</v>
      </c>
      <c r="M858" s="76" t="s">
        <v>422</v>
      </c>
      <c r="N858" s="75">
        <v>3.1161595286318371</v>
      </c>
    </row>
    <row r="859" spans="1:14" ht="45" x14ac:dyDescent="0.25">
      <c r="A859" s="77">
        <v>36</v>
      </c>
      <c r="B859" s="77">
        <v>38</v>
      </c>
      <c r="C859" s="78" t="s">
        <v>420</v>
      </c>
      <c r="D859" s="78" t="s">
        <v>425</v>
      </c>
      <c r="E859" s="77">
        <v>0.46666666666666667</v>
      </c>
      <c r="F859" s="77">
        <v>0.53333333333333333</v>
      </c>
      <c r="G859" s="77">
        <v>7</v>
      </c>
      <c r="H859" s="77">
        <v>15</v>
      </c>
      <c r="J859" s="77">
        <v>36</v>
      </c>
      <c r="K859" s="77">
        <v>38</v>
      </c>
      <c r="L859" s="78" t="s">
        <v>420</v>
      </c>
      <c r="M859" s="78" t="s">
        <v>425</v>
      </c>
      <c r="N859" s="77">
        <v>3.1161595286318371</v>
      </c>
    </row>
    <row r="860" spans="1:14" ht="45" x14ac:dyDescent="0.25">
      <c r="A860" s="75">
        <v>36</v>
      </c>
      <c r="B860" s="75">
        <v>39</v>
      </c>
      <c r="C860" s="76" t="s">
        <v>420</v>
      </c>
      <c r="D860" s="76" t="s">
        <v>427</v>
      </c>
      <c r="E860" s="75">
        <v>0</v>
      </c>
      <c r="F860" s="75">
        <v>1</v>
      </c>
      <c r="G860" s="75">
        <v>0</v>
      </c>
      <c r="H860" s="75">
        <v>12</v>
      </c>
      <c r="J860" s="75">
        <v>36</v>
      </c>
      <c r="K860" s="75">
        <v>39</v>
      </c>
      <c r="L860" s="76" t="s">
        <v>420</v>
      </c>
      <c r="M860" s="76" t="s">
        <v>427</v>
      </c>
      <c r="N860" s="75">
        <v>3.1161595286318371</v>
      </c>
    </row>
    <row r="861" spans="1:14" ht="45" x14ac:dyDescent="0.25">
      <c r="A861" s="77">
        <v>36</v>
      </c>
      <c r="B861" s="77">
        <v>40</v>
      </c>
      <c r="C861" s="78" t="s">
        <v>420</v>
      </c>
      <c r="D861" s="78" t="s">
        <v>431</v>
      </c>
      <c r="E861" s="77">
        <v>0.6428571428571429</v>
      </c>
      <c r="F861" s="77">
        <v>0.3571428571428571</v>
      </c>
      <c r="G861" s="77">
        <v>9</v>
      </c>
      <c r="H861" s="77">
        <v>14</v>
      </c>
      <c r="J861" s="77">
        <v>36</v>
      </c>
      <c r="K861" s="77">
        <v>40</v>
      </c>
      <c r="L861" s="78" t="s">
        <v>420</v>
      </c>
      <c r="M861" s="78" t="s">
        <v>431</v>
      </c>
      <c r="N861" s="77">
        <v>3.2748932357617822</v>
      </c>
    </row>
    <row r="862" spans="1:14" ht="30" x14ac:dyDescent="0.25">
      <c r="A862" s="75">
        <v>37</v>
      </c>
      <c r="B862" s="75">
        <v>38</v>
      </c>
      <c r="C862" s="76" t="s">
        <v>422</v>
      </c>
      <c r="D862" s="76" t="s">
        <v>425</v>
      </c>
      <c r="E862" s="75">
        <v>0</v>
      </c>
      <c r="F862" s="75">
        <v>1</v>
      </c>
      <c r="G862" s="75">
        <v>0</v>
      </c>
      <c r="H862" s="75">
        <v>10</v>
      </c>
      <c r="J862" s="75">
        <v>37</v>
      </c>
      <c r="K862" s="75">
        <v>38</v>
      </c>
      <c r="L862" s="76" t="s">
        <v>422</v>
      </c>
      <c r="M862" s="76" t="s">
        <v>425</v>
      </c>
      <c r="N862" s="75">
        <v>0</v>
      </c>
    </row>
    <row r="863" spans="1:14" x14ac:dyDescent="0.25">
      <c r="A863" s="77">
        <v>37</v>
      </c>
      <c r="B863" s="77">
        <v>39</v>
      </c>
      <c r="C863" s="78" t="s">
        <v>422</v>
      </c>
      <c r="D863" s="78" t="s">
        <v>427</v>
      </c>
      <c r="E863" s="77"/>
      <c r="F863" s="77"/>
      <c r="G863" s="77">
        <v>0</v>
      </c>
      <c r="H863" s="77">
        <v>0</v>
      </c>
      <c r="J863" s="77">
        <v>37</v>
      </c>
      <c r="K863" s="77">
        <v>39</v>
      </c>
      <c r="L863" s="78" t="s">
        <v>422</v>
      </c>
      <c r="M863" s="78" t="s">
        <v>427</v>
      </c>
      <c r="N863" s="77">
        <v>0</v>
      </c>
    </row>
    <row r="864" spans="1:14" x14ac:dyDescent="0.25">
      <c r="A864" s="75">
        <v>37</v>
      </c>
      <c r="B864" s="75">
        <v>40</v>
      </c>
      <c r="C864" s="76" t="s">
        <v>422</v>
      </c>
      <c r="D864" s="76" t="s">
        <v>431</v>
      </c>
      <c r="E864" s="75">
        <v>0</v>
      </c>
      <c r="F864" s="75">
        <v>1</v>
      </c>
      <c r="G864" s="75">
        <v>0</v>
      </c>
      <c r="H864" s="75">
        <v>11</v>
      </c>
      <c r="J864" s="75">
        <v>37</v>
      </c>
      <c r="K864" s="75">
        <v>40</v>
      </c>
      <c r="L864" s="76" t="s">
        <v>422</v>
      </c>
      <c r="M864" s="76" t="s">
        <v>431</v>
      </c>
      <c r="N864" s="75">
        <v>4.8811070897897579</v>
      </c>
    </row>
    <row r="865" spans="1:14" ht="30" x14ac:dyDescent="0.25">
      <c r="A865" s="77">
        <v>38</v>
      </c>
      <c r="B865" s="77">
        <v>39</v>
      </c>
      <c r="C865" s="78" t="s">
        <v>425</v>
      </c>
      <c r="D865" s="78" t="s">
        <v>427</v>
      </c>
      <c r="E865" s="77">
        <v>0</v>
      </c>
      <c r="F865" s="77">
        <v>1</v>
      </c>
      <c r="G865" s="77">
        <v>0</v>
      </c>
      <c r="H865" s="77">
        <v>10</v>
      </c>
      <c r="J865" s="77">
        <v>38</v>
      </c>
      <c r="K865" s="77">
        <v>39</v>
      </c>
      <c r="L865" s="78" t="s">
        <v>425</v>
      </c>
      <c r="M865" s="78" t="s">
        <v>427</v>
      </c>
      <c r="N865" s="77">
        <v>0</v>
      </c>
    </row>
    <row r="866" spans="1:14" ht="30" x14ac:dyDescent="0.25">
      <c r="A866" s="75">
        <v>38</v>
      </c>
      <c r="B866" s="75">
        <v>40</v>
      </c>
      <c r="C866" s="76" t="s">
        <v>425</v>
      </c>
      <c r="D866" s="76" t="s">
        <v>431</v>
      </c>
      <c r="E866" s="75">
        <v>0.61538461538461542</v>
      </c>
      <c r="F866" s="75">
        <v>0.38461538461538458</v>
      </c>
      <c r="G866" s="75">
        <v>8</v>
      </c>
      <c r="H866" s="75">
        <v>13</v>
      </c>
      <c r="J866" s="75">
        <v>38</v>
      </c>
      <c r="K866" s="75">
        <v>40</v>
      </c>
      <c r="L866" s="76" t="s">
        <v>425</v>
      </c>
      <c r="M866" s="76" t="s">
        <v>431</v>
      </c>
      <c r="N866" s="75">
        <v>4.8811070897897579</v>
      </c>
    </row>
    <row r="867" spans="1:14" x14ac:dyDescent="0.25">
      <c r="A867" s="77">
        <v>39</v>
      </c>
      <c r="B867" s="77">
        <v>40</v>
      </c>
      <c r="C867" s="78" t="s">
        <v>427</v>
      </c>
      <c r="D867" s="78" t="s">
        <v>431</v>
      </c>
      <c r="E867" s="77">
        <v>0</v>
      </c>
      <c r="F867" s="77">
        <v>1</v>
      </c>
      <c r="G867" s="77">
        <v>0</v>
      </c>
      <c r="H867" s="77">
        <v>11</v>
      </c>
      <c r="J867" s="77">
        <v>39</v>
      </c>
      <c r="K867" s="77">
        <v>40</v>
      </c>
      <c r="L867" s="78" t="s">
        <v>427</v>
      </c>
      <c r="M867" s="78" t="s">
        <v>431</v>
      </c>
      <c r="N867" s="77">
        <v>4.8811070897897579</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3721D-1936-4AB4-BCE7-9A033276F1E2}">
  <sheetPr>
    <tabColor rgb="FF7030A0"/>
  </sheetPr>
  <dimension ref="A1:X41"/>
  <sheetViews>
    <sheetView tabSelected="1" workbookViewId="0">
      <selection activeCell="Q17" sqref="Q17"/>
    </sheetView>
  </sheetViews>
  <sheetFormatPr baseColWidth="10" defaultRowHeight="15" x14ac:dyDescent="0.25"/>
  <cols>
    <col min="10" max="10" width="19.7109375" customWidth="1"/>
    <col min="13" max="13" width="18.140625" customWidth="1"/>
    <col min="14" max="14" width="15" customWidth="1"/>
    <col min="15" max="15" width="14.28515625" customWidth="1"/>
  </cols>
  <sheetData>
    <row r="1" spans="1:24" x14ac:dyDescent="0.25">
      <c r="A1" s="64" t="s">
        <v>0</v>
      </c>
      <c r="B1" s="64" t="s">
        <v>6353</v>
      </c>
      <c r="C1" s="64" t="s">
        <v>6558</v>
      </c>
      <c r="D1" s="64" t="s">
        <v>6559</v>
      </c>
      <c r="E1" s="64" t="s">
        <v>6560</v>
      </c>
      <c r="F1" s="64" t="s">
        <v>6427</v>
      </c>
      <c r="G1" s="64" t="s">
        <v>6561</v>
      </c>
      <c r="J1" s="79" t="s">
        <v>6569</v>
      </c>
    </row>
    <row r="2" spans="1:24" x14ac:dyDescent="0.25">
      <c r="A2">
        <v>1</v>
      </c>
      <c r="B2" t="s">
        <v>303</v>
      </c>
      <c r="C2" t="s">
        <v>240</v>
      </c>
      <c r="D2" s="53">
        <v>0</v>
      </c>
      <c r="E2" s="53">
        <v>0</v>
      </c>
      <c r="F2" s="53">
        <v>0</v>
      </c>
      <c r="J2" s="81" t="s">
        <v>6562</v>
      </c>
      <c r="K2" s="81" t="s">
        <v>6563</v>
      </c>
      <c r="L2" s="81" t="s">
        <v>6564</v>
      </c>
      <c r="M2" s="81" t="s">
        <v>6565</v>
      </c>
      <c r="N2" s="81" t="s">
        <v>6566</v>
      </c>
      <c r="O2" s="81" t="s">
        <v>6567</v>
      </c>
      <c r="T2" t="s">
        <v>6580</v>
      </c>
    </row>
    <row r="3" spans="1:24" x14ac:dyDescent="0.25">
      <c r="A3">
        <v>2</v>
      </c>
      <c r="B3" t="s">
        <v>306</v>
      </c>
      <c r="C3" t="s">
        <v>236</v>
      </c>
      <c r="D3" s="53">
        <v>0.40740740740740738</v>
      </c>
      <c r="E3" s="53">
        <v>0.72222222222222221</v>
      </c>
      <c r="F3" s="53">
        <v>19.047619047619051</v>
      </c>
      <c r="J3" s="62" t="s">
        <v>6568</v>
      </c>
      <c r="K3" s="62">
        <v>0.91913821374627225</v>
      </c>
      <c r="L3" s="82">
        <v>5.8881575892683697E-17</v>
      </c>
      <c r="M3" s="62">
        <v>40</v>
      </c>
      <c r="N3" s="62">
        <v>0.80744215587107659</v>
      </c>
      <c r="O3" s="62">
        <v>0.9738124959407306</v>
      </c>
      <c r="T3" s="64" t="s">
        <v>6581</v>
      </c>
      <c r="U3" s="64" t="s">
        <v>6582</v>
      </c>
      <c r="V3" s="64" t="s">
        <v>6583</v>
      </c>
      <c r="W3" s="64" t="s">
        <v>6584</v>
      </c>
      <c r="X3" s="64" t="s">
        <v>6585</v>
      </c>
    </row>
    <row r="4" spans="1:24" x14ac:dyDescent="0.25">
      <c r="A4">
        <v>3</v>
      </c>
      <c r="B4" t="s">
        <v>311</v>
      </c>
      <c r="C4" t="s">
        <v>237</v>
      </c>
      <c r="D4" s="53">
        <v>0.61111111111111116</v>
      </c>
      <c r="E4" s="53">
        <v>0.88888888888888884</v>
      </c>
      <c r="F4" s="53">
        <v>52.380952380952387</v>
      </c>
      <c r="J4" s="62" t="s">
        <v>6560</v>
      </c>
      <c r="K4" s="62">
        <v>0.88907067203630352</v>
      </c>
      <c r="L4" s="82">
        <v>1.8281742977357891E-14</v>
      </c>
      <c r="M4" s="62">
        <v>40</v>
      </c>
      <c r="N4" s="62">
        <v>0.74623508455647114</v>
      </c>
      <c r="O4" s="62">
        <v>0.96334459282510021</v>
      </c>
      <c r="T4" t="s">
        <v>6559</v>
      </c>
      <c r="U4">
        <v>0</v>
      </c>
      <c r="V4">
        <v>0.90740740740740744</v>
      </c>
      <c r="W4" t="s">
        <v>6586</v>
      </c>
      <c r="X4" t="b">
        <v>1</v>
      </c>
    </row>
    <row r="5" spans="1:24" x14ac:dyDescent="0.25">
      <c r="A5">
        <v>4</v>
      </c>
      <c r="B5" t="s">
        <v>315</v>
      </c>
      <c r="C5" t="s">
        <v>242</v>
      </c>
      <c r="D5" s="53">
        <v>0.48148148148148151</v>
      </c>
      <c r="E5" s="53">
        <v>0.77777777777777779</v>
      </c>
      <c r="F5" s="53">
        <v>28.571428571428569</v>
      </c>
      <c r="T5" t="s">
        <v>6560</v>
      </c>
      <c r="U5">
        <v>0</v>
      </c>
      <c r="V5">
        <v>1</v>
      </c>
      <c r="W5" t="s">
        <v>6586</v>
      </c>
      <c r="X5" t="b">
        <v>1</v>
      </c>
    </row>
    <row r="6" spans="1:24" x14ac:dyDescent="0.25">
      <c r="A6">
        <v>5</v>
      </c>
      <c r="B6" t="s">
        <v>318</v>
      </c>
      <c r="C6" t="s">
        <v>242</v>
      </c>
      <c r="D6" s="53">
        <v>0.57407407407407407</v>
      </c>
      <c r="E6" s="53">
        <v>0.83333333333333337</v>
      </c>
      <c r="F6" s="53">
        <v>42.857142857142847</v>
      </c>
      <c r="T6" t="s">
        <v>6427</v>
      </c>
      <c r="U6">
        <v>0</v>
      </c>
      <c r="V6">
        <v>76.19047619047619</v>
      </c>
      <c r="W6" t="s">
        <v>6587</v>
      </c>
      <c r="X6" t="b">
        <v>1</v>
      </c>
    </row>
    <row r="7" spans="1:24" x14ac:dyDescent="0.25">
      <c r="A7">
        <v>6</v>
      </c>
      <c r="B7" t="s">
        <v>321</v>
      </c>
      <c r="C7" t="s">
        <v>240</v>
      </c>
      <c r="D7" s="53">
        <v>0.40740740740740738</v>
      </c>
      <c r="E7" s="53">
        <v>0.5</v>
      </c>
      <c r="F7" s="53">
        <v>33.333333333333329</v>
      </c>
      <c r="J7" t="s">
        <v>6572</v>
      </c>
    </row>
    <row r="8" spans="1:24" x14ac:dyDescent="0.25">
      <c r="A8">
        <v>7</v>
      </c>
      <c r="B8" t="s">
        <v>325</v>
      </c>
      <c r="C8" t="s">
        <v>236</v>
      </c>
      <c r="D8" s="53">
        <v>0.44444444444444442</v>
      </c>
      <c r="E8" s="53">
        <v>0.83333333333333337</v>
      </c>
      <c r="F8" s="53">
        <v>38.095238095238088</v>
      </c>
      <c r="J8" s="64" t="s">
        <v>6562</v>
      </c>
      <c r="K8" s="64" t="s">
        <v>6558</v>
      </c>
      <c r="L8" s="64" t="s">
        <v>6563</v>
      </c>
      <c r="M8" s="64" t="s">
        <v>6564</v>
      </c>
      <c r="N8" s="64" t="s">
        <v>6570</v>
      </c>
      <c r="O8" s="64" t="s">
        <v>35</v>
      </c>
    </row>
    <row r="9" spans="1:24" x14ac:dyDescent="0.25">
      <c r="A9">
        <v>8</v>
      </c>
      <c r="B9" t="s">
        <v>327</v>
      </c>
      <c r="C9" t="s">
        <v>242</v>
      </c>
      <c r="D9" s="53">
        <v>0</v>
      </c>
      <c r="E9" s="53">
        <v>0</v>
      </c>
      <c r="F9" s="53">
        <v>0</v>
      </c>
      <c r="J9" t="s">
        <v>6560</v>
      </c>
      <c r="K9" t="s">
        <v>240</v>
      </c>
      <c r="L9" s="53">
        <v>1</v>
      </c>
      <c r="M9" s="53">
        <v>1.40426542205436E-24</v>
      </c>
      <c r="N9">
        <v>5</v>
      </c>
    </row>
    <row r="10" spans="1:24" x14ac:dyDescent="0.25">
      <c r="A10">
        <v>9</v>
      </c>
      <c r="B10" t="s">
        <v>330</v>
      </c>
      <c r="C10" t="s">
        <v>237</v>
      </c>
      <c r="D10" s="53">
        <v>0.51851851851851849</v>
      </c>
      <c r="E10" s="53">
        <v>0.77777777777777779</v>
      </c>
      <c r="F10" s="53">
        <v>42.857142857142847</v>
      </c>
      <c r="J10" t="s">
        <v>6560</v>
      </c>
      <c r="K10" t="s">
        <v>237</v>
      </c>
      <c r="L10" s="53">
        <v>0.73529411764705876</v>
      </c>
      <c r="M10" s="53">
        <v>9.5829940972928962E-2</v>
      </c>
      <c r="N10">
        <v>6</v>
      </c>
    </row>
    <row r="11" spans="1:24" x14ac:dyDescent="0.25">
      <c r="A11">
        <v>10</v>
      </c>
      <c r="B11" t="s">
        <v>334</v>
      </c>
      <c r="C11" t="s">
        <v>236</v>
      </c>
      <c r="D11" s="53">
        <v>0.2407407407407407</v>
      </c>
      <c r="E11" s="53">
        <v>0.44444444444444442</v>
      </c>
      <c r="F11" s="53">
        <v>9.5238095238095237</v>
      </c>
      <c r="J11" t="s">
        <v>6560</v>
      </c>
      <c r="K11" t="s">
        <v>236</v>
      </c>
      <c r="L11" s="53">
        <v>0.89420652764884423</v>
      </c>
      <c r="M11" s="53">
        <v>8.7174459667617516E-5</v>
      </c>
      <c r="N11">
        <v>12</v>
      </c>
    </row>
    <row r="12" spans="1:24" x14ac:dyDescent="0.25">
      <c r="A12">
        <v>11</v>
      </c>
      <c r="B12" t="s">
        <v>338</v>
      </c>
      <c r="C12" t="s">
        <v>236</v>
      </c>
      <c r="D12" s="53">
        <v>0.1111111111111111</v>
      </c>
      <c r="E12" s="53">
        <v>0.33333333333333331</v>
      </c>
      <c r="F12" s="53">
        <v>4.7619047619047619</v>
      </c>
      <c r="J12" t="s">
        <v>6560</v>
      </c>
      <c r="K12" t="s">
        <v>242</v>
      </c>
      <c r="L12" s="53">
        <v>1</v>
      </c>
      <c r="M12" s="53">
        <v>0</v>
      </c>
      <c r="N12">
        <v>6</v>
      </c>
    </row>
    <row r="13" spans="1:24" x14ac:dyDescent="0.25">
      <c r="A13">
        <v>12</v>
      </c>
      <c r="B13" t="s">
        <v>342</v>
      </c>
      <c r="C13" t="s">
        <v>237</v>
      </c>
      <c r="D13" s="53">
        <v>0.29629629629629628</v>
      </c>
      <c r="E13" s="53">
        <v>0.77777777777777779</v>
      </c>
      <c r="F13" s="53">
        <v>38.095238095238088</v>
      </c>
      <c r="J13" t="s">
        <v>6560</v>
      </c>
      <c r="K13" t="s">
        <v>243</v>
      </c>
      <c r="L13" s="53"/>
      <c r="M13" s="53"/>
      <c r="N13">
        <v>1</v>
      </c>
      <c r="O13" t="s">
        <v>6571</v>
      </c>
    </row>
    <row r="14" spans="1:24" x14ac:dyDescent="0.25">
      <c r="A14">
        <v>13</v>
      </c>
      <c r="B14" t="s">
        <v>344</v>
      </c>
      <c r="C14" t="s">
        <v>237</v>
      </c>
      <c r="D14" s="53">
        <v>0.12962962962962959</v>
      </c>
      <c r="E14" s="53">
        <v>0.33333333333333331</v>
      </c>
      <c r="F14" s="53">
        <v>19.047619047619051</v>
      </c>
      <c r="J14" t="s">
        <v>6560</v>
      </c>
      <c r="K14" t="s">
        <v>238</v>
      </c>
      <c r="L14" s="53">
        <v>0.93208276485674091</v>
      </c>
      <c r="M14" s="53">
        <v>2.2254431423296859E-3</v>
      </c>
      <c r="N14">
        <v>7</v>
      </c>
    </row>
    <row r="15" spans="1:24" x14ac:dyDescent="0.25">
      <c r="A15">
        <v>14</v>
      </c>
      <c r="B15" t="s">
        <v>348</v>
      </c>
      <c r="C15" t="s">
        <v>243</v>
      </c>
      <c r="D15" s="53">
        <v>0</v>
      </c>
      <c r="E15" s="53">
        <v>0</v>
      </c>
      <c r="F15" s="53">
        <v>0</v>
      </c>
      <c r="J15" t="s">
        <v>6560</v>
      </c>
      <c r="K15" t="s">
        <v>241</v>
      </c>
      <c r="L15" s="53"/>
      <c r="M15" s="53"/>
      <c r="N15">
        <v>3</v>
      </c>
      <c r="O15" t="s">
        <v>6571</v>
      </c>
    </row>
    <row r="16" spans="1:24" x14ac:dyDescent="0.25">
      <c r="A16">
        <v>15</v>
      </c>
      <c r="B16" t="s">
        <v>352</v>
      </c>
      <c r="C16" t="s">
        <v>241</v>
      </c>
      <c r="D16" s="53">
        <v>0.90740740740740744</v>
      </c>
      <c r="E16" s="53">
        <v>1</v>
      </c>
      <c r="F16" s="53">
        <v>71.428571428571431</v>
      </c>
      <c r="J16" t="s">
        <v>6568</v>
      </c>
      <c r="K16" t="s">
        <v>240</v>
      </c>
      <c r="L16" s="53">
        <v>0.99999999999999989</v>
      </c>
      <c r="M16" s="53">
        <v>1.40426542205436E-24</v>
      </c>
      <c r="N16">
        <v>5</v>
      </c>
    </row>
    <row r="17" spans="1:17" x14ac:dyDescent="0.25">
      <c r="A17">
        <v>16</v>
      </c>
      <c r="B17" t="s">
        <v>356</v>
      </c>
      <c r="C17" t="s">
        <v>241</v>
      </c>
      <c r="D17" s="53">
        <v>0</v>
      </c>
      <c r="E17" s="53">
        <v>0</v>
      </c>
      <c r="F17" s="53">
        <v>0</v>
      </c>
      <c r="J17" t="s">
        <v>6568</v>
      </c>
      <c r="K17" t="s">
        <v>237</v>
      </c>
      <c r="L17" s="53">
        <v>0.75370234634818301</v>
      </c>
      <c r="M17" s="53">
        <v>8.3523281373259831E-2</v>
      </c>
      <c r="N17">
        <v>6</v>
      </c>
    </row>
    <row r="18" spans="1:17" x14ac:dyDescent="0.25">
      <c r="A18">
        <v>17</v>
      </c>
      <c r="B18" t="s">
        <v>359</v>
      </c>
      <c r="C18" t="s">
        <v>238</v>
      </c>
      <c r="D18" s="53">
        <v>0.85185185185185186</v>
      </c>
      <c r="E18" s="53">
        <v>0.94444444444444442</v>
      </c>
      <c r="F18" s="53">
        <v>33.333333333333329</v>
      </c>
      <c r="J18" t="s">
        <v>6568</v>
      </c>
      <c r="K18" t="s">
        <v>236</v>
      </c>
      <c r="L18" s="53">
        <v>0.95579158261993225</v>
      </c>
      <c r="M18" s="53">
        <v>1.2345371997348859E-6</v>
      </c>
      <c r="N18">
        <v>12</v>
      </c>
    </row>
    <row r="19" spans="1:17" x14ac:dyDescent="0.25">
      <c r="A19">
        <v>18</v>
      </c>
      <c r="B19" t="s">
        <v>363</v>
      </c>
      <c r="C19" t="s">
        <v>238</v>
      </c>
      <c r="D19" s="53">
        <v>0</v>
      </c>
      <c r="E19" s="53">
        <v>0</v>
      </c>
      <c r="F19" s="53">
        <v>0</v>
      </c>
      <c r="J19" t="s">
        <v>6568</v>
      </c>
      <c r="K19" t="s">
        <v>242</v>
      </c>
      <c r="L19" s="53">
        <v>1</v>
      </c>
      <c r="M19" s="53">
        <v>0</v>
      </c>
      <c r="N19">
        <v>6</v>
      </c>
    </row>
    <row r="20" spans="1:17" x14ac:dyDescent="0.25">
      <c r="A20">
        <v>19</v>
      </c>
      <c r="B20" t="s">
        <v>367</v>
      </c>
      <c r="C20" t="s">
        <v>236</v>
      </c>
      <c r="D20" s="53">
        <v>0.55555555555555558</v>
      </c>
      <c r="E20" s="53">
        <v>0.72222222222222221</v>
      </c>
      <c r="F20" s="53">
        <v>42.857142857142847</v>
      </c>
      <c r="J20" t="s">
        <v>6568</v>
      </c>
      <c r="K20" t="s">
        <v>243</v>
      </c>
      <c r="L20" s="53"/>
      <c r="M20" s="53"/>
      <c r="N20">
        <v>1</v>
      </c>
      <c r="O20" t="s">
        <v>6571</v>
      </c>
    </row>
    <row r="21" spans="1:17" x14ac:dyDescent="0.25">
      <c r="A21">
        <v>20</v>
      </c>
      <c r="B21" t="s">
        <v>371</v>
      </c>
      <c r="C21" t="s">
        <v>237</v>
      </c>
      <c r="D21" s="53">
        <v>9.2592592592592587E-2</v>
      </c>
      <c r="E21" s="53">
        <v>0.27777777777777779</v>
      </c>
      <c r="F21" s="53">
        <v>4.7619047619047619</v>
      </c>
      <c r="J21" t="s">
        <v>6568</v>
      </c>
      <c r="K21" t="s">
        <v>238</v>
      </c>
      <c r="L21" s="53">
        <v>0.88461538461538458</v>
      </c>
      <c r="M21" s="53">
        <v>8.155232971351345E-3</v>
      </c>
      <c r="N21">
        <v>7</v>
      </c>
    </row>
    <row r="22" spans="1:17" x14ac:dyDescent="0.25">
      <c r="A22">
        <v>21</v>
      </c>
      <c r="B22" t="s">
        <v>373</v>
      </c>
      <c r="C22" t="s">
        <v>242</v>
      </c>
      <c r="D22" s="53">
        <v>0</v>
      </c>
      <c r="E22" s="53">
        <v>0</v>
      </c>
      <c r="F22" s="53">
        <v>0</v>
      </c>
      <c r="J22" t="s">
        <v>6568</v>
      </c>
      <c r="K22" t="s">
        <v>241</v>
      </c>
      <c r="L22" s="53"/>
      <c r="M22" s="53"/>
      <c r="N22">
        <v>3</v>
      </c>
      <c r="O22" t="s">
        <v>6571</v>
      </c>
    </row>
    <row r="23" spans="1:17" x14ac:dyDescent="0.25">
      <c r="A23">
        <v>22</v>
      </c>
      <c r="B23" t="s">
        <v>377</v>
      </c>
      <c r="C23" t="s">
        <v>242</v>
      </c>
      <c r="D23" s="53">
        <v>0.20370370370370369</v>
      </c>
      <c r="E23" s="53">
        <v>0.33333333333333331</v>
      </c>
      <c r="F23" s="53">
        <v>4.7619047619047619</v>
      </c>
    </row>
    <row r="24" spans="1:17" x14ac:dyDescent="0.25">
      <c r="A24">
        <v>23</v>
      </c>
      <c r="B24" t="s">
        <v>380</v>
      </c>
      <c r="C24" t="s">
        <v>238</v>
      </c>
      <c r="D24" s="53">
        <v>0.42592592592592587</v>
      </c>
      <c r="E24" s="53">
        <v>0.72222222222222221</v>
      </c>
      <c r="F24" s="53">
        <v>47.619047619047613</v>
      </c>
      <c r="J24" t="s">
        <v>6579</v>
      </c>
    </row>
    <row r="25" spans="1:17" x14ac:dyDescent="0.25">
      <c r="A25">
        <v>24</v>
      </c>
      <c r="B25" t="s">
        <v>384</v>
      </c>
      <c r="C25" t="s">
        <v>236</v>
      </c>
      <c r="D25" s="53">
        <v>0.3888888888888889</v>
      </c>
      <c r="E25" s="53">
        <v>0.66666666666666663</v>
      </c>
      <c r="F25" s="53">
        <v>19.047619047619051</v>
      </c>
      <c r="J25" s="64" t="s">
        <v>6558</v>
      </c>
      <c r="K25" s="64" t="s">
        <v>6570</v>
      </c>
      <c r="L25" s="64" t="s">
        <v>6573</v>
      </c>
      <c r="M25" s="64" t="s">
        <v>6574</v>
      </c>
      <c r="N25" s="64" t="s">
        <v>6575</v>
      </c>
      <c r="O25" s="64" t="s">
        <v>6576</v>
      </c>
      <c r="P25" s="64" t="s">
        <v>6577</v>
      </c>
      <c r="Q25" s="64" t="s">
        <v>6578</v>
      </c>
    </row>
    <row r="26" spans="1:17" x14ac:dyDescent="0.25">
      <c r="A26">
        <v>25</v>
      </c>
      <c r="B26" t="s">
        <v>386</v>
      </c>
      <c r="C26" t="s">
        <v>242</v>
      </c>
      <c r="D26" s="53">
        <v>0.72222222222222221</v>
      </c>
      <c r="E26" s="53">
        <v>0.88888888888888884</v>
      </c>
      <c r="F26" s="53">
        <v>76.19047619047619</v>
      </c>
      <c r="J26" t="s">
        <v>240</v>
      </c>
      <c r="K26">
        <v>5</v>
      </c>
      <c r="L26" s="53">
        <v>0.2</v>
      </c>
      <c r="M26" s="53">
        <v>0</v>
      </c>
      <c r="N26" s="53">
        <v>0.22222222222222221</v>
      </c>
      <c r="O26" s="53">
        <v>0</v>
      </c>
      <c r="P26" s="53">
        <v>16.19047619047619</v>
      </c>
      <c r="Q26" s="53">
        <v>0</v>
      </c>
    </row>
    <row r="27" spans="1:17" x14ac:dyDescent="0.25">
      <c r="A27">
        <v>26</v>
      </c>
      <c r="B27" t="s">
        <v>389</v>
      </c>
      <c r="C27" t="s">
        <v>236</v>
      </c>
      <c r="D27" s="53">
        <v>0</v>
      </c>
      <c r="E27" s="53">
        <v>0</v>
      </c>
      <c r="F27" s="53">
        <v>0</v>
      </c>
      <c r="J27" t="s">
        <v>237</v>
      </c>
      <c r="K27">
        <v>6</v>
      </c>
      <c r="L27" s="53">
        <v>0.32098765432098769</v>
      </c>
      <c r="M27" s="53">
        <v>0.28703703703703698</v>
      </c>
      <c r="N27" s="53">
        <v>0.58333333333333337</v>
      </c>
      <c r="O27" s="53">
        <v>0.61111111111111116</v>
      </c>
      <c r="P27" s="53">
        <v>34.920634920634917</v>
      </c>
      <c r="Q27" s="53">
        <v>40.476190476190467</v>
      </c>
    </row>
    <row r="28" spans="1:17" x14ac:dyDescent="0.25">
      <c r="A28">
        <v>27</v>
      </c>
      <c r="B28" t="s">
        <v>393</v>
      </c>
      <c r="C28" t="s">
        <v>237</v>
      </c>
      <c r="D28" s="53">
        <v>0.27777777777777779</v>
      </c>
      <c r="E28" s="53">
        <v>0.44444444444444442</v>
      </c>
      <c r="F28" s="53">
        <v>52.380952380952387</v>
      </c>
      <c r="J28" t="s">
        <v>236</v>
      </c>
      <c r="K28">
        <v>12</v>
      </c>
      <c r="L28" s="53">
        <v>0.22993827160493829</v>
      </c>
      <c r="M28" s="53">
        <v>0.21296296296296299</v>
      </c>
      <c r="N28" s="53">
        <v>0.42592592592592587</v>
      </c>
      <c r="O28" s="53">
        <v>0.5</v>
      </c>
      <c r="P28" s="53">
        <v>14.28571428571429</v>
      </c>
      <c r="Q28" s="53">
        <v>7.1428571428571423</v>
      </c>
    </row>
    <row r="29" spans="1:17" x14ac:dyDescent="0.25">
      <c r="A29">
        <v>28</v>
      </c>
      <c r="B29" t="s">
        <v>396</v>
      </c>
      <c r="C29" t="s">
        <v>236</v>
      </c>
      <c r="D29" s="53">
        <v>0</v>
      </c>
      <c r="E29" s="53">
        <v>0</v>
      </c>
      <c r="F29" s="53">
        <v>0</v>
      </c>
      <c r="J29" t="s">
        <v>242</v>
      </c>
      <c r="K29">
        <v>6</v>
      </c>
      <c r="L29" s="53">
        <v>0.33024691358024688</v>
      </c>
      <c r="M29" s="53">
        <v>0.34259259259259262</v>
      </c>
      <c r="N29" s="53">
        <v>0.47222222222222221</v>
      </c>
      <c r="O29" s="53">
        <v>0.55555555555555558</v>
      </c>
      <c r="P29" s="53">
        <v>25.396825396825399</v>
      </c>
      <c r="Q29" s="53">
        <v>16.666666666666661</v>
      </c>
    </row>
    <row r="30" spans="1:17" x14ac:dyDescent="0.25">
      <c r="A30">
        <v>29</v>
      </c>
      <c r="B30" t="s">
        <v>399</v>
      </c>
      <c r="C30" t="s">
        <v>238</v>
      </c>
      <c r="D30" s="53">
        <v>0</v>
      </c>
      <c r="E30" s="53">
        <v>0</v>
      </c>
      <c r="F30" s="53">
        <v>0</v>
      </c>
      <c r="J30" t="s">
        <v>243</v>
      </c>
      <c r="K30">
        <v>1</v>
      </c>
      <c r="L30" s="53">
        <v>0</v>
      </c>
      <c r="M30" s="53">
        <v>0</v>
      </c>
      <c r="N30" s="53">
        <v>0</v>
      </c>
      <c r="O30" s="53">
        <v>0</v>
      </c>
      <c r="P30" s="53">
        <v>0</v>
      </c>
      <c r="Q30" s="53">
        <v>0</v>
      </c>
    </row>
    <row r="31" spans="1:17" x14ac:dyDescent="0.25">
      <c r="A31">
        <v>30</v>
      </c>
      <c r="B31" t="s">
        <v>402</v>
      </c>
      <c r="C31" t="s">
        <v>236</v>
      </c>
      <c r="D31" s="53">
        <v>0</v>
      </c>
      <c r="E31" s="53">
        <v>0</v>
      </c>
      <c r="F31" s="53">
        <v>0</v>
      </c>
      <c r="J31" t="s">
        <v>238</v>
      </c>
      <c r="K31">
        <v>7</v>
      </c>
      <c r="L31" s="53">
        <v>0.3756613756613757</v>
      </c>
      <c r="M31" s="53">
        <v>0.42592592592592587</v>
      </c>
      <c r="N31" s="53">
        <v>0.46825396825396831</v>
      </c>
      <c r="O31" s="53">
        <v>0.66666666666666663</v>
      </c>
      <c r="P31" s="53">
        <v>24.489795918367339</v>
      </c>
      <c r="Q31" s="53">
        <v>23.80952380952381</v>
      </c>
    </row>
    <row r="32" spans="1:17" x14ac:dyDescent="0.25">
      <c r="A32">
        <v>31</v>
      </c>
      <c r="B32" t="s">
        <v>406</v>
      </c>
      <c r="C32" t="s">
        <v>241</v>
      </c>
      <c r="D32" s="53">
        <v>0.53703703703703709</v>
      </c>
      <c r="E32" s="53">
        <v>0.77777777777777779</v>
      </c>
      <c r="F32" s="53">
        <v>19.047619047619051</v>
      </c>
      <c r="J32" t="s">
        <v>241</v>
      </c>
      <c r="K32">
        <v>3</v>
      </c>
      <c r="L32" s="53">
        <v>0.48148148148148162</v>
      </c>
      <c r="M32" s="53">
        <v>0.53703703703703709</v>
      </c>
      <c r="N32" s="53">
        <v>0.59259259259259256</v>
      </c>
      <c r="O32" s="53">
        <v>0.77777777777777779</v>
      </c>
      <c r="P32" s="53">
        <v>30.158730158730162</v>
      </c>
      <c r="Q32" s="53">
        <v>19.047619047619051</v>
      </c>
    </row>
    <row r="33" spans="1:6" x14ac:dyDescent="0.25">
      <c r="A33">
        <v>32</v>
      </c>
      <c r="B33" t="s">
        <v>407</v>
      </c>
      <c r="C33" t="s">
        <v>238</v>
      </c>
      <c r="D33" s="53">
        <v>0.87037037037037035</v>
      </c>
      <c r="E33" s="53">
        <v>0.94444444444444442</v>
      </c>
      <c r="F33" s="53">
        <v>66.666666666666657</v>
      </c>
    </row>
    <row r="34" spans="1:6" x14ac:dyDescent="0.25">
      <c r="A34">
        <v>33</v>
      </c>
      <c r="B34" t="s">
        <v>410</v>
      </c>
      <c r="C34" t="s">
        <v>238</v>
      </c>
      <c r="D34" s="53">
        <v>0</v>
      </c>
      <c r="E34" s="53">
        <v>0</v>
      </c>
      <c r="F34" s="53">
        <v>0</v>
      </c>
    </row>
    <row r="35" spans="1:6" x14ac:dyDescent="0.25">
      <c r="A35">
        <v>34</v>
      </c>
      <c r="B35" t="s">
        <v>413</v>
      </c>
      <c r="C35" t="s">
        <v>236</v>
      </c>
      <c r="D35" s="53">
        <v>0.42592592592592587</v>
      </c>
      <c r="E35" s="53">
        <v>0.83333333333333337</v>
      </c>
      <c r="F35" s="53">
        <v>38.095238095238088</v>
      </c>
    </row>
    <row r="36" spans="1:6" x14ac:dyDescent="0.25">
      <c r="A36">
        <v>35</v>
      </c>
      <c r="B36" t="s">
        <v>416</v>
      </c>
      <c r="C36" t="s">
        <v>236</v>
      </c>
      <c r="D36" s="53">
        <v>0</v>
      </c>
      <c r="E36" s="53">
        <v>0</v>
      </c>
      <c r="F36" s="53">
        <v>0</v>
      </c>
    </row>
    <row r="37" spans="1:6" x14ac:dyDescent="0.25">
      <c r="A37">
        <v>36</v>
      </c>
      <c r="B37" t="s">
        <v>420</v>
      </c>
      <c r="C37" t="s">
        <v>238</v>
      </c>
      <c r="D37" s="53">
        <v>0.48148148148148151</v>
      </c>
      <c r="E37" s="53">
        <v>0.66666666666666663</v>
      </c>
      <c r="F37" s="53">
        <v>23.80952380952381</v>
      </c>
    </row>
    <row r="38" spans="1:6" x14ac:dyDescent="0.25">
      <c r="A38">
        <v>37</v>
      </c>
      <c r="B38" t="s">
        <v>422</v>
      </c>
      <c r="C38" t="s">
        <v>240</v>
      </c>
      <c r="D38" s="53">
        <v>0</v>
      </c>
      <c r="E38" s="53">
        <v>0</v>
      </c>
      <c r="F38" s="53">
        <v>0</v>
      </c>
    </row>
    <row r="39" spans="1:6" x14ac:dyDescent="0.25">
      <c r="A39">
        <v>38</v>
      </c>
      <c r="B39" t="s">
        <v>425</v>
      </c>
      <c r="C39" t="s">
        <v>236</v>
      </c>
      <c r="D39" s="53">
        <v>0.1851851851851852</v>
      </c>
      <c r="E39" s="53">
        <v>0.55555555555555558</v>
      </c>
      <c r="F39" s="53">
        <v>0</v>
      </c>
    </row>
    <row r="40" spans="1:6" x14ac:dyDescent="0.25">
      <c r="A40">
        <v>39</v>
      </c>
      <c r="B40" t="s">
        <v>427</v>
      </c>
      <c r="C40" t="s">
        <v>240</v>
      </c>
      <c r="D40" s="53">
        <v>0</v>
      </c>
      <c r="E40" s="53">
        <v>0</v>
      </c>
      <c r="F40" s="53">
        <v>0</v>
      </c>
    </row>
    <row r="41" spans="1:6" x14ac:dyDescent="0.25">
      <c r="A41">
        <v>40</v>
      </c>
      <c r="B41" t="s">
        <v>431</v>
      </c>
      <c r="C41" t="s">
        <v>240</v>
      </c>
      <c r="D41" s="53">
        <v>0.59259259259259256</v>
      </c>
      <c r="E41" s="53">
        <v>0.61111111111111116</v>
      </c>
      <c r="F41" s="53">
        <v>47.619047619047613</v>
      </c>
    </row>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80ABB-33A5-4E1A-87C5-D7E478BE7A20}">
  <sheetPr>
    <tabColor rgb="FF7030A0"/>
  </sheetPr>
  <dimension ref="A1:U276"/>
  <sheetViews>
    <sheetView topLeftCell="A243" workbookViewId="0">
      <selection activeCell="A176" sqref="A176:F276"/>
    </sheetView>
  </sheetViews>
  <sheetFormatPr baseColWidth="10" defaultRowHeight="15" x14ac:dyDescent="0.25"/>
  <cols>
    <col min="4" max="4" width="12.7109375" customWidth="1"/>
    <col min="5" max="5" width="10.7109375" customWidth="1"/>
    <col min="6" max="6" width="16" customWidth="1"/>
    <col min="14" max="14" width="21.85546875" customWidth="1"/>
  </cols>
  <sheetData>
    <row r="1" spans="1:19" x14ac:dyDescent="0.25">
      <c r="A1" t="s">
        <v>6588</v>
      </c>
    </row>
    <row r="2" spans="1:19" x14ac:dyDescent="0.25">
      <c r="A2" s="64" t="s">
        <v>6589</v>
      </c>
      <c r="B2" s="64" t="s">
        <v>6590</v>
      </c>
      <c r="C2" s="64" t="s">
        <v>6591</v>
      </c>
      <c r="D2" s="64" t="s">
        <v>6592</v>
      </c>
      <c r="E2" s="64" t="s">
        <v>6593</v>
      </c>
      <c r="F2" s="64" t="s">
        <v>6594</v>
      </c>
      <c r="G2" s="64" t="s">
        <v>35</v>
      </c>
    </row>
    <row r="3" spans="1:19" x14ac:dyDescent="0.25">
      <c r="A3" t="s">
        <v>6595</v>
      </c>
      <c r="B3" t="s">
        <v>2080</v>
      </c>
      <c r="C3" t="s">
        <v>6596</v>
      </c>
      <c r="D3" t="s">
        <v>6597</v>
      </c>
      <c r="E3" t="s">
        <v>6598</v>
      </c>
      <c r="F3" t="s">
        <v>6599</v>
      </c>
      <c r="G3" t="s">
        <v>6600</v>
      </c>
    </row>
    <row r="4" spans="1:19" x14ac:dyDescent="0.25">
      <c r="A4" t="s">
        <v>6601</v>
      </c>
      <c r="B4" t="s">
        <v>2080</v>
      </c>
      <c r="C4" t="s">
        <v>6602</v>
      </c>
      <c r="D4" t="s">
        <v>6603</v>
      </c>
      <c r="E4" t="s">
        <v>6604</v>
      </c>
      <c r="F4" t="s">
        <v>6605</v>
      </c>
      <c r="G4" t="s">
        <v>6606</v>
      </c>
    </row>
    <row r="5" spans="1:19" x14ac:dyDescent="0.25">
      <c r="A5" t="s">
        <v>6607</v>
      </c>
      <c r="B5" t="s">
        <v>6608</v>
      </c>
      <c r="C5" t="s">
        <v>6608</v>
      </c>
      <c r="D5" t="s">
        <v>6608</v>
      </c>
      <c r="E5" t="s">
        <v>6609</v>
      </c>
      <c r="F5" t="s">
        <v>6610</v>
      </c>
      <c r="G5" t="s">
        <v>6611</v>
      </c>
    </row>
    <row r="6" spans="1:19" x14ac:dyDescent="0.25">
      <c r="A6" t="s">
        <v>6612</v>
      </c>
      <c r="B6" t="s">
        <v>2080</v>
      </c>
      <c r="C6" t="s">
        <v>6613</v>
      </c>
      <c r="D6" t="s">
        <v>6614</v>
      </c>
      <c r="E6" t="s">
        <v>6615</v>
      </c>
      <c r="F6" t="s">
        <v>6616</v>
      </c>
      <c r="G6" t="s">
        <v>6617</v>
      </c>
    </row>
    <row r="7" spans="1:19" x14ac:dyDescent="0.25">
      <c r="A7" t="s">
        <v>6618</v>
      </c>
      <c r="B7" t="s">
        <v>2080</v>
      </c>
      <c r="C7" t="s">
        <v>6619</v>
      </c>
      <c r="D7" t="s">
        <v>6620</v>
      </c>
      <c r="E7" t="s">
        <v>6615</v>
      </c>
      <c r="F7" t="s">
        <v>6616</v>
      </c>
      <c r="G7" t="s">
        <v>6621</v>
      </c>
    </row>
    <row r="8" spans="1:19" x14ac:dyDescent="0.25">
      <c r="A8" t="s">
        <v>6622</v>
      </c>
      <c r="B8" t="s">
        <v>6623</v>
      </c>
      <c r="C8" t="s">
        <v>6624</v>
      </c>
      <c r="D8" t="s">
        <v>6610</v>
      </c>
      <c r="E8" t="s">
        <v>6625</v>
      </c>
      <c r="F8" t="s">
        <v>6610</v>
      </c>
      <c r="G8" t="s">
        <v>6626</v>
      </c>
    </row>
    <row r="9" spans="1:19" x14ac:dyDescent="0.25">
      <c r="A9" t="s">
        <v>6627</v>
      </c>
      <c r="B9" t="s">
        <v>6608</v>
      </c>
      <c r="C9" t="s">
        <v>6608</v>
      </c>
      <c r="D9" t="s">
        <v>6610</v>
      </c>
      <c r="E9" t="s">
        <v>6625</v>
      </c>
      <c r="F9" t="s">
        <v>6610</v>
      </c>
      <c r="G9" t="s">
        <v>6628</v>
      </c>
    </row>
    <row r="11" spans="1:19" x14ac:dyDescent="0.25">
      <c r="A11" t="s">
        <v>6636</v>
      </c>
      <c r="K11" t="s">
        <v>6637</v>
      </c>
    </row>
    <row r="12" spans="1:19" x14ac:dyDescent="0.25">
      <c r="A12" s="64" t="s">
        <v>0</v>
      </c>
      <c r="B12" s="64" t="s">
        <v>6353</v>
      </c>
      <c r="C12" s="64" t="s">
        <v>6558</v>
      </c>
      <c r="D12" s="64" t="s">
        <v>6629</v>
      </c>
      <c r="E12" s="64" t="s">
        <v>6630</v>
      </c>
      <c r="F12" s="64" t="s">
        <v>6631</v>
      </c>
      <c r="G12" s="64" t="s">
        <v>6561</v>
      </c>
      <c r="H12" s="64" t="s">
        <v>35</v>
      </c>
      <c r="K12" s="64" t="s">
        <v>6638</v>
      </c>
      <c r="L12" s="64" t="s">
        <v>6629</v>
      </c>
      <c r="M12" s="64" t="s">
        <v>6639</v>
      </c>
      <c r="N12" s="64" t="s">
        <v>6640</v>
      </c>
      <c r="O12" s="64" t="s">
        <v>6564</v>
      </c>
      <c r="P12" s="64" t="s">
        <v>6641</v>
      </c>
      <c r="Q12" s="64" t="s">
        <v>6642</v>
      </c>
      <c r="R12" s="64" t="s">
        <v>6570</v>
      </c>
      <c r="S12" s="64" t="s">
        <v>6643</v>
      </c>
    </row>
    <row r="13" spans="1:19" x14ac:dyDescent="0.25">
      <c r="A13">
        <v>1</v>
      </c>
      <c r="B13" t="s">
        <v>303</v>
      </c>
      <c r="C13" t="s">
        <v>240</v>
      </c>
      <c r="D13" t="s">
        <v>6595</v>
      </c>
      <c r="E13">
        <v>0</v>
      </c>
      <c r="F13">
        <v>0</v>
      </c>
      <c r="H13" t="s">
        <v>6632</v>
      </c>
      <c r="K13" t="s">
        <v>6644</v>
      </c>
      <c r="L13" t="s">
        <v>6595</v>
      </c>
      <c r="M13" t="s">
        <v>6549</v>
      </c>
      <c r="N13">
        <v>1</v>
      </c>
      <c r="O13">
        <v>0</v>
      </c>
      <c r="P13">
        <v>1</v>
      </c>
      <c r="Q13">
        <v>0</v>
      </c>
      <c r="R13">
        <v>40</v>
      </c>
      <c r="S13" t="s">
        <v>6645</v>
      </c>
    </row>
    <row r="14" spans="1:19" x14ac:dyDescent="0.25">
      <c r="A14">
        <v>2</v>
      </c>
      <c r="B14" t="s">
        <v>306</v>
      </c>
      <c r="C14" t="s">
        <v>236</v>
      </c>
      <c r="D14" t="s">
        <v>6595</v>
      </c>
      <c r="E14">
        <v>0.40740740740740738</v>
      </c>
      <c r="F14">
        <v>19.047619047619051</v>
      </c>
      <c r="H14" t="s">
        <v>6632</v>
      </c>
      <c r="K14" t="s">
        <v>6644</v>
      </c>
      <c r="L14" t="s">
        <v>6595</v>
      </c>
      <c r="M14" t="s">
        <v>6550</v>
      </c>
      <c r="N14">
        <v>1</v>
      </c>
      <c r="O14">
        <v>0</v>
      </c>
      <c r="P14">
        <v>1</v>
      </c>
      <c r="Q14">
        <v>0</v>
      </c>
      <c r="R14">
        <v>40</v>
      </c>
      <c r="S14" t="s">
        <v>6645</v>
      </c>
    </row>
    <row r="15" spans="1:19" x14ac:dyDescent="0.25">
      <c r="A15">
        <v>3</v>
      </c>
      <c r="B15" t="s">
        <v>311</v>
      </c>
      <c r="C15" t="s">
        <v>237</v>
      </c>
      <c r="D15" t="s">
        <v>6595</v>
      </c>
      <c r="E15">
        <v>0.61111111111111116</v>
      </c>
      <c r="F15">
        <v>52.380952380952387</v>
      </c>
      <c r="H15" t="s">
        <v>6632</v>
      </c>
      <c r="K15" t="s">
        <v>6646</v>
      </c>
      <c r="L15" t="s">
        <v>6601</v>
      </c>
      <c r="M15" t="s">
        <v>6549</v>
      </c>
      <c r="N15">
        <v>0.95984990619136978</v>
      </c>
      <c r="O15">
        <v>1.407160169144235E-22</v>
      </c>
      <c r="P15">
        <v>0.7</v>
      </c>
      <c r="Q15">
        <v>1</v>
      </c>
      <c r="R15">
        <v>40</v>
      </c>
      <c r="S15" t="s">
        <v>6645</v>
      </c>
    </row>
    <row r="16" spans="1:19" x14ac:dyDescent="0.25">
      <c r="A16">
        <v>4</v>
      </c>
      <c r="B16" t="s">
        <v>315</v>
      </c>
      <c r="C16" t="s">
        <v>242</v>
      </c>
      <c r="D16" t="s">
        <v>6595</v>
      </c>
      <c r="E16">
        <v>0.48148148148148151</v>
      </c>
      <c r="F16">
        <v>28.571428571428569</v>
      </c>
      <c r="H16" t="s">
        <v>6632</v>
      </c>
      <c r="K16" t="s">
        <v>6646</v>
      </c>
      <c r="L16" t="s">
        <v>6601</v>
      </c>
      <c r="M16" t="s">
        <v>6550</v>
      </c>
      <c r="N16">
        <v>1</v>
      </c>
      <c r="O16">
        <v>0</v>
      </c>
      <c r="P16">
        <v>1</v>
      </c>
      <c r="Q16">
        <v>0</v>
      </c>
      <c r="R16">
        <v>40</v>
      </c>
      <c r="S16" t="s">
        <v>6645</v>
      </c>
    </row>
    <row r="17" spans="1:19" x14ac:dyDescent="0.25">
      <c r="A17">
        <v>5</v>
      </c>
      <c r="B17" t="s">
        <v>318</v>
      </c>
      <c r="C17" t="s">
        <v>242</v>
      </c>
      <c r="D17" t="s">
        <v>6595</v>
      </c>
      <c r="E17">
        <v>0.57407407407407407</v>
      </c>
      <c r="F17">
        <v>42.857142857142847</v>
      </c>
      <c r="H17" t="s">
        <v>6632</v>
      </c>
      <c r="K17" t="s">
        <v>6647</v>
      </c>
      <c r="L17" t="s">
        <v>6612</v>
      </c>
      <c r="M17" t="s">
        <v>6549</v>
      </c>
      <c r="N17">
        <v>1</v>
      </c>
      <c r="O17">
        <v>0</v>
      </c>
      <c r="P17">
        <v>1</v>
      </c>
      <c r="Q17">
        <v>0</v>
      </c>
      <c r="R17">
        <v>40</v>
      </c>
      <c r="S17" t="s">
        <v>6645</v>
      </c>
    </row>
    <row r="18" spans="1:19" x14ac:dyDescent="0.25">
      <c r="A18">
        <v>6</v>
      </c>
      <c r="B18" t="s">
        <v>321</v>
      </c>
      <c r="C18" t="s">
        <v>240</v>
      </c>
      <c r="D18" t="s">
        <v>6595</v>
      </c>
      <c r="E18">
        <v>0.40740740740740738</v>
      </c>
      <c r="F18">
        <v>33.333333333333329</v>
      </c>
      <c r="H18" t="s">
        <v>6632</v>
      </c>
      <c r="K18" t="s">
        <v>6647</v>
      </c>
      <c r="L18" t="s">
        <v>6612</v>
      </c>
      <c r="M18" t="s">
        <v>6550</v>
      </c>
      <c r="N18">
        <v>0.99831144465290822</v>
      </c>
      <c r="O18">
        <v>1.3972677500325231E-48</v>
      </c>
      <c r="P18">
        <v>0.9</v>
      </c>
      <c r="Q18">
        <v>0</v>
      </c>
      <c r="R18">
        <v>40</v>
      </c>
      <c r="S18" t="s">
        <v>6645</v>
      </c>
    </row>
    <row r="19" spans="1:19" x14ac:dyDescent="0.25">
      <c r="A19">
        <v>7</v>
      </c>
      <c r="B19" t="s">
        <v>325</v>
      </c>
      <c r="C19" t="s">
        <v>236</v>
      </c>
      <c r="D19" t="s">
        <v>6595</v>
      </c>
      <c r="E19">
        <v>0.44444444444444442</v>
      </c>
      <c r="F19">
        <v>38.095238095238088</v>
      </c>
      <c r="H19" t="s">
        <v>6632</v>
      </c>
      <c r="K19" t="s">
        <v>6648</v>
      </c>
      <c r="L19" t="s">
        <v>6618</v>
      </c>
      <c r="M19" t="s">
        <v>6549</v>
      </c>
      <c r="N19">
        <v>1</v>
      </c>
      <c r="O19">
        <v>0</v>
      </c>
      <c r="P19">
        <v>1</v>
      </c>
      <c r="Q19">
        <v>0</v>
      </c>
      <c r="R19">
        <v>40</v>
      </c>
      <c r="S19" t="s">
        <v>6645</v>
      </c>
    </row>
    <row r="20" spans="1:19" x14ac:dyDescent="0.25">
      <c r="A20">
        <v>8</v>
      </c>
      <c r="B20" t="s">
        <v>327</v>
      </c>
      <c r="C20" t="s">
        <v>242</v>
      </c>
      <c r="D20" t="s">
        <v>6595</v>
      </c>
      <c r="E20">
        <v>0</v>
      </c>
      <c r="F20">
        <v>0</v>
      </c>
      <c r="H20" t="s">
        <v>6632</v>
      </c>
      <c r="K20" t="s">
        <v>6648</v>
      </c>
      <c r="L20" t="s">
        <v>6618</v>
      </c>
      <c r="M20" t="s">
        <v>6550</v>
      </c>
      <c r="N20">
        <v>0.99906191369606023</v>
      </c>
      <c r="O20">
        <v>1.985593574065014E-53</v>
      </c>
      <c r="P20">
        <v>1</v>
      </c>
      <c r="Q20">
        <v>0</v>
      </c>
      <c r="R20">
        <v>40</v>
      </c>
      <c r="S20" t="s">
        <v>6645</v>
      </c>
    </row>
    <row r="21" spans="1:19" x14ac:dyDescent="0.25">
      <c r="A21">
        <v>9</v>
      </c>
      <c r="B21" t="s">
        <v>330</v>
      </c>
      <c r="C21" t="s">
        <v>237</v>
      </c>
      <c r="D21" t="s">
        <v>6595</v>
      </c>
      <c r="E21">
        <v>0.51851851851851849</v>
      </c>
      <c r="F21">
        <v>42.857142857142847</v>
      </c>
      <c r="H21" t="s">
        <v>6632</v>
      </c>
    </row>
    <row r="22" spans="1:19" x14ac:dyDescent="0.25">
      <c r="A22">
        <v>10</v>
      </c>
      <c r="B22" t="s">
        <v>334</v>
      </c>
      <c r="C22" t="s">
        <v>236</v>
      </c>
      <c r="D22" t="s">
        <v>6595</v>
      </c>
      <c r="E22">
        <v>0.2407407407407407</v>
      </c>
      <c r="F22">
        <v>9.5238095238095237</v>
      </c>
      <c r="H22" t="s">
        <v>6632</v>
      </c>
      <c r="K22" t="s">
        <v>6649</v>
      </c>
    </row>
    <row r="23" spans="1:19" x14ac:dyDescent="0.25">
      <c r="A23">
        <v>11</v>
      </c>
      <c r="B23" t="s">
        <v>338</v>
      </c>
      <c r="C23" t="s">
        <v>236</v>
      </c>
      <c r="D23" t="s">
        <v>6595</v>
      </c>
      <c r="E23">
        <v>0.1111111111111111</v>
      </c>
      <c r="F23">
        <v>4.7619047619047619</v>
      </c>
      <c r="H23" t="s">
        <v>6632</v>
      </c>
      <c r="K23" s="64" t="s">
        <v>6629</v>
      </c>
      <c r="L23" s="64" t="s">
        <v>6563</v>
      </c>
      <c r="M23" s="64" t="s">
        <v>6564</v>
      </c>
      <c r="N23" s="64" t="s">
        <v>6565</v>
      </c>
      <c r="O23" s="64" t="s">
        <v>6650</v>
      </c>
      <c r="P23" s="64" t="s">
        <v>6651</v>
      </c>
    </row>
    <row r="24" spans="1:19" x14ac:dyDescent="0.25">
      <c r="A24">
        <v>12</v>
      </c>
      <c r="B24" t="s">
        <v>342</v>
      </c>
      <c r="C24" t="s">
        <v>237</v>
      </c>
      <c r="D24" t="s">
        <v>6595</v>
      </c>
      <c r="E24">
        <v>0.29629629629629628</v>
      </c>
      <c r="F24">
        <v>38.095238095238088</v>
      </c>
      <c r="H24" t="s">
        <v>6632</v>
      </c>
      <c r="K24" t="s">
        <v>6595</v>
      </c>
      <c r="L24">
        <v>0.91913821374627225</v>
      </c>
      <c r="M24">
        <v>5.8881575892683697E-17</v>
      </c>
      <c r="N24">
        <v>40</v>
      </c>
      <c r="O24" t="s">
        <v>6652</v>
      </c>
      <c r="P24" t="s">
        <v>6653</v>
      </c>
    </row>
    <row r="25" spans="1:19" x14ac:dyDescent="0.25">
      <c r="A25">
        <v>13</v>
      </c>
      <c r="B25" t="s">
        <v>344</v>
      </c>
      <c r="C25" t="s">
        <v>237</v>
      </c>
      <c r="D25" t="s">
        <v>6595</v>
      </c>
      <c r="E25">
        <v>0.12962962962962959</v>
      </c>
      <c r="F25">
        <v>19.047619047619051</v>
      </c>
      <c r="H25" t="s">
        <v>6632</v>
      </c>
      <c r="K25" t="s">
        <v>6601</v>
      </c>
      <c r="L25">
        <v>0.88907067203630352</v>
      </c>
      <c r="M25">
        <v>1.8281742977357891E-14</v>
      </c>
      <c r="N25">
        <v>40</v>
      </c>
      <c r="O25" t="s">
        <v>6652</v>
      </c>
      <c r="P25" t="s">
        <v>6653</v>
      </c>
    </row>
    <row r="26" spans="1:19" x14ac:dyDescent="0.25">
      <c r="A26">
        <v>14</v>
      </c>
      <c r="B26" t="s">
        <v>348</v>
      </c>
      <c r="C26" t="s">
        <v>243</v>
      </c>
      <c r="D26" t="s">
        <v>6595</v>
      </c>
      <c r="E26">
        <v>0</v>
      </c>
      <c r="F26">
        <v>0</v>
      </c>
      <c r="H26" t="s">
        <v>6632</v>
      </c>
      <c r="K26" t="s">
        <v>6612</v>
      </c>
      <c r="L26">
        <v>0.92019770986429794</v>
      </c>
      <c r="M26">
        <v>4.6262671264134821E-17</v>
      </c>
      <c r="N26">
        <v>40</v>
      </c>
      <c r="O26" t="s">
        <v>6652</v>
      </c>
      <c r="P26" t="s">
        <v>6653</v>
      </c>
    </row>
    <row r="27" spans="1:19" x14ac:dyDescent="0.25">
      <c r="A27">
        <v>15</v>
      </c>
      <c r="B27" t="s">
        <v>352</v>
      </c>
      <c r="C27" t="s">
        <v>241</v>
      </c>
      <c r="D27" t="s">
        <v>6595</v>
      </c>
      <c r="E27">
        <v>0.90740740740740744</v>
      </c>
      <c r="F27">
        <v>71.428571428571431</v>
      </c>
      <c r="H27" t="s">
        <v>6632</v>
      </c>
      <c r="K27" t="s">
        <v>6618</v>
      </c>
      <c r="L27">
        <v>0.92255884598173854</v>
      </c>
      <c r="M27">
        <v>2.669899701289598E-17</v>
      </c>
      <c r="N27">
        <v>40</v>
      </c>
      <c r="O27" t="s">
        <v>6652</v>
      </c>
      <c r="P27" t="s">
        <v>6653</v>
      </c>
    </row>
    <row r="28" spans="1:19" x14ac:dyDescent="0.25">
      <c r="A28">
        <v>16</v>
      </c>
      <c r="B28" t="s">
        <v>356</v>
      </c>
      <c r="C28" t="s">
        <v>241</v>
      </c>
      <c r="D28" t="s">
        <v>6595</v>
      </c>
      <c r="E28">
        <v>0</v>
      </c>
      <c r="F28">
        <v>0</v>
      </c>
      <c r="H28" t="s">
        <v>6632</v>
      </c>
    </row>
    <row r="29" spans="1:19" x14ac:dyDescent="0.25">
      <c r="A29">
        <v>17</v>
      </c>
      <c r="B29" t="s">
        <v>359</v>
      </c>
      <c r="C29" t="s">
        <v>238</v>
      </c>
      <c r="D29" t="s">
        <v>6595</v>
      </c>
      <c r="E29">
        <v>0.85185185185185186</v>
      </c>
      <c r="F29">
        <v>33.333333333333329</v>
      </c>
      <c r="H29" t="s">
        <v>6632</v>
      </c>
    </row>
    <row r="30" spans="1:19" x14ac:dyDescent="0.25">
      <c r="A30">
        <v>18</v>
      </c>
      <c r="B30" t="s">
        <v>363</v>
      </c>
      <c r="C30" t="s">
        <v>238</v>
      </c>
      <c r="D30" t="s">
        <v>6595</v>
      </c>
      <c r="E30">
        <v>0</v>
      </c>
      <c r="F30">
        <v>0</v>
      </c>
      <c r="H30" t="s">
        <v>6632</v>
      </c>
      <c r="K30" t="s">
        <v>6654</v>
      </c>
    </row>
    <row r="31" spans="1:19" x14ac:dyDescent="0.25">
      <c r="A31">
        <v>19</v>
      </c>
      <c r="B31" t="s">
        <v>367</v>
      </c>
      <c r="C31" t="s">
        <v>236</v>
      </c>
      <c r="D31" t="s">
        <v>6595</v>
      </c>
      <c r="E31">
        <v>0.55555555555555558</v>
      </c>
      <c r="F31">
        <v>42.857142857142847</v>
      </c>
      <c r="H31" t="s">
        <v>6632</v>
      </c>
      <c r="K31" s="64" t="s">
        <v>6629</v>
      </c>
      <c r="L31" s="64" t="s">
        <v>6655</v>
      </c>
      <c r="M31" s="64" t="s">
        <v>6541</v>
      </c>
      <c r="N31" s="64" t="s">
        <v>6656</v>
      </c>
      <c r="O31" s="64" t="s">
        <v>6657</v>
      </c>
      <c r="P31" s="64" t="s">
        <v>35</v>
      </c>
    </row>
    <row r="32" spans="1:19" x14ac:dyDescent="0.25">
      <c r="A32">
        <v>20</v>
      </c>
      <c r="B32" t="s">
        <v>371</v>
      </c>
      <c r="C32" t="s">
        <v>237</v>
      </c>
      <c r="D32" t="s">
        <v>6595</v>
      </c>
      <c r="E32">
        <v>9.2592592592592587E-2</v>
      </c>
      <c r="F32">
        <v>4.7619047619047619</v>
      </c>
      <c r="H32" t="s">
        <v>6632</v>
      </c>
      <c r="K32" t="s">
        <v>6601</v>
      </c>
      <c r="L32" t="s">
        <v>6549</v>
      </c>
      <c r="M32">
        <v>3</v>
      </c>
      <c r="N32" t="s">
        <v>6658</v>
      </c>
      <c r="O32">
        <v>1</v>
      </c>
      <c r="P32" t="s">
        <v>6659</v>
      </c>
    </row>
    <row r="33" spans="1:21" x14ac:dyDescent="0.25">
      <c r="A33">
        <v>21</v>
      </c>
      <c r="B33" t="s">
        <v>373</v>
      </c>
      <c r="C33" t="s">
        <v>242</v>
      </c>
      <c r="D33" t="s">
        <v>6595</v>
      </c>
      <c r="E33">
        <v>0</v>
      </c>
      <c r="F33">
        <v>0</v>
      </c>
      <c r="H33" t="s">
        <v>6632</v>
      </c>
      <c r="K33" t="s">
        <v>6601</v>
      </c>
      <c r="L33" t="s">
        <v>6549</v>
      </c>
      <c r="M33">
        <v>4</v>
      </c>
      <c r="N33" t="s">
        <v>6658</v>
      </c>
      <c r="O33">
        <v>1</v>
      </c>
      <c r="P33" t="s">
        <v>6659</v>
      </c>
    </row>
    <row r="34" spans="1:21" x14ac:dyDescent="0.25">
      <c r="A34">
        <v>22</v>
      </c>
      <c r="B34" t="s">
        <v>377</v>
      </c>
      <c r="C34" t="s">
        <v>242</v>
      </c>
      <c r="D34" t="s">
        <v>6595</v>
      </c>
      <c r="E34">
        <v>0.20370370370370369</v>
      </c>
      <c r="F34">
        <v>4.7619047619047619</v>
      </c>
      <c r="H34" t="s">
        <v>6632</v>
      </c>
      <c r="K34" t="s">
        <v>6601</v>
      </c>
      <c r="L34" t="s">
        <v>6549</v>
      </c>
      <c r="M34">
        <v>5</v>
      </c>
      <c r="N34" t="s">
        <v>6658</v>
      </c>
      <c r="O34">
        <v>1</v>
      </c>
      <c r="P34" t="s">
        <v>6659</v>
      </c>
    </row>
    <row r="35" spans="1:21" x14ac:dyDescent="0.25">
      <c r="A35">
        <v>23</v>
      </c>
      <c r="B35" t="s">
        <v>380</v>
      </c>
      <c r="C35" t="s">
        <v>238</v>
      </c>
      <c r="D35" t="s">
        <v>6595</v>
      </c>
      <c r="E35">
        <v>0.42592592592592587</v>
      </c>
      <c r="F35">
        <v>47.619047619047613</v>
      </c>
      <c r="H35" t="s">
        <v>6632</v>
      </c>
      <c r="K35" t="s">
        <v>6660</v>
      </c>
      <c r="L35" t="s">
        <v>6550</v>
      </c>
      <c r="M35">
        <v>3</v>
      </c>
      <c r="N35" t="s">
        <v>6661</v>
      </c>
      <c r="O35">
        <v>1</v>
      </c>
      <c r="P35" t="s">
        <v>6662</v>
      </c>
    </row>
    <row r="36" spans="1:21" x14ac:dyDescent="0.25">
      <c r="A36">
        <v>24</v>
      </c>
      <c r="B36" t="s">
        <v>384</v>
      </c>
      <c r="C36" t="s">
        <v>236</v>
      </c>
      <c r="D36" t="s">
        <v>6595</v>
      </c>
      <c r="E36">
        <v>0.3888888888888889</v>
      </c>
      <c r="F36">
        <v>19.047619047619051</v>
      </c>
      <c r="H36" t="s">
        <v>6632</v>
      </c>
      <c r="K36" t="s">
        <v>6660</v>
      </c>
      <c r="L36" t="s">
        <v>6550</v>
      </c>
      <c r="M36">
        <v>4</v>
      </c>
      <c r="N36" t="s">
        <v>6661</v>
      </c>
      <c r="O36">
        <v>1</v>
      </c>
      <c r="P36" t="s">
        <v>6662</v>
      </c>
    </row>
    <row r="37" spans="1:21" x14ac:dyDescent="0.25">
      <c r="A37">
        <v>25</v>
      </c>
      <c r="B37" t="s">
        <v>386</v>
      </c>
      <c r="C37" t="s">
        <v>242</v>
      </c>
      <c r="D37" t="s">
        <v>6595</v>
      </c>
      <c r="E37">
        <v>0.72222222222222221</v>
      </c>
      <c r="F37">
        <v>76.19047619047619</v>
      </c>
      <c r="H37" t="s">
        <v>6632</v>
      </c>
      <c r="K37" t="s">
        <v>6660</v>
      </c>
      <c r="L37" t="s">
        <v>6550</v>
      </c>
      <c r="M37">
        <v>5</v>
      </c>
      <c r="N37" t="s">
        <v>6661</v>
      </c>
      <c r="O37">
        <v>1</v>
      </c>
      <c r="P37" t="s">
        <v>6662</v>
      </c>
    </row>
    <row r="38" spans="1:21" x14ac:dyDescent="0.25">
      <c r="A38">
        <v>26</v>
      </c>
      <c r="B38" t="s">
        <v>389</v>
      </c>
      <c r="C38" t="s">
        <v>236</v>
      </c>
      <c r="D38" t="s">
        <v>6595</v>
      </c>
      <c r="E38">
        <v>0</v>
      </c>
      <c r="F38">
        <v>0</v>
      </c>
      <c r="H38" t="s">
        <v>6632</v>
      </c>
      <c r="K38" t="s">
        <v>6612</v>
      </c>
      <c r="L38" t="s">
        <v>6550</v>
      </c>
      <c r="M38">
        <v>3</v>
      </c>
      <c r="N38" t="s">
        <v>6663</v>
      </c>
      <c r="O38">
        <v>0.37398422921808222</v>
      </c>
      <c r="P38" t="s">
        <v>6664</v>
      </c>
    </row>
    <row r="39" spans="1:21" x14ac:dyDescent="0.25">
      <c r="A39">
        <v>27</v>
      </c>
      <c r="B39" t="s">
        <v>393</v>
      </c>
      <c r="C39" t="s">
        <v>237</v>
      </c>
      <c r="D39" t="s">
        <v>6595</v>
      </c>
      <c r="E39">
        <v>0.27777777777777779</v>
      </c>
      <c r="F39">
        <v>52.380952380952387</v>
      </c>
      <c r="H39" t="s">
        <v>6632</v>
      </c>
      <c r="K39" t="s">
        <v>6612</v>
      </c>
      <c r="L39" t="s">
        <v>6550</v>
      </c>
      <c r="M39">
        <v>4</v>
      </c>
      <c r="N39" t="s">
        <v>6663</v>
      </c>
      <c r="O39">
        <v>0.57566367110835659</v>
      </c>
      <c r="P39" t="s">
        <v>6664</v>
      </c>
    </row>
    <row r="40" spans="1:21" x14ac:dyDescent="0.25">
      <c r="A40">
        <v>28</v>
      </c>
      <c r="B40" t="s">
        <v>396</v>
      </c>
      <c r="C40" t="s">
        <v>236</v>
      </c>
      <c r="D40" t="s">
        <v>6595</v>
      </c>
      <c r="E40">
        <v>0</v>
      </c>
      <c r="F40">
        <v>0</v>
      </c>
      <c r="H40" t="s">
        <v>6632</v>
      </c>
      <c r="K40" t="s">
        <v>6612</v>
      </c>
      <c r="L40" t="s">
        <v>6550</v>
      </c>
      <c r="M40">
        <v>5</v>
      </c>
      <c r="N40" t="s">
        <v>6663</v>
      </c>
      <c r="O40">
        <v>0.97170495767835552</v>
      </c>
      <c r="P40" t="s">
        <v>6664</v>
      </c>
    </row>
    <row r="41" spans="1:21" x14ac:dyDescent="0.25">
      <c r="A41">
        <v>29</v>
      </c>
      <c r="B41" t="s">
        <v>399</v>
      </c>
      <c r="C41" t="s">
        <v>238</v>
      </c>
      <c r="D41" t="s">
        <v>6595</v>
      </c>
      <c r="E41">
        <v>0</v>
      </c>
      <c r="F41">
        <v>0</v>
      </c>
      <c r="H41" t="s">
        <v>6632</v>
      </c>
      <c r="K41" t="s">
        <v>6618</v>
      </c>
      <c r="L41" t="s">
        <v>6550</v>
      </c>
      <c r="M41">
        <v>3</v>
      </c>
      <c r="N41" t="s">
        <v>6663</v>
      </c>
      <c r="O41">
        <v>1</v>
      </c>
      <c r="P41" t="s">
        <v>6664</v>
      </c>
    </row>
    <row r="42" spans="1:21" x14ac:dyDescent="0.25">
      <c r="A42">
        <v>30</v>
      </c>
      <c r="B42" t="s">
        <v>402</v>
      </c>
      <c r="C42" t="s">
        <v>236</v>
      </c>
      <c r="D42" t="s">
        <v>6595</v>
      </c>
      <c r="E42">
        <v>0</v>
      </c>
      <c r="F42">
        <v>0</v>
      </c>
      <c r="H42" t="s">
        <v>6632</v>
      </c>
      <c r="K42" t="s">
        <v>6618</v>
      </c>
      <c r="L42" t="s">
        <v>6550</v>
      </c>
      <c r="M42">
        <v>4</v>
      </c>
      <c r="N42" t="s">
        <v>6663</v>
      </c>
      <c r="O42">
        <v>0.83553597650513955</v>
      </c>
      <c r="P42" t="s">
        <v>6664</v>
      </c>
    </row>
    <row r="43" spans="1:21" x14ac:dyDescent="0.25">
      <c r="A43">
        <v>31</v>
      </c>
      <c r="B43" t="s">
        <v>406</v>
      </c>
      <c r="C43" t="s">
        <v>241</v>
      </c>
      <c r="D43" t="s">
        <v>6595</v>
      </c>
      <c r="E43">
        <v>0.53703703703703709</v>
      </c>
      <c r="F43">
        <v>19.047619047619051</v>
      </c>
      <c r="H43" t="s">
        <v>6632</v>
      </c>
      <c r="K43" t="s">
        <v>6618</v>
      </c>
      <c r="L43" t="s">
        <v>6550</v>
      </c>
      <c r="M43">
        <v>5</v>
      </c>
      <c r="N43" t="s">
        <v>6663</v>
      </c>
      <c r="O43">
        <v>0.91488157788376046</v>
      </c>
      <c r="P43" t="s">
        <v>6664</v>
      </c>
    </row>
    <row r="44" spans="1:21" x14ac:dyDescent="0.25">
      <c r="A44">
        <v>32</v>
      </c>
      <c r="B44" t="s">
        <v>407</v>
      </c>
      <c r="C44" t="s">
        <v>238</v>
      </c>
      <c r="D44" t="s">
        <v>6595</v>
      </c>
      <c r="E44">
        <v>0.87037037037037035</v>
      </c>
      <c r="F44">
        <v>66.666666666666657</v>
      </c>
      <c r="H44" t="s">
        <v>6632</v>
      </c>
    </row>
    <row r="45" spans="1:21" x14ac:dyDescent="0.25">
      <c r="A45">
        <v>33</v>
      </c>
      <c r="B45" t="s">
        <v>410</v>
      </c>
      <c r="C45" t="s">
        <v>238</v>
      </c>
      <c r="D45" t="s">
        <v>6595</v>
      </c>
      <c r="E45">
        <v>0</v>
      </c>
      <c r="F45">
        <v>0</v>
      </c>
      <c r="H45" t="s">
        <v>6632</v>
      </c>
    </row>
    <row r="46" spans="1:21" x14ac:dyDescent="0.25">
      <c r="A46">
        <v>34</v>
      </c>
      <c r="B46" t="s">
        <v>413</v>
      </c>
      <c r="C46" t="s">
        <v>236</v>
      </c>
      <c r="D46" t="s">
        <v>6595</v>
      </c>
      <c r="E46">
        <v>0.42592592592592587</v>
      </c>
      <c r="F46">
        <v>38.095238095238088</v>
      </c>
      <c r="H46" t="s">
        <v>6632</v>
      </c>
    </row>
    <row r="47" spans="1:21" x14ac:dyDescent="0.25">
      <c r="A47">
        <v>35</v>
      </c>
      <c r="B47" t="s">
        <v>416</v>
      </c>
      <c r="C47" t="s">
        <v>236</v>
      </c>
      <c r="D47" t="s">
        <v>6595</v>
      </c>
      <c r="E47">
        <v>0</v>
      </c>
      <c r="F47">
        <v>0</v>
      </c>
      <c r="H47" t="s">
        <v>6632</v>
      </c>
      <c r="O47" t="s">
        <v>6668</v>
      </c>
    </row>
    <row r="48" spans="1:21" x14ac:dyDescent="0.25">
      <c r="A48">
        <v>36</v>
      </c>
      <c r="B48" t="s">
        <v>420</v>
      </c>
      <c r="C48" t="s">
        <v>238</v>
      </c>
      <c r="D48" t="s">
        <v>6595</v>
      </c>
      <c r="E48">
        <v>0.48148148148148151</v>
      </c>
      <c r="F48">
        <v>23.80952380952381</v>
      </c>
      <c r="H48" t="s">
        <v>6632</v>
      </c>
      <c r="O48" s="64" t="s">
        <v>6629</v>
      </c>
      <c r="P48" s="64" t="s">
        <v>6639</v>
      </c>
      <c r="Q48" s="64" t="s">
        <v>6669</v>
      </c>
      <c r="R48" s="64" t="s">
        <v>6670</v>
      </c>
      <c r="S48" s="64" t="s">
        <v>6671</v>
      </c>
      <c r="T48" s="64" t="s">
        <v>6672</v>
      </c>
      <c r="U48" s="64" t="s">
        <v>6673</v>
      </c>
    </row>
    <row r="49" spans="1:21" x14ac:dyDescent="0.25">
      <c r="A49">
        <v>37</v>
      </c>
      <c r="B49" t="s">
        <v>422</v>
      </c>
      <c r="C49" t="s">
        <v>240</v>
      </c>
      <c r="D49" t="s">
        <v>6595</v>
      </c>
      <c r="E49">
        <v>0</v>
      </c>
      <c r="F49">
        <v>0</v>
      </c>
      <c r="H49" t="s">
        <v>6632</v>
      </c>
      <c r="O49" t="s">
        <v>6595</v>
      </c>
      <c r="P49" t="s">
        <v>6549</v>
      </c>
      <c r="Q49">
        <v>0</v>
      </c>
      <c r="R49">
        <v>1</v>
      </c>
      <c r="S49" t="s">
        <v>303</v>
      </c>
      <c r="T49">
        <v>27</v>
      </c>
      <c r="U49">
        <v>27</v>
      </c>
    </row>
    <row r="50" spans="1:21" x14ac:dyDescent="0.25">
      <c r="A50">
        <v>38</v>
      </c>
      <c r="B50" t="s">
        <v>425</v>
      </c>
      <c r="C50" t="s">
        <v>236</v>
      </c>
      <c r="D50" t="s">
        <v>6595</v>
      </c>
      <c r="E50">
        <v>0.1851851851851852</v>
      </c>
      <c r="F50">
        <v>0</v>
      </c>
      <c r="H50" t="s">
        <v>6632</v>
      </c>
      <c r="O50" t="s">
        <v>6595</v>
      </c>
      <c r="P50" t="s">
        <v>6550</v>
      </c>
      <c r="Q50">
        <v>0</v>
      </c>
      <c r="R50">
        <v>1</v>
      </c>
      <c r="S50" t="s">
        <v>303</v>
      </c>
      <c r="T50">
        <v>26</v>
      </c>
      <c r="U50">
        <v>26</v>
      </c>
    </row>
    <row r="51" spans="1:21" x14ac:dyDescent="0.25">
      <c r="A51">
        <v>39</v>
      </c>
      <c r="B51" t="s">
        <v>427</v>
      </c>
      <c r="C51" t="s">
        <v>240</v>
      </c>
      <c r="D51" t="s">
        <v>6595</v>
      </c>
      <c r="E51">
        <v>0</v>
      </c>
      <c r="F51">
        <v>0</v>
      </c>
      <c r="H51" t="s">
        <v>6632</v>
      </c>
      <c r="O51" t="s">
        <v>6601</v>
      </c>
      <c r="P51" t="s">
        <v>6549</v>
      </c>
      <c r="Q51">
        <v>12</v>
      </c>
      <c r="R51">
        <v>40</v>
      </c>
      <c r="S51" t="s">
        <v>431</v>
      </c>
      <c r="T51">
        <v>6</v>
      </c>
      <c r="U51">
        <v>18</v>
      </c>
    </row>
    <row r="52" spans="1:21" x14ac:dyDescent="0.25">
      <c r="A52">
        <v>40</v>
      </c>
      <c r="B52" t="s">
        <v>431</v>
      </c>
      <c r="C52" t="s">
        <v>240</v>
      </c>
      <c r="D52" t="s">
        <v>6595</v>
      </c>
      <c r="E52">
        <v>0.59259259259259256</v>
      </c>
      <c r="F52">
        <v>47.619047619047613</v>
      </c>
      <c r="H52" t="s">
        <v>6632</v>
      </c>
      <c r="O52" t="s">
        <v>6601</v>
      </c>
      <c r="P52" t="s">
        <v>6550</v>
      </c>
      <c r="Q52">
        <v>0</v>
      </c>
      <c r="R52">
        <v>1</v>
      </c>
      <c r="S52" t="s">
        <v>303</v>
      </c>
      <c r="T52">
        <v>26</v>
      </c>
      <c r="U52">
        <v>26</v>
      </c>
    </row>
    <row r="53" spans="1:21" x14ac:dyDescent="0.25">
      <c r="A53">
        <v>1</v>
      </c>
      <c r="B53" t="s">
        <v>303</v>
      </c>
      <c r="C53" t="s">
        <v>240</v>
      </c>
      <c r="D53" t="s">
        <v>6601</v>
      </c>
      <c r="E53">
        <v>0</v>
      </c>
      <c r="F53">
        <v>0</v>
      </c>
      <c r="H53" t="s">
        <v>6633</v>
      </c>
      <c r="O53" t="s">
        <v>6612</v>
      </c>
      <c r="P53" t="s">
        <v>6549</v>
      </c>
      <c r="Q53">
        <v>0</v>
      </c>
      <c r="R53">
        <v>1</v>
      </c>
      <c r="S53" t="s">
        <v>303</v>
      </c>
      <c r="T53">
        <v>27</v>
      </c>
      <c r="U53">
        <v>27</v>
      </c>
    </row>
    <row r="54" spans="1:21" x14ac:dyDescent="0.25">
      <c r="A54">
        <v>2</v>
      </c>
      <c r="B54" t="s">
        <v>306</v>
      </c>
      <c r="C54" t="s">
        <v>236</v>
      </c>
      <c r="D54" t="s">
        <v>6601</v>
      </c>
      <c r="E54">
        <v>0.72222222222222221</v>
      </c>
      <c r="F54">
        <v>19.047619047619051</v>
      </c>
      <c r="H54" t="s">
        <v>6633</v>
      </c>
      <c r="O54" t="s">
        <v>6612</v>
      </c>
      <c r="P54" t="s">
        <v>6550</v>
      </c>
      <c r="Q54">
        <v>2</v>
      </c>
      <c r="R54">
        <v>9</v>
      </c>
      <c r="S54" t="s">
        <v>330</v>
      </c>
      <c r="T54">
        <v>9</v>
      </c>
      <c r="U54">
        <v>7</v>
      </c>
    </row>
    <row r="55" spans="1:21" x14ac:dyDescent="0.25">
      <c r="A55">
        <v>3</v>
      </c>
      <c r="B55" t="s">
        <v>311</v>
      </c>
      <c r="C55" t="s">
        <v>237</v>
      </c>
      <c r="D55" t="s">
        <v>6601</v>
      </c>
      <c r="E55">
        <v>0.88888888888888884</v>
      </c>
      <c r="F55">
        <v>52.380952380952387</v>
      </c>
      <c r="H55" t="s">
        <v>6633</v>
      </c>
      <c r="O55" t="s">
        <v>6618</v>
      </c>
      <c r="P55" t="s">
        <v>6549</v>
      </c>
      <c r="Q55">
        <v>0</v>
      </c>
      <c r="R55">
        <v>1</v>
      </c>
      <c r="S55" t="s">
        <v>303</v>
      </c>
      <c r="T55">
        <v>27</v>
      </c>
      <c r="U55">
        <v>27</v>
      </c>
    </row>
    <row r="56" spans="1:21" x14ac:dyDescent="0.25">
      <c r="A56">
        <v>4</v>
      </c>
      <c r="B56" t="s">
        <v>315</v>
      </c>
      <c r="C56" t="s">
        <v>242</v>
      </c>
      <c r="D56" t="s">
        <v>6601</v>
      </c>
      <c r="E56">
        <v>0.77777777777777779</v>
      </c>
      <c r="F56">
        <v>28.571428571428569</v>
      </c>
      <c r="H56" t="s">
        <v>6633</v>
      </c>
      <c r="O56" t="s">
        <v>6618</v>
      </c>
      <c r="P56" t="s">
        <v>6550</v>
      </c>
      <c r="Q56">
        <v>2</v>
      </c>
      <c r="R56">
        <v>7</v>
      </c>
      <c r="S56" t="s">
        <v>325</v>
      </c>
      <c r="T56">
        <v>11</v>
      </c>
      <c r="U56">
        <v>13</v>
      </c>
    </row>
    <row r="57" spans="1:21" x14ac:dyDescent="0.25">
      <c r="A57">
        <v>5</v>
      </c>
      <c r="B57" t="s">
        <v>318</v>
      </c>
      <c r="C57" t="s">
        <v>242</v>
      </c>
      <c r="D57" t="s">
        <v>6601</v>
      </c>
      <c r="E57">
        <v>0.83333333333333337</v>
      </c>
      <c r="F57">
        <v>42.857142857142847</v>
      </c>
      <c r="H57" t="s">
        <v>6633</v>
      </c>
    </row>
    <row r="58" spans="1:21" x14ac:dyDescent="0.25">
      <c r="A58">
        <v>6</v>
      </c>
      <c r="B58" t="s">
        <v>321</v>
      </c>
      <c r="C58" t="s">
        <v>240</v>
      </c>
      <c r="D58" t="s">
        <v>6601</v>
      </c>
      <c r="E58">
        <v>0.5</v>
      </c>
      <c r="F58">
        <v>33.333333333333329</v>
      </c>
      <c r="H58" t="s">
        <v>6633</v>
      </c>
    </row>
    <row r="59" spans="1:21" x14ac:dyDescent="0.25">
      <c r="A59">
        <v>7</v>
      </c>
      <c r="B59" t="s">
        <v>325</v>
      </c>
      <c r="C59" t="s">
        <v>236</v>
      </c>
      <c r="D59" t="s">
        <v>6601</v>
      </c>
      <c r="E59">
        <v>0.83333333333333337</v>
      </c>
      <c r="F59">
        <v>38.095238095238088</v>
      </c>
      <c r="H59" t="s">
        <v>6633</v>
      </c>
    </row>
    <row r="60" spans="1:21" x14ac:dyDescent="0.25">
      <c r="A60">
        <v>8</v>
      </c>
      <c r="B60" t="s">
        <v>327</v>
      </c>
      <c r="C60" t="s">
        <v>242</v>
      </c>
      <c r="D60" t="s">
        <v>6601</v>
      </c>
      <c r="E60">
        <v>0</v>
      </c>
      <c r="F60">
        <v>0</v>
      </c>
      <c r="H60" t="s">
        <v>6633</v>
      </c>
    </row>
    <row r="61" spans="1:21" x14ac:dyDescent="0.25">
      <c r="A61">
        <v>9</v>
      </c>
      <c r="B61" t="s">
        <v>330</v>
      </c>
      <c r="C61" t="s">
        <v>237</v>
      </c>
      <c r="D61" t="s">
        <v>6601</v>
      </c>
      <c r="E61">
        <v>0.77777777777777779</v>
      </c>
      <c r="F61">
        <v>42.857142857142847</v>
      </c>
      <c r="H61" t="s">
        <v>6633</v>
      </c>
    </row>
    <row r="62" spans="1:21" x14ac:dyDescent="0.25">
      <c r="A62">
        <v>10</v>
      </c>
      <c r="B62" t="s">
        <v>334</v>
      </c>
      <c r="C62" t="s">
        <v>236</v>
      </c>
      <c r="D62" t="s">
        <v>6601</v>
      </c>
      <c r="E62">
        <v>0.44444444444444442</v>
      </c>
      <c r="F62">
        <v>9.5238095238095237</v>
      </c>
      <c r="H62" t="s">
        <v>6633</v>
      </c>
    </row>
    <row r="63" spans="1:21" x14ac:dyDescent="0.25">
      <c r="A63">
        <v>11</v>
      </c>
      <c r="B63" t="s">
        <v>338</v>
      </c>
      <c r="C63" t="s">
        <v>236</v>
      </c>
      <c r="D63" t="s">
        <v>6601</v>
      </c>
      <c r="E63">
        <v>0.33333333333333331</v>
      </c>
      <c r="F63">
        <v>4.7619047619047619</v>
      </c>
      <c r="H63" t="s">
        <v>6633</v>
      </c>
    </row>
    <row r="64" spans="1:21" x14ac:dyDescent="0.25">
      <c r="A64">
        <v>12</v>
      </c>
      <c r="B64" t="s">
        <v>342</v>
      </c>
      <c r="C64" t="s">
        <v>237</v>
      </c>
      <c r="D64" t="s">
        <v>6601</v>
      </c>
      <c r="E64">
        <v>0.77777777777777779</v>
      </c>
      <c r="F64">
        <v>38.095238095238088</v>
      </c>
      <c r="H64" t="s">
        <v>6633</v>
      </c>
    </row>
    <row r="65" spans="1:8" x14ac:dyDescent="0.25">
      <c r="A65">
        <v>13</v>
      </c>
      <c r="B65" t="s">
        <v>344</v>
      </c>
      <c r="C65" t="s">
        <v>237</v>
      </c>
      <c r="D65" t="s">
        <v>6601</v>
      </c>
      <c r="E65">
        <v>0.33333333333333331</v>
      </c>
      <c r="F65">
        <v>19.047619047619051</v>
      </c>
      <c r="H65" t="s">
        <v>6633</v>
      </c>
    </row>
    <row r="66" spans="1:8" x14ac:dyDescent="0.25">
      <c r="A66">
        <v>14</v>
      </c>
      <c r="B66" t="s">
        <v>348</v>
      </c>
      <c r="C66" t="s">
        <v>243</v>
      </c>
      <c r="D66" t="s">
        <v>6601</v>
      </c>
      <c r="E66">
        <v>0</v>
      </c>
      <c r="F66">
        <v>0</v>
      </c>
      <c r="H66" t="s">
        <v>6633</v>
      </c>
    </row>
    <row r="67" spans="1:8" x14ac:dyDescent="0.25">
      <c r="A67">
        <v>15</v>
      </c>
      <c r="B67" t="s">
        <v>352</v>
      </c>
      <c r="C67" t="s">
        <v>241</v>
      </c>
      <c r="D67" t="s">
        <v>6601</v>
      </c>
      <c r="E67">
        <v>1</v>
      </c>
      <c r="F67">
        <v>71.428571428571431</v>
      </c>
      <c r="H67" t="s">
        <v>6633</v>
      </c>
    </row>
    <row r="68" spans="1:8" x14ac:dyDescent="0.25">
      <c r="A68">
        <v>16</v>
      </c>
      <c r="B68" t="s">
        <v>356</v>
      </c>
      <c r="C68" t="s">
        <v>241</v>
      </c>
      <c r="D68" t="s">
        <v>6601</v>
      </c>
      <c r="E68">
        <v>0</v>
      </c>
      <c r="F68">
        <v>0</v>
      </c>
      <c r="H68" t="s">
        <v>6633</v>
      </c>
    </row>
    <row r="69" spans="1:8" x14ac:dyDescent="0.25">
      <c r="A69">
        <v>17</v>
      </c>
      <c r="B69" t="s">
        <v>359</v>
      </c>
      <c r="C69" t="s">
        <v>238</v>
      </c>
      <c r="D69" t="s">
        <v>6601</v>
      </c>
      <c r="E69">
        <v>0.94444444444444442</v>
      </c>
      <c r="F69">
        <v>33.333333333333329</v>
      </c>
      <c r="H69" t="s">
        <v>6633</v>
      </c>
    </row>
    <row r="70" spans="1:8" x14ac:dyDescent="0.25">
      <c r="A70">
        <v>18</v>
      </c>
      <c r="B70" t="s">
        <v>363</v>
      </c>
      <c r="C70" t="s">
        <v>238</v>
      </c>
      <c r="D70" t="s">
        <v>6601</v>
      </c>
      <c r="E70">
        <v>0</v>
      </c>
      <c r="F70">
        <v>0</v>
      </c>
      <c r="H70" t="s">
        <v>6633</v>
      </c>
    </row>
    <row r="71" spans="1:8" x14ac:dyDescent="0.25">
      <c r="A71">
        <v>19</v>
      </c>
      <c r="B71" t="s">
        <v>367</v>
      </c>
      <c r="C71" t="s">
        <v>236</v>
      </c>
      <c r="D71" t="s">
        <v>6601</v>
      </c>
      <c r="E71">
        <v>0.72222222222222221</v>
      </c>
      <c r="F71">
        <v>42.857142857142847</v>
      </c>
      <c r="H71" t="s">
        <v>6633</v>
      </c>
    </row>
    <row r="72" spans="1:8" x14ac:dyDescent="0.25">
      <c r="A72">
        <v>20</v>
      </c>
      <c r="B72" t="s">
        <v>371</v>
      </c>
      <c r="C72" t="s">
        <v>237</v>
      </c>
      <c r="D72" t="s">
        <v>6601</v>
      </c>
      <c r="E72">
        <v>0.27777777777777779</v>
      </c>
      <c r="F72">
        <v>4.7619047619047619</v>
      </c>
      <c r="H72" t="s">
        <v>6633</v>
      </c>
    </row>
    <row r="73" spans="1:8" x14ac:dyDescent="0.25">
      <c r="A73">
        <v>21</v>
      </c>
      <c r="B73" t="s">
        <v>373</v>
      </c>
      <c r="C73" t="s">
        <v>242</v>
      </c>
      <c r="D73" t="s">
        <v>6601</v>
      </c>
      <c r="E73">
        <v>0</v>
      </c>
      <c r="F73">
        <v>0</v>
      </c>
      <c r="H73" t="s">
        <v>6633</v>
      </c>
    </row>
    <row r="74" spans="1:8" x14ac:dyDescent="0.25">
      <c r="A74">
        <v>22</v>
      </c>
      <c r="B74" t="s">
        <v>377</v>
      </c>
      <c r="C74" t="s">
        <v>242</v>
      </c>
      <c r="D74" t="s">
        <v>6601</v>
      </c>
      <c r="E74">
        <v>0.33333333333333331</v>
      </c>
      <c r="F74">
        <v>4.7619047619047619</v>
      </c>
      <c r="H74" t="s">
        <v>6633</v>
      </c>
    </row>
    <row r="75" spans="1:8" x14ac:dyDescent="0.25">
      <c r="A75">
        <v>23</v>
      </c>
      <c r="B75" t="s">
        <v>380</v>
      </c>
      <c r="C75" t="s">
        <v>238</v>
      </c>
      <c r="D75" t="s">
        <v>6601</v>
      </c>
      <c r="E75">
        <v>0.72222222222222221</v>
      </c>
      <c r="F75">
        <v>47.619047619047613</v>
      </c>
      <c r="H75" t="s">
        <v>6633</v>
      </c>
    </row>
    <row r="76" spans="1:8" x14ac:dyDescent="0.25">
      <c r="A76">
        <v>24</v>
      </c>
      <c r="B76" t="s">
        <v>384</v>
      </c>
      <c r="C76" t="s">
        <v>236</v>
      </c>
      <c r="D76" t="s">
        <v>6601</v>
      </c>
      <c r="E76">
        <v>0.66666666666666663</v>
      </c>
      <c r="F76">
        <v>19.047619047619051</v>
      </c>
      <c r="H76" t="s">
        <v>6633</v>
      </c>
    </row>
    <row r="77" spans="1:8" x14ac:dyDescent="0.25">
      <c r="A77">
        <v>25</v>
      </c>
      <c r="B77" t="s">
        <v>386</v>
      </c>
      <c r="C77" t="s">
        <v>242</v>
      </c>
      <c r="D77" t="s">
        <v>6601</v>
      </c>
      <c r="E77">
        <v>0.88888888888888884</v>
      </c>
      <c r="F77">
        <v>76.19047619047619</v>
      </c>
      <c r="H77" t="s">
        <v>6633</v>
      </c>
    </row>
    <row r="78" spans="1:8" x14ac:dyDescent="0.25">
      <c r="A78">
        <v>26</v>
      </c>
      <c r="B78" t="s">
        <v>389</v>
      </c>
      <c r="C78" t="s">
        <v>236</v>
      </c>
      <c r="D78" t="s">
        <v>6601</v>
      </c>
      <c r="E78">
        <v>0</v>
      </c>
      <c r="F78">
        <v>0</v>
      </c>
      <c r="H78" t="s">
        <v>6633</v>
      </c>
    </row>
    <row r="79" spans="1:8" x14ac:dyDescent="0.25">
      <c r="A79">
        <v>27</v>
      </c>
      <c r="B79" t="s">
        <v>393</v>
      </c>
      <c r="C79" t="s">
        <v>237</v>
      </c>
      <c r="D79" t="s">
        <v>6601</v>
      </c>
      <c r="E79">
        <v>0.44444444444444442</v>
      </c>
      <c r="F79">
        <v>52.380952380952387</v>
      </c>
      <c r="H79" t="s">
        <v>6633</v>
      </c>
    </row>
    <row r="80" spans="1:8" x14ac:dyDescent="0.25">
      <c r="A80">
        <v>28</v>
      </c>
      <c r="B80" t="s">
        <v>396</v>
      </c>
      <c r="C80" t="s">
        <v>236</v>
      </c>
      <c r="D80" t="s">
        <v>6601</v>
      </c>
      <c r="E80">
        <v>0</v>
      </c>
      <c r="F80">
        <v>0</v>
      </c>
      <c r="H80" t="s">
        <v>6633</v>
      </c>
    </row>
    <row r="81" spans="1:8" x14ac:dyDescent="0.25">
      <c r="A81">
        <v>29</v>
      </c>
      <c r="B81" t="s">
        <v>399</v>
      </c>
      <c r="C81" t="s">
        <v>238</v>
      </c>
      <c r="D81" t="s">
        <v>6601</v>
      </c>
      <c r="E81">
        <v>0</v>
      </c>
      <c r="F81">
        <v>0</v>
      </c>
      <c r="H81" t="s">
        <v>6633</v>
      </c>
    </row>
    <row r="82" spans="1:8" x14ac:dyDescent="0.25">
      <c r="A82">
        <v>30</v>
      </c>
      <c r="B82" t="s">
        <v>402</v>
      </c>
      <c r="C82" t="s">
        <v>236</v>
      </c>
      <c r="D82" t="s">
        <v>6601</v>
      </c>
      <c r="E82">
        <v>0</v>
      </c>
      <c r="F82">
        <v>0</v>
      </c>
      <c r="H82" t="s">
        <v>6633</v>
      </c>
    </row>
    <row r="83" spans="1:8" x14ac:dyDescent="0.25">
      <c r="A83">
        <v>31</v>
      </c>
      <c r="B83" t="s">
        <v>406</v>
      </c>
      <c r="C83" t="s">
        <v>241</v>
      </c>
      <c r="D83" t="s">
        <v>6601</v>
      </c>
      <c r="E83">
        <v>0.77777777777777779</v>
      </c>
      <c r="F83">
        <v>19.047619047619051</v>
      </c>
      <c r="H83" t="s">
        <v>6633</v>
      </c>
    </row>
    <row r="84" spans="1:8" x14ac:dyDescent="0.25">
      <c r="A84">
        <v>32</v>
      </c>
      <c r="B84" t="s">
        <v>407</v>
      </c>
      <c r="C84" t="s">
        <v>238</v>
      </c>
      <c r="D84" t="s">
        <v>6601</v>
      </c>
      <c r="E84">
        <v>0.94444444444444442</v>
      </c>
      <c r="F84">
        <v>66.666666666666657</v>
      </c>
      <c r="H84" t="s">
        <v>6633</v>
      </c>
    </row>
    <row r="85" spans="1:8" x14ac:dyDescent="0.25">
      <c r="A85">
        <v>33</v>
      </c>
      <c r="B85" t="s">
        <v>410</v>
      </c>
      <c r="C85" t="s">
        <v>238</v>
      </c>
      <c r="D85" t="s">
        <v>6601</v>
      </c>
      <c r="E85">
        <v>0</v>
      </c>
      <c r="F85">
        <v>0</v>
      </c>
      <c r="H85" t="s">
        <v>6633</v>
      </c>
    </row>
    <row r="86" spans="1:8" x14ac:dyDescent="0.25">
      <c r="A86">
        <v>34</v>
      </c>
      <c r="B86" t="s">
        <v>413</v>
      </c>
      <c r="C86" t="s">
        <v>236</v>
      </c>
      <c r="D86" t="s">
        <v>6601</v>
      </c>
      <c r="E86">
        <v>0.83333333333333337</v>
      </c>
      <c r="F86">
        <v>38.095238095238088</v>
      </c>
      <c r="H86" t="s">
        <v>6633</v>
      </c>
    </row>
    <row r="87" spans="1:8" x14ac:dyDescent="0.25">
      <c r="A87">
        <v>35</v>
      </c>
      <c r="B87" t="s">
        <v>416</v>
      </c>
      <c r="C87" t="s">
        <v>236</v>
      </c>
      <c r="D87" t="s">
        <v>6601</v>
      </c>
      <c r="E87">
        <v>0</v>
      </c>
      <c r="F87">
        <v>0</v>
      </c>
      <c r="H87" t="s">
        <v>6633</v>
      </c>
    </row>
    <row r="88" spans="1:8" x14ac:dyDescent="0.25">
      <c r="A88">
        <v>36</v>
      </c>
      <c r="B88" t="s">
        <v>420</v>
      </c>
      <c r="C88" t="s">
        <v>238</v>
      </c>
      <c r="D88" t="s">
        <v>6601</v>
      </c>
      <c r="E88">
        <v>0.66666666666666663</v>
      </c>
      <c r="F88">
        <v>23.80952380952381</v>
      </c>
      <c r="H88" t="s">
        <v>6633</v>
      </c>
    </row>
    <row r="89" spans="1:8" x14ac:dyDescent="0.25">
      <c r="A89">
        <v>37</v>
      </c>
      <c r="B89" t="s">
        <v>422</v>
      </c>
      <c r="C89" t="s">
        <v>240</v>
      </c>
      <c r="D89" t="s">
        <v>6601</v>
      </c>
      <c r="E89">
        <v>0</v>
      </c>
      <c r="F89">
        <v>0</v>
      </c>
      <c r="H89" t="s">
        <v>6633</v>
      </c>
    </row>
    <row r="90" spans="1:8" x14ac:dyDescent="0.25">
      <c r="A90">
        <v>38</v>
      </c>
      <c r="B90" t="s">
        <v>425</v>
      </c>
      <c r="C90" t="s">
        <v>236</v>
      </c>
      <c r="D90" t="s">
        <v>6601</v>
      </c>
      <c r="E90">
        <v>0.55555555555555558</v>
      </c>
      <c r="F90">
        <v>0</v>
      </c>
      <c r="H90" t="s">
        <v>6633</v>
      </c>
    </row>
    <row r="91" spans="1:8" x14ac:dyDescent="0.25">
      <c r="A91">
        <v>39</v>
      </c>
      <c r="B91" t="s">
        <v>427</v>
      </c>
      <c r="C91" t="s">
        <v>240</v>
      </c>
      <c r="D91" t="s">
        <v>6601</v>
      </c>
      <c r="E91">
        <v>0</v>
      </c>
      <c r="F91">
        <v>0</v>
      </c>
      <c r="H91" t="s">
        <v>6633</v>
      </c>
    </row>
    <row r="92" spans="1:8" x14ac:dyDescent="0.25">
      <c r="A92">
        <v>40</v>
      </c>
      <c r="B92" t="s">
        <v>431</v>
      </c>
      <c r="C92" t="s">
        <v>240</v>
      </c>
      <c r="D92" t="s">
        <v>6601</v>
      </c>
      <c r="E92">
        <v>0.61111111111111116</v>
      </c>
      <c r="F92">
        <v>47.619047619047613</v>
      </c>
      <c r="H92" t="s">
        <v>6633</v>
      </c>
    </row>
    <row r="93" spans="1:8" x14ac:dyDescent="0.25">
      <c r="A93">
        <v>1</v>
      </c>
      <c r="B93" t="s">
        <v>303</v>
      </c>
      <c r="C93" t="s">
        <v>240</v>
      </c>
      <c r="D93" t="s">
        <v>6612</v>
      </c>
      <c r="E93">
        <v>0</v>
      </c>
      <c r="F93">
        <v>0</v>
      </c>
      <c r="H93" t="s">
        <v>6634</v>
      </c>
    </row>
    <row r="94" spans="1:8" x14ac:dyDescent="0.25">
      <c r="A94">
        <v>2</v>
      </c>
      <c r="B94" t="s">
        <v>306</v>
      </c>
      <c r="C94" t="s">
        <v>236</v>
      </c>
      <c r="D94" t="s">
        <v>6612</v>
      </c>
      <c r="E94">
        <v>0.40740740740740738</v>
      </c>
      <c r="F94">
        <v>14.81481481481481</v>
      </c>
      <c r="H94" t="s">
        <v>6634</v>
      </c>
    </row>
    <row r="95" spans="1:8" x14ac:dyDescent="0.25">
      <c r="A95">
        <v>3</v>
      </c>
      <c r="B95" t="s">
        <v>311</v>
      </c>
      <c r="C95" t="s">
        <v>237</v>
      </c>
      <c r="D95" t="s">
        <v>6612</v>
      </c>
      <c r="E95">
        <v>0.61111111111111116</v>
      </c>
      <c r="F95">
        <v>44.444444444444443</v>
      </c>
      <c r="H95" t="s">
        <v>6634</v>
      </c>
    </row>
    <row r="96" spans="1:8" x14ac:dyDescent="0.25">
      <c r="A96">
        <v>4</v>
      </c>
      <c r="B96" t="s">
        <v>315</v>
      </c>
      <c r="C96" t="s">
        <v>242</v>
      </c>
      <c r="D96" t="s">
        <v>6612</v>
      </c>
      <c r="E96">
        <v>0.48148148148148151</v>
      </c>
      <c r="F96">
        <v>22.222222222222221</v>
      </c>
      <c r="H96" t="s">
        <v>6634</v>
      </c>
    </row>
    <row r="97" spans="1:8" x14ac:dyDescent="0.25">
      <c r="A97">
        <v>5</v>
      </c>
      <c r="B97" t="s">
        <v>318</v>
      </c>
      <c r="C97" t="s">
        <v>242</v>
      </c>
      <c r="D97" t="s">
        <v>6612</v>
      </c>
      <c r="E97">
        <v>0.57407407407407407</v>
      </c>
      <c r="F97">
        <v>37.037037037037038</v>
      </c>
      <c r="H97" t="s">
        <v>6634</v>
      </c>
    </row>
    <row r="98" spans="1:8" x14ac:dyDescent="0.25">
      <c r="A98">
        <v>6</v>
      </c>
      <c r="B98" t="s">
        <v>321</v>
      </c>
      <c r="C98" t="s">
        <v>240</v>
      </c>
      <c r="D98" t="s">
        <v>6612</v>
      </c>
      <c r="E98">
        <v>0.40740740740740738</v>
      </c>
      <c r="F98">
        <v>29.62962962962963</v>
      </c>
      <c r="H98" t="s">
        <v>6634</v>
      </c>
    </row>
    <row r="99" spans="1:8" x14ac:dyDescent="0.25">
      <c r="A99">
        <v>7</v>
      </c>
      <c r="B99" t="s">
        <v>325</v>
      </c>
      <c r="C99" t="s">
        <v>236</v>
      </c>
      <c r="D99" t="s">
        <v>6612</v>
      </c>
      <c r="E99">
        <v>0.44444444444444442</v>
      </c>
      <c r="F99">
        <v>33.333333333333329</v>
      </c>
      <c r="H99" t="s">
        <v>6634</v>
      </c>
    </row>
    <row r="100" spans="1:8" x14ac:dyDescent="0.25">
      <c r="A100">
        <v>8</v>
      </c>
      <c r="B100" t="s">
        <v>327</v>
      </c>
      <c r="C100" t="s">
        <v>242</v>
      </c>
      <c r="D100" t="s">
        <v>6612</v>
      </c>
      <c r="E100">
        <v>0</v>
      </c>
      <c r="F100">
        <v>0</v>
      </c>
      <c r="H100" t="s">
        <v>6634</v>
      </c>
    </row>
    <row r="101" spans="1:8" x14ac:dyDescent="0.25">
      <c r="A101">
        <v>9</v>
      </c>
      <c r="B101" t="s">
        <v>330</v>
      </c>
      <c r="C101" t="s">
        <v>237</v>
      </c>
      <c r="D101" t="s">
        <v>6612</v>
      </c>
      <c r="E101">
        <v>0.51851851851851849</v>
      </c>
      <c r="F101">
        <v>40.74074074074074</v>
      </c>
      <c r="H101" t="s">
        <v>6634</v>
      </c>
    </row>
    <row r="102" spans="1:8" x14ac:dyDescent="0.25">
      <c r="A102">
        <v>10</v>
      </c>
      <c r="B102" t="s">
        <v>334</v>
      </c>
      <c r="C102" t="s">
        <v>236</v>
      </c>
      <c r="D102" t="s">
        <v>6612</v>
      </c>
      <c r="E102">
        <v>0.2407407407407407</v>
      </c>
      <c r="F102">
        <v>7.4074074074074074</v>
      </c>
      <c r="H102" t="s">
        <v>6634</v>
      </c>
    </row>
    <row r="103" spans="1:8" x14ac:dyDescent="0.25">
      <c r="A103">
        <v>11</v>
      </c>
      <c r="B103" t="s">
        <v>338</v>
      </c>
      <c r="C103" t="s">
        <v>236</v>
      </c>
      <c r="D103" t="s">
        <v>6612</v>
      </c>
      <c r="E103">
        <v>0.1111111111111111</v>
      </c>
      <c r="F103">
        <v>3.7037037037037028</v>
      </c>
      <c r="H103" t="s">
        <v>6634</v>
      </c>
    </row>
    <row r="104" spans="1:8" x14ac:dyDescent="0.25">
      <c r="A104">
        <v>12</v>
      </c>
      <c r="B104" t="s">
        <v>342</v>
      </c>
      <c r="C104" t="s">
        <v>237</v>
      </c>
      <c r="D104" t="s">
        <v>6612</v>
      </c>
      <c r="E104">
        <v>0.29629629629629628</v>
      </c>
      <c r="F104">
        <v>33.333333333333329</v>
      </c>
      <c r="H104" t="s">
        <v>6634</v>
      </c>
    </row>
    <row r="105" spans="1:8" x14ac:dyDescent="0.25">
      <c r="A105">
        <v>13</v>
      </c>
      <c r="B105" t="s">
        <v>344</v>
      </c>
      <c r="C105" t="s">
        <v>237</v>
      </c>
      <c r="D105" t="s">
        <v>6612</v>
      </c>
      <c r="E105">
        <v>0.12962962962962959</v>
      </c>
      <c r="F105">
        <v>14.81481481481481</v>
      </c>
      <c r="H105" t="s">
        <v>6634</v>
      </c>
    </row>
    <row r="106" spans="1:8" x14ac:dyDescent="0.25">
      <c r="A106">
        <v>14</v>
      </c>
      <c r="B106" t="s">
        <v>348</v>
      </c>
      <c r="C106" t="s">
        <v>243</v>
      </c>
      <c r="D106" t="s">
        <v>6612</v>
      </c>
      <c r="E106">
        <v>0</v>
      </c>
      <c r="F106">
        <v>0</v>
      </c>
      <c r="H106" t="s">
        <v>6634</v>
      </c>
    </row>
    <row r="107" spans="1:8" x14ac:dyDescent="0.25">
      <c r="A107">
        <v>15</v>
      </c>
      <c r="B107" t="s">
        <v>352</v>
      </c>
      <c r="C107" t="s">
        <v>241</v>
      </c>
      <c r="D107" t="s">
        <v>6612</v>
      </c>
      <c r="E107">
        <v>0.90740740740740744</v>
      </c>
      <c r="F107">
        <v>70.370370370370367</v>
      </c>
      <c r="H107" t="s">
        <v>6634</v>
      </c>
    </row>
    <row r="108" spans="1:8" x14ac:dyDescent="0.25">
      <c r="A108">
        <v>16</v>
      </c>
      <c r="B108" t="s">
        <v>356</v>
      </c>
      <c r="C108" t="s">
        <v>241</v>
      </c>
      <c r="D108" t="s">
        <v>6612</v>
      </c>
      <c r="E108">
        <v>0</v>
      </c>
      <c r="F108">
        <v>0</v>
      </c>
      <c r="H108" t="s">
        <v>6634</v>
      </c>
    </row>
    <row r="109" spans="1:8" x14ac:dyDescent="0.25">
      <c r="A109">
        <v>17</v>
      </c>
      <c r="B109" t="s">
        <v>359</v>
      </c>
      <c r="C109" t="s">
        <v>238</v>
      </c>
      <c r="D109" t="s">
        <v>6612</v>
      </c>
      <c r="E109">
        <v>0.85185185185185186</v>
      </c>
      <c r="F109">
        <v>29.62962962962963</v>
      </c>
      <c r="H109" t="s">
        <v>6634</v>
      </c>
    </row>
    <row r="110" spans="1:8" x14ac:dyDescent="0.25">
      <c r="A110">
        <v>18</v>
      </c>
      <c r="B110" t="s">
        <v>363</v>
      </c>
      <c r="C110" t="s">
        <v>238</v>
      </c>
      <c r="D110" t="s">
        <v>6612</v>
      </c>
      <c r="E110">
        <v>0</v>
      </c>
      <c r="F110">
        <v>0</v>
      </c>
      <c r="H110" t="s">
        <v>6634</v>
      </c>
    </row>
    <row r="111" spans="1:8" x14ac:dyDescent="0.25">
      <c r="A111">
        <v>19</v>
      </c>
      <c r="B111" t="s">
        <v>367</v>
      </c>
      <c r="C111" t="s">
        <v>236</v>
      </c>
      <c r="D111" t="s">
        <v>6612</v>
      </c>
      <c r="E111">
        <v>0.55555555555555558</v>
      </c>
      <c r="F111">
        <v>33.333333333333329</v>
      </c>
      <c r="H111" t="s">
        <v>6634</v>
      </c>
    </row>
    <row r="112" spans="1:8" x14ac:dyDescent="0.25">
      <c r="A112">
        <v>20</v>
      </c>
      <c r="B112" t="s">
        <v>371</v>
      </c>
      <c r="C112" t="s">
        <v>237</v>
      </c>
      <c r="D112" t="s">
        <v>6612</v>
      </c>
      <c r="E112">
        <v>9.2592592592592587E-2</v>
      </c>
      <c r="F112">
        <v>3.7037037037037028</v>
      </c>
      <c r="H112" t="s">
        <v>6634</v>
      </c>
    </row>
    <row r="113" spans="1:8" x14ac:dyDescent="0.25">
      <c r="A113">
        <v>21</v>
      </c>
      <c r="B113" t="s">
        <v>373</v>
      </c>
      <c r="C113" t="s">
        <v>242</v>
      </c>
      <c r="D113" t="s">
        <v>6612</v>
      </c>
      <c r="E113">
        <v>0</v>
      </c>
      <c r="F113">
        <v>0</v>
      </c>
      <c r="H113" t="s">
        <v>6634</v>
      </c>
    </row>
    <row r="114" spans="1:8" x14ac:dyDescent="0.25">
      <c r="A114">
        <v>22</v>
      </c>
      <c r="B114" t="s">
        <v>377</v>
      </c>
      <c r="C114" t="s">
        <v>242</v>
      </c>
      <c r="D114" t="s">
        <v>6612</v>
      </c>
      <c r="E114">
        <v>0.20370370370370369</v>
      </c>
      <c r="F114">
        <v>3.7037037037037028</v>
      </c>
      <c r="H114" t="s">
        <v>6634</v>
      </c>
    </row>
    <row r="115" spans="1:8" x14ac:dyDescent="0.25">
      <c r="A115">
        <v>23</v>
      </c>
      <c r="B115" t="s">
        <v>380</v>
      </c>
      <c r="C115" t="s">
        <v>238</v>
      </c>
      <c r="D115" t="s">
        <v>6612</v>
      </c>
      <c r="E115">
        <v>0.42592592592592587</v>
      </c>
      <c r="F115">
        <v>40.74074074074074</v>
      </c>
      <c r="H115" t="s">
        <v>6634</v>
      </c>
    </row>
    <row r="116" spans="1:8" x14ac:dyDescent="0.25">
      <c r="A116">
        <v>24</v>
      </c>
      <c r="B116" t="s">
        <v>384</v>
      </c>
      <c r="C116" t="s">
        <v>236</v>
      </c>
      <c r="D116" t="s">
        <v>6612</v>
      </c>
      <c r="E116">
        <v>0.3888888888888889</v>
      </c>
      <c r="F116">
        <v>14.81481481481481</v>
      </c>
      <c r="H116" t="s">
        <v>6634</v>
      </c>
    </row>
    <row r="117" spans="1:8" x14ac:dyDescent="0.25">
      <c r="A117">
        <v>25</v>
      </c>
      <c r="B117" t="s">
        <v>386</v>
      </c>
      <c r="C117" t="s">
        <v>242</v>
      </c>
      <c r="D117" t="s">
        <v>6612</v>
      </c>
      <c r="E117">
        <v>0.72222222222222221</v>
      </c>
      <c r="F117">
        <v>66.666666666666657</v>
      </c>
      <c r="H117" t="s">
        <v>6634</v>
      </c>
    </row>
    <row r="118" spans="1:8" x14ac:dyDescent="0.25">
      <c r="A118">
        <v>26</v>
      </c>
      <c r="B118" t="s">
        <v>389</v>
      </c>
      <c r="C118" t="s">
        <v>236</v>
      </c>
      <c r="D118" t="s">
        <v>6612</v>
      </c>
      <c r="E118">
        <v>0</v>
      </c>
      <c r="F118">
        <v>0</v>
      </c>
      <c r="H118" t="s">
        <v>6634</v>
      </c>
    </row>
    <row r="119" spans="1:8" x14ac:dyDescent="0.25">
      <c r="A119">
        <v>27</v>
      </c>
      <c r="B119" t="s">
        <v>393</v>
      </c>
      <c r="C119" t="s">
        <v>237</v>
      </c>
      <c r="D119" t="s">
        <v>6612</v>
      </c>
      <c r="E119">
        <v>0.27777777777777779</v>
      </c>
      <c r="F119">
        <v>44.444444444444443</v>
      </c>
      <c r="H119" t="s">
        <v>6634</v>
      </c>
    </row>
    <row r="120" spans="1:8" x14ac:dyDescent="0.25">
      <c r="A120">
        <v>28</v>
      </c>
      <c r="B120" t="s">
        <v>396</v>
      </c>
      <c r="C120" t="s">
        <v>236</v>
      </c>
      <c r="D120" t="s">
        <v>6612</v>
      </c>
      <c r="E120">
        <v>0</v>
      </c>
      <c r="F120">
        <v>0</v>
      </c>
      <c r="H120" t="s">
        <v>6634</v>
      </c>
    </row>
    <row r="121" spans="1:8" x14ac:dyDescent="0.25">
      <c r="A121">
        <v>29</v>
      </c>
      <c r="B121" t="s">
        <v>399</v>
      </c>
      <c r="C121" t="s">
        <v>238</v>
      </c>
      <c r="D121" t="s">
        <v>6612</v>
      </c>
      <c r="E121">
        <v>0</v>
      </c>
      <c r="F121">
        <v>0</v>
      </c>
      <c r="H121" t="s">
        <v>6634</v>
      </c>
    </row>
    <row r="122" spans="1:8" x14ac:dyDescent="0.25">
      <c r="A122">
        <v>30</v>
      </c>
      <c r="B122" t="s">
        <v>402</v>
      </c>
      <c r="C122" t="s">
        <v>236</v>
      </c>
      <c r="D122" t="s">
        <v>6612</v>
      </c>
      <c r="E122">
        <v>0</v>
      </c>
      <c r="F122">
        <v>0</v>
      </c>
      <c r="H122" t="s">
        <v>6634</v>
      </c>
    </row>
    <row r="123" spans="1:8" x14ac:dyDescent="0.25">
      <c r="A123">
        <v>31</v>
      </c>
      <c r="B123" t="s">
        <v>406</v>
      </c>
      <c r="C123" t="s">
        <v>241</v>
      </c>
      <c r="D123" t="s">
        <v>6612</v>
      </c>
      <c r="E123">
        <v>0.53703703703703709</v>
      </c>
      <c r="F123">
        <v>14.81481481481481</v>
      </c>
      <c r="H123" t="s">
        <v>6634</v>
      </c>
    </row>
    <row r="124" spans="1:8" x14ac:dyDescent="0.25">
      <c r="A124">
        <v>32</v>
      </c>
      <c r="B124" t="s">
        <v>407</v>
      </c>
      <c r="C124" t="s">
        <v>238</v>
      </c>
      <c r="D124" t="s">
        <v>6612</v>
      </c>
      <c r="E124">
        <v>0.87037037037037035</v>
      </c>
      <c r="F124">
        <v>66.666666666666657</v>
      </c>
      <c r="H124" t="s">
        <v>6634</v>
      </c>
    </row>
    <row r="125" spans="1:8" x14ac:dyDescent="0.25">
      <c r="A125">
        <v>33</v>
      </c>
      <c r="B125" t="s">
        <v>410</v>
      </c>
      <c r="C125" t="s">
        <v>238</v>
      </c>
      <c r="D125" t="s">
        <v>6612</v>
      </c>
      <c r="E125">
        <v>0</v>
      </c>
      <c r="F125">
        <v>0</v>
      </c>
      <c r="H125" t="s">
        <v>6634</v>
      </c>
    </row>
    <row r="126" spans="1:8" x14ac:dyDescent="0.25">
      <c r="A126">
        <v>34</v>
      </c>
      <c r="B126" t="s">
        <v>413</v>
      </c>
      <c r="C126" t="s">
        <v>236</v>
      </c>
      <c r="D126" t="s">
        <v>6612</v>
      </c>
      <c r="E126">
        <v>0.42592592592592587</v>
      </c>
      <c r="F126">
        <v>33.333333333333329</v>
      </c>
      <c r="H126" t="s">
        <v>6634</v>
      </c>
    </row>
    <row r="127" spans="1:8" x14ac:dyDescent="0.25">
      <c r="A127">
        <v>35</v>
      </c>
      <c r="B127" t="s">
        <v>416</v>
      </c>
      <c r="C127" t="s">
        <v>236</v>
      </c>
      <c r="D127" t="s">
        <v>6612</v>
      </c>
      <c r="E127">
        <v>0</v>
      </c>
      <c r="F127">
        <v>0</v>
      </c>
      <c r="H127" t="s">
        <v>6634</v>
      </c>
    </row>
    <row r="128" spans="1:8" x14ac:dyDescent="0.25">
      <c r="A128">
        <v>36</v>
      </c>
      <c r="B128" t="s">
        <v>420</v>
      </c>
      <c r="C128" t="s">
        <v>238</v>
      </c>
      <c r="D128" t="s">
        <v>6612</v>
      </c>
      <c r="E128">
        <v>0.48148148148148151</v>
      </c>
      <c r="F128">
        <v>22.222222222222221</v>
      </c>
      <c r="H128" t="s">
        <v>6634</v>
      </c>
    </row>
    <row r="129" spans="1:8" x14ac:dyDescent="0.25">
      <c r="A129">
        <v>37</v>
      </c>
      <c r="B129" t="s">
        <v>422</v>
      </c>
      <c r="C129" t="s">
        <v>240</v>
      </c>
      <c r="D129" t="s">
        <v>6612</v>
      </c>
      <c r="E129">
        <v>0</v>
      </c>
      <c r="F129">
        <v>0</v>
      </c>
      <c r="H129" t="s">
        <v>6634</v>
      </c>
    </row>
    <row r="130" spans="1:8" x14ac:dyDescent="0.25">
      <c r="A130">
        <v>38</v>
      </c>
      <c r="B130" t="s">
        <v>425</v>
      </c>
      <c r="C130" t="s">
        <v>236</v>
      </c>
      <c r="D130" t="s">
        <v>6612</v>
      </c>
      <c r="E130">
        <v>0.1851851851851852</v>
      </c>
      <c r="F130">
        <v>0</v>
      </c>
      <c r="H130" t="s">
        <v>6634</v>
      </c>
    </row>
    <row r="131" spans="1:8" x14ac:dyDescent="0.25">
      <c r="A131">
        <v>39</v>
      </c>
      <c r="B131" t="s">
        <v>427</v>
      </c>
      <c r="C131" t="s">
        <v>240</v>
      </c>
      <c r="D131" t="s">
        <v>6612</v>
      </c>
      <c r="E131">
        <v>0</v>
      </c>
      <c r="F131">
        <v>0</v>
      </c>
      <c r="H131" t="s">
        <v>6634</v>
      </c>
    </row>
    <row r="132" spans="1:8" x14ac:dyDescent="0.25">
      <c r="A132">
        <v>40</v>
      </c>
      <c r="B132" t="s">
        <v>431</v>
      </c>
      <c r="C132" t="s">
        <v>240</v>
      </c>
      <c r="D132" t="s">
        <v>6612</v>
      </c>
      <c r="E132">
        <v>0.59259259259259256</v>
      </c>
      <c r="F132">
        <v>44.444444444444443</v>
      </c>
      <c r="H132" t="s">
        <v>6634</v>
      </c>
    </row>
    <row r="133" spans="1:8" x14ac:dyDescent="0.25">
      <c r="A133">
        <v>1</v>
      </c>
      <c r="B133" t="s">
        <v>303</v>
      </c>
      <c r="C133" t="s">
        <v>240</v>
      </c>
      <c r="D133" t="s">
        <v>6618</v>
      </c>
      <c r="E133">
        <v>0</v>
      </c>
      <c r="F133">
        <v>0</v>
      </c>
      <c r="H133" t="s">
        <v>6635</v>
      </c>
    </row>
    <row r="134" spans="1:8" x14ac:dyDescent="0.25">
      <c r="A134">
        <v>2</v>
      </c>
      <c r="B134" t="s">
        <v>306</v>
      </c>
      <c r="C134" t="s">
        <v>236</v>
      </c>
      <c r="D134" t="s">
        <v>6618</v>
      </c>
      <c r="E134">
        <v>0.40740740740740738</v>
      </c>
      <c r="F134">
        <v>14.81481481481481</v>
      </c>
      <c r="H134" t="s">
        <v>6635</v>
      </c>
    </row>
    <row r="135" spans="1:8" x14ac:dyDescent="0.25">
      <c r="A135">
        <v>3</v>
      </c>
      <c r="B135" t="s">
        <v>311</v>
      </c>
      <c r="C135" t="s">
        <v>237</v>
      </c>
      <c r="D135" t="s">
        <v>6618</v>
      </c>
      <c r="E135">
        <v>0.61111111111111116</v>
      </c>
      <c r="F135">
        <v>48.148148148148152</v>
      </c>
      <c r="H135" t="s">
        <v>6635</v>
      </c>
    </row>
    <row r="136" spans="1:8" x14ac:dyDescent="0.25">
      <c r="A136">
        <v>4</v>
      </c>
      <c r="B136" t="s">
        <v>315</v>
      </c>
      <c r="C136" t="s">
        <v>242</v>
      </c>
      <c r="D136" t="s">
        <v>6618</v>
      </c>
      <c r="E136">
        <v>0.48148148148148151</v>
      </c>
      <c r="F136">
        <v>22.222222222222221</v>
      </c>
      <c r="H136" t="s">
        <v>6635</v>
      </c>
    </row>
    <row r="137" spans="1:8" x14ac:dyDescent="0.25">
      <c r="A137">
        <v>5</v>
      </c>
      <c r="B137" t="s">
        <v>318</v>
      </c>
      <c r="C137" t="s">
        <v>242</v>
      </c>
      <c r="D137" t="s">
        <v>6618</v>
      </c>
      <c r="E137">
        <v>0.57407407407407407</v>
      </c>
      <c r="F137">
        <v>40.74074074074074</v>
      </c>
      <c r="H137" t="s">
        <v>6635</v>
      </c>
    </row>
    <row r="138" spans="1:8" x14ac:dyDescent="0.25">
      <c r="A138">
        <v>6</v>
      </c>
      <c r="B138" t="s">
        <v>321</v>
      </c>
      <c r="C138" t="s">
        <v>240</v>
      </c>
      <c r="D138" t="s">
        <v>6618</v>
      </c>
      <c r="E138">
        <v>0.40740740740740738</v>
      </c>
      <c r="F138">
        <v>25.92592592592592</v>
      </c>
      <c r="H138" t="s">
        <v>6635</v>
      </c>
    </row>
    <row r="139" spans="1:8" x14ac:dyDescent="0.25">
      <c r="A139">
        <v>7</v>
      </c>
      <c r="B139" t="s">
        <v>325</v>
      </c>
      <c r="C139" t="s">
        <v>236</v>
      </c>
      <c r="D139" t="s">
        <v>6618</v>
      </c>
      <c r="E139">
        <v>0.44444444444444442</v>
      </c>
      <c r="F139">
        <v>29.62962962962963</v>
      </c>
      <c r="H139" t="s">
        <v>6635</v>
      </c>
    </row>
    <row r="140" spans="1:8" x14ac:dyDescent="0.25">
      <c r="A140">
        <v>8</v>
      </c>
      <c r="B140" t="s">
        <v>327</v>
      </c>
      <c r="C140" t="s">
        <v>242</v>
      </c>
      <c r="D140" t="s">
        <v>6618</v>
      </c>
      <c r="E140">
        <v>0</v>
      </c>
      <c r="F140">
        <v>0</v>
      </c>
      <c r="H140" t="s">
        <v>6635</v>
      </c>
    </row>
    <row r="141" spans="1:8" x14ac:dyDescent="0.25">
      <c r="A141">
        <v>9</v>
      </c>
      <c r="B141" t="s">
        <v>330</v>
      </c>
      <c r="C141" t="s">
        <v>237</v>
      </c>
      <c r="D141" t="s">
        <v>6618</v>
      </c>
      <c r="E141">
        <v>0.51851851851851849</v>
      </c>
      <c r="F141">
        <v>40.74074074074074</v>
      </c>
      <c r="H141" t="s">
        <v>6635</v>
      </c>
    </row>
    <row r="142" spans="1:8" x14ac:dyDescent="0.25">
      <c r="A142">
        <v>10</v>
      </c>
      <c r="B142" t="s">
        <v>334</v>
      </c>
      <c r="C142" t="s">
        <v>236</v>
      </c>
      <c r="D142" t="s">
        <v>6618</v>
      </c>
      <c r="E142">
        <v>0.2407407407407407</v>
      </c>
      <c r="F142">
        <v>11.111111111111111</v>
      </c>
      <c r="H142" t="s">
        <v>6635</v>
      </c>
    </row>
    <row r="143" spans="1:8" x14ac:dyDescent="0.25">
      <c r="A143">
        <v>11</v>
      </c>
      <c r="B143" t="s">
        <v>338</v>
      </c>
      <c r="C143" t="s">
        <v>236</v>
      </c>
      <c r="D143" t="s">
        <v>6618</v>
      </c>
      <c r="E143">
        <v>0.1111111111111111</v>
      </c>
      <c r="F143">
        <v>3.7037037037037028</v>
      </c>
      <c r="H143" t="s">
        <v>6635</v>
      </c>
    </row>
    <row r="144" spans="1:8" x14ac:dyDescent="0.25">
      <c r="A144">
        <v>12</v>
      </c>
      <c r="B144" t="s">
        <v>342</v>
      </c>
      <c r="C144" t="s">
        <v>237</v>
      </c>
      <c r="D144" t="s">
        <v>6618</v>
      </c>
      <c r="E144">
        <v>0.29629629629629628</v>
      </c>
      <c r="F144">
        <v>33.333333333333329</v>
      </c>
      <c r="H144" t="s">
        <v>6635</v>
      </c>
    </row>
    <row r="145" spans="1:8" x14ac:dyDescent="0.25">
      <c r="A145">
        <v>13</v>
      </c>
      <c r="B145" t="s">
        <v>344</v>
      </c>
      <c r="C145" t="s">
        <v>237</v>
      </c>
      <c r="D145" t="s">
        <v>6618</v>
      </c>
      <c r="E145">
        <v>0.12962962962962959</v>
      </c>
      <c r="F145">
        <v>14.81481481481481</v>
      </c>
      <c r="H145" t="s">
        <v>6635</v>
      </c>
    </row>
    <row r="146" spans="1:8" x14ac:dyDescent="0.25">
      <c r="A146">
        <v>14</v>
      </c>
      <c r="B146" t="s">
        <v>348</v>
      </c>
      <c r="C146" t="s">
        <v>243</v>
      </c>
      <c r="D146" t="s">
        <v>6618</v>
      </c>
      <c r="E146">
        <v>0</v>
      </c>
      <c r="F146">
        <v>0</v>
      </c>
      <c r="H146" t="s">
        <v>6635</v>
      </c>
    </row>
    <row r="147" spans="1:8" x14ac:dyDescent="0.25">
      <c r="A147">
        <v>15</v>
      </c>
      <c r="B147" t="s">
        <v>352</v>
      </c>
      <c r="C147" t="s">
        <v>241</v>
      </c>
      <c r="D147" t="s">
        <v>6618</v>
      </c>
      <c r="E147">
        <v>0.90740740740740744</v>
      </c>
      <c r="F147">
        <v>74.074074074074076</v>
      </c>
      <c r="H147" t="s">
        <v>6635</v>
      </c>
    </row>
    <row r="148" spans="1:8" x14ac:dyDescent="0.25">
      <c r="A148">
        <v>16</v>
      </c>
      <c r="B148" t="s">
        <v>356</v>
      </c>
      <c r="C148" t="s">
        <v>241</v>
      </c>
      <c r="D148" t="s">
        <v>6618</v>
      </c>
      <c r="E148">
        <v>0</v>
      </c>
      <c r="F148">
        <v>0</v>
      </c>
      <c r="H148" t="s">
        <v>6635</v>
      </c>
    </row>
    <row r="149" spans="1:8" x14ac:dyDescent="0.25">
      <c r="A149">
        <v>17</v>
      </c>
      <c r="B149" t="s">
        <v>359</v>
      </c>
      <c r="C149" t="s">
        <v>238</v>
      </c>
      <c r="D149" t="s">
        <v>6618</v>
      </c>
      <c r="E149">
        <v>0.85185185185185186</v>
      </c>
      <c r="F149">
        <v>29.62962962962963</v>
      </c>
      <c r="H149" t="s">
        <v>6635</v>
      </c>
    </row>
    <row r="150" spans="1:8" x14ac:dyDescent="0.25">
      <c r="A150">
        <v>18</v>
      </c>
      <c r="B150" t="s">
        <v>363</v>
      </c>
      <c r="C150" t="s">
        <v>238</v>
      </c>
      <c r="D150" t="s">
        <v>6618</v>
      </c>
      <c r="E150">
        <v>0</v>
      </c>
      <c r="F150">
        <v>0</v>
      </c>
      <c r="H150" t="s">
        <v>6635</v>
      </c>
    </row>
    <row r="151" spans="1:8" x14ac:dyDescent="0.25">
      <c r="A151">
        <v>19</v>
      </c>
      <c r="B151" t="s">
        <v>367</v>
      </c>
      <c r="C151" t="s">
        <v>236</v>
      </c>
      <c r="D151" t="s">
        <v>6618</v>
      </c>
      <c r="E151">
        <v>0.55555555555555558</v>
      </c>
      <c r="F151">
        <v>37.037037037037038</v>
      </c>
      <c r="H151" t="s">
        <v>6635</v>
      </c>
    </row>
    <row r="152" spans="1:8" x14ac:dyDescent="0.25">
      <c r="A152">
        <v>20</v>
      </c>
      <c r="B152" t="s">
        <v>371</v>
      </c>
      <c r="C152" t="s">
        <v>237</v>
      </c>
      <c r="D152" t="s">
        <v>6618</v>
      </c>
      <c r="E152">
        <v>9.2592592592592587E-2</v>
      </c>
      <c r="F152">
        <v>3.7037037037037028</v>
      </c>
      <c r="H152" t="s">
        <v>6635</v>
      </c>
    </row>
    <row r="153" spans="1:8" x14ac:dyDescent="0.25">
      <c r="A153">
        <v>21</v>
      </c>
      <c r="B153" t="s">
        <v>373</v>
      </c>
      <c r="C153" t="s">
        <v>242</v>
      </c>
      <c r="D153" t="s">
        <v>6618</v>
      </c>
      <c r="E153">
        <v>0</v>
      </c>
      <c r="F153">
        <v>0</v>
      </c>
      <c r="H153" t="s">
        <v>6635</v>
      </c>
    </row>
    <row r="154" spans="1:8" x14ac:dyDescent="0.25">
      <c r="A154">
        <v>22</v>
      </c>
      <c r="B154" t="s">
        <v>377</v>
      </c>
      <c r="C154" t="s">
        <v>242</v>
      </c>
      <c r="D154" t="s">
        <v>6618</v>
      </c>
      <c r="E154">
        <v>0.20370370370370369</v>
      </c>
      <c r="F154">
        <v>3.7037037037037028</v>
      </c>
      <c r="H154" t="s">
        <v>6635</v>
      </c>
    </row>
    <row r="155" spans="1:8" x14ac:dyDescent="0.25">
      <c r="A155">
        <v>23</v>
      </c>
      <c r="B155" t="s">
        <v>380</v>
      </c>
      <c r="C155" t="s">
        <v>238</v>
      </c>
      <c r="D155" t="s">
        <v>6618</v>
      </c>
      <c r="E155">
        <v>0.42592592592592587</v>
      </c>
      <c r="F155">
        <v>48.148148148148152</v>
      </c>
      <c r="H155" t="s">
        <v>6635</v>
      </c>
    </row>
    <row r="156" spans="1:8" x14ac:dyDescent="0.25">
      <c r="A156">
        <v>24</v>
      </c>
      <c r="B156" t="s">
        <v>384</v>
      </c>
      <c r="C156" t="s">
        <v>236</v>
      </c>
      <c r="D156" t="s">
        <v>6618</v>
      </c>
      <c r="E156">
        <v>0.3888888888888889</v>
      </c>
      <c r="F156">
        <v>14.81481481481481</v>
      </c>
      <c r="H156" t="s">
        <v>6635</v>
      </c>
    </row>
    <row r="157" spans="1:8" x14ac:dyDescent="0.25">
      <c r="A157">
        <v>25</v>
      </c>
      <c r="B157" t="s">
        <v>386</v>
      </c>
      <c r="C157" t="s">
        <v>242</v>
      </c>
      <c r="D157" t="s">
        <v>6618</v>
      </c>
      <c r="E157">
        <v>0.72222222222222221</v>
      </c>
      <c r="F157">
        <v>77.777777777777786</v>
      </c>
      <c r="H157" t="s">
        <v>6635</v>
      </c>
    </row>
    <row r="158" spans="1:8" x14ac:dyDescent="0.25">
      <c r="A158">
        <v>26</v>
      </c>
      <c r="B158" t="s">
        <v>389</v>
      </c>
      <c r="C158" t="s">
        <v>236</v>
      </c>
      <c r="D158" t="s">
        <v>6618</v>
      </c>
      <c r="E158">
        <v>0</v>
      </c>
      <c r="F158">
        <v>0</v>
      </c>
      <c r="H158" t="s">
        <v>6635</v>
      </c>
    </row>
    <row r="159" spans="1:8" x14ac:dyDescent="0.25">
      <c r="A159">
        <v>27</v>
      </c>
      <c r="B159" t="s">
        <v>393</v>
      </c>
      <c r="C159" t="s">
        <v>237</v>
      </c>
      <c r="D159" t="s">
        <v>6618</v>
      </c>
      <c r="E159">
        <v>0.27777777777777779</v>
      </c>
      <c r="F159">
        <v>44.444444444444443</v>
      </c>
      <c r="H159" t="s">
        <v>6635</v>
      </c>
    </row>
    <row r="160" spans="1:8" x14ac:dyDescent="0.25">
      <c r="A160">
        <v>28</v>
      </c>
      <c r="B160" t="s">
        <v>396</v>
      </c>
      <c r="C160" t="s">
        <v>236</v>
      </c>
      <c r="D160" t="s">
        <v>6618</v>
      </c>
      <c r="E160">
        <v>0</v>
      </c>
      <c r="F160">
        <v>0</v>
      </c>
      <c r="H160" t="s">
        <v>6635</v>
      </c>
    </row>
    <row r="161" spans="1:8" x14ac:dyDescent="0.25">
      <c r="A161">
        <v>29</v>
      </c>
      <c r="B161" t="s">
        <v>399</v>
      </c>
      <c r="C161" t="s">
        <v>238</v>
      </c>
      <c r="D161" t="s">
        <v>6618</v>
      </c>
      <c r="E161">
        <v>0</v>
      </c>
      <c r="F161">
        <v>0</v>
      </c>
      <c r="H161" t="s">
        <v>6635</v>
      </c>
    </row>
    <row r="162" spans="1:8" x14ac:dyDescent="0.25">
      <c r="A162">
        <v>30</v>
      </c>
      <c r="B162" t="s">
        <v>402</v>
      </c>
      <c r="C162" t="s">
        <v>236</v>
      </c>
      <c r="D162" t="s">
        <v>6618</v>
      </c>
      <c r="E162">
        <v>0</v>
      </c>
      <c r="F162">
        <v>0</v>
      </c>
      <c r="H162" t="s">
        <v>6635</v>
      </c>
    </row>
    <row r="163" spans="1:8" x14ac:dyDescent="0.25">
      <c r="A163">
        <v>31</v>
      </c>
      <c r="B163" t="s">
        <v>406</v>
      </c>
      <c r="C163" t="s">
        <v>241</v>
      </c>
      <c r="D163" t="s">
        <v>6618</v>
      </c>
      <c r="E163">
        <v>0.53703703703703709</v>
      </c>
      <c r="F163">
        <v>14.81481481481481</v>
      </c>
      <c r="H163" t="s">
        <v>6635</v>
      </c>
    </row>
    <row r="164" spans="1:8" x14ac:dyDescent="0.25">
      <c r="A164">
        <v>32</v>
      </c>
      <c r="B164" t="s">
        <v>407</v>
      </c>
      <c r="C164" t="s">
        <v>238</v>
      </c>
      <c r="D164" t="s">
        <v>6618</v>
      </c>
      <c r="E164">
        <v>0.87037037037037035</v>
      </c>
      <c r="F164">
        <v>66.666666666666657</v>
      </c>
      <c r="H164" t="s">
        <v>6635</v>
      </c>
    </row>
    <row r="165" spans="1:8" x14ac:dyDescent="0.25">
      <c r="A165">
        <v>33</v>
      </c>
      <c r="B165" t="s">
        <v>410</v>
      </c>
      <c r="C165" t="s">
        <v>238</v>
      </c>
      <c r="D165" t="s">
        <v>6618</v>
      </c>
      <c r="E165">
        <v>0</v>
      </c>
      <c r="F165">
        <v>0</v>
      </c>
      <c r="H165" t="s">
        <v>6635</v>
      </c>
    </row>
    <row r="166" spans="1:8" x14ac:dyDescent="0.25">
      <c r="A166">
        <v>34</v>
      </c>
      <c r="B166" t="s">
        <v>413</v>
      </c>
      <c r="C166" t="s">
        <v>236</v>
      </c>
      <c r="D166" t="s">
        <v>6618</v>
      </c>
      <c r="E166">
        <v>0.42592592592592587</v>
      </c>
      <c r="F166">
        <v>33.333333333333329</v>
      </c>
      <c r="H166" t="s">
        <v>6635</v>
      </c>
    </row>
    <row r="167" spans="1:8" x14ac:dyDescent="0.25">
      <c r="A167">
        <v>35</v>
      </c>
      <c r="B167" t="s">
        <v>416</v>
      </c>
      <c r="C167" t="s">
        <v>236</v>
      </c>
      <c r="D167" t="s">
        <v>6618</v>
      </c>
      <c r="E167">
        <v>0</v>
      </c>
      <c r="F167">
        <v>0</v>
      </c>
      <c r="H167" t="s">
        <v>6635</v>
      </c>
    </row>
    <row r="168" spans="1:8" x14ac:dyDescent="0.25">
      <c r="A168">
        <v>36</v>
      </c>
      <c r="B168" t="s">
        <v>420</v>
      </c>
      <c r="C168" t="s">
        <v>238</v>
      </c>
      <c r="D168" t="s">
        <v>6618</v>
      </c>
      <c r="E168">
        <v>0.48148148148148151</v>
      </c>
      <c r="F168">
        <v>22.222222222222221</v>
      </c>
      <c r="H168" t="s">
        <v>6635</v>
      </c>
    </row>
    <row r="169" spans="1:8" x14ac:dyDescent="0.25">
      <c r="A169">
        <v>37</v>
      </c>
      <c r="B169" t="s">
        <v>422</v>
      </c>
      <c r="C169" t="s">
        <v>240</v>
      </c>
      <c r="D169" t="s">
        <v>6618</v>
      </c>
      <c r="E169">
        <v>0</v>
      </c>
      <c r="F169">
        <v>0</v>
      </c>
      <c r="H169" t="s">
        <v>6635</v>
      </c>
    </row>
    <row r="170" spans="1:8" x14ac:dyDescent="0.25">
      <c r="A170">
        <v>38</v>
      </c>
      <c r="B170" t="s">
        <v>425</v>
      </c>
      <c r="C170" t="s">
        <v>236</v>
      </c>
      <c r="D170" t="s">
        <v>6618</v>
      </c>
      <c r="E170">
        <v>0.1851851851851852</v>
      </c>
      <c r="F170">
        <v>0</v>
      </c>
      <c r="H170" t="s">
        <v>6635</v>
      </c>
    </row>
    <row r="171" spans="1:8" x14ac:dyDescent="0.25">
      <c r="A171">
        <v>39</v>
      </c>
      <c r="B171" t="s">
        <v>427</v>
      </c>
      <c r="C171" t="s">
        <v>240</v>
      </c>
      <c r="D171" t="s">
        <v>6618</v>
      </c>
      <c r="E171">
        <v>0</v>
      </c>
      <c r="F171">
        <v>0</v>
      </c>
      <c r="H171" t="s">
        <v>6635</v>
      </c>
    </row>
    <row r="172" spans="1:8" x14ac:dyDescent="0.25">
      <c r="A172">
        <v>40</v>
      </c>
      <c r="B172" t="s">
        <v>431</v>
      </c>
      <c r="C172" t="s">
        <v>240</v>
      </c>
      <c r="D172" t="s">
        <v>6618</v>
      </c>
      <c r="E172">
        <v>0.59259259259259256</v>
      </c>
      <c r="F172">
        <v>44.444444444444443</v>
      </c>
      <c r="H172" t="s">
        <v>6635</v>
      </c>
    </row>
    <row r="175" spans="1:8" x14ac:dyDescent="0.25">
      <c r="A175" t="s">
        <v>6665</v>
      </c>
    </row>
    <row r="176" spans="1:8" x14ac:dyDescent="0.25">
      <c r="A176" s="64" t="s">
        <v>6629</v>
      </c>
      <c r="B176" s="64" t="s">
        <v>6655</v>
      </c>
      <c r="C176" s="64" t="s">
        <v>6541</v>
      </c>
      <c r="D176" s="64" t="s">
        <v>6666</v>
      </c>
      <c r="E176" s="64" t="s">
        <v>6667</v>
      </c>
      <c r="F176" s="64" t="s">
        <v>6553</v>
      </c>
    </row>
    <row r="177" spans="1:6" x14ac:dyDescent="0.25">
      <c r="A177" t="s">
        <v>6612</v>
      </c>
      <c r="B177" t="s">
        <v>6550</v>
      </c>
      <c r="C177">
        <v>3</v>
      </c>
      <c r="D177">
        <v>1</v>
      </c>
      <c r="E177">
        <v>1</v>
      </c>
      <c r="F177">
        <v>19</v>
      </c>
    </row>
    <row r="178" spans="1:6" x14ac:dyDescent="0.25">
      <c r="A178" t="s">
        <v>6612</v>
      </c>
      <c r="B178" t="s">
        <v>6550</v>
      </c>
      <c r="C178">
        <v>3</v>
      </c>
      <c r="D178">
        <v>1</v>
      </c>
      <c r="E178">
        <v>2</v>
      </c>
      <c r="F178">
        <v>0</v>
      </c>
    </row>
    <row r="179" spans="1:6" x14ac:dyDescent="0.25">
      <c r="A179" t="s">
        <v>6612</v>
      </c>
      <c r="B179" t="s">
        <v>6550</v>
      </c>
      <c r="C179">
        <v>3</v>
      </c>
      <c r="D179">
        <v>1</v>
      </c>
      <c r="E179">
        <v>3</v>
      </c>
      <c r="F179">
        <v>0</v>
      </c>
    </row>
    <row r="180" spans="1:6" x14ac:dyDescent="0.25">
      <c r="A180" t="s">
        <v>6612</v>
      </c>
      <c r="B180" t="s">
        <v>6550</v>
      </c>
      <c r="C180">
        <v>3</v>
      </c>
      <c r="D180">
        <v>2</v>
      </c>
      <c r="E180">
        <v>1</v>
      </c>
      <c r="F180">
        <v>0</v>
      </c>
    </row>
    <row r="181" spans="1:6" x14ac:dyDescent="0.25">
      <c r="A181" t="s">
        <v>6612</v>
      </c>
      <c r="B181" t="s">
        <v>6550</v>
      </c>
      <c r="C181">
        <v>3</v>
      </c>
      <c r="D181">
        <v>2</v>
      </c>
      <c r="E181">
        <v>2</v>
      </c>
      <c r="F181">
        <v>1</v>
      </c>
    </row>
    <row r="182" spans="1:6" x14ac:dyDescent="0.25">
      <c r="A182" t="s">
        <v>6612</v>
      </c>
      <c r="B182" t="s">
        <v>6550</v>
      </c>
      <c r="C182">
        <v>3</v>
      </c>
      <c r="D182">
        <v>2</v>
      </c>
      <c r="E182">
        <v>3</v>
      </c>
      <c r="F182">
        <v>2</v>
      </c>
    </row>
    <row r="183" spans="1:6" x14ac:dyDescent="0.25">
      <c r="A183" t="s">
        <v>6612</v>
      </c>
      <c r="B183" t="s">
        <v>6550</v>
      </c>
      <c r="C183">
        <v>3</v>
      </c>
      <c r="D183">
        <v>3</v>
      </c>
      <c r="E183">
        <v>1</v>
      </c>
      <c r="F183">
        <v>6</v>
      </c>
    </row>
    <row r="184" spans="1:6" x14ac:dyDescent="0.25">
      <c r="A184" t="s">
        <v>6612</v>
      </c>
      <c r="B184" t="s">
        <v>6550</v>
      </c>
      <c r="C184">
        <v>3</v>
      </c>
      <c r="D184">
        <v>3</v>
      </c>
      <c r="E184">
        <v>2</v>
      </c>
      <c r="F184">
        <v>7</v>
      </c>
    </row>
    <row r="185" spans="1:6" x14ac:dyDescent="0.25">
      <c r="A185" t="s">
        <v>6612</v>
      </c>
      <c r="B185" t="s">
        <v>6550</v>
      </c>
      <c r="C185">
        <v>3</v>
      </c>
      <c r="D185">
        <v>3</v>
      </c>
      <c r="E185">
        <v>3</v>
      </c>
      <c r="F185">
        <v>5</v>
      </c>
    </row>
    <row r="186" spans="1:6" x14ac:dyDescent="0.25">
      <c r="A186" t="s">
        <v>6612</v>
      </c>
      <c r="B186" t="s">
        <v>6550</v>
      </c>
      <c r="C186">
        <v>4</v>
      </c>
      <c r="D186">
        <v>1</v>
      </c>
      <c r="E186">
        <v>1</v>
      </c>
      <c r="F186">
        <v>19</v>
      </c>
    </row>
    <row r="187" spans="1:6" x14ac:dyDescent="0.25">
      <c r="A187" t="s">
        <v>6612</v>
      </c>
      <c r="B187" t="s">
        <v>6550</v>
      </c>
      <c r="C187">
        <v>4</v>
      </c>
      <c r="D187">
        <v>1</v>
      </c>
      <c r="E187">
        <v>2</v>
      </c>
      <c r="F187">
        <v>0</v>
      </c>
    </row>
    <row r="188" spans="1:6" x14ac:dyDescent="0.25">
      <c r="A188" t="s">
        <v>6612</v>
      </c>
      <c r="B188" t="s">
        <v>6550</v>
      </c>
      <c r="C188">
        <v>4</v>
      </c>
      <c r="D188">
        <v>1</v>
      </c>
      <c r="E188">
        <v>3</v>
      </c>
      <c r="F188">
        <v>0</v>
      </c>
    </row>
    <row r="189" spans="1:6" x14ac:dyDescent="0.25">
      <c r="A189" t="s">
        <v>6612</v>
      </c>
      <c r="B189" t="s">
        <v>6550</v>
      </c>
      <c r="C189">
        <v>4</v>
      </c>
      <c r="D189">
        <v>1</v>
      </c>
      <c r="E189">
        <v>4</v>
      </c>
      <c r="F189">
        <v>0</v>
      </c>
    </row>
    <row r="190" spans="1:6" x14ac:dyDescent="0.25">
      <c r="A190" t="s">
        <v>6612</v>
      </c>
      <c r="B190" t="s">
        <v>6550</v>
      </c>
      <c r="C190">
        <v>4</v>
      </c>
      <c r="D190">
        <v>2</v>
      </c>
      <c r="E190">
        <v>1</v>
      </c>
      <c r="F190">
        <v>0</v>
      </c>
    </row>
    <row r="191" spans="1:6" x14ac:dyDescent="0.25">
      <c r="A191" t="s">
        <v>6612</v>
      </c>
      <c r="B191" t="s">
        <v>6550</v>
      </c>
      <c r="C191">
        <v>4</v>
      </c>
      <c r="D191">
        <v>2</v>
      </c>
      <c r="E191">
        <v>2</v>
      </c>
      <c r="F191">
        <v>1</v>
      </c>
    </row>
    <row r="192" spans="1:6" x14ac:dyDescent="0.25">
      <c r="A192" t="s">
        <v>6612</v>
      </c>
      <c r="B192" t="s">
        <v>6550</v>
      </c>
      <c r="C192">
        <v>4</v>
      </c>
      <c r="D192">
        <v>2</v>
      </c>
      <c r="E192">
        <v>3</v>
      </c>
      <c r="F192">
        <v>2</v>
      </c>
    </row>
    <row r="193" spans="1:6" x14ac:dyDescent="0.25">
      <c r="A193" t="s">
        <v>6612</v>
      </c>
      <c r="B193" t="s">
        <v>6550</v>
      </c>
      <c r="C193">
        <v>4</v>
      </c>
      <c r="D193">
        <v>2</v>
      </c>
      <c r="E193">
        <v>4</v>
      </c>
      <c r="F193">
        <v>0</v>
      </c>
    </row>
    <row r="194" spans="1:6" x14ac:dyDescent="0.25">
      <c r="A194" t="s">
        <v>6612</v>
      </c>
      <c r="B194" t="s">
        <v>6550</v>
      </c>
      <c r="C194">
        <v>4</v>
      </c>
      <c r="D194">
        <v>3</v>
      </c>
      <c r="E194">
        <v>1</v>
      </c>
      <c r="F194">
        <v>6</v>
      </c>
    </row>
    <row r="195" spans="1:6" x14ac:dyDescent="0.25">
      <c r="A195" t="s">
        <v>6612</v>
      </c>
      <c r="B195" t="s">
        <v>6550</v>
      </c>
      <c r="C195">
        <v>4</v>
      </c>
      <c r="D195">
        <v>3</v>
      </c>
      <c r="E195">
        <v>2</v>
      </c>
      <c r="F195">
        <v>0</v>
      </c>
    </row>
    <row r="196" spans="1:6" x14ac:dyDescent="0.25">
      <c r="A196" t="s">
        <v>6612</v>
      </c>
      <c r="B196" t="s">
        <v>6550</v>
      </c>
      <c r="C196">
        <v>4</v>
      </c>
      <c r="D196">
        <v>3</v>
      </c>
      <c r="E196">
        <v>3</v>
      </c>
      <c r="F196">
        <v>0</v>
      </c>
    </row>
    <row r="197" spans="1:6" x14ac:dyDescent="0.25">
      <c r="A197" t="s">
        <v>6612</v>
      </c>
      <c r="B197" t="s">
        <v>6550</v>
      </c>
      <c r="C197">
        <v>4</v>
      </c>
      <c r="D197">
        <v>3</v>
      </c>
      <c r="E197">
        <v>4</v>
      </c>
      <c r="F197">
        <v>0</v>
      </c>
    </row>
    <row r="198" spans="1:6" x14ac:dyDescent="0.25">
      <c r="A198" t="s">
        <v>6612</v>
      </c>
      <c r="B198" t="s">
        <v>6550</v>
      </c>
      <c r="C198">
        <v>4</v>
      </c>
      <c r="D198">
        <v>4</v>
      </c>
      <c r="E198">
        <v>1</v>
      </c>
      <c r="F198">
        <v>0</v>
      </c>
    </row>
    <row r="199" spans="1:6" x14ac:dyDescent="0.25">
      <c r="A199" t="s">
        <v>6612</v>
      </c>
      <c r="B199" t="s">
        <v>6550</v>
      </c>
      <c r="C199">
        <v>4</v>
      </c>
      <c r="D199">
        <v>4</v>
      </c>
      <c r="E199">
        <v>2</v>
      </c>
      <c r="F199">
        <v>7</v>
      </c>
    </row>
    <row r="200" spans="1:6" x14ac:dyDescent="0.25">
      <c r="A200" t="s">
        <v>6612</v>
      </c>
      <c r="B200" t="s">
        <v>6550</v>
      </c>
      <c r="C200">
        <v>4</v>
      </c>
      <c r="D200">
        <v>4</v>
      </c>
      <c r="E200">
        <v>3</v>
      </c>
      <c r="F200">
        <v>0</v>
      </c>
    </row>
    <row r="201" spans="1:6" x14ac:dyDescent="0.25">
      <c r="A201" t="s">
        <v>6612</v>
      </c>
      <c r="B201" t="s">
        <v>6550</v>
      </c>
      <c r="C201">
        <v>4</v>
      </c>
      <c r="D201">
        <v>4</v>
      </c>
      <c r="E201">
        <v>4</v>
      </c>
      <c r="F201">
        <v>5</v>
      </c>
    </row>
    <row r="202" spans="1:6" x14ac:dyDescent="0.25">
      <c r="A202" t="s">
        <v>6612</v>
      </c>
      <c r="B202" t="s">
        <v>6550</v>
      </c>
      <c r="C202">
        <v>5</v>
      </c>
      <c r="D202">
        <v>1</v>
      </c>
      <c r="E202">
        <v>1</v>
      </c>
      <c r="F202">
        <v>0</v>
      </c>
    </row>
    <row r="203" spans="1:6" x14ac:dyDescent="0.25">
      <c r="A203" t="s">
        <v>6612</v>
      </c>
      <c r="B203" t="s">
        <v>6550</v>
      </c>
      <c r="C203">
        <v>5</v>
      </c>
      <c r="D203">
        <v>1</v>
      </c>
      <c r="E203">
        <v>2</v>
      </c>
      <c r="F203">
        <v>19</v>
      </c>
    </row>
    <row r="204" spans="1:6" x14ac:dyDescent="0.25">
      <c r="A204" t="s">
        <v>6612</v>
      </c>
      <c r="B204" t="s">
        <v>6550</v>
      </c>
      <c r="C204">
        <v>5</v>
      </c>
      <c r="D204">
        <v>1</v>
      </c>
      <c r="E204">
        <v>3</v>
      </c>
      <c r="F204">
        <v>0</v>
      </c>
    </row>
    <row r="205" spans="1:6" x14ac:dyDescent="0.25">
      <c r="A205" t="s">
        <v>6612</v>
      </c>
      <c r="B205" t="s">
        <v>6550</v>
      </c>
      <c r="C205">
        <v>5</v>
      </c>
      <c r="D205">
        <v>1</v>
      </c>
      <c r="E205">
        <v>4</v>
      </c>
      <c r="F205">
        <v>0</v>
      </c>
    </row>
    <row r="206" spans="1:6" x14ac:dyDescent="0.25">
      <c r="A206" t="s">
        <v>6612</v>
      </c>
      <c r="B206" t="s">
        <v>6550</v>
      </c>
      <c r="C206">
        <v>5</v>
      </c>
      <c r="D206">
        <v>1</v>
      </c>
      <c r="E206">
        <v>5</v>
      </c>
      <c r="F206">
        <v>0</v>
      </c>
    </row>
    <row r="207" spans="1:6" x14ac:dyDescent="0.25">
      <c r="A207" t="s">
        <v>6612</v>
      </c>
      <c r="B207" t="s">
        <v>6550</v>
      </c>
      <c r="C207">
        <v>5</v>
      </c>
      <c r="D207">
        <v>2</v>
      </c>
      <c r="E207">
        <v>1</v>
      </c>
      <c r="F207">
        <v>0</v>
      </c>
    </row>
    <row r="208" spans="1:6" x14ac:dyDescent="0.25">
      <c r="A208" t="s">
        <v>6612</v>
      </c>
      <c r="B208" t="s">
        <v>6550</v>
      </c>
      <c r="C208">
        <v>5</v>
      </c>
      <c r="D208">
        <v>2</v>
      </c>
      <c r="E208">
        <v>2</v>
      </c>
      <c r="F208">
        <v>0</v>
      </c>
    </row>
    <row r="209" spans="1:6" x14ac:dyDescent="0.25">
      <c r="A209" t="s">
        <v>6612</v>
      </c>
      <c r="B209" t="s">
        <v>6550</v>
      </c>
      <c r="C209">
        <v>5</v>
      </c>
      <c r="D209">
        <v>2</v>
      </c>
      <c r="E209">
        <v>3</v>
      </c>
      <c r="F209">
        <v>1</v>
      </c>
    </row>
    <row r="210" spans="1:6" x14ac:dyDescent="0.25">
      <c r="A210" t="s">
        <v>6612</v>
      </c>
      <c r="B210" t="s">
        <v>6550</v>
      </c>
      <c r="C210">
        <v>5</v>
      </c>
      <c r="D210">
        <v>2</v>
      </c>
      <c r="E210">
        <v>4</v>
      </c>
      <c r="F210">
        <v>2</v>
      </c>
    </row>
    <row r="211" spans="1:6" x14ac:dyDescent="0.25">
      <c r="A211" t="s">
        <v>6612</v>
      </c>
      <c r="B211" t="s">
        <v>6550</v>
      </c>
      <c r="C211">
        <v>5</v>
      </c>
      <c r="D211">
        <v>2</v>
      </c>
      <c r="E211">
        <v>5</v>
      </c>
      <c r="F211">
        <v>0</v>
      </c>
    </row>
    <row r="212" spans="1:6" x14ac:dyDescent="0.25">
      <c r="A212" t="s">
        <v>6612</v>
      </c>
      <c r="B212" t="s">
        <v>6550</v>
      </c>
      <c r="C212">
        <v>5</v>
      </c>
      <c r="D212">
        <v>3</v>
      </c>
      <c r="E212">
        <v>1</v>
      </c>
      <c r="F212">
        <v>6</v>
      </c>
    </row>
    <row r="213" spans="1:6" x14ac:dyDescent="0.25">
      <c r="A213" t="s">
        <v>6612</v>
      </c>
      <c r="B213" t="s">
        <v>6550</v>
      </c>
      <c r="C213">
        <v>5</v>
      </c>
      <c r="D213">
        <v>3</v>
      </c>
      <c r="E213">
        <v>2</v>
      </c>
      <c r="F213">
        <v>0</v>
      </c>
    </row>
    <row r="214" spans="1:6" x14ac:dyDescent="0.25">
      <c r="A214" t="s">
        <v>6612</v>
      </c>
      <c r="B214" t="s">
        <v>6550</v>
      </c>
      <c r="C214">
        <v>5</v>
      </c>
      <c r="D214">
        <v>3</v>
      </c>
      <c r="E214">
        <v>3</v>
      </c>
      <c r="F214">
        <v>0</v>
      </c>
    </row>
    <row r="215" spans="1:6" x14ac:dyDescent="0.25">
      <c r="A215" t="s">
        <v>6612</v>
      </c>
      <c r="B215" t="s">
        <v>6550</v>
      </c>
      <c r="C215">
        <v>5</v>
      </c>
      <c r="D215">
        <v>3</v>
      </c>
      <c r="E215">
        <v>4</v>
      </c>
      <c r="F215">
        <v>0</v>
      </c>
    </row>
    <row r="216" spans="1:6" x14ac:dyDescent="0.25">
      <c r="A216" t="s">
        <v>6612</v>
      </c>
      <c r="B216" t="s">
        <v>6550</v>
      </c>
      <c r="C216">
        <v>5</v>
      </c>
      <c r="D216">
        <v>3</v>
      </c>
      <c r="E216">
        <v>5</v>
      </c>
      <c r="F216">
        <v>0</v>
      </c>
    </row>
    <row r="217" spans="1:6" x14ac:dyDescent="0.25">
      <c r="A217" t="s">
        <v>6612</v>
      </c>
      <c r="B217" t="s">
        <v>6550</v>
      </c>
      <c r="C217">
        <v>5</v>
      </c>
      <c r="D217">
        <v>4</v>
      </c>
      <c r="E217">
        <v>1</v>
      </c>
      <c r="F217">
        <v>0</v>
      </c>
    </row>
    <row r="218" spans="1:6" x14ac:dyDescent="0.25">
      <c r="A218" t="s">
        <v>6612</v>
      </c>
      <c r="B218" t="s">
        <v>6550</v>
      </c>
      <c r="C218">
        <v>5</v>
      </c>
      <c r="D218">
        <v>4</v>
      </c>
      <c r="E218">
        <v>2</v>
      </c>
      <c r="F218">
        <v>0</v>
      </c>
    </row>
    <row r="219" spans="1:6" x14ac:dyDescent="0.25">
      <c r="A219" t="s">
        <v>6612</v>
      </c>
      <c r="B219" t="s">
        <v>6550</v>
      </c>
      <c r="C219">
        <v>5</v>
      </c>
      <c r="D219">
        <v>4</v>
      </c>
      <c r="E219">
        <v>3</v>
      </c>
      <c r="F219">
        <v>7</v>
      </c>
    </row>
    <row r="220" spans="1:6" x14ac:dyDescent="0.25">
      <c r="A220" t="s">
        <v>6612</v>
      </c>
      <c r="B220" t="s">
        <v>6550</v>
      </c>
      <c r="C220">
        <v>5</v>
      </c>
      <c r="D220">
        <v>4</v>
      </c>
      <c r="E220">
        <v>4</v>
      </c>
      <c r="F220">
        <v>0</v>
      </c>
    </row>
    <row r="221" spans="1:6" x14ac:dyDescent="0.25">
      <c r="A221" t="s">
        <v>6612</v>
      </c>
      <c r="B221" t="s">
        <v>6550</v>
      </c>
      <c r="C221">
        <v>5</v>
      </c>
      <c r="D221">
        <v>4</v>
      </c>
      <c r="E221">
        <v>5</v>
      </c>
      <c r="F221">
        <v>0</v>
      </c>
    </row>
    <row r="222" spans="1:6" x14ac:dyDescent="0.25">
      <c r="A222" t="s">
        <v>6612</v>
      </c>
      <c r="B222" t="s">
        <v>6550</v>
      </c>
      <c r="C222">
        <v>5</v>
      </c>
      <c r="D222">
        <v>5</v>
      </c>
      <c r="E222">
        <v>1</v>
      </c>
      <c r="F222">
        <v>0</v>
      </c>
    </row>
    <row r="223" spans="1:6" x14ac:dyDescent="0.25">
      <c r="A223" t="s">
        <v>6612</v>
      </c>
      <c r="B223" t="s">
        <v>6550</v>
      </c>
      <c r="C223">
        <v>5</v>
      </c>
      <c r="D223">
        <v>5</v>
      </c>
      <c r="E223">
        <v>2</v>
      </c>
      <c r="F223">
        <v>0</v>
      </c>
    </row>
    <row r="224" spans="1:6" x14ac:dyDescent="0.25">
      <c r="A224" t="s">
        <v>6612</v>
      </c>
      <c r="B224" t="s">
        <v>6550</v>
      </c>
      <c r="C224">
        <v>5</v>
      </c>
      <c r="D224">
        <v>5</v>
      </c>
      <c r="E224">
        <v>3</v>
      </c>
      <c r="F224">
        <v>0</v>
      </c>
    </row>
    <row r="225" spans="1:6" x14ac:dyDescent="0.25">
      <c r="A225" t="s">
        <v>6612</v>
      </c>
      <c r="B225" t="s">
        <v>6550</v>
      </c>
      <c r="C225">
        <v>5</v>
      </c>
      <c r="D225">
        <v>5</v>
      </c>
      <c r="E225">
        <v>4</v>
      </c>
      <c r="F225">
        <v>0</v>
      </c>
    </row>
    <row r="226" spans="1:6" x14ac:dyDescent="0.25">
      <c r="A226" t="s">
        <v>6612</v>
      </c>
      <c r="B226" t="s">
        <v>6550</v>
      </c>
      <c r="C226">
        <v>5</v>
      </c>
      <c r="D226">
        <v>5</v>
      </c>
      <c r="E226">
        <v>5</v>
      </c>
      <c r="F226">
        <v>5</v>
      </c>
    </row>
    <row r="227" spans="1:6" x14ac:dyDescent="0.25">
      <c r="A227" t="s">
        <v>6618</v>
      </c>
      <c r="B227" t="s">
        <v>6550</v>
      </c>
      <c r="C227">
        <v>3</v>
      </c>
      <c r="D227">
        <v>1</v>
      </c>
      <c r="E227">
        <v>1</v>
      </c>
      <c r="F227">
        <v>19</v>
      </c>
    </row>
    <row r="228" spans="1:6" x14ac:dyDescent="0.25">
      <c r="A228" t="s">
        <v>6618</v>
      </c>
      <c r="B228" t="s">
        <v>6550</v>
      </c>
      <c r="C228">
        <v>3</v>
      </c>
      <c r="D228">
        <v>1</v>
      </c>
      <c r="E228">
        <v>2</v>
      </c>
      <c r="F228">
        <v>0</v>
      </c>
    </row>
    <row r="229" spans="1:6" x14ac:dyDescent="0.25">
      <c r="A229" t="s">
        <v>6618</v>
      </c>
      <c r="B229" t="s">
        <v>6550</v>
      </c>
      <c r="C229">
        <v>3</v>
      </c>
      <c r="D229">
        <v>1</v>
      </c>
      <c r="E229">
        <v>3</v>
      </c>
      <c r="F229">
        <v>0</v>
      </c>
    </row>
    <row r="230" spans="1:6" x14ac:dyDescent="0.25">
      <c r="A230" t="s">
        <v>6618</v>
      </c>
      <c r="B230" t="s">
        <v>6550</v>
      </c>
      <c r="C230">
        <v>3</v>
      </c>
      <c r="D230">
        <v>2</v>
      </c>
      <c r="E230">
        <v>1</v>
      </c>
      <c r="F230">
        <v>0</v>
      </c>
    </row>
    <row r="231" spans="1:6" x14ac:dyDescent="0.25">
      <c r="A231" t="s">
        <v>6618</v>
      </c>
      <c r="B231" t="s">
        <v>6550</v>
      </c>
      <c r="C231">
        <v>3</v>
      </c>
      <c r="D231">
        <v>2</v>
      </c>
      <c r="E231">
        <v>2</v>
      </c>
      <c r="F231">
        <v>3</v>
      </c>
    </row>
    <row r="232" spans="1:6" x14ac:dyDescent="0.25">
      <c r="A232" t="s">
        <v>6618</v>
      </c>
      <c r="B232" t="s">
        <v>6550</v>
      </c>
      <c r="C232">
        <v>3</v>
      </c>
      <c r="D232">
        <v>2</v>
      </c>
      <c r="E232">
        <v>3</v>
      </c>
      <c r="F232">
        <v>0</v>
      </c>
    </row>
    <row r="233" spans="1:6" x14ac:dyDescent="0.25">
      <c r="A233" t="s">
        <v>6618</v>
      </c>
      <c r="B233" t="s">
        <v>6550</v>
      </c>
      <c r="C233">
        <v>3</v>
      </c>
      <c r="D233">
        <v>3</v>
      </c>
      <c r="E233">
        <v>1</v>
      </c>
      <c r="F233">
        <v>0</v>
      </c>
    </row>
    <row r="234" spans="1:6" x14ac:dyDescent="0.25">
      <c r="A234" t="s">
        <v>6618</v>
      </c>
      <c r="B234" t="s">
        <v>6550</v>
      </c>
      <c r="C234">
        <v>3</v>
      </c>
      <c r="D234">
        <v>3</v>
      </c>
      <c r="E234">
        <v>2</v>
      </c>
      <c r="F234">
        <v>0</v>
      </c>
    </row>
    <row r="235" spans="1:6" x14ac:dyDescent="0.25">
      <c r="A235" t="s">
        <v>6618</v>
      </c>
      <c r="B235" t="s">
        <v>6550</v>
      </c>
      <c r="C235">
        <v>3</v>
      </c>
      <c r="D235">
        <v>3</v>
      </c>
      <c r="E235">
        <v>3</v>
      </c>
      <c r="F235">
        <v>18</v>
      </c>
    </row>
    <row r="236" spans="1:6" x14ac:dyDescent="0.25">
      <c r="A236" t="s">
        <v>6618</v>
      </c>
      <c r="B236" t="s">
        <v>6550</v>
      </c>
      <c r="C236">
        <v>4</v>
      </c>
      <c r="D236">
        <v>1</v>
      </c>
      <c r="E236">
        <v>1</v>
      </c>
      <c r="F236">
        <v>19</v>
      </c>
    </row>
    <row r="237" spans="1:6" x14ac:dyDescent="0.25">
      <c r="A237" t="s">
        <v>6618</v>
      </c>
      <c r="B237" t="s">
        <v>6550</v>
      </c>
      <c r="C237">
        <v>4</v>
      </c>
      <c r="D237">
        <v>1</v>
      </c>
      <c r="E237">
        <v>2</v>
      </c>
      <c r="F237">
        <v>0</v>
      </c>
    </row>
    <row r="238" spans="1:6" x14ac:dyDescent="0.25">
      <c r="A238" t="s">
        <v>6618</v>
      </c>
      <c r="B238" t="s">
        <v>6550</v>
      </c>
      <c r="C238">
        <v>4</v>
      </c>
      <c r="D238">
        <v>1</v>
      </c>
      <c r="E238">
        <v>3</v>
      </c>
      <c r="F238">
        <v>0</v>
      </c>
    </row>
    <row r="239" spans="1:6" x14ac:dyDescent="0.25">
      <c r="A239" t="s">
        <v>6618</v>
      </c>
      <c r="B239" t="s">
        <v>6550</v>
      </c>
      <c r="C239">
        <v>4</v>
      </c>
      <c r="D239">
        <v>1</v>
      </c>
      <c r="E239">
        <v>4</v>
      </c>
      <c r="F239">
        <v>0</v>
      </c>
    </row>
    <row r="240" spans="1:6" x14ac:dyDescent="0.25">
      <c r="A240" t="s">
        <v>6618</v>
      </c>
      <c r="B240" t="s">
        <v>6550</v>
      </c>
      <c r="C240">
        <v>4</v>
      </c>
      <c r="D240">
        <v>2</v>
      </c>
      <c r="E240">
        <v>1</v>
      </c>
      <c r="F240">
        <v>0</v>
      </c>
    </row>
    <row r="241" spans="1:6" x14ac:dyDescent="0.25">
      <c r="A241" t="s">
        <v>6618</v>
      </c>
      <c r="B241" t="s">
        <v>6550</v>
      </c>
      <c r="C241">
        <v>4</v>
      </c>
      <c r="D241">
        <v>2</v>
      </c>
      <c r="E241">
        <v>2</v>
      </c>
      <c r="F241">
        <v>3</v>
      </c>
    </row>
    <row r="242" spans="1:6" x14ac:dyDescent="0.25">
      <c r="A242" t="s">
        <v>6618</v>
      </c>
      <c r="B242" t="s">
        <v>6550</v>
      </c>
      <c r="C242">
        <v>4</v>
      </c>
      <c r="D242">
        <v>2</v>
      </c>
      <c r="E242">
        <v>3</v>
      </c>
      <c r="F242">
        <v>0</v>
      </c>
    </row>
    <row r="243" spans="1:6" x14ac:dyDescent="0.25">
      <c r="A243" t="s">
        <v>6618</v>
      </c>
      <c r="B243" t="s">
        <v>6550</v>
      </c>
      <c r="C243">
        <v>4</v>
      </c>
      <c r="D243">
        <v>2</v>
      </c>
      <c r="E243">
        <v>4</v>
      </c>
      <c r="F243">
        <v>0</v>
      </c>
    </row>
    <row r="244" spans="1:6" x14ac:dyDescent="0.25">
      <c r="A244" t="s">
        <v>6618</v>
      </c>
      <c r="B244" t="s">
        <v>6550</v>
      </c>
      <c r="C244">
        <v>4</v>
      </c>
      <c r="D244">
        <v>3</v>
      </c>
      <c r="E244">
        <v>1</v>
      </c>
      <c r="F244">
        <v>0</v>
      </c>
    </row>
    <row r="245" spans="1:6" x14ac:dyDescent="0.25">
      <c r="A245" t="s">
        <v>6618</v>
      </c>
      <c r="B245" t="s">
        <v>6550</v>
      </c>
      <c r="C245">
        <v>4</v>
      </c>
      <c r="D245">
        <v>3</v>
      </c>
      <c r="E245">
        <v>2</v>
      </c>
      <c r="F245">
        <v>0</v>
      </c>
    </row>
    <row r="246" spans="1:6" x14ac:dyDescent="0.25">
      <c r="A246" t="s">
        <v>6618</v>
      </c>
      <c r="B246" t="s">
        <v>6550</v>
      </c>
      <c r="C246">
        <v>4</v>
      </c>
      <c r="D246">
        <v>3</v>
      </c>
      <c r="E246">
        <v>3</v>
      </c>
      <c r="F246">
        <v>0</v>
      </c>
    </row>
    <row r="247" spans="1:6" x14ac:dyDescent="0.25">
      <c r="A247" t="s">
        <v>6618</v>
      </c>
      <c r="B247" t="s">
        <v>6550</v>
      </c>
      <c r="C247">
        <v>4</v>
      </c>
      <c r="D247">
        <v>3</v>
      </c>
      <c r="E247">
        <v>4</v>
      </c>
      <c r="F247">
        <v>6</v>
      </c>
    </row>
    <row r="248" spans="1:6" x14ac:dyDescent="0.25">
      <c r="A248" t="s">
        <v>6618</v>
      </c>
      <c r="B248" t="s">
        <v>6550</v>
      </c>
      <c r="C248">
        <v>4</v>
      </c>
      <c r="D248">
        <v>4</v>
      </c>
      <c r="E248">
        <v>1</v>
      </c>
      <c r="F248">
        <v>0</v>
      </c>
    </row>
    <row r="249" spans="1:6" x14ac:dyDescent="0.25">
      <c r="A249" t="s">
        <v>6618</v>
      </c>
      <c r="B249" t="s">
        <v>6550</v>
      </c>
      <c r="C249">
        <v>4</v>
      </c>
      <c r="D249">
        <v>4</v>
      </c>
      <c r="E249">
        <v>2</v>
      </c>
      <c r="F249">
        <v>0</v>
      </c>
    </row>
    <row r="250" spans="1:6" x14ac:dyDescent="0.25">
      <c r="A250" t="s">
        <v>6618</v>
      </c>
      <c r="B250" t="s">
        <v>6550</v>
      </c>
      <c r="C250">
        <v>4</v>
      </c>
      <c r="D250">
        <v>4</v>
      </c>
      <c r="E250">
        <v>3</v>
      </c>
      <c r="F250">
        <v>8</v>
      </c>
    </row>
    <row r="251" spans="1:6" x14ac:dyDescent="0.25">
      <c r="A251" t="s">
        <v>6618</v>
      </c>
      <c r="B251" t="s">
        <v>6550</v>
      </c>
      <c r="C251">
        <v>4</v>
      </c>
      <c r="D251">
        <v>4</v>
      </c>
      <c r="E251">
        <v>4</v>
      </c>
      <c r="F251">
        <v>4</v>
      </c>
    </row>
    <row r="252" spans="1:6" x14ac:dyDescent="0.25">
      <c r="A252" t="s">
        <v>6618</v>
      </c>
      <c r="B252" t="s">
        <v>6550</v>
      </c>
      <c r="C252">
        <v>5</v>
      </c>
      <c r="D252">
        <v>1</v>
      </c>
      <c r="E252">
        <v>1</v>
      </c>
      <c r="F252">
        <v>19</v>
      </c>
    </row>
    <row r="253" spans="1:6" x14ac:dyDescent="0.25">
      <c r="A253" t="s">
        <v>6618</v>
      </c>
      <c r="B253" t="s">
        <v>6550</v>
      </c>
      <c r="C253">
        <v>5</v>
      </c>
      <c r="D253">
        <v>1</v>
      </c>
      <c r="E253">
        <v>2</v>
      </c>
      <c r="F253">
        <v>0</v>
      </c>
    </row>
    <row r="254" spans="1:6" x14ac:dyDescent="0.25">
      <c r="A254" t="s">
        <v>6618</v>
      </c>
      <c r="B254" t="s">
        <v>6550</v>
      </c>
      <c r="C254">
        <v>5</v>
      </c>
      <c r="D254">
        <v>1</v>
      </c>
      <c r="E254">
        <v>3</v>
      </c>
      <c r="F254">
        <v>0</v>
      </c>
    </row>
    <row r="255" spans="1:6" x14ac:dyDescent="0.25">
      <c r="A255" t="s">
        <v>6618</v>
      </c>
      <c r="B255" t="s">
        <v>6550</v>
      </c>
      <c r="C255">
        <v>5</v>
      </c>
      <c r="D255">
        <v>1</v>
      </c>
      <c r="E255">
        <v>4</v>
      </c>
      <c r="F255">
        <v>0</v>
      </c>
    </row>
    <row r="256" spans="1:6" x14ac:dyDescent="0.25">
      <c r="A256" t="s">
        <v>6618</v>
      </c>
      <c r="B256" t="s">
        <v>6550</v>
      </c>
      <c r="C256">
        <v>5</v>
      </c>
      <c r="D256">
        <v>1</v>
      </c>
      <c r="E256">
        <v>5</v>
      </c>
      <c r="F256">
        <v>0</v>
      </c>
    </row>
    <row r="257" spans="1:6" x14ac:dyDescent="0.25">
      <c r="A257" t="s">
        <v>6618</v>
      </c>
      <c r="B257" t="s">
        <v>6550</v>
      </c>
      <c r="C257">
        <v>5</v>
      </c>
      <c r="D257">
        <v>2</v>
      </c>
      <c r="E257">
        <v>1</v>
      </c>
      <c r="F257">
        <v>0</v>
      </c>
    </row>
    <row r="258" spans="1:6" x14ac:dyDescent="0.25">
      <c r="A258" t="s">
        <v>6618</v>
      </c>
      <c r="B258" t="s">
        <v>6550</v>
      </c>
      <c r="C258">
        <v>5</v>
      </c>
      <c r="D258">
        <v>2</v>
      </c>
      <c r="E258">
        <v>2</v>
      </c>
      <c r="F258">
        <v>3</v>
      </c>
    </row>
    <row r="259" spans="1:6" x14ac:dyDescent="0.25">
      <c r="A259" t="s">
        <v>6618</v>
      </c>
      <c r="B259" t="s">
        <v>6550</v>
      </c>
      <c r="C259">
        <v>5</v>
      </c>
      <c r="D259">
        <v>2</v>
      </c>
      <c r="E259">
        <v>3</v>
      </c>
      <c r="F259">
        <v>0</v>
      </c>
    </row>
    <row r="260" spans="1:6" x14ac:dyDescent="0.25">
      <c r="A260" t="s">
        <v>6618</v>
      </c>
      <c r="B260" t="s">
        <v>6550</v>
      </c>
      <c r="C260">
        <v>5</v>
      </c>
      <c r="D260">
        <v>2</v>
      </c>
      <c r="E260">
        <v>4</v>
      </c>
      <c r="F260">
        <v>0</v>
      </c>
    </row>
    <row r="261" spans="1:6" x14ac:dyDescent="0.25">
      <c r="A261" t="s">
        <v>6618</v>
      </c>
      <c r="B261" t="s">
        <v>6550</v>
      </c>
      <c r="C261">
        <v>5</v>
      </c>
      <c r="D261">
        <v>2</v>
      </c>
      <c r="E261">
        <v>5</v>
      </c>
      <c r="F261">
        <v>0</v>
      </c>
    </row>
    <row r="262" spans="1:6" x14ac:dyDescent="0.25">
      <c r="A262" t="s">
        <v>6618</v>
      </c>
      <c r="B262" t="s">
        <v>6550</v>
      </c>
      <c r="C262">
        <v>5</v>
      </c>
      <c r="D262">
        <v>3</v>
      </c>
      <c r="E262">
        <v>1</v>
      </c>
      <c r="F262">
        <v>0</v>
      </c>
    </row>
    <row r="263" spans="1:6" x14ac:dyDescent="0.25">
      <c r="A263" t="s">
        <v>6618</v>
      </c>
      <c r="B263" t="s">
        <v>6550</v>
      </c>
      <c r="C263">
        <v>5</v>
      </c>
      <c r="D263">
        <v>3</v>
      </c>
      <c r="E263">
        <v>2</v>
      </c>
      <c r="F263">
        <v>0</v>
      </c>
    </row>
    <row r="264" spans="1:6" x14ac:dyDescent="0.25">
      <c r="A264" t="s">
        <v>6618</v>
      </c>
      <c r="B264" t="s">
        <v>6550</v>
      </c>
      <c r="C264">
        <v>5</v>
      </c>
      <c r="D264">
        <v>3</v>
      </c>
      <c r="E264">
        <v>3</v>
      </c>
      <c r="F264">
        <v>0</v>
      </c>
    </row>
    <row r="265" spans="1:6" x14ac:dyDescent="0.25">
      <c r="A265" t="s">
        <v>6618</v>
      </c>
      <c r="B265" t="s">
        <v>6550</v>
      </c>
      <c r="C265">
        <v>5</v>
      </c>
      <c r="D265">
        <v>3</v>
      </c>
      <c r="E265">
        <v>4</v>
      </c>
      <c r="F265">
        <v>6</v>
      </c>
    </row>
    <row r="266" spans="1:6" x14ac:dyDescent="0.25">
      <c r="A266" t="s">
        <v>6618</v>
      </c>
      <c r="B266" t="s">
        <v>6550</v>
      </c>
      <c r="C266">
        <v>5</v>
      </c>
      <c r="D266">
        <v>3</v>
      </c>
      <c r="E266">
        <v>5</v>
      </c>
      <c r="F266">
        <v>0</v>
      </c>
    </row>
    <row r="267" spans="1:6" x14ac:dyDescent="0.25">
      <c r="A267" t="s">
        <v>6618</v>
      </c>
      <c r="B267" t="s">
        <v>6550</v>
      </c>
      <c r="C267">
        <v>5</v>
      </c>
      <c r="D267">
        <v>4</v>
      </c>
      <c r="E267">
        <v>1</v>
      </c>
      <c r="F267">
        <v>0</v>
      </c>
    </row>
    <row r="268" spans="1:6" x14ac:dyDescent="0.25">
      <c r="A268" t="s">
        <v>6618</v>
      </c>
      <c r="B268" t="s">
        <v>6550</v>
      </c>
      <c r="C268">
        <v>5</v>
      </c>
      <c r="D268">
        <v>4</v>
      </c>
      <c r="E268">
        <v>2</v>
      </c>
      <c r="F268">
        <v>0</v>
      </c>
    </row>
    <row r="269" spans="1:6" x14ac:dyDescent="0.25">
      <c r="A269" t="s">
        <v>6618</v>
      </c>
      <c r="B269" t="s">
        <v>6550</v>
      </c>
      <c r="C269">
        <v>5</v>
      </c>
      <c r="D269">
        <v>4</v>
      </c>
      <c r="E269">
        <v>3</v>
      </c>
      <c r="F269">
        <v>3</v>
      </c>
    </row>
    <row r="270" spans="1:6" x14ac:dyDescent="0.25">
      <c r="A270" t="s">
        <v>6618</v>
      </c>
      <c r="B270" t="s">
        <v>6550</v>
      </c>
      <c r="C270">
        <v>5</v>
      </c>
      <c r="D270">
        <v>4</v>
      </c>
      <c r="E270">
        <v>4</v>
      </c>
      <c r="F270">
        <v>0</v>
      </c>
    </row>
    <row r="271" spans="1:6" x14ac:dyDescent="0.25">
      <c r="A271" t="s">
        <v>6618</v>
      </c>
      <c r="B271" t="s">
        <v>6550</v>
      </c>
      <c r="C271">
        <v>5</v>
      </c>
      <c r="D271">
        <v>4</v>
      </c>
      <c r="E271">
        <v>5</v>
      </c>
      <c r="F271">
        <v>4</v>
      </c>
    </row>
    <row r="272" spans="1:6" x14ac:dyDescent="0.25">
      <c r="A272" t="s">
        <v>6618</v>
      </c>
      <c r="B272" t="s">
        <v>6550</v>
      </c>
      <c r="C272">
        <v>5</v>
      </c>
      <c r="D272">
        <v>5</v>
      </c>
      <c r="E272">
        <v>1</v>
      </c>
      <c r="F272">
        <v>0</v>
      </c>
    </row>
    <row r="273" spans="1:6" x14ac:dyDescent="0.25">
      <c r="A273" t="s">
        <v>6618</v>
      </c>
      <c r="B273" t="s">
        <v>6550</v>
      </c>
      <c r="C273">
        <v>5</v>
      </c>
      <c r="D273">
        <v>5</v>
      </c>
      <c r="E273">
        <v>2</v>
      </c>
      <c r="F273">
        <v>0</v>
      </c>
    </row>
    <row r="274" spans="1:6" x14ac:dyDescent="0.25">
      <c r="A274" t="s">
        <v>6618</v>
      </c>
      <c r="B274" t="s">
        <v>6550</v>
      </c>
      <c r="C274">
        <v>5</v>
      </c>
      <c r="D274">
        <v>5</v>
      </c>
      <c r="E274">
        <v>3</v>
      </c>
      <c r="F274">
        <v>5</v>
      </c>
    </row>
    <row r="275" spans="1:6" x14ac:dyDescent="0.25">
      <c r="A275" t="s">
        <v>6618</v>
      </c>
      <c r="B275" t="s">
        <v>6550</v>
      </c>
      <c r="C275">
        <v>5</v>
      </c>
      <c r="D275">
        <v>5</v>
      </c>
      <c r="E275">
        <v>4</v>
      </c>
      <c r="F275">
        <v>0</v>
      </c>
    </row>
    <row r="276" spans="1:6" x14ac:dyDescent="0.25">
      <c r="A276" t="s">
        <v>6618</v>
      </c>
      <c r="B276" t="s">
        <v>6550</v>
      </c>
      <c r="C276">
        <v>5</v>
      </c>
      <c r="D276">
        <v>5</v>
      </c>
      <c r="E276">
        <v>5</v>
      </c>
      <c r="F276">
        <v>0</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D5204-B847-4198-9A4C-2AE4C43AE390}">
  <sheetPr>
    <tabColor theme="5"/>
  </sheetPr>
  <dimension ref="A1:G21"/>
  <sheetViews>
    <sheetView workbookViewId="0">
      <selection sqref="A1:G20"/>
    </sheetView>
  </sheetViews>
  <sheetFormatPr baseColWidth="10" defaultRowHeight="15" x14ac:dyDescent="0.25"/>
  <cols>
    <col min="1" max="1" width="19.140625" customWidth="1"/>
    <col min="2" max="2" width="14" customWidth="1"/>
    <col min="3" max="3" width="37.42578125" customWidth="1"/>
    <col min="4" max="4" width="33.28515625" customWidth="1"/>
    <col min="5" max="5" width="19.5703125" customWidth="1"/>
    <col min="6" max="6" width="19" customWidth="1"/>
    <col min="7" max="7" width="10.5703125" customWidth="1"/>
  </cols>
  <sheetData>
    <row r="1" spans="1:7" x14ac:dyDescent="0.25">
      <c r="A1" t="s">
        <v>290</v>
      </c>
      <c r="B1" t="s">
        <v>284</v>
      </c>
      <c r="C1" t="s">
        <v>291</v>
      </c>
      <c r="D1" t="s">
        <v>292</v>
      </c>
      <c r="E1" t="s">
        <v>293</v>
      </c>
      <c r="F1" t="s">
        <v>294</v>
      </c>
      <c r="G1" t="s">
        <v>295</v>
      </c>
    </row>
    <row r="2" spans="1:7" x14ac:dyDescent="0.25">
      <c r="A2" s="39" t="s">
        <v>296</v>
      </c>
      <c r="B2" s="39" t="s">
        <v>297</v>
      </c>
      <c r="C2" s="39" t="s">
        <v>298</v>
      </c>
      <c r="D2" s="39"/>
      <c r="E2" s="39"/>
      <c r="F2" s="39"/>
      <c r="G2" s="39"/>
    </row>
    <row r="3" spans="1:7" x14ac:dyDescent="0.25">
      <c r="A3" t="s">
        <v>994</v>
      </c>
      <c r="B3" t="s">
        <v>952</v>
      </c>
      <c r="C3" t="s">
        <v>2042</v>
      </c>
      <c r="E3" t="s">
        <v>995</v>
      </c>
      <c r="F3" t="s">
        <v>996</v>
      </c>
      <c r="G3" t="s">
        <v>1964</v>
      </c>
    </row>
    <row r="4" spans="1:7" x14ac:dyDescent="0.25">
      <c r="A4" t="s">
        <v>1962</v>
      </c>
      <c r="B4" t="s">
        <v>1963</v>
      </c>
      <c r="C4" t="s">
        <v>2043</v>
      </c>
      <c r="D4" t="s">
        <v>69</v>
      </c>
      <c r="E4" t="s">
        <v>2044</v>
      </c>
      <c r="F4" t="s">
        <v>2046</v>
      </c>
      <c r="G4" t="s">
        <v>1964</v>
      </c>
    </row>
    <row r="5" spans="1:7" x14ac:dyDescent="0.25">
      <c r="A5" t="s">
        <v>1962</v>
      </c>
      <c r="B5" t="s">
        <v>1963</v>
      </c>
      <c r="C5" t="s">
        <v>2043</v>
      </c>
      <c r="D5" t="s">
        <v>76</v>
      </c>
      <c r="E5" t="s">
        <v>2047</v>
      </c>
      <c r="F5" t="s">
        <v>2049</v>
      </c>
      <c r="G5" t="s">
        <v>1964</v>
      </c>
    </row>
    <row r="6" spans="1:7" x14ac:dyDescent="0.25">
      <c r="A6" t="s">
        <v>1962</v>
      </c>
      <c r="B6" t="s">
        <v>1963</v>
      </c>
      <c r="C6" t="s">
        <v>2043</v>
      </c>
      <c r="D6" t="s">
        <v>106</v>
      </c>
      <c r="E6" t="s">
        <v>2044</v>
      </c>
      <c r="F6" t="s">
        <v>2051</v>
      </c>
      <c r="G6" t="s">
        <v>1964</v>
      </c>
    </row>
    <row r="7" spans="1:7" x14ac:dyDescent="0.25">
      <c r="A7" t="s">
        <v>1962</v>
      </c>
      <c r="B7" t="s">
        <v>1963</v>
      </c>
      <c r="C7" t="s">
        <v>2043</v>
      </c>
      <c r="D7" t="s">
        <v>112</v>
      </c>
      <c r="E7" t="s">
        <v>2047</v>
      </c>
      <c r="F7" t="s">
        <v>2053</v>
      </c>
      <c r="G7" t="s">
        <v>1964</v>
      </c>
    </row>
    <row r="8" spans="1:7" x14ac:dyDescent="0.25">
      <c r="A8" t="s">
        <v>1962</v>
      </c>
      <c r="B8" t="s">
        <v>1963</v>
      </c>
      <c r="C8" t="s">
        <v>2043</v>
      </c>
      <c r="D8" t="s">
        <v>125</v>
      </c>
      <c r="E8" t="s">
        <v>2054</v>
      </c>
      <c r="F8" t="s">
        <v>2056</v>
      </c>
      <c r="G8" t="s">
        <v>1964</v>
      </c>
    </row>
    <row r="9" spans="1:7" x14ac:dyDescent="0.25">
      <c r="A9" t="s">
        <v>1962</v>
      </c>
      <c r="B9" t="s">
        <v>1963</v>
      </c>
      <c r="C9" t="s">
        <v>2043</v>
      </c>
      <c r="D9" t="s">
        <v>140</v>
      </c>
      <c r="E9" t="s">
        <v>2047</v>
      </c>
      <c r="F9" t="s">
        <v>2058</v>
      </c>
      <c r="G9" t="s">
        <v>1964</v>
      </c>
    </row>
    <row r="10" spans="1:7" x14ac:dyDescent="0.25">
      <c r="A10" t="s">
        <v>1962</v>
      </c>
      <c r="B10" t="s">
        <v>1963</v>
      </c>
      <c r="C10" t="s">
        <v>2043</v>
      </c>
      <c r="D10" t="s">
        <v>147</v>
      </c>
      <c r="E10" t="s">
        <v>2044</v>
      </c>
      <c r="F10" t="s">
        <v>2060</v>
      </c>
      <c r="G10" t="s">
        <v>1964</v>
      </c>
    </row>
    <row r="11" spans="1:7" x14ac:dyDescent="0.25">
      <c r="A11" t="s">
        <v>1962</v>
      </c>
      <c r="B11" t="s">
        <v>1963</v>
      </c>
      <c r="C11" t="s">
        <v>2043</v>
      </c>
      <c r="D11" t="s">
        <v>154</v>
      </c>
      <c r="E11" t="s">
        <v>2054</v>
      </c>
      <c r="F11" t="s">
        <v>2062</v>
      </c>
      <c r="G11" t="s">
        <v>1964</v>
      </c>
    </row>
    <row r="12" spans="1:7" x14ac:dyDescent="0.25">
      <c r="A12" t="s">
        <v>1962</v>
      </c>
      <c r="B12" t="s">
        <v>1963</v>
      </c>
      <c r="C12" t="s">
        <v>2043</v>
      </c>
      <c r="D12" t="s">
        <v>161</v>
      </c>
      <c r="E12" t="s">
        <v>2047</v>
      </c>
      <c r="F12" t="s">
        <v>2064</v>
      </c>
      <c r="G12" t="s">
        <v>1964</v>
      </c>
    </row>
    <row r="13" spans="1:7" x14ac:dyDescent="0.25">
      <c r="A13" t="s">
        <v>1962</v>
      </c>
      <c r="B13" t="s">
        <v>1963</v>
      </c>
      <c r="C13" t="s">
        <v>2043</v>
      </c>
      <c r="D13" t="s">
        <v>161</v>
      </c>
      <c r="E13" t="s">
        <v>2054</v>
      </c>
      <c r="F13" t="s">
        <v>2066</v>
      </c>
      <c r="G13" t="s">
        <v>1964</v>
      </c>
    </row>
    <row r="14" spans="1:7" x14ac:dyDescent="0.25">
      <c r="A14" t="s">
        <v>1962</v>
      </c>
      <c r="B14" t="s">
        <v>1963</v>
      </c>
      <c r="C14" t="s">
        <v>2043</v>
      </c>
      <c r="D14" t="s">
        <v>174</v>
      </c>
      <c r="E14" t="s">
        <v>2047</v>
      </c>
      <c r="F14" t="s">
        <v>2068</v>
      </c>
      <c r="G14" t="s">
        <v>1964</v>
      </c>
    </row>
    <row r="15" spans="1:7" x14ac:dyDescent="0.25">
      <c r="A15" t="s">
        <v>1962</v>
      </c>
      <c r="B15" t="s">
        <v>1963</v>
      </c>
      <c r="C15" t="s">
        <v>2043</v>
      </c>
      <c r="D15" t="s">
        <v>186</v>
      </c>
      <c r="E15" t="s">
        <v>2069</v>
      </c>
      <c r="F15" t="s">
        <v>2071</v>
      </c>
      <c r="G15" t="s">
        <v>1964</v>
      </c>
    </row>
    <row r="16" spans="1:7" x14ac:dyDescent="0.25">
      <c r="A16" t="s">
        <v>1962</v>
      </c>
      <c r="B16" t="s">
        <v>1963</v>
      </c>
      <c r="C16" t="s">
        <v>2043</v>
      </c>
      <c r="D16" t="s">
        <v>198</v>
      </c>
      <c r="E16" t="s">
        <v>2072</v>
      </c>
      <c r="F16" t="s">
        <v>2074</v>
      </c>
      <c r="G16" t="s">
        <v>1964</v>
      </c>
    </row>
    <row r="17" spans="1:7" x14ac:dyDescent="0.25">
      <c r="A17" t="s">
        <v>1962</v>
      </c>
      <c r="B17" t="s">
        <v>1963</v>
      </c>
      <c r="C17" t="s">
        <v>2043</v>
      </c>
      <c r="D17" t="s">
        <v>198</v>
      </c>
      <c r="E17" t="s">
        <v>2075</v>
      </c>
      <c r="F17" t="s">
        <v>2077</v>
      </c>
      <c r="G17" t="s">
        <v>1964</v>
      </c>
    </row>
    <row r="18" spans="1:7" x14ac:dyDescent="0.25">
      <c r="A18" t="s">
        <v>1962</v>
      </c>
      <c r="B18" t="s">
        <v>1963</v>
      </c>
      <c r="C18" t="s">
        <v>2043</v>
      </c>
      <c r="D18" t="s">
        <v>204</v>
      </c>
      <c r="E18" t="s">
        <v>2069</v>
      </c>
      <c r="F18" t="s">
        <v>2079</v>
      </c>
      <c r="G18" t="s">
        <v>2080</v>
      </c>
    </row>
    <row r="19" spans="1:7" x14ac:dyDescent="0.25">
      <c r="A19" t="s">
        <v>1962</v>
      </c>
      <c r="B19" t="s">
        <v>1963</v>
      </c>
      <c r="C19" t="s">
        <v>2043</v>
      </c>
      <c r="D19" t="s">
        <v>210</v>
      </c>
      <c r="E19" t="s">
        <v>2069</v>
      </c>
      <c r="F19" t="s">
        <v>2082</v>
      </c>
      <c r="G19" t="s">
        <v>1964</v>
      </c>
    </row>
    <row r="20" spans="1:7" x14ac:dyDescent="0.25">
      <c r="A20" t="s">
        <v>1962</v>
      </c>
      <c r="B20" t="s">
        <v>1963</v>
      </c>
      <c r="C20" t="s">
        <v>2043</v>
      </c>
      <c r="D20" t="s">
        <v>221</v>
      </c>
      <c r="E20" t="s">
        <v>2069</v>
      </c>
      <c r="F20" t="s">
        <v>2084</v>
      </c>
      <c r="G20" t="s">
        <v>1964</v>
      </c>
    </row>
    <row r="21" spans="1:7" x14ac:dyDescent="0.25">
      <c r="A21" s="39" t="s">
        <v>2149</v>
      </c>
      <c r="B21" s="39" t="s">
        <v>1963</v>
      </c>
      <c r="C21" s="39" t="s">
        <v>2150</v>
      </c>
      <c r="D21" s="39"/>
      <c r="E21" s="39"/>
      <c r="F21" s="39"/>
      <c r="G21" s="39"/>
    </row>
  </sheetData>
  <phoneticPr fontId="1" type="noConversion"/>
  <pageMargins left="0.7" right="0.7" top="0.78740157499999996" bottom="0.78740157499999996"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66F7-EADF-4B4E-8530-CB44C6F1FB3B}">
  <sheetPr>
    <tabColor theme="5"/>
  </sheetPr>
  <dimension ref="A1:E1"/>
  <sheetViews>
    <sheetView workbookViewId="0">
      <selection activeCell="A2" sqref="A2"/>
    </sheetView>
  </sheetViews>
  <sheetFormatPr baseColWidth="10" defaultRowHeight="15" x14ac:dyDescent="0.25"/>
  <cols>
    <col min="1" max="1" width="13.85546875" customWidth="1"/>
    <col min="2" max="2" width="14.85546875" customWidth="1"/>
    <col min="3" max="3" width="21.85546875" customWidth="1"/>
    <col min="4" max="4" width="21.42578125" customWidth="1"/>
    <col min="5" max="5" width="19" customWidth="1"/>
  </cols>
  <sheetData>
    <row r="1" spans="1:5" x14ac:dyDescent="0.25">
      <c r="A1" t="s">
        <v>0</v>
      </c>
      <c r="B1" t="s">
        <v>299</v>
      </c>
      <c r="C1" t="s">
        <v>300</v>
      </c>
      <c r="D1" t="s">
        <v>301</v>
      </c>
      <c r="E1" t="s">
        <v>302</v>
      </c>
    </row>
  </sheetData>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8A94-8C2F-460B-BDA8-B13EE75363F6}">
  <sheetPr>
    <tabColor theme="0" tint="-0.499984740745262"/>
  </sheetPr>
  <dimension ref="A1:Q11"/>
  <sheetViews>
    <sheetView workbookViewId="0">
      <selection activeCell="G28" sqref="G28"/>
    </sheetView>
  </sheetViews>
  <sheetFormatPr baseColWidth="10" defaultRowHeight="15" x14ac:dyDescent="0.25"/>
  <cols>
    <col min="1" max="1" width="19.42578125" bestFit="1" customWidth="1"/>
    <col min="3" max="3" width="21" bestFit="1" customWidth="1"/>
    <col min="5" max="5" width="10.5703125" bestFit="1" customWidth="1"/>
    <col min="7" max="7" width="20.7109375" customWidth="1"/>
    <col min="9" max="9" width="29.5703125" bestFit="1" customWidth="1"/>
    <col min="11" max="11" width="21.7109375" customWidth="1"/>
    <col min="13" max="13" width="18.7109375" customWidth="1"/>
    <col min="15" max="15" width="15.5703125" customWidth="1"/>
    <col min="17" max="17" width="11.7109375" customWidth="1"/>
  </cols>
  <sheetData>
    <row r="1" spans="1:17" x14ac:dyDescent="0.25">
      <c r="A1" t="s">
        <v>244</v>
      </c>
      <c r="C1" t="s">
        <v>245</v>
      </c>
      <c r="E1" t="s">
        <v>256</v>
      </c>
      <c r="G1" t="s">
        <v>261</v>
      </c>
      <c r="I1" t="s">
        <v>265</v>
      </c>
      <c r="K1" t="s">
        <v>271</v>
      </c>
      <c r="M1" t="s">
        <v>275</v>
      </c>
      <c r="O1" t="s">
        <v>276</v>
      </c>
      <c r="Q1" t="s">
        <v>277</v>
      </c>
    </row>
    <row r="2" spans="1:17" x14ac:dyDescent="0.25">
      <c r="A2" t="s">
        <v>236</v>
      </c>
      <c r="C2" t="s">
        <v>246</v>
      </c>
      <c r="E2" t="s">
        <v>257</v>
      </c>
      <c r="G2" t="s">
        <v>262</v>
      </c>
      <c r="I2" t="s">
        <v>270</v>
      </c>
      <c r="K2" t="s">
        <v>272</v>
      </c>
      <c r="M2">
        <v>1</v>
      </c>
      <c r="O2">
        <v>0</v>
      </c>
      <c r="Q2">
        <v>0</v>
      </c>
    </row>
    <row r="3" spans="1:17" x14ac:dyDescent="0.25">
      <c r="A3" t="s">
        <v>237</v>
      </c>
      <c r="C3" t="s">
        <v>247</v>
      </c>
      <c r="E3" t="s">
        <v>258</v>
      </c>
      <c r="G3" t="s">
        <v>263</v>
      </c>
      <c r="I3" t="s">
        <v>266</v>
      </c>
      <c r="K3" t="s">
        <v>273</v>
      </c>
      <c r="M3">
        <v>2</v>
      </c>
      <c r="O3">
        <v>1</v>
      </c>
      <c r="Q3">
        <v>1</v>
      </c>
    </row>
    <row r="4" spans="1:17" x14ac:dyDescent="0.25">
      <c r="A4" t="s">
        <v>238</v>
      </c>
      <c r="C4" t="s">
        <v>248</v>
      </c>
      <c r="E4" t="s">
        <v>259</v>
      </c>
      <c r="G4" t="s">
        <v>264</v>
      </c>
      <c r="I4" t="s">
        <v>267</v>
      </c>
      <c r="K4" t="s">
        <v>274</v>
      </c>
      <c r="M4">
        <v>3</v>
      </c>
      <c r="Q4">
        <v>2</v>
      </c>
    </row>
    <row r="5" spans="1:17" x14ac:dyDescent="0.25">
      <c r="A5" t="s">
        <v>239</v>
      </c>
      <c r="C5" t="s">
        <v>249</v>
      </c>
      <c r="E5" t="s">
        <v>260</v>
      </c>
      <c r="I5" t="s">
        <v>268</v>
      </c>
      <c r="Q5">
        <v>3</v>
      </c>
    </row>
    <row r="6" spans="1:17" x14ac:dyDescent="0.25">
      <c r="A6" t="s">
        <v>240</v>
      </c>
      <c r="C6" t="s">
        <v>250</v>
      </c>
      <c r="I6" t="s">
        <v>269</v>
      </c>
    </row>
    <row r="7" spans="1:17" x14ac:dyDescent="0.25">
      <c r="A7" t="s">
        <v>241</v>
      </c>
      <c r="C7" t="s">
        <v>251</v>
      </c>
      <c r="I7" t="s">
        <v>260</v>
      </c>
    </row>
    <row r="8" spans="1:17" x14ac:dyDescent="0.25">
      <c r="A8" t="s">
        <v>242</v>
      </c>
      <c r="C8" t="s">
        <v>252</v>
      </c>
    </row>
    <row r="9" spans="1:17" x14ac:dyDescent="0.25">
      <c r="A9" t="s">
        <v>243</v>
      </c>
      <c r="C9" t="s">
        <v>253</v>
      </c>
    </row>
    <row r="10" spans="1:17" x14ac:dyDescent="0.25">
      <c r="C10" t="s">
        <v>254</v>
      </c>
    </row>
    <row r="11" spans="1:17" x14ac:dyDescent="0.25">
      <c r="C11" t="s">
        <v>255</v>
      </c>
    </row>
  </sheetData>
  <pageMargins left="0.7" right="0.7" top="0.78740157499999996" bottom="0.78740157499999996" header="0.3" footer="0.3"/>
  <pageSetup orientation="portrait" r:id="rId1"/>
  <tableParts count="9">
    <tablePart r:id="rId2"/>
    <tablePart r:id="rId3"/>
    <tablePart r:id="rId4"/>
    <tablePart r:id="rId5"/>
    <tablePart r:id="rId6"/>
    <tablePart r:id="rId7"/>
    <tablePart r:id="rId8"/>
    <tablePart r:id="rId9"/>
    <tablePart r:id="rId10"/>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B2AC9-4E05-482F-806F-3F18D9365E65}">
  <sheetPr>
    <tabColor theme="0" tint="-0.499984740745262"/>
  </sheetPr>
  <dimension ref="A1:K572"/>
  <sheetViews>
    <sheetView topLeftCell="A119" workbookViewId="0">
      <selection sqref="A1:K145"/>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ht="15.75" thickBot="1" x14ac:dyDescent="0.3">
      <c r="A1" t="s">
        <v>0</v>
      </c>
      <c r="B1" t="s">
        <v>8</v>
      </c>
      <c r="C1" t="s">
        <v>21</v>
      </c>
      <c r="D1" t="s">
        <v>29</v>
      </c>
      <c r="E1" t="s">
        <v>30</v>
      </c>
      <c r="F1" t="s">
        <v>31</v>
      </c>
      <c r="G1" t="s">
        <v>32</v>
      </c>
      <c r="H1" t="s">
        <v>33</v>
      </c>
      <c r="I1" t="s">
        <v>34</v>
      </c>
      <c r="J1" t="s">
        <v>35</v>
      </c>
      <c r="K1" t="s">
        <v>36</v>
      </c>
    </row>
    <row r="2" spans="1:11" x14ac:dyDescent="0.25">
      <c r="A2" s="18">
        <v>3</v>
      </c>
      <c r="B2" s="19">
        <v>16</v>
      </c>
      <c r="C2" s="19" t="s">
        <v>53</v>
      </c>
      <c r="D2" s="20">
        <v>1</v>
      </c>
      <c r="E2" s="21">
        <v>2</v>
      </c>
      <c r="F2" s="22" t="s">
        <v>1364</v>
      </c>
      <c r="G2" s="22" t="s">
        <v>1365</v>
      </c>
      <c r="H2" s="22" t="s">
        <v>1366</v>
      </c>
      <c r="I2" s="21" t="s">
        <v>272</v>
      </c>
      <c r="J2" s="22" t="s">
        <v>1367</v>
      </c>
      <c r="K2" s="23">
        <f>Tabelle52[[#This Row],[value_present]]*Tabelle52[[#This Row],[binding_level]]</f>
        <v>2</v>
      </c>
    </row>
    <row r="3" spans="1:11" x14ac:dyDescent="0.25">
      <c r="A3" s="24">
        <v>3</v>
      </c>
      <c r="B3" s="2">
        <v>16</v>
      </c>
      <c r="C3" s="2" t="s">
        <v>61</v>
      </c>
      <c r="D3" s="3">
        <v>1</v>
      </c>
      <c r="E3" s="1">
        <v>1</v>
      </c>
      <c r="F3" t="s">
        <v>1370</v>
      </c>
      <c r="G3" t="s">
        <v>1371</v>
      </c>
      <c r="H3" t="s">
        <v>1369</v>
      </c>
      <c r="I3" s="1" t="s">
        <v>272</v>
      </c>
      <c r="J3" t="s">
        <v>1372</v>
      </c>
      <c r="K3" s="25">
        <f>Tabelle52[[#This Row],[value_present]]*Tabelle52[[#This Row],[binding_level]]</f>
        <v>1</v>
      </c>
    </row>
    <row r="4" spans="1:11" x14ac:dyDescent="0.25">
      <c r="A4" s="24">
        <v>3</v>
      </c>
      <c r="B4" s="2">
        <v>16</v>
      </c>
      <c r="C4" s="2" t="s">
        <v>69</v>
      </c>
      <c r="D4" s="3">
        <v>1</v>
      </c>
      <c r="E4" s="1">
        <v>1</v>
      </c>
      <c r="F4" t="s">
        <v>1373</v>
      </c>
      <c r="G4" t="s">
        <v>1374</v>
      </c>
      <c r="H4" t="s">
        <v>1369</v>
      </c>
      <c r="I4" s="1" t="s">
        <v>272</v>
      </c>
      <c r="J4" t="s">
        <v>1375</v>
      </c>
      <c r="K4" s="25">
        <f>Tabelle52[[#This Row],[value_present]]*Tabelle52[[#This Row],[binding_level]]</f>
        <v>1</v>
      </c>
    </row>
    <row r="5" spans="1:11" x14ac:dyDescent="0.25">
      <c r="A5" s="24">
        <v>3</v>
      </c>
      <c r="B5" s="2">
        <v>16</v>
      </c>
      <c r="C5" s="2" t="s">
        <v>76</v>
      </c>
      <c r="D5" s="3">
        <v>1</v>
      </c>
      <c r="E5" s="1">
        <v>1</v>
      </c>
      <c r="F5" t="s">
        <v>1376</v>
      </c>
      <c r="G5" t="s">
        <v>1377</v>
      </c>
      <c r="H5" t="s">
        <v>1369</v>
      </c>
      <c r="I5" s="1" t="s">
        <v>272</v>
      </c>
      <c r="J5" t="s">
        <v>1378</v>
      </c>
      <c r="K5" s="25">
        <f>Tabelle52[[#This Row],[value_present]]*Tabelle52[[#This Row],[binding_level]]</f>
        <v>1</v>
      </c>
    </row>
    <row r="6" spans="1:11" x14ac:dyDescent="0.25">
      <c r="A6" s="24">
        <v>3</v>
      </c>
      <c r="B6" s="2">
        <v>16</v>
      </c>
      <c r="C6" s="2" t="s">
        <v>83</v>
      </c>
      <c r="D6" s="3">
        <v>1</v>
      </c>
      <c r="E6" s="1">
        <v>1</v>
      </c>
      <c r="F6" t="s">
        <v>1379</v>
      </c>
      <c r="G6" t="s">
        <v>1380</v>
      </c>
      <c r="H6" t="s">
        <v>1381</v>
      </c>
      <c r="I6" s="1" t="s">
        <v>272</v>
      </c>
      <c r="J6" t="s">
        <v>1382</v>
      </c>
      <c r="K6" s="25">
        <f>Tabelle52[[#This Row],[value_present]]*Tabelle52[[#This Row],[binding_level]]</f>
        <v>1</v>
      </c>
    </row>
    <row r="7" spans="1:11" x14ac:dyDescent="0.25">
      <c r="A7" s="24">
        <v>3</v>
      </c>
      <c r="B7" s="2">
        <v>16</v>
      </c>
      <c r="C7" s="2" t="s">
        <v>90</v>
      </c>
      <c r="D7" s="3">
        <v>1</v>
      </c>
      <c r="E7" s="1">
        <v>3</v>
      </c>
      <c r="F7" t="s">
        <v>1383</v>
      </c>
      <c r="G7" t="s">
        <v>1384</v>
      </c>
      <c r="H7" t="s">
        <v>1385</v>
      </c>
      <c r="I7" s="1" t="s">
        <v>273</v>
      </c>
      <c r="J7" t="s">
        <v>1386</v>
      </c>
      <c r="K7" s="25">
        <f>Tabelle52[[#This Row],[value_present]]*Tabelle52[[#This Row],[binding_level]]</f>
        <v>3</v>
      </c>
    </row>
    <row r="8" spans="1:11" x14ac:dyDescent="0.25">
      <c r="A8" s="24">
        <v>3</v>
      </c>
      <c r="B8" s="2">
        <v>16</v>
      </c>
      <c r="C8" s="2" t="s">
        <v>98</v>
      </c>
      <c r="D8" s="3">
        <v>1</v>
      </c>
      <c r="E8" s="1">
        <v>1</v>
      </c>
      <c r="F8" t="s">
        <v>1388</v>
      </c>
      <c r="G8" t="s">
        <v>1389</v>
      </c>
      <c r="H8" t="s">
        <v>1387</v>
      </c>
      <c r="I8" s="1" t="s">
        <v>272</v>
      </c>
      <c r="K8" s="25">
        <f>Tabelle52[[#This Row],[value_present]]*Tabelle52[[#This Row],[binding_level]]</f>
        <v>1</v>
      </c>
    </row>
    <row r="9" spans="1:11" x14ac:dyDescent="0.25">
      <c r="A9" s="24">
        <v>3</v>
      </c>
      <c r="B9" s="2">
        <v>16</v>
      </c>
      <c r="C9" s="2" t="s">
        <v>106</v>
      </c>
      <c r="D9" s="3">
        <v>0</v>
      </c>
      <c r="E9" s="1"/>
      <c r="I9" s="1" t="s">
        <v>272</v>
      </c>
      <c r="J9" t="s">
        <v>1390</v>
      </c>
      <c r="K9" s="25">
        <f>Tabelle52[[#This Row],[value_present]]*Tabelle52[[#This Row],[binding_level]]</f>
        <v>0</v>
      </c>
    </row>
    <row r="10" spans="1:11" x14ac:dyDescent="0.25">
      <c r="A10" s="24">
        <v>3</v>
      </c>
      <c r="B10" s="2">
        <v>16</v>
      </c>
      <c r="C10" s="2" t="s">
        <v>112</v>
      </c>
      <c r="D10" s="3">
        <v>1</v>
      </c>
      <c r="E10" s="1">
        <v>1</v>
      </c>
      <c r="F10" t="s">
        <v>1391</v>
      </c>
      <c r="G10" t="s">
        <v>1392</v>
      </c>
      <c r="H10" t="s">
        <v>1369</v>
      </c>
      <c r="I10" s="1" t="s">
        <v>273</v>
      </c>
      <c r="J10" t="s">
        <v>1393</v>
      </c>
      <c r="K10" s="25">
        <f>Tabelle52[[#This Row],[value_present]]*Tabelle52[[#This Row],[binding_level]]</f>
        <v>1</v>
      </c>
    </row>
    <row r="11" spans="1:11" x14ac:dyDescent="0.25">
      <c r="A11" s="24">
        <v>3</v>
      </c>
      <c r="B11" s="2">
        <v>16</v>
      </c>
      <c r="C11" s="2" t="s">
        <v>118</v>
      </c>
      <c r="D11" s="3">
        <v>0</v>
      </c>
      <c r="E11" s="1"/>
      <c r="I11" s="1" t="s">
        <v>272</v>
      </c>
      <c r="J11" t="s">
        <v>1390</v>
      </c>
      <c r="K11" s="25">
        <f>Tabelle52[[#This Row],[value_present]]*Tabelle52[[#This Row],[binding_level]]</f>
        <v>0</v>
      </c>
    </row>
    <row r="12" spans="1:11" x14ac:dyDescent="0.25">
      <c r="A12" s="24">
        <v>3</v>
      </c>
      <c r="B12" s="2">
        <v>16</v>
      </c>
      <c r="C12" s="2" t="s">
        <v>125</v>
      </c>
      <c r="D12" s="3">
        <v>0</v>
      </c>
      <c r="E12" s="1"/>
      <c r="I12" s="1" t="s">
        <v>272</v>
      </c>
      <c r="J12" t="s">
        <v>1390</v>
      </c>
      <c r="K12" s="25">
        <f>Tabelle52[[#This Row],[value_present]]*Tabelle52[[#This Row],[binding_level]]</f>
        <v>0</v>
      </c>
    </row>
    <row r="13" spans="1:11" x14ac:dyDescent="0.25">
      <c r="A13" s="24">
        <v>3</v>
      </c>
      <c r="B13" s="2">
        <v>16</v>
      </c>
      <c r="C13" s="2" t="s">
        <v>132</v>
      </c>
      <c r="D13" s="3">
        <v>0</v>
      </c>
      <c r="E13" s="1"/>
      <c r="I13" s="1" t="s">
        <v>272</v>
      </c>
      <c r="J13" t="s">
        <v>1390</v>
      </c>
      <c r="K13" s="25">
        <f>Tabelle52[[#This Row],[value_present]]*Tabelle52[[#This Row],[binding_level]]</f>
        <v>0</v>
      </c>
    </row>
    <row r="14" spans="1:11" ht="14.25" customHeight="1" x14ac:dyDescent="0.25">
      <c r="A14" s="24">
        <v>3</v>
      </c>
      <c r="B14" s="2">
        <v>16</v>
      </c>
      <c r="C14" s="2" t="s">
        <v>140</v>
      </c>
      <c r="D14" s="3">
        <v>0</v>
      </c>
      <c r="E14" s="1"/>
      <c r="I14" s="1" t="s">
        <v>272</v>
      </c>
      <c r="J14" t="s">
        <v>1390</v>
      </c>
      <c r="K14" s="25">
        <f>Tabelle52[[#This Row],[value_present]]*Tabelle52[[#This Row],[binding_level]]</f>
        <v>0</v>
      </c>
    </row>
    <row r="15" spans="1:11" x14ac:dyDescent="0.25">
      <c r="A15" s="24">
        <v>3</v>
      </c>
      <c r="B15" s="2">
        <v>16</v>
      </c>
      <c r="C15" s="2" t="s">
        <v>147</v>
      </c>
      <c r="D15" s="3">
        <v>1</v>
      </c>
      <c r="E15" s="1">
        <v>2</v>
      </c>
      <c r="F15" t="s">
        <v>1394</v>
      </c>
      <c r="G15" t="s">
        <v>1395</v>
      </c>
      <c r="H15" t="s">
        <v>1396</v>
      </c>
      <c r="I15" s="1" t="s">
        <v>272</v>
      </c>
      <c r="J15" t="s">
        <v>1397</v>
      </c>
      <c r="K15" s="25">
        <f>Tabelle52[[#This Row],[value_present]]*Tabelle52[[#This Row],[binding_level]]</f>
        <v>2</v>
      </c>
    </row>
    <row r="16" spans="1:11" x14ac:dyDescent="0.25">
      <c r="A16" s="24">
        <v>3</v>
      </c>
      <c r="B16" s="2">
        <v>16</v>
      </c>
      <c r="C16" s="2" t="s">
        <v>154</v>
      </c>
      <c r="D16" s="3">
        <v>0</v>
      </c>
      <c r="E16" s="1"/>
      <c r="I16" s="1" t="s">
        <v>273</v>
      </c>
      <c r="J16" t="s">
        <v>1402</v>
      </c>
      <c r="K16" s="25">
        <f>Tabelle52[[#This Row],[value_present]]*Tabelle52[[#This Row],[binding_level]]</f>
        <v>0</v>
      </c>
    </row>
    <row r="17" spans="1:11" x14ac:dyDescent="0.25">
      <c r="A17" s="24">
        <v>3</v>
      </c>
      <c r="B17" s="2">
        <v>16</v>
      </c>
      <c r="C17" s="2" t="s">
        <v>161</v>
      </c>
      <c r="D17" s="3">
        <v>1</v>
      </c>
      <c r="E17" s="1">
        <v>2</v>
      </c>
      <c r="F17" t="s">
        <v>1398</v>
      </c>
      <c r="G17" t="s">
        <v>1399</v>
      </c>
      <c r="H17" t="s">
        <v>1400</v>
      </c>
      <c r="I17" s="1" t="s">
        <v>272</v>
      </c>
      <c r="J17" t="s">
        <v>1401</v>
      </c>
      <c r="K17" s="25">
        <f>Tabelle52[[#This Row],[value_present]]*Tabelle52[[#This Row],[binding_level]]</f>
        <v>2</v>
      </c>
    </row>
    <row r="18" spans="1:11" x14ac:dyDescent="0.25">
      <c r="A18" s="24">
        <v>3</v>
      </c>
      <c r="B18" s="2">
        <v>16</v>
      </c>
      <c r="C18" s="2" t="s">
        <v>166</v>
      </c>
      <c r="D18" s="3">
        <v>0</v>
      </c>
      <c r="E18" s="1"/>
      <c r="I18" s="1" t="s">
        <v>272</v>
      </c>
      <c r="J18" t="s">
        <v>1390</v>
      </c>
      <c r="K18" s="25">
        <f>Tabelle52[[#This Row],[value_present]]*Tabelle52[[#This Row],[binding_level]]</f>
        <v>0</v>
      </c>
    </row>
    <row r="19" spans="1:11" ht="15.75" thickBot="1" x14ac:dyDescent="0.3">
      <c r="A19" s="26">
        <v>3</v>
      </c>
      <c r="B19" s="27">
        <v>16</v>
      </c>
      <c r="C19" s="27" t="s">
        <v>174</v>
      </c>
      <c r="D19" s="28">
        <v>0</v>
      </c>
      <c r="E19" s="29"/>
      <c r="F19" s="30"/>
      <c r="G19" s="30"/>
      <c r="H19" s="30"/>
      <c r="I19" s="29" t="s">
        <v>272</v>
      </c>
      <c r="J19" s="30" t="s">
        <v>1390</v>
      </c>
      <c r="K19" s="31">
        <f>Tabelle52[[#This Row],[value_present]]*Tabelle52[[#This Row],[binding_level]]</f>
        <v>0</v>
      </c>
    </row>
    <row r="20" spans="1:11" x14ac:dyDescent="0.25">
      <c r="A20" s="18">
        <v>4</v>
      </c>
      <c r="B20" s="19">
        <v>22</v>
      </c>
      <c r="C20" s="19" t="s">
        <v>53</v>
      </c>
      <c r="D20" s="20">
        <v>1</v>
      </c>
      <c r="E20" s="21">
        <v>1</v>
      </c>
      <c r="F20" t="s">
        <v>1440</v>
      </c>
      <c r="G20" s="22" t="s">
        <v>1441</v>
      </c>
      <c r="H20" s="22" t="s">
        <v>1469</v>
      </c>
      <c r="I20" s="21" t="s">
        <v>1456</v>
      </c>
      <c r="J20" s="22" t="s">
        <v>1442</v>
      </c>
      <c r="K20" s="23">
        <f>Tabelle52[[#This Row],[value_present]]*Tabelle52[[#This Row],[binding_level]]</f>
        <v>1</v>
      </c>
    </row>
    <row r="21" spans="1:11" x14ac:dyDescent="0.25">
      <c r="A21" s="24">
        <v>4</v>
      </c>
      <c r="B21" s="2">
        <v>22</v>
      </c>
      <c r="C21" s="2" t="s">
        <v>61</v>
      </c>
      <c r="D21" s="3">
        <v>1</v>
      </c>
      <c r="E21" s="1">
        <v>1</v>
      </c>
      <c r="F21" t="s">
        <v>1443</v>
      </c>
      <c r="G21" t="s">
        <v>1444</v>
      </c>
      <c r="H21" t="s">
        <v>1469</v>
      </c>
      <c r="I21" s="1" t="s">
        <v>1456</v>
      </c>
      <c r="J21" t="s">
        <v>1445</v>
      </c>
      <c r="K21" s="25">
        <f>Tabelle52[[#This Row],[value_present]]*Tabelle52[[#This Row],[binding_level]]</f>
        <v>1</v>
      </c>
    </row>
    <row r="22" spans="1:11" x14ac:dyDescent="0.25">
      <c r="A22" s="24">
        <v>4</v>
      </c>
      <c r="B22" s="2">
        <v>22</v>
      </c>
      <c r="C22" s="2" t="s">
        <v>69</v>
      </c>
      <c r="D22" s="3">
        <v>1</v>
      </c>
      <c r="E22" s="1">
        <v>1</v>
      </c>
      <c r="F22" t="s">
        <v>1446</v>
      </c>
      <c r="G22" t="s">
        <v>1447</v>
      </c>
      <c r="H22" t="s">
        <v>1470</v>
      </c>
      <c r="I22" s="1" t="s">
        <v>1456</v>
      </c>
      <c r="J22" t="s">
        <v>1448</v>
      </c>
      <c r="K22" s="25">
        <f>Tabelle52[[#This Row],[value_present]]*Tabelle52[[#This Row],[binding_level]]</f>
        <v>1</v>
      </c>
    </row>
    <row r="23" spans="1:11" x14ac:dyDescent="0.25">
      <c r="A23" s="24">
        <v>4</v>
      </c>
      <c r="B23" s="2">
        <v>22</v>
      </c>
      <c r="C23" s="2" t="s">
        <v>76</v>
      </c>
      <c r="D23" s="3">
        <v>1</v>
      </c>
      <c r="E23" s="1">
        <v>1</v>
      </c>
      <c r="F23" t="s">
        <v>1449</v>
      </c>
      <c r="G23" t="s">
        <v>1450</v>
      </c>
      <c r="H23" t="s">
        <v>1470</v>
      </c>
      <c r="I23" s="1" t="s">
        <v>1457</v>
      </c>
      <c r="J23" t="s">
        <v>1458</v>
      </c>
      <c r="K23" s="25">
        <f>Tabelle52[[#This Row],[value_present]]*Tabelle52[[#This Row],[binding_level]]</f>
        <v>1</v>
      </c>
    </row>
    <row r="24" spans="1:11" x14ac:dyDescent="0.25">
      <c r="A24" s="24">
        <v>4</v>
      </c>
      <c r="B24" s="2">
        <v>22</v>
      </c>
      <c r="C24" s="2" t="s">
        <v>83</v>
      </c>
      <c r="D24" s="3">
        <v>1</v>
      </c>
      <c r="E24" s="1">
        <v>1</v>
      </c>
      <c r="F24" t="s">
        <v>1451</v>
      </c>
      <c r="G24" t="s">
        <v>1452</v>
      </c>
      <c r="H24" t="s">
        <v>1471</v>
      </c>
      <c r="I24" s="1" t="s">
        <v>1456</v>
      </c>
      <c r="J24" t="s">
        <v>1459</v>
      </c>
      <c r="K24" s="25">
        <f>Tabelle52[[#This Row],[value_present]]*Tabelle52[[#This Row],[binding_level]]</f>
        <v>1</v>
      </c>
    </row>
    <row r="25" spans="1:11" x14ac:dyDescent="0.25">
      <c r="A25" s="24">
        <v>4</v>
      </c>
      <c r="B25" s="2">
        <v>22</v>
      </c>
      <c r="C25" s="2" t="s">
        <v>90</v>
      </c>
      <c r="D25" s="3">
        <v>1</v>
      </c>
      <c r="E25" s="1">
        <v>1</v>
      </c>
      <c r="F25" t="s">
        <v>1453</v>
      </c>
      <c r="G25" t="s">
        <v>1454</v>
      </c>
      <c r="H25" t="s">
        <v>1472</v>
      </c>
      <c r="I25" s="1" t="s">
        <v>1456</v>
      </c>
      <c r="J25" t="s">
        <v>1455</v>
      </c>
      <c r="K25" s="25">
        <f>Tabelle52[[#This Row],[value_present]]*Tabelle52[[#This Row],[binding_level]]</f>
        <v>1</v>
      </c>
    </row>
    <row r="26" spans="1:11" x14ac:dyDescent="0.25">
      <c r="A26" s="24">
        <v>4</v>
      </c>
      <c r="B26" s="2">
        <v>22</v>
      </c>
      <c r="C26" s="2" t="s">
        <v>98</v>
      </c>
      <c r="D26" s="3">
        <v>1</v>
      </c>
      <c r="E26" s="1">
        <v>1</v>
      </c>
      <c r="F26" t="s">
        <v>1480</v>
      </c>
      <c r="G26" t="s">
        <v>1481</v>
      </c>
      <c r="H26" t="s">
        <v>1473</v>
      </c>
      <c r="I26" s="1" t="s">
        <v>1456</v>
      </c>
      <c r="J26" t="s">
        <v>1460</v>
      </c>
      <c r="K26" s="25">
        <f>Tabelle52[[#This Row],[value_present]]*Tabelle52[[#This Row],[binding_level]]</f>
        <v>1</v>
      </c>
    </row>
    <row r="27" spans="1:11" x14ac:dyDescent="0.25">
      <c r="A27" s="24">
        <v>4</v>
      </c>
      <c r="B27" s="2">
        <v>22</v>
      </c>
      <c r="C27" s="2" t="s">
        <v>106</v>
      </c>
      <c r="D27" s="3">
        <v>1</v>
      </c>
      <c r="E27" s="1">
        <v>1</v>
      </c>
      <c r="F27" t="s">
        <v>1482</v>
      </c>
      <c r="G27" t="s">
        <v>1483</v>
      </c>
      <c r="H27" t="s">
        <v>1474</v>
      </c>
      <c r="I27" s="1" t="s">
        <v>1457</v>
      </c>
      <c r="J27" t="s">
        <v>1461</v>
      </c>
      <c r="K27" s="25">
        <f>Tabelle52[[#This Row],[value_present]]*Tabelle52[[#This Row],[binding_level]]</f>
        <v>1</v>
      </c>
    </row>
    <row r="28" spans="1:11" x14ac:dyDescent="0.25">
      <c r="A28" s="24">
        <v>4</v>
      </c>
      <c r="B28" s="2">
        <v>22</v>
      </c>
      <c r="C28" s="2" t="s">
        <v>112</v>
      </c>
      <c r="D28" s="3">
        <v>1</v>
      </c>
      <c r="E28" s="1">
        <v>1</v>
      </c>
      <c r="F28" t="s">
        <v>1485</v>
      </c>
      <c r="G28" t="s">
        <v>1484</v>
      </c>
      <c r="H28" t="s">
        <v>1475</v>
      </c>
      <c r="I28" s="1" t="s">
        <v>1456</v>
      </c>
      <c r="J28" t="s">
        <v>1462</v>
      </c>
      <c r="K28" s="25">
        <f>Tabelle52[[#This Row],[value_present]]*Tabelle52[[#This Row],[binding_level]]</f>
        <v>1</v>
      </c>
    </row>
    <row r="29" spans="1:11" x14ac:dyDescent="0.25">
      <c r="A29" s="24">
        <v>4</v>
      </c>
      <c r="B29" s="2">
        <v>22</v>
      </c>
      <c r="C29" s="2" t="s">
        <v>118</v>
      </c>
      <c r="D29" s="3">
        <v>0</v>
      </c>
      <c r="E29" s="1"/>
      <c r="I29" s="1" t="s">
        <v>1456</v>
      </c>
      <c r="J29" t="s">
        <v>1390</v>
      </c>
      <c r="K29" s="25">
        <f>Tabelle52[[#This Row],[value_present]]*Tabelle52[[#This Row],[binding_level]]</f>
        <v>0</v>
      </c>
    </row>
    <row r="30" spans="1:11" x14ac:dyDescent="0.25">
      <c r="A30" s="24">
        <v>4</v>
      </c>
      <c r="B30" s="2">
        <v>22</v>
      </c>
      <c r="C30" s="2" t="s">
        <v>125</v>
      </c>
      <c r="D30" s="3">
        <v>0</v>
      </c>
      <c r="E30" s="1"/>
      <c r="I30" s="1" t="s">
        <v>1456</v>
      </c>
      <c r="J30" t="s">
        <v>1390</v>
      </c>
      <c r="K30" s="25">
        <f>Tabelle52[[#This Row],[value_present]]*Tabelle52[[#This Row],[binding_level]]</f>
        <v>0</v>
      </c>
    </row>
    <row r="31" spans="1:11" x14ac:dyDescent="0.25">
      <c r="A31" s="24">
        <v>4</v>
      </c>
      <c r="B31" s="2">
        <v>22</v>
      </c>
      <c r="C31" s="2" t="s">
        <v>132</v>
      </c>
      <c r="D31" s="3">
        <v>0</v>
      </c>
      <c r="E31" s="1"/>
      <c r="I31" s="1" t="s">
        <v>1456</v>
      </c>
      <c r="J31" t="s">
        <v>1390</v>
      </c>
      <c r="K31" s="25">
        <f>Tabelle52[[#This Row],[value_present]]*Tabelle52[[#This Row],[binding_level]]</f>
        <v>0</v>
      </c>
    </row>
    <row r="32" spans="1:11" x14ac:dyDescent="0.25">
      <c r="A32" s="24">
        <v>4</v>
      </c>
      <c r="B32" s="2">
        <v>22</v>
      </c>
      <c r="C32" s="2" t="s">
        <v>140</v>
      </c>
      <c r="D32" s="3">
        <v>0</v>
      </c>
      <c r="E32" s="1"/>
      <c r="I32" s="1" t="s">
        <v>1456</v>
      </c>
      <c r="J32" t="s">
        <v>1463</v>
      </c>
      <c r="K32" s="25">
        <f>Tabelle52[[#This Row],[value_present]]*Tabelle52[[#This Row],[binding_level]]</f>
        <v>0</v>
      </c>
    </row>
    <row r="33" spans="1:11" x14ac:dyDescent="0.25">
      <c r="A33" s="24">
        <v>4</v>
      </c>
      <c r="B33" s="2">
        <v>22</v>
      </c>
      <c r="C33" s="2" t="s">
        <v>147</v>
      </c>
      <c r="D33" s="3">
        <v>1</v>
      </c>
      <c r="E33" s="1">
        <v>2</v>
      </c>
      <c r="F33" t="s">
        <v>1486</v>
      </c>
      <c r="G33" t="s">
        <v>1487</v>
      </c>
      <c r="H33" t="s">
        <v>1476</v>
      </c>
      <c r="I33" s="1" t="s">
        <v>1457</v>
      </c>
      <c r="J33" t="s">
        <v>1464</v>
      </c>
      <c r="K33" s="25">
        <f>Tabelle52[[#This Row],[value_present]]*Tabelle52[[#This Row],[binding_level]]</f>
        <v>2</v>
      </c>
    </row>
    <row r="34" spans="1:11" x14ac:dyDescent="0.25">
      <c r="A34" s="24">
        <v>4</v>
      </c>
      <c r="B34" s="2">
        <v>22</v>
      </c>
      <c r="C34" s="2" t="s">
        <v>154</v>
      </c>
      <c r="D34" s="3">
        <v>1</v>
      </c>
      <c r="E34" s="1">
        <v>1</v>
      </c>
      <c r="F34" t="s">
        <v>1488</v>
      </c>
      <c r="G34" t="s">
        <v>1489</v>
      </c>
      <c r="H34" t="s">
        <v>1477</v>
      </c>
      <c r="I34" s="1" t="s">
        <v>1456</v>
      </c>
      <c r="J34" t="s">
        <v>1465</v>
      </c>
      <c r="K34" s="25">
        <f>Tabelle52[[#This Row],[value_present]]*Tabelle52[[#This Row],[binding_level]]</f>
        <v>1</v>
      </c>
    </row>
    <row r="35" spans="1:11" x14ac:dyDescent="0.25">
      <c r="A35" s="24">
        <v>4</v>
      </c>
      <c r="B35" s="2">
        <v>22</v>
      </c>
      <c r="C35" s="2" t="s">
        <v>161</v>
      </c>
      <c r="D35" s="3">
        <v>1</v>
      </c>
      <c r="E35" s="1">
        <v>1</v>
      </c>
      <c r="F35" t="s">
        <v>1490</v>
      </c>
      <c r="G35" t="s">
        <v>1491</v>
      </c>
      <c r="H35" t="s">
        <v>1478</v>
      </c>
      <c r="I35" s="1" t="s">
        <v>1457</v>
      </c>
      <c r="J35" t="s">
        <v>1466</v>
      </c>
      <c r="K35" s="25">
        <f>Tabelle52[[#This Row],[value_present]]*Tabelle52[[#This Row],[binding_level]]</f>
        <v>1</v>
      </c>
    </row>
    <row r="36" spans="1:11" x14ac:dyDescent="0.25">
      <c r="A36" s="24">
        <v>4</v>
      </c>
      <c r="B36" s="2">
        <v>22</v>
      </c>
      <c r="C36" s="2" t="s">
        <v>166</v>
      </c>
      <c r="D36" s="3">
        <v>0</v>
      </c>
      <c r="E36" s="1"/>
      <c r="I36" s="1" t="s">
        <v>1457</v>
      </c>
      <c r="J36" t="s">
        <v>1467</v>
      </c>
      <c r="K36" s="25">
        <f>Tabelle52[[#This Row],[value_present]]*Tabelle52[[#This Row],[binding_level]]</f>
        <v>0</v>
      </c>
    </row>
    <row r="37" spans="1:11" ht="15.75" thickBot="1" x14ac:dyDescent="0.3">
      <c r="A37" s="26">
        <v>4</v>
      </c>
      <c r="B37" s="27">
        <v>22</v>
      </c>
      <c r="C37" s="27" t="s">
        <v>174</v>
      </c>
      <c r="D37" s="28">
        <v>1</v>
      </c>
      <c r="E37" s="29">
        <v>1</v>
      </c>
      <c r="F37" s="30" t="s">
        <v>1492</v>
      </c>
      <c r="G37" s="30" t="s">
        <v>1493</v>
      </c>
      <c r="H37" s="30" t="s">
        <v>1479</v>
      </c>
      <c r="I37" s="29" t="s">
        <v>1457</v>
      </c>
      <c r="J37" s="30" t="s">
        <v>1468</v>
      </c>
      <c r="K37" s="31">
        <f>Tabelle52[[#This Row],[value_present]]*Tabelle52[[#This Row],[binding_level]]</f>
        <v>1</v>
      </c>
    </row>
    <row r="38" spans="1:11" x14ac:dyDescent="0.25">
      <c r="A38" s="18">
        <v>5</v>
      </c>
      <c r="B38" s="19">
        <v>27</v>
      </c>
      <c r="C38" s="19" t="s">
        <v>53</v>
      </c>
      <c r="D38" s="20">
        <v>1</v>
      </c>
      <c r="E38" s="21">
        <v>1</v>
      </c>
      <c r="F38" s="22" t="s">
        <v>1550</v>
      </c>
      <c r="G38" s="22" t="s">
        <v>1551</v>
      </c>
      <c r="H38" s="22" t="s">
        <v>1549</v>
      </c>
      <c r="I38" s="21" t="s">
        <v>1456</v>
      </c>
      <c r="J38" s="22" t="s">
        <v>1534</v>
      </c>
      <c r="K38" s="23">
        <f>Tabelle52[[#This Row],[value_present]]*Tabelle52[[#This Row],[binding_level]]</f>
        <v>1</v>
      </c>
    </row>
    <row r="39" spans="1:11" x14ac:dyDescent="0.25">
      <c r="A39" s="24">
        <v>5</v>
      </c>
      <c r="B39" s="2">
        <v>27</v>
      </c>
      <c r="C39" s="2" t="s">
        <v>61</v>
      </c>
      <c r="D39" s="3">
        <v>1</v>
      </c>
      <c r="E39" s="1">
        <v>1</v>
      </c>
      <c r="F39" t="s">
        <v>1526</v>
      </c>
      <c r="G39" t="s">
        <v>1527</v>
      </c>
      <c r="H39" t="s">
        <v>1549</v>
      </c>
      <c r="I39" s="1" t="s">
        <v>1457</v>
      </c>
      <c r="J39" t="s">
        <v>1535</v>
      </c>
      <c r="K39" s="25">
        <f>Tabelle52[[#This Row],[value_present]]*Tabelle52[[#This Row],[binding_level]]</f>
        <v>1</v>
      </c>
    </row>
    <row r="40" spans="1:11" x14ac:dyDescent="0.25">
      <c r="A40" s="24">
        <v>5</v>
      </c>
      <c r="B40" s="2">
        <v>27</v>
      </c>
      <c r="C40" s="2" t="s">
        <v>69</v>
      </c>
      <c r="D40" s="3">
        <v>1</v>
      </c>
      <c r="E40" s="1">
        <v>1</v>
      </c>
      <c r="F40" t="s">
        <v>1522</v>
      </c>
      <c r="G40" t="s">
        <v>1523</v>
      </c>
      <c r="H40" t="s">
        <v>1549</v>
      </c>
      <c r="I40" s="1" t="s">
        <v>1456</v>
      </c>
      <c r="J40" t="s">
        <v>1536</v>
      </c>
      <c r="K40" s="25">
        <f>Tabelle52[[#This Row],[value_present]]*Tabelle52[[#This Row],[binding_level]]</f>
        <v>1</v>
      </c>
    </row>
    <row r="41" spans="1:11" x14ac:dyDescent="0.25">
      <c r="A41" s="24">
        <v>5</v>
      </c>
      <c r="B41" s="2">
        <v>27</v>
      </c>
      <c r="C41" s="2" t="s">
        <v>76</v>
      </c>
      <c r="D41" s="3">
        <v>0</v>
      </c>
      <c r="E41" s="1"/>
      <c r="I41" s="1" t="s">
        <v>1456</v>
      </c>
      <c r="J41" t="s">
        <v>1537</v>
      </c>
      <c r="K41" s="25">
        <f>Tabelle52[[#This Row],[value_present]]*Tabelle52[[#This Row],[binding_level]]</f>
        <v>0</v>
      </c>
    </row>
    <row r="42" spans="1:11" x14ac:dyDescent="0.25">
      <c r="A42" s="24">
        <v>5</v>
      </c>
      <c r="B42" s="2">
        <v>27</v>
      </c>
      <c r="C42" s="2" t="s">
        <v>83</v>
      </c>
      <c r="D42" s="3">
        <v>1</v>
      </c>
      <c r="E42" s="1">
        <v>1</v>
      </c>
      <c r="F42" t="s">
        <v>1526</v>
      </c>
      <c r="G42" t="s">
        <v>1527</v>
      </c>
      <c r="H42" t="s">
        <v>1549</v>
      </c>
      <c r="I42" s="1" t="s">
        <v>1457</v>
      </c>
      <c r="J42" t="s">
        <v>1538</v>
      </c>
      <c r="K42" s="25">
        <f>Tabelle52[[#This Row],[value_present]]*Tabelle52[[#This Row],[binding_level]]</f>
        <v>1</v>
      </c>
    </row>
    <row r="43" spans="1:11" x14ac:dyDescent="0.25">
      <c r="A43" s="24">
        <v>5</v>
      </c>
      <c r="B43" s="2">
        <v>27</v>
      </c>
      <c r="C43" s="2" t="s">
        <v>90</v>
      </c>
      <c r="D43" s="3">
        <v>0</v>
      </c>
      <c r="E43" s="1"/>
      <c r="I43" s="1" t="s">
        <v>1456</v>
      </c>
      <c r="J43" t="s">
        <v>1539</v>
      </c>
      <c r="K43" s="25">
        <f>Tabelle52[[#This Row],[value_present]]*Tabelle52[[#This Row],[binding_level]]</f>
        <v>0</v>
      </c>
    </row>
    <row r="44" spans="1:11" x14ac:dyDescent="0.25">
      <c r="A44" s="24">
        <v>5</v>
      </c>
      <c r="B44" s="2">
        <v>27</v>
      </c>
      <c r="C44" s="2" t="s">
        <v>98</v>
      </c>
      <c r="D44" s="3">
        <v>0</v>
      </c>
      <c r="E44" s="1"/>
      <c r="I44" s="1" t="s">
        <v>1456</v>
      </c>
      <c r="J44" t="s">
        <v>1390</v>
      </c>
      <c r="K44" s="25">
        <f>Tabelle52[[#This Row],[value_present]]*Tabelle52[[#This Row],[binding_level]]</f>
        <v>0</v>
      </c>
    </row>
    <row r="45" spans="1:11" x14ac:dyDescent="0.25">
      <c r="A45" s="24">
        <v>5</v>
      </c>
      <c r="B45" s="2">
        <v>27</v>
      </c>
      <c r="C45" s="2" t="s">
        <v>106</v>
      </c>
      <c r="D45" s="3">
        <v>1</v>
      </c>
      <c r="E45" s="1">
        <v>1</v>
      </c>
      <c r="F45" t="s">
        <v>1524</v>
      </c>
      <c r="G45" t="s">
        <v>1525</v>
      </c>
      <c r="H45" t="s">
        <v>1549</v>
      </c>
      <c r="I45" s="1" t="s">
        <v>1456</v>
      </c>
      <c r="J45" t="s">
        <v>1540</v>
      </c>
      <c r="K45" s="25">
        <f>Tabelle52[[#This Row],[value_present]]*Tabelle52[[#This Row],[binding_level]]</f>
        <v>1</v>
      </c>
    </row>
    <row r="46" spans="1:11" x14ac:dyDescent="0.25">
      <c r="A46" s="24">
        <v>5</v>
      </c>
      <c r="B46" s="2">
        <v>27</v>
      </c>
      <c r="C46" s="2" t="s">
        <v>112</v>
      </c>
      <c r="D46" s="3">
        <v>1</v>
      </c>
      <c r="E46" s="1">
        <v>1</v>
      </c>
      <c r="F46" t="s">
        <v>1530</v>
      </c>
      <c r="G46" t="s">
        <v>1531</v>
      </c>
      <c r="H46" t="s">
        <v>1549</v>
      </c>
      <c r="I46" s="1" t="s">
        <v>1541</v>
      </c>
      <c r="J46" t="s">
        <v>1542</v>
      </c>
      <c r="K46" s="25">
        <f>Tabelle52[[#This Row],[value_present]]*Tabelle52[[#This Row],[binding_level]]</f>
        <v>1</v>
      </c>
    </row>
    <row r="47" spans="1:11" x14ac:dyDescent="0.25">
      <c r="A47" s="24">
        <v>5</v>
      </c>
      <c r="B47" s="2">
        <v>27</v>
      </c>
      <c r="C47" s="2" t="s">
        <v>118</v>
      </c>
      <c r="D47" s="3">
        <v>0</v>
      </c>
      <c r="E47" s="1"/>
      <c r="I47" s="1" t="s">
        <v>1456</v>
      </c>
      <c r="J47" t="s">
        <v>1390</v>
      </c>
      <c r="K47" s="25">
        <f>Tabelle52[[#This Row],[value_present]]*Tabelle52[[#This Row],[binding_level]]</f>
        <v>0</v>
      </c>
    </row>
    <row r="48" spans="1:11" x14ac:dyDescent="0.25">
      <c r="A48" s="24">
        <v>5</v>
      </c>
      <c r="B48" s="2">
        <v>27</v>
      </c>
      <c r="C48" s="2" t="s">
        <v>125</v>
      </c>
      <c r="D48" s="3">
        <v>0</v>
      </c>
      <c r="E48" s="1"/>
      <c r="I48" s="1" t="s">
        <v>1457</v>
      </c>
      <c r="J48" t="s">
        <v>1543</v>
      </c>
      <c r="K48" s="25">
        <f>Tabelle52[[#This Row],[value_present]]*Tabelle52[[#This Row],[binding_level]]</f>
        <v>0</v>
      </c>
    </row>
    <row r="49" spans="1:11" x14ac:dyDescent="0.25">
      <c r="A49" s="24">
        <v>5</v>
      </c>
      <c r="B49" s="2">
        <v>27</v>
      </c>
      <c r="C49" s="2" t="s">
        <v>132</v>
      </c>
      <c r="D49" s="3">
        <v>0</v>
      </c>
      <c r="E49" s="1"/>
      <c r="I49" s="1" t="s">
        <v>1456</v>
      </c>
      <c r="J49" t="s">
        <v>1390</v>
      </c>
      <c r="K49" s="25">
        <f>Tabelle52[[#This Row],[value_present]]*Tabelle52[[#This Row],[binding_level]]</f>
        <v>0</v>
      </c>
    </row>
    <row r="50" spans="1:11" x14ac:dyDescent="0.25">
      <c r="A50" s="24">
        <v>5</v>
      </c>
      <c r="B50" s="2">
        <v>27</v>
      </c>
      <c r="C50" s="2" t="s">
        <v>140</v>
      </c>
      <c r="D50" s="3">
        <v>1</v>
      </c>
      <c r="E50" s="1">
        <v>1</v>
      </c>
      <c r="F50" t="s">
        <v>1524</v>
      </c>
      <c r="G50" t="s">
        <v>1525</v>
      </c>
      <c r="H50" t="s">
        <v>1549</v>
      </c>
      <c r="I50" s="1" t="s">
        <v>1456</v>
      </c>
      <c r="J50" t="s">
        <v>1544</v>
      </c>
      <c r="K50" s="25">
        <f>Tabelle52[[#This Row],[value_present]]*Tabelle52[[#This Row],[binding_level]]</f>
        <v>1</v>
      </c>
    </row>
    <row r="51" spans="1:11" x14ac:dyDescent="0.25">
      <c r="A51" s="24">
        <v>5</v>
      </c>
      <c r="B51" s="2">
        <v>27</v>
      </c>
      <c r="C51" s="2" t="s">
        <v>147</v>
      </c>
      <c r="D51" s="3">
        <v>1</v>
      </c>
      <c r="E51" s="1">
        <v>2</v>
      </c>
      <c r="F51" t="s">
        <v>1528</v>
      </c>
      <c r="G51" t="s">
        <v>1529</v>
      </c>
      <c r="H51" t="s">
        <v>1549</v>
      </c>
      <c r="I51" s="1" t="s">
        <v>1456</v>
      </c>
      <c r="J51" t="s">
        <v>1545</v>
      </c>
      <c r="K51" s="25">
        <f>Tabelle52[[#This Row],[value_present]]*Tabelle52[[#This Row],[binding_level]]</f>
        <v>2</v>
      </c>
    </row>
    <row r="52" spans="1:11" x14ac:dyDescent="0.25">
      <c r="A52" s="24">
        <v>5</v>
      </c>
      <c r="B52" s="2">
        <v>27</v>
      </c>
      <c r="C52" s="2" t="s">
        <v>154</v>
      </c>
      <c r="D52" s="3">
        <v>1</v>
      </c>
      <c r="E52" s="1">
        <v>1</v>
      </c>
      <c r="F52" t="s">
        <v>1522</v>
      </c>
      <c r="G52" t="s">
        <v>1523</v>
      </c>
      <c r="H52" t="s">
        <v>1549</v>
      </c>
      <c r="I52" s="1" t="s">
        <v>1457</v>
      </c>
      <c r="J52" t="s">
        <v>1546</v>
      </c>
      <c r="K52" s="25">
        <f>Tabelle52[[#This Row],[value_present]]*Tabelle52[[#This Row],[binding_level]]</f>
        <v>1</v>
      </c>
    </row>
    <row r="53" spans="1:11" x14ac:dyDescent="0.25">
      <c r="A53" s="24">
        <v>5</v>
      </c>
      <c r="B53" s="2">
        <v>27</v>
      </c>
      <c r="C53" s="2" t="s">
        <v>161</v>
      </c>
      <c r="D53" s="3">
        <v>1</v>
      </c>
      <c r="E53" s="1">
        <v>2</v>
      </c>
      <c r="F53" t="s">
        <v>1552</v>
      </c>
      <c r="G53" t="s">
        <v>1553</v>
      </c>
      <c r="H53" t="s">
        <v>1549</v>
      </c>
      <c r="I53" s="1" t="s">
        <v>1456</v>
      </c>
      <c r="J53" t="s">
        <v>1547</v>
      </c>
      <c r="K53" s="25">
        <f>Tabelle52[[#This Row],[value_present]]*Tabelle52[[#This Row],[binding_level]]</f>
        <v>2</v>
      </c>
    </row>
    <row r="54" spans="1:11" x14ac:dyDescent="0.25">
      <c r="A54" s="24">
        <v>5</v>
      </c>
      <c r="B54" s="2">
        <v>27</v>
      </c>
      <c r="C54" s="2" t="s">
        <v>166</v>
      </c>
      <c r="D54" s="3">
        <v>0</v>
      </c>
      <c r="E54" s="1"/>
      <c r="I54" s="1" t="s">
        <v>1456</v>
      </c>
      <c r="J54" t="s">
        <v>1390</v>
      </c>
      <c r="K54" s="25">
        <f>Tabelle52[[#This Row],[value_present]]*Tabelle52[[#This Row],[binding_level]]</f>
        <v>0</v>
      </c>
    </row>
    <row r="55" spans="1:11" ht="15.75" thickBot="1" x14ac:dyDescent="0.3">
      <c r="A55" s="26">
        <v>5</v>
      </c>
      <c r="B55" s="27">
        <v>27</v>
      </c>
      <c r="C55" s="27" t="s">
        <v>174</v>
      </c>
      <c r="D55" s="28">
        <v>0</v>
      </c>
      <c r="E55" s="29"/>
      <c r="F55" s="30"/>
      <c r="G55" s="30"/>
      <c r="H55" s="30"/>
      <c r="I55" s="29" t="s">
        <v>1456</v>
      </c>
      <c r="J55" s="30" t="s">
        <v>1548</v>
      </c>
      <c r="K55" s="31">
        <f>Tabelle52[[#This Row],[value_present]]*Tabelle52[[#This Row],[binding_level]]</f>
        <v>0</v>
      </c>
    </row>
    <row r="56" spans="1:11" x14ac:dyDescent="0.25">
      <c r="A56" s="18">
        <v>6</v>
      </c>
      <c r="B56" s="19">
        <v>32</v>
      </c>
      <c r="C56" s="19" t="s">
        <v>53</v>
      </c>
      <c r="D56" s="20">
        <v>0</v>
      </c>
      <c r="E56" s="21"/>
      <c r="F56" s="22"/>
      <c r="G56" s="22"/>
      <c r="H56" s="22"/>
      <c r="I56" s="21" t="s">
        <v>1456</v>
      </c>
      <c r="J56" s="22" t="s">
        <v>1580</v>
      </c>
      <c r="K56" s="23">
        <f>Tabelle52[[#This Row],[value_present]]*Tabelle52[[#This Row],[binding_level]]</f>
        <v>0</v>
      </c>
    </row>
    <row r="57" spans="1:11" x14ac:dyDescent="0.25">
      <c r="A57" s="24">
        <v>6</v>
      </c>
      <c r="B57" s="2">
        <v>32</v>
      </c>
      <c r="C57" s="2" t="s">
        <v>61</v>
      </c>
      <c r="D57" s="3">
        <v>0</v>
      </c>
      <c r="E57" s="1"/>
      <c r="I57" s="1" t="s">
        <v>1456</v>
      </c>
      <c r="J57" t="s">
        <v>1580</v>
      </c>
      <c r="K57" s="25">
        <f>Tabelle52[[#This Row],[value_present]]*Tabelle52[[#This Row],[binding_level]]</f>
        <v>0</v>
      </c>
    </row>
    <row r="58" spans="1:11" x14ac:dyDescent="0.25">
      <c r="A58" s="24">
        <v>6</v>
      </c>
      <c r="B58" s="2">
        <v>32</v>
      </c>
      <c r="C58" s="2" t="s">
        <v>69</v>
      </c>
      <c r="D58" s="3">
        <v>0</v>
      </c>
      <c r="E58" s="1"/>
      <c r="I58" s="1" t="s">
        <v>1456</v>
      </c>
      <c r="J58" t="s">
        <v>1580</v>
      </c>
      <c r="K58" s="25">
        <f>Tabelle52[[#This Row],[value_present]]*Tabelle52[[#This Row],[binding_level]]</f>
        <v>0</v>
      </c>
    </row>
    <row r="59" spans="1:11" x14ac:dyDescent="0.25">
      <c r="A59" s="24">
        <v>6</v>
      </c>
      <c r="B59" s="2">
        <v>32</v>
      </c>
      <c r="C59" s="2" t="s">
        <v>76</v>
      </c>
      <c r="D59" s="3">
        <v>0</v>
      </c>
      <c r="E59" s="1"/>
      <c r="I59" s="1" t="s">
        <v>1456</v>
      </c>
      <c r="J59" t="s">
        <v>1580</v>
      </c>
      <c r="K59" s="25">
        <f>Tabelle52[[#This Row],[value_present]]*Tabelle52[[#This Row],[binding_level]]</f>
        <v>0</v>
      </c>
    </row>
    <row r="60" spans="1:11" x14ac:dyDescent="0.25">
      <c r="A60" s="24">
        <v>6</v>
      </c>
      <c r="B60" s="2">
        <v>32</v>
      </c>
      <c r="C60" s="2" t="s">
        <v>83</v>
      </c>
      <c r="D60" s="3">
        <v>0</v>
      </c>
      <c r="E60" s="1"/>
      <c r="I60" s="1" t="s">
        <v>1456</v>
      </c>
      <c r="J60" t="s">
        <v>1581</v>
      </c>
      <c r="K60" s="25">
        <f>Tabelle52[[#This Row],[value_present]]*Tabelle52[[#This Row],[binding_level]]</f>
        <v>0</v>
      </c>
    </row>
    <row r="61" spans="1:11" x14ac:dyDescent="0.25">
      <c r="A61" s="24">
        <v>6</v>
      </c>
      <c r="B61" s="2">
        <v>32</v>
      </c>
      <c r="C61" s="2" t="s">
        <v>90</v>
      </c>
      <c r="D61" s="3">
        <v>0</v>
      </c>
      <c r="E61" s="1"/>
      <c r="I61" s="1" t="s">
        <v>1456</v>
      </c>
      <c r="J61" t="s">
        <v>1582</v>
      </c>
      <c r="K61" s="25">
        <f>Tabelle52[[#This Row],[value_present]]*Tabelle52[[#This Row],[binding_level]]</f>
        <v>0</v>
      </c>
    </row>
    <row r="62" spans="1:11" x14ac:dyDescent="0.25">
      <c r="A62" s="24">
        <v>6</v>
      </c>
      <c r="B62" s="2">
        <v>32</v>
      </c>
      <c r="C62" s="2" t="s">
        <v>98</v>
      </c>
      <c r="D62" s="3">
        <v>0</v>
      </c>
      <c r="E62" s="1"/>
      <c r="I62" s="1" t="s">
        <v>1456</v>
      </c>
      <c r="J62" t="s">
        <v>1583</v>
      </c>
      <c r="K62" s="25">
        <f>Tabelle52[[#This Row],[value_present]]*Tabelle52[[#This Row],[binding_level]]</f>
        <v>0</v>
      </c>
    </row>
    <row r="63" spans="1:11" x14ac:dyDescent="0.25">
      <c r="A63" s="24">
        <v>6</v>
      </c>
      <c r="B63" s="2">
        <v>32</v>
      </c>
      <c r="C63" s="2" t="s">
        <v>106</v>
      </c>
      <c r="D63" s="3">
        <v>0</v>
      </c>
      <c r="E63" s="1"/>
      <c r="I63" s="1" t="s">
        <v>1456</v>
      </c>
      <c r="J63" t="s">
        <v>1584</v>
      </c>
      <c r="K63" s="25">
        <f>Tabelle52[[#This Row],[value_present]]*Tabelle52[[#This Row],[binding_level]]</f>
        <v>0</v>
      </c>
    </row>
    <row r="64" spans="1:11" x14ac:dyDescent="0.25">
      <c r="A64" s="24">
        <v>6</v>
      </c>
      <c r="B64" s="2">
        <v>32</v>
      </c>
      <c r="C64" s="2" t="s">
        <v>112</v>
      </c>
      <c r="D64" s="3">
        <v>0</v>
      </c>
      <c r="E64" s="1"/>
      <c r="I64" s="1" t="s">
        <v>1456</v>
      </c>
      <c r="J64" t="s">
        <v>1585</v>
      </c>
      <c r="K64" s="25">
        <f>Tabelle52[[#This Row],[value_present]]*Tabelle52[[#This Row],[binding_level]]</f>
        <v>0</v>
      </c>
    </row>
    <row r="65" spans="1:11" x14ac:dyDescent="0.25">
      <c r="A65" s="24">
        <v>6</v>
      </c>
      <c r="B65" s="2">
        <v>32</v>
      </c>
      <c r="C65" s="2" t="s">
        <v>118</v>
      </c>
      <c r="D65" s="3">
        <v>0</v>
      </c>
      <c r="E65" s="1"/>
      <c r="I65" s="1" t="s">
        <v>1456</v>
      </c>
      <c r="J65" t="s">
        <v>1586</v>
      </c>
      <c r="K65" s="25">
        <f>Tabelle52[[#This Row],[value_present]]*Tabelle52[[#This Row],[binding_level]]</f>
        <v>0</v>
      </c>
    </row>
    <row r="66" spans="1:11" x14ac:dyDescent="0.25">
      <c r="A66" s="24">
        <v>6</v>
      </c>
      <c r="B66" s="2">
        <v>32</v>
      </c>
      <c r="C66" s="2" t="s">
        <v>125</v>
      </c>
      <c r="D66" s="3">
        <v>0</v>
      </c>
      <c r="E66" s="1"/>
      <c r="I66" s="1" t="s">
        <v>1456</v>
      </c>
      <c r="J66" t="s">
        <v>1586</v>
      </c>
      <c r="K66" s="25">
        <f>Tabelle52[[#This Row],[value_present]]*Tabelle52[[#This Row],[binding_level]]</f>
        <v>0</v>
      </c>
    </row>
    <row r="67" spans="1:11" x14ac:dyDescent="0.25">
      <c r="A67" s="24">
        <v>6</v>
      </c>
      <c r="B67" s="2">
        <v>32</v>
      </c>
      <c r="C67" s="2" t="s">
        <v>132</v>
      </c>
      <c r="D67" s="3">
        <v>0</v>
      </c>
      <c r="E67" s="1"/>
      <c r="I67" s="1" t="s">
        <v>1456</v>
      </c>
      <c r="J67" t="s">
        <v>1587</v>
      </c>
      <c r="K67" s="25">
        <f>Tabelle52[[#This Row],[value_present]]*Tabelle52[[#This Row],[binding_level]]</f>
        <v>0</v>
      </c>
    </row>
    <row r="68" spans="1:11" x14ac:dyDescent="0.25">
      <c r="A68" s="24">
        <v>6</v>
      </c>
      <c r="B68" s="2">
        <v>32</v>
      </c>
      <c r="C68" s="2" t="s">
        <v>140</v>
      </c>
      <c r="D68" s="3">
        <v>0</v>
      </c>
      <c r="E68" s="1"/>
      <c r="I68" s="1" t="s">
        <v>1456</v>
      </c>
      <c r="J68" t="s">
        <v>1586</v>
      </c>
      <c r="K68" s="25">
        <f>Tabelle52[[#This Row],[value_present]]*Tabelle52[[#This Row],[binding_level]]</f>
        <v>0</v>
      </c>
    </row>
    <row r="69" spans="1:11" x14ac:dyDescent="0.25">
      <c r="A69" s="24">
        <v>6</v>
      </c>
      <c r="B69" s="2">
        <v>32</v>
      </c>
      <c r="C69" s="2" t="s">
        <v>147</v>
      </c>
      <c r="D69" s="3">
        <v>0</v>
      </c>
      <c r="E69" s="1"/>
      <c r="I69" s="1" t="s">
        <v>1456</v>
      </c>
      <c r="J69" t="s">
        <v>1588</v>
      </c>
      <c r="K69" s="25">
        <f>Tabelle52[[#This Row],[value_present]]*Tabelle52[[#This Row],[binding_level]]</f>
        <v>0</v>
      </c>
    </row>
    <row r="70" spans="1:11" x14ac:dyDescent="0.25">
      <c r="A70" s="24">
        <v>6</v>
      </c>
      <c r="B70" s="2">
        <v>32</v>
      </c>
      <c r="C70" s="2" t="s">
        <v>154</v>
      </c>
      <c r="D70" s="3">
        <v>0</v>
      </c>
      <c r="E70" s="1"/>
      <c r="I70" s="1" t="s">
        <v>1456</v>
      </c>
      <c r="J70" t="s">
        <v>1589</v>
      </c>
      <c r="K70" s="25">
        <f>Tabelle52[[#This Row],[value_present]]*Tabelle52[[#This Row],[binding_level]]</f>
        <v>0</v>
      </c>
    </row>
    <row r="71" spans="1:11" x14ac:dyDescent="0.25">
      <c r="A71" s="24">
        <v>6</v>
      </c>
      <c r="B71" s="2">
        <v>32</v>
      </c>
      <c r="C71" s="2" t="s">
        <v>161</v>
      </c>
      <c r="D71" s="3">
        <v>0</v>
      </c>
      <c r="E71" s="1"/>
      <c r="I71" s="1" t="s">
        <v>1456</v>
      </c>
      <c r="J71" t="s">
        <v>1590</v>
      </c>
      <c r="K71" s="25">
        <f>Tabelle52[[#This Row],[value_present]]*Tabelle52[[#This Row],[binding_level]]</f>
        <v>0</v>
      </c>
    </row>
    <row r="72" spans="1:11" x14ac:dyDescent="0.25">
      <c r="A72" s="24">
        <v>6</v>
      </c>
      <c r="B72" s="2">
        <v>32</v>
      </c>
      <c r="C72" s="2" t="s">
        <v>166</v>
      </c>
      <c r="D72" s="3">
        <v>0</v>
      </c>
      <c r="E72" s="1"/>
      <c r="I72" s="1" t="s">
        <v>1456</v>
      </c>
      <c r="J72" t="s">
        <v>1591</v>
      </c>
      <c r="K72" s="25">
        <f>Tabelle52[[#This Row],[value_present]]*Tabelle52[[#This Row],[binding_level]]</f>
        <v>0</v>
      </c>
    </row>
    <row r="73" spans="1:11" ht="15.75" thickBot="1" x14ac:dyDescent="0.3">
      <c r="A73" s="26">
        <v>6</v>
      </c>
      <c r="B73" s="27">
        <v>32</v>
      </c>
      <c r="C73" s="27" t="s">
        <v>174</v>
      </c>
      <c r="D73" s="28">
        <v>0</v>
      </c>
      <c r="E73" s="29"/>
      <c r="F73" s="30"/>
      <c r="G73" s="30"/>
      <c r="H73" s="30"/>
      <c r="I73" s="29" t="s">
        <v>1456</v>
      </c>
      <c r="J73" s="30" t="s">
        <v>1592</v>
      </c>
      <c r="K73" s="31">
        <f>Tabelle52[[#This Row],[value_present]]*Tabelle52[[#This Row],[binding_level]]</f>
        <v>0</v>
      </c>
    </row>
    <row r="74" spans="1:11" x14ac:dyDescent="0.25">
      <c r="A74" s="18">
        <v>7</v>
      </c>
      <c r="B74" s="19">
        <v>37</v>
      </c>
      <c r="C74" s="19" t="s">
        <v>53</v>
      </c>
      <c r="D74" s="20">
        <v>1</v>
      </c>
      <c r="E74" s="21">
        <v>1</v>
      </c>
      <c r="F74" s="22" t="s">
        <v>1643</v>
      </c>
      <c r="G74" s="22" t="s">
        <v>1644</v>
      </c>
      <c r="H74" s="22" t="s">
        <v>1635</v>
      </c>
      <c r="I74" s="21" t="s">
        <v>1456</v>
      </c>
      <c r="J74" s="22" t="s">
        <v>1620</v>
      </c>
      <c r="K74" s="23">
        <f>Tabelle52[[#This Row],[value_present]]*Tabelle52[[#This Row],[binding_level]]</f>
        <v>1</v>
      </c>
    </row>
    <row r="75" spans="1:11" x14ac:dyDescent="0.25">
      <c r="A75" s="24">
        <v>7</v>
      </c>
      <c r="B75" s="2">
        <v>37</v>
      </c>
      <c r="C75" s="2" t="s">
        <v>61</v>
      </c>
      <c r="D75" s="3">
        <v>1</v>
      </c>
      <c r="E75" s="1">
        <v>1</v>
      </c>
      <c r="F75" t="s">
        <v>1645</v>
      </c>
      <c r="G75" t="s">
        <v>1646</v>
      </c>
      <c r="H75" t="s">
        <v>1636</v>
      </c>
      <c r="I75" s="1" t="s">
        <v>1457</v>
      </c>
      <c r="J75" t="s">
        <v>1621</v>
      </c>
      <c r="K75" s="25">
        <f>Tabelle52[[#This Row],[value_present]]*Tabelle52[[#This Row],[binding_level]]</f>
        <v>1</v>
      </c>
    </row>
    <row r="76" spans="1:11" x14ac:dyDescent="0.25">
      <c r="A76" s="24">
        <v>7</v>
      </c>
      <c r="B76" s="2">
        <v>37</v>
      </c>
      <c r="C76" s="2" t="s">
        <v>69</v>
      </c>
      <c r="D76" s="3">
        <v>1</v>
      </c>
      <c r="E76" s="1">
        <v>1</v>
      </c>
      <c r="F76" t="s">
        <v>1647</v>
      </c>
      <c r="G76" t="s">
        <v>1648</v>
      </c>
      <c r="H76" t="s">
        <v>1637</v>
      </c>
      <c r="I76" s="1" t="s">
        <v>1457</v>
      </c>
      <c r="J76" t="s">
        <v>1622</v>
      </c>
      <c r="K76" s="25">
        <f>Tabelle52[[#This Row],[value_present]]*Tabelle52[[#This Row],[binding_level]]</f>
        <v>1</v>
      </c>
    </row>
    <row r="77" spans="1:11" x14ac:dyDescent="0.25">
      <c r="A77" s="24">
        <v>7</v>
      </c>
      <c r="B77" s="2">
        <v>37</v>
      </c>
      <c r="C77" s="2" t="s">
        <v>76</v>
      </c>
      <c r="D77" s="3">
        <v>1</v>
      </c>
      <c r="E77" s="1">
        <v>1</v>
      </c>
      <c r="F77" t="s">
        <v>1649</v>
      </c>
      <c r="G77" t="s">
        <v>1650</v>
      </c>
      <c r="H77" t="s">
        <v>1637</v>
      </c>
      <c r="I77" s="1" t="s">
        <v>1456</v>
      </c>
      <c r="J77" t="s">
        <v>1623</v>
      </c>
      <c r="K77" s="25">
        <f>Tabelle52[[#This Row],[value_present]]*Tabelle52[[#This Row],[binding_level]]</f>
        <v>1</v>
      </c>
    </row>
    <row r="78" spans="1:11" x14ac:dyDescent="0.25">
      <c r="A78" s="24">
        <v>7</v>
      </c>
      <c r="B78" s="2">
        <v>37</v>
      </c>
      <c r="C78" s="2" t="s">
        <v>83</v>
      </c>
      <c r="D78" s="3">
        <v>1</v>
      </c>
      <c r="E78" s="1">
        <v>1</v>
      </c>
      <c r="F78" t="s">
        <v>1651</v>
      </c>
      <c r="G78" t="s">
        <v>1652</v>
      </c>
      <c r="H78" t="s">
        <v>1638</v>
      </c>
      <c r="I78" s="1" t="s">
        <v>1456</v>
      </c>
      <c r="J78" t="s">
        <v>1624</v>
      </c>
      <c r="K78" s="25">
        <f>Tabelle52[[#This Row],[value_present]]*Tabelle52[[#This Row],[binding_level]]</f>
        <v>1</v>
      </c>
    </row>
    <row r="79" spans="1:11" x14ac:dyDescent="0.25">
      <c r="A79" s="24">
        <v>7</v>
      </c>
      <c r="B79" s="2">
        <v>37</v>
      </c>
      <c r="C79" s="2" t="s">
        <v>90</v>
      </c>
      <c r="D79" s="3">
        <v>1</v>
      </c>
      <c r="E79" s="1">
        <v>1</v>
      </c>
      <c r="F79" t="s">
        <v>1653</v>
      </c>
      <c r="G79" t="s">
        <v>1654</v>
      </c>
      <c r="H79" t="s">
        <v>1639</v>
      </c>
      <c r="I79" s="1" t="s">
        <v>1456</v>
      </c>
      <c r="J79" t="s">
        <v>1625</v>
      </c>
      <c r="K79" s="25">
        <f>Tabelle52[[#This Row],[value_present]]*Tabelle52[[#This Row],[binding_level]]</f>
        <v>1</v>
      </c>
    </row>
    <row r="80" spans="1:11" x14ac:dyDescent="0.25">
      <c r="A80" s="24">
        <v>7</v>
      </c>
      <c r="B80" s="2">
        <v>37</v>
      </c>
      <c r="C80" s="2" t="s">
        <v>98</v>
      </c>
      <c r="D80" s="3">
        <v>1</v>
      </c>
      <c r="E80" s="1">
        <v>1</v>
      </c>
      <c r="F80" t="s">
        <v>1655</v>
      </c>
      <c r="G80" t="s">
        <v>1656</v>
      </c>
      <c r="H80" t="s">
        <v>1639</v>
      </c>
      <c r="I80" s="1" t="s">
        <v>1457</v>
      </c>
      <c r="J80" t="s">
        <v>1626</v>
      </c>
      <c r="K80" s="25">
        <f>Tabelle52[[#This Row],[value_present]]*Tabelle52[[#This Row],[binding_level]]</f>
        <v>1</v>
      </c>
    </row>
    <row r="81" spans="1:11" x14ac:dyDescent="0.25">
      <c r="A81" s="24">
        <v>7</v>
      </c>
      <c r="B81" s="2">
        <v>37</v>
      </c>
      <c r="C81" s="2" t="s">
        <v>106</v>
      </c>
      <c r="D81" s="3">
        <v>1</v>
      </c>
      <c r="E81" s="1">
        <v>1</v>
      </c>
      <c r="F81" t="s">
        <v>1657</v>
      </c>
      <c r="G81" t="s">
        <v>1658</v>
      </c>
      <c r="H81" t="s">
        <v>1640</v>
      </c>
      <c r="I81" s="1" t="s">
        <v>1457</v>
      </c>
      <c r="J81" t="s">
        <v>1627</v>
      </c>
      <c r="K81" s="25">
        <f>Tabelle52[[#This Row],[value_present]]*Tabelle52[[#This Row],[binding_level]]</f>
        <v>1</v>
      </c>
    </row>
    <row r="82" spans="1:11" x14ac:dyDescent="0.25">
      <c r="A82" s="24">
        <v>7</v>
      </c>
      <c r="B82" s="2">
        <v>37</v>
      </c>
      <c r="C82" s="2" t="s">
        <v>112</v>
      </c>
      <c r="D82" s="3">
        <v>1</v>
      </c>
      <c r="E82" s="1">
        <v>1</v>
      </c>
      <c r="F82" t="s">
        <v>1659</v>
      </c>
      <c r="G82" t="s">
        <v>1660</v>
      </c>
      <c r="H82" t="s">
        <v>1640</v>
      </c>
      <c r="I82" s="1" t="s">
        <v>1456</v>
      </c>
      <c r="J82" t="s">
        <v>1628</v>
      </c>
      <c r="K82" s="25">
        <f>Tabelle52[[#This Row],[value_present]]*Tabelle52[[#This Row],[binding_level]]</f>
        <v>1</v>
      </c>
    </row>
    <row r="83" spans="1:11" x14ac:dyDescent="0.25">
      <c r="A83" s="24">
        <v>7</v>
      </c>
      <c r="B83" s="2">
        <v>37</v>
      </c>
      <c r="C83" s="2" t="s">
        <v>118</v>
      </c>
      <c r="D83" s="3">
        <v>0</v>
      </c>
      <c r="E83" s="1"/>
      <c r="I83" s="1" t="s">
        <v>1456</v>
      </c>
      <c r="J83" t="s">
        <v>1390</v>
      </c>
      <c r="K83" s="25">
        <f>Tabelle52[[#This Row],[value_present]]*Tabelle52[[#This Row],[binding_level]]</f>
        <v>0</v>
      </c>
    </row>
    <row r="84" spans="1:11" x14ac:dyDescent="0.25">
      <c r="A84" s="24">
        <v>7</v>
      </c>
      <c r="B84" s="2">
        <v>37</v>
      </c>
      <c r="C84" s="2" t="s">
        <v>125</v>
      </c>
      <c r="D84" s="3">
        <v>0</v>
      </c>
      <c r="E84" s="1"/>
      <c r="I84" s="1" t="s">
        <v>1456</v>
      </c>
      <c r="J84" t="s">
        <v>1390</v>
      </c>
      <c r="K84" s="25">
        <f>Tabelle52[[#This Row],[value_present]]*Tabelle52[[#This Row],[binding_level]]</f>
        <v>0</v>
      </c>
    </row>
    <row r="85" spans="1:11" x14ac:dyDescent="0.25">
      <c r="A85" s="24">
        <v>7</v>
      </c>
      <c r="B85" s="2">
        <v>37</v>
      </c>
      <c r="C85" s="2" t="s">
        <v>132</v>
      </c>
      <c r="D85" s="3">
        <v>1</v>
      </c>
      <c r="E85" s="1">
        <v>1</v>
      </c>
      <c r="F85" t="s">
        <v>1661</v>
      </c>
      <c r="G85" t="s">
        <v>1662</v>
      </c>
      <c r="H85" t="s">
        <v>1641</v>
      </c>
      <c r="I85" s="1" t="s">
        <v>1456</v>
      </c>
      <c r="J85" t="s">
        <v>1629</v>
      </c>
      <c r="K85" s="25">
        <f>Tabelle52[[#This Row],[value_present]]*Tabelle52[[#This Row],[binding_level]]</f>
        <v>1</v>
      </c>
    </row>
    <row r="86" spans="1:11" x14ac:dyDescent="0.25">
      <c r="A86" s="24">
        <v>7</v>
      </c>
      <c r="B86" s="2">
        <v>37</v>
      </c>
      <c r="C86" s="2" t="s">
        <v>140</v>
      </c>
      <c r="D86" s="3">
        <v>1</v>
      </c>
      <c r="E86" s="1">
        <v>1</v>
      </c>
      <c r="F86" t="s">
        <v>1663</v>
      </c>
      <c r="G86" t="s">
        <v>1664</v>
      </c>
      <c r="H86" t="s">
        <v>1641</v>
      </c>
      <c r="I86" s="1" t="s">
        <v>1456</v>
      </c>
      <c r="J86" t="s">
        <v>1630</v>
      </c>
      <c r="K86" s="25">
        <f>Tabelle52[[#This Row],[value_present]]*Tabelle52[[#This Row],[binding_level]]</f>
        <v>1</v>
      </c>
    </row>
    <row r="87" spans="1:11" x14ac:dyDescent="0.25">
      <c r="A87" s="24">
        <v>7</v>
      </c>
      <c r="B87" s="2">
        <v>37</v>
      </c>
      <c r="C87" s="2" t="s">
        <v>147</v>
      </c>
      <c r="D87" s="3">
        <v>1</v>
      </c>
      <c r="E87" s="1">
        <v>1</v>
      </c>
      <c r="F87" t="s">
        <v>1665</v>
      </c>
      <c r="G87" t="s">
        <v>1666</v>
      </c>
      <c r="H87" t="s">
        <v>1640</v>
      </c>
      <c r="I87" s="1" t="s">
        <v>1541</v>
      </c>
      <c r="J87" t="s">
        <v>1631</v>
      </c>
      <c r="K87" s="25">
        <f>Tabelle52[[#This Row],[value_present]]*Tabelle52[[#This Row],[binding_level]]</f>
        <v>1</v>
      </c>
    </row>
    <row r="88" spans="1:11" x14ac:dyDescent="0.25">
      <c r="A88" s="24">
        <v>7</v>
      </c>
      <c r="B88" s="2">
        <v>37</v>
      </c>
      <c r="C88" s="2" t="s">
        <v>154</v>
      </c>
      <c r="D88" s="3">
        <v>1</v>
      </c>
      <c r="E88" s="1">
        <v>1</v>
      </c>
      <c r="F88" t="s">
        <v>1667</v>
      </c>
      <c r="G88" t="s">
        <v>1668</v>
      </c>
      <c r="H88" t="s">
        <v>1642</v>
      </c>
      <c r="I88" s="1" t="s">
        <v>1457</v>
      </c>
      <c r="J88" t="s">
        <v>1632</v>
      </c>
      <c r="K88" s="25">
        <f>Tabelle52[[#This Row],[value_present]]*Tabelle52[[#This Row],[binding_level]]</f>
        <v>1</v>
      </c>
    </row>
    <row r="89" spans="1:11" x14ac:dyDescent="0.25">
      <c r="A89" s="24">
        <v>7</v>
      </c>
      <c r="B89" s="2">
        <v>37</v>
      </c>
      <c r="C89" s="2" t="s">
        <v>161</v>
      </c>
      <c r="D89" s="3">
        <v>0</v>
      </c>
      <c r="E89" s="1"/>
      <c r="I89" s="1" t="s">
        <v>1456</v>
      </c>
      <c r="J89" t="s">
        <v>1633</v>
      </c>
      <c r="K89" s="25">
        <f>Tabelle52[[#This Row],[value_present]]*Tabelle52[[#This Row],[binding_level]]</f>
        <v>0</v>
      </c>
    </row>
    <row r="90" spans="1:11" x14ac:dyDescent="0.25">
      <c r="A90" s="24">
        <v>7</v>
      </c>
      <c r="B90" s="2">
        <v>37</v>
      </c>
      <c r="C90" s="2" t="s">
        <v>166</v>
      </c>
      <c r="D90" s="3">
        <v>0</v>
      </c>
      <c r="E90" s="1"/>
      <c r="I90" s="1" t="s">
        <v>1456</v>
      </c>
      <c r="J90" t="s">
        <v>1390</v>
      </c>
      <c r="K90" s="25">
        <f>Tabelle52[[#This Row],[value_present]]*Tabelle52[[#This Row],[binding_level]]</f>
        <v>0</v>
      </c>
    </row>
    <row r="91" spans="1:11" ht="15.75" thickBot="1" x14ac:dyDescent="0.3">
      <c r="A91" s="26">
        <v>7</v>
      </c>
      <c r="B91" s="27">
        <v>37</v>
      </c>
      <c r="C91" s="27" t="s">
        <v>174</v>
      </c>
      <c r="D91" s="28">
        <v>1</v>
      </c>
      <c r="E91" s="29">
        <v>1</v>
      </c>
      <c r="F91" s="30" t="s">
        <v>1669</v>
      </c>
      <c r="G91" s="30" t="s">
        <v>1670</v>
      </c>
      <c r="H91" s="30" t="s">
        <v>1641</v>
      </c>
      <c r="I91" s="29" t="s">
        <v>1457</v>
      </c>
      <c r="J91" s="30" t="s">
        <v>1634</v>
      </c>
      <c r="K91" s="31">
        <f>Tabelle52[[#This Row],[value_present]]*Tabelle52[[#This Row],[binding_level]]</f>
        <v>1</v>
      </c>
    </row>
    <row r="92" spans="1:11" x14ac:dyDescent="0.25">
      <c r="A92" s="18">
        <v>12</v>
      </c>
      <c r="B92" s="19">
        <v>62</v>
      </c>
      <c r="C92" s="19" t="s">
        <v>53</v>
      </c>
      <c r="D92" s="20">
        <v>1</v>
      </c>
      <c r="E92" s="21">
        <v>1</v>
      </c>
      <c r="F92" s="22" t="s">
        <v>1729</v>
      </c>
      <c r="G92" s="22" t="s">
        <v>1730</v>
      </c>
      <c r="H92" s="22" t="s">
        <v>1721</v>
      </c>
      <c r="I92" s="21" t="s">
        <v>1456</v>
      </c>
      <c r="J92" s="22" t="s">
        <v>1704</v>
      </c>
      <c r="K92" s="23">
        <f>Tabelle52[[#This Row],[value_present]]*Tabelle52[[#This Row],[binding_level]]</f>
        <v>1</v>
      </c>
    </row>
    <row r="93" spans="1:11" x14ac:dyDescent="0.25">
      <c r="A93" s="24">
        <v>12</v>
      </c>
      <c r="B93" s="2">
        <v>62</v>
      </c>
      <c r="C93" s="2" t="s">
        <v>61</v>
      </c>
      <c r="D93" s="3">
        <v>1</v>
      </c>
      <c r="E93" s="1">
        <v>1</v>
      </c>
      <c r="F93" t="s">
        <v>1731</v>
      </c>
      <c r="G93" t="s">
        <v>1732</v>
      </c>
      <c r="H93" t="s">
        <v>1722</v>
      </c>
      <c r="I93" s="1" t="s">
        <v>1456</v>
      </c>
      <c r="J93" t="s">
        <v>1705</v>
      </c>
      <c r="K93" s="25">
        <f>Tabelle52[[#This Row],[value_present]]*Tabelle52[[#This Row],[binding_level]]</f>
        <v>1</v>
      </c>
    </row>
    <row r="94" spans="1:11" x14ac:dyDescent="0.25">
      <c r="A94" s="24">
        <v>12</v>
      </c>
      <c r="B94" s="2">
        <v>62</v>
      </c>
      <c r="C94" s="2" t="s">
        <v>69</v>
      </c>
      <c r="D94" s="3">
        <v>1</v>
      </c>
      <c r="E94" s="1">
        <v>1</v>
      </c>
      <c r="F94" t="s">
        <v>1733</v>
      </c>
      <c r="G94" t="s">
        <v>1734</v>
      </c>
      <c r="H94" t="s">
        <v>1723</v>
      </c>
      <c r="I94" s="1" t="s">
        <v>1456</v>
      </c>
      <c r="J94" t="s">
        <v>1706</v>
      </c>
      <c r="K94" s="25">
        <f>Tabelle52[[#This Row],[value_present]]*Tabelle52[[#This Row],[binding_level]]</f>
        <v>1</v>
      </c>
    </row>
    <row r="95" spans="1:11" x14ac:dyDescent="0.25">
      <c r="A95" s="24">
        <v>12</v>
      </c>
      <c r="B95" s="2">
        <v>62</v>
      </c>
      <c r="C95" s="2" t="s">
        <v>76</v>
      </c>
      <c r="D95" s="3">
        <v>1</v>
      </c>
      <c r="E95" s="1">
        <v>1</v>
      </c>
      <c r="F95" t="s">
        <v>1737</v>
      </c>
      <c r="G95" t="s">
        <v>1738</v>
      </c>
      <c r="H95" t="s">
        <v>1723</v>
      </c>
      <c r="I95" s="1" t="s">
        <v>1456</v>
      </c>
      <c r="J95" t="s">
        <v>1707</v>
      </c>
      <c r="K95" s="25">
        <f>Tabelle52[[#This Row],[value_present]]*Tabelle52[[#This Row],[binding_level]]</f>
        <v>1</v>
      </c>
    </row>
    <row r="96" spans="1:11" x14ac:dyDescent="0.25">
      <c r="A96" s="24">
        <v>12</v>
      </c>
      <c r="B96" s="2">
        <v>62</v>
      </c>
      <c r="C96" s="2" t="s">
        <v>83</v>
      </c>
      <c r="D96" s="3">
        <v>1</v>
      </c>
      <c r="E96" s="1">
        <v>1</v>
      </c>
      <c r="F96" t="s">
        <v>1735</v>
      </c>
      <c r="G96" t="s">
        <v>1736</v>
      </c>
      <c r="H96" t="s">
        <v>1724</v>
      </c>
      <c r="I96" s="1" t="s">
        <v>1456</v>
      </c>
      <c r="J96" t="s">
        <v>1708</v>
      </c>
      <c r="K96" s="25">
        <f>Tabelle52[[#This Row],[value_present]]*Tabelle52[[#This Row],[binding_level]]</f>
        <v>1</v>
      </c>
    </row>
    <row r="97" spans="1:11" x14ac:dyDescent="0.25">
      <c r="A97" s="24">
        <v>12</v>
      </c>
      <c r="B97" s="2">
        <v>62</v>
      </c>
      <c r="C97" s="2" t="s">
        <v>90</v>
      </c>
      <c r="D97" s="3">
        <v>1</v>
      </c>
      <c r="E97" s="1">
        <v>1</v>
      </c>
      <c r="F97" t="s">
        <v>1739</v>
      </c>
      <c r="G97" t="s">
        <v>1740</v>
      </c>
      <c r="H97" t="s">
        <v>1725</v>
      </c>
      <c r="I97" s="1" t="s">
        <v>1456</v>
      </c>
      <c r="J97" t="s">
        <v>1709</v>
      </c>
      <c r="K97" s="25">
        <f>Tabelle52[[#This Row],[value_present]]*Tabelle52[[#This Row],[binding_level]]</f>
        <v>1</v>
      </c>
    </row>
    <row r="98" spans="1:11" x14ac:dyDescent="0.25">
      <c r="A98" s="24">
        <v>12</v>
      </c>
      <c r="B98" s="2">
        <v>62</v>
      </c>
      <c r="C98" s="2" t="s">
        <v>98</v>
      </c>
      <c r="D98" s="3">
        <v>1</v>
      </c>
      <c r="E98" s="1">
        <v>1</v>
      </c>
      <c r="F98" t="s">
        <v>1741</v>
      </c>
      <c r="G98" t="s">
        <v>1742</v>
      </c>
      <c r="H98" t="s">
        <v>1726</v>
      </c>
      <c r="I98" s="1" t="s">
        <v>1456</v>
      </c>
      <c r="J98" t="s">
        <v>1710</v>
      </c>
      <c r="K98" s="25">
        <f>Tabelle52[[#This Row],[value_present]]*Tabelle52[[#This Row],[binding_level]]</f>
        <v>1</v>
      </c>
    </row>
    <row r="99" spans="1:11" x14ac:dyDescent="0.25">
      <c r="A99" s="24">
        <v>12</v>
      </c>
      <c r="B99" s="2">
        <v>62</v>
      </c>
      <c r="C99" s="2" t="s">
        <v>106</v>
      </c>
      <c r="D99" s="3">
        <v>1</v>
      </c>
      <c r="E99" s="1">
        <v>1</v>
      </c>
      <c r="F99" t="s">
        <v>1743</v>
      </c>
      <c r="G99" t="s">
        <v>1744</v>
      </c>
      <c r="H99" t="s">
        <v>1726</v>
      </c>
      <c r="I99" s="1" t="s">
        <v>1457</v>
      </c>
      <c r="J99" t="s">
        <v>1711</v>
      </c>
      <c r="K99" s="25">
        <f>Tabelle52[[#This Row],[value_present]]*Tabelle52[[#This Row],[binding_level]]</f>
        <v>1</v>
      </c>
    </row>
    <row r="100" spans="1:11" x14ac:dyDescent="0.25">
      <c r="A100" s="24">
        <v>12</v>
      </c>
      <c r="B100" s="2">
        <v>62</v>
      </c>
      <c r="C100" s="2" t="s">
        <v>112</v>
      </c>
      <c r="D100" s="3">
        <v>1</v>
      </c>
      <c r="E100" s="1">
        <v>1</v>
      </c>
      <c r="F100" t="s">
        <v>1745</v>
      </c>
      <c r="G100" t="s">
        <v>1746</v>
      </c>
      <c r="H100" t="s">
        <v>1726</v>
      </c>
      <c r="I100" s="1" t="s">
        <v>1456</v>
      </c>
      <c r="J100" t="s">
        <v>1712</v>
      </c>
      <c r="K100" s="25">
        <f>Tabelle52[[#This Row],[value_present]]*Tabelle52[[#This Row],[binding_level]]</f>
        <v>1</v>
      </c>
    </row>
    <row r="101" spans="1:11" x14ac:dyDescent="0.25">
      <c r="A101" s="24">
        <v>12</v>
      </c>
      <c r="B101" s="2">
        <v>62</v>
      </c>
      <c r="C101" s="2" t="s">
        <v>118</v>
      </c>
      <c r="D101" s="3">
        <v>0</v>
      </c>
      <c r="E101" s="1"/>
      <c r="I101" s="1" t="s">
        <v>1456</v>
      </c>
      <c r="J101" t="s">
        <v>1713</v>
      </c>
      <c r="K101" s="25">
        <f>Tabelle52[[#This Row],[value_present]]*Tabelle52[[#This Row],[binding_level]]</f>
        <v>0</v>
      </c>
    </row>
    <row r="102" spans="1:11" x14ac:dyDescent="0.25">
      <c r="A102" s="24">
        <v>12</v>
      </c>
      <c r="B102" s="2">
        <v>62</v>
      </c>
      <c r="C102" s="2" t="s">
        <v>125</v>
      </c>
      <c r="D102" s="3">
        <v>1</v>
      </c>
      <c r="E102" s="1">
        <v>1</v>
      </c>
      <c r="F102" t="s">
        <v>1747</v>
      </c>
      <c r="G102" t="s">
        <v>1748</v>
      </c>
      <c r="H102" t="s">
        <v>1724</v>
      </c>
      <c r="I102" s="1" t="s">
        <v>1457</v>
      </c>
      <c r="J102" t="s">
        <v>1714</v>
      </c>
      <c r="K102" s="25">
        <f>Tabelle52[[#This Row],[value_present]]*Tabelle52[[#This Row],[binding_level]]</f>
        <v>1</v>
      </c>
    </row>
    <row r="103" spans="1:11" x14ac:dyDescent="0.25">
      <c r="A103" s="24">
        <v>12</v>
      </c>
      <c r="B103" s="2">
        <v>62</v>
      </c>
      <c r="C103" s="2" t="s">
        <v>132</v>
      </c>
      <c r="D103" s="3">
        <v>0</v>
      </c>
      <c r="E103" s="1"/>
      <c r="I103" s="1" t="s">
        <v>1456</v>
      </c>
      <c r="J103" t="s">
        <v>1713</v>
      </c>
      <c r="K103" s="25">
        <f>Tabelle52[[#This Row],[value_present]]*Tabelle52[[#This Row],[binding_level]]</f>
        <v>0</v>
      </c>
    </row>
    <row r="104" spans="1:11" x14ac:dyDescent="0.25">
      <c r="A104" s="24">
        <v>12</v>
      </c>
      <c r="B104" s="2">
        <v>62</v>
      </c>
      <c r="C104" s="2" t="s">
        <v>140</v>
      </c>
      <c r="D104" s="3">
        <v>0</v>
      </c>
      <c r="E104" s="1"/>
      <c r="I104" s="1" t="s">
        <v>1457</v>
      </c>
      <c r="J104" t="s">
        <v>1715</v>
      </c>
      <c r="K104" s="25">
        <f>Tabelle52[[#This Row],[value_present]]*Tabelle52[[#This Row],[binding_level]]</f>
        <v>0</v>
      </c>
    </row>
    <row r="105" spans="1:11" x14ac:dyDescent="0.25">
      <c r="A105" s="24">
        <v>12</v>
      </c>
      <c r="B105" s="2">
        <v>62</v>
      </c>
      <c r="C105" s="2" t="s">
        <v>147</v>
      </c>
      <c r="D105" s="3">
        <v>1</v>
      </c>
      <c r="E105" s="1">
        <v>2</v>
      </c>
      <c r="F105" t="s">
        <v>1749</v>
      </c>
      <c r="G105" t="s">
        <v>1750</v>
      </c>
      <c r="H105" t="s">
        <v>1727</v>
      </c>
      <c r="I105" s="1" t="s">
        <v>1456</v>
      </c>
      <c r="J105" t="s">
        <v>1716</v>
      </c>
      <c r="K105" s="25">
        <f>Tabelle52[[#This Row],[value_present]]*Tabelle52[[#This Row],[binding_level]]</f>
        <v>2</v>
      </c>
    </row>
    <row r="106" spans="1:11" x14ac:dyDescent="0.25">
      <c r="A106" s="24">
        <v>12</v>
      </c>
      <c r="B106" s="2">
        <v>62</v>
      </c>
      <c r="C106" s="2" t="s">
        <v>154</v>
      </c>
      <c r="D106" s="3">
        <v>1</v>
      </c>
      <c r="E106" s="1">
        <v>1</v>
      </c>
      <c r="F106" t="s">
        <v>1751</v>
      </c>
      <c r="G106" t="s">
        <v>1752</v>
      </c>
      <c r="H106" t="s">
        <v>1728</v>
      </c>
      <c r="I106" s="1" t="s">
        <v>1456</v>
      </c>
      <c r="J106" t="s">
        <v>1717</v>
      </c>
      <c r="K106" s="25">
        <f>Tabelle52[[#This Row],[value_present]]*Tabelle52[[#This Row],[binding_level]]</f>
        <v>1</v>
      </c>
    </row>
    <row r="107" spans="1:11" x14ac:dyDescent="0.25">
      <c r="A107" s="24">
        <v>12</v>
      </c>
      <c r="B107" s="2">
        <v>62</v>
      </c>
      <c r="C107" s="2" t="s">
        <v>161</v>
      </c>
      <c r="D107" s="3">
        <v>0</v>
      </c>
      <c r="E107" s="1"/>
      <c r="I107" s="1" t="s">
        <v>1456</v>
      </c>
      <c r="J107" t="s">
        <v>1718</v>
      </c>
      <c r="K107" s="25">
        <f>Tabelle52[[#This Row],[value_present]]*Tabelle52[[#This Row],[binding_level]]</f>
        <v>0</v>
      </c>
    </row>
    <row r="108" spans="1:11" x14ac:dyDescent="0.25">
      <c r="A108" s="24">
        <v>12</v>
      </c>
      <c r="B108" s="2">
        <v>62</v>
      </c>
      <c r="C108" s="2" t="s">
        <v>166</v>
      </c>
      <c r="D108" s="3">
        <v>0</v>
      </c>
      <c r="E108" s="1"/>
      <c r="I108" s="1" t="s">
        <v>1456</v>
      </c>
      <c r="J108" t="s">
        <v>1719</v>
      </c>
      <c r="K108" s="25">
        <f>Tabelle52[[#This Row],[value_present]]*Tabelle52[[#This Row],[binding_level]]</f>
        <v>0</v>
      </c>
    </row>
    <row r="109" spans="1:11" ht="15.75" thickBot="1" x14ac:dyDescent="0.3">
      <c r="A109" s="26">
        <v>12</v>
      </c>
      <c r="B109" s="27">
        <v>62</v>
      </c>
      <c r="C109" s="27" t="s">
        <v>174</v>
      </c>
      <c r="D109" s="28">
        <v>0</v>
      </c>
      <c r="E109" s="29"/>
      <c r="F109" s="30"/>
      <c r="G109" s="30"/>
      <c r="H109" s="30"/>
      <c r="I109" s="29" t="s">
        <v>1456</v>
      </c>
      <c r="J109" s="30" t="s">
        <v>1720</v>
      </c>
      <c r="K109" s="31">
        <f>Tabelle52[[#This Row],[value_present]]*Tabelle52[[#This Row],[binding_level]]</f>
        <v>0</v>
      </c>
    </row>
    <row r="110" spans="1:11" x14ac:dyDescent="0.25">
      <c r="A110" s="18">
        <v>15</v>
      </c>
      <c r="B110" s="19">
        <v>86</v>
      </c>
      <c r="C110" s="19" t="s">
        <v>53</v>
      </c>
      <c r="D110" s="20">
        <v>1</v>
      </c>
      <c r="E110" s="21">
        <v>2</v>
      </c>
      <c r="F110" t="s">
        <v>1805</v>
      </c>
      <c r="G110" s="22" t="s">
        <v>1806</v>
      </c>
      <c r="H110" s="22" t="s">
        <v>1792</v>
      </c>
      <c r="I110" s="21" t="s">
        <v>1457</v>
      </c>
      <c r="J110" s="22" t="s">
        <v>1779</v>
      </c>
      <c r="K110" s="23">
        <f>Tabelle52[[#This Row],[value_present]]*Tabelle52[[#This Row],[binding_level]]</f>
        <v>2</v>
      </c>
    </row>
    <row r="111" spans="1:11" x14ac:dyDescent="0.25">
      <c r="A111" s="24">
        <v>15</v>
      </c>
      <c r="B111" s="2">
        <v>86</v>
      </c>
      <c r="C111" s="2" t="s">
        <v>61</v>
      </c>
      <c r="D111" s="3">
        <v>1</v>
      </c>
      <c r="E111" s="1">
        <v>2</v>
      </c>
      <c r="F111" t="s">
        <v>1807</v>
      </c>
      <c r="G111" t="s">
        <v>1808</v>
      </c>
      <c r="H111" t="s">
        <v>1793</v>
      </c>
      <c r="I111" s="1" t="s">
        <v>1456</v>
      </c>
      <c r="J111" t="s">
        <v>1780</v>
      </c>
      <c r="K111" s="25">
        <f>Tabelle52[[#This Row],[value_present]]*Tabelle52[[#This Row],[binding_level]]</f>
        <v>2</v>
      </c>
    </row>
    <row r="112" spans="1:11" x14ac:dyDescent="0.25">
      <c r="A112" s="24">
        <v>15</v>
      </c>
      <c r="B112" s="2">
        <v>86</v>
      </c>
      <c r="C112" s="2" t="s">
        <v>69</v>
      </c>
      <c r="D112" s="3">
        <v>1</v>
      </c>
      <c r="E112" s="1">
        <v>2</v>
      </c>
      <c r="F112" t="s">
        <v>1809</v>
      </c>
      <c r="G112" t="s">
        <v>1810</v>
      </c>
      <c r="H112" t="s">
        <v>1794</v>
      </c>
      <c r="I112" s="1" t="s">
        <v>1456</v>
      </c>
      <c r="J112" t="s">
        <v>1781</v>
      </c>
      <c r="K112" s="25">
        <f>Tabelle52[[#This Row],[value_present]]*Tabelle52[[#This Row],[binding_level]]</f>
        <v>2</v>
      </c>
    </row>
    <row r="113" spans="1:11" x14ac:dyDescent="0.25">
      <c r="A113" s="24">
        <v>15</v>
      </c>
      <c r="B113" s="2">
        <v>86</v>
      </c>
      <c r="C113" s="2" t="s">
        <v>76</v>
      </c>
      <c r="D113" s="3">
        <v>1</v>
      </c>
      <c r="E113" s="1">
        <v>1</v>
      </c>
      <c r="F113" t="s">
        <v>1811</v>
      </c>
      <c r="G113" t="s">
        <v>1812</v>
      </c>
      <c r="H113" t="s">
        <v>1795</v>
      </c>
      <c r="I113" s="1" t="s">
        <v>1457</v>
      </c>
      <c r="J113" t="s">
        <v>1782</v>
      </c>
      <c r="K113" s="25">
        <f>Tabelle52[[#This Row],[value_present]]*Tabelle52[[#This Row],[binding_level]]</f>
        <v>1</v>
      </c>
    </row>
    <row r="114" spans="1:11" x14ac:dyDescent="0.25">
      <c r="A114" s="24">
        <v>15</v>
      </c>
      <c r="B114" s="2">
        <v>86</v>
      </c>
      <c r="C114" s="2" t="s">
        <v>83</v>
      </c>
      <c r="D114" s="3">
        <v>1</v>
      </c>
      <c r="E114" s="1">
        <v>1</v>
      </c>
      <c r="F114" t="s">
        <v>1813</v>
      </c>
      <c r="G114" t="s">
        <v>1815</v>
      </c>
      <c r="H114" t="s">
        <v>1796</v>
      </c>
      <c r="I114" s="1" t="s">
        <v>1457</v>
      </c>
      <c r="J114" t="s">
        <v>1783</v>
      </c>
      <c r="K114" s="25">
        <f>Tabelle52[[#This Row],[value_present]]*Tabelle52[[#This Row],[binding_level]]</f>
        <v>1</v>
      </c>
    </row>
    <row r="115" spans="1:11" x14ac:dyDescent="0.25">
      <c r="A115" s="24">
        <v>15</v>
      </c>
      <c r="B115" s="2">
        <v>86</v>
      </c>
      <c r="C115" s="2" t="s">
        <v>90</v>
      </c>
      <c r="D115" s="3">
        <v>1</v>
      </c>
      <c r="E115" s="1">
        <v>2</v>
      </c>
      <c r="F115" t="s">
        <v>1816</v>
      </c>
      <c r="G115" t="s">
        <v>1817</v>
      </c>
      <c r="H115" t="s">
        <v>1797</v>
      </c>
      <c r="I115" s="1" t="s">
        <v>1456</v>
      </c>
      <c r="J115" t="s">
        <v>1784</v>
      </c>
      <c r="K115" s="25">
        <f>Tabelle52[[#This Row],[value_present]]*Tabelle52[[#This Row],[binding_level]]</f>
        <v>2</v>
      </c>
    </row>
    <row r="116" spans="1:11" x14ac:dyDescent="0.25">
      <c r="A116" s="24">
        <v>15</v>
      </c>
      <c r="B116" s="2">
        <v>86</v>
      </c>
      <c r="C116" s="2" t="s">
        <v>98</v>
      </c>
      <c r="D116" s="3">
        <v>1</v>
      </c>
      <c r="E116" s="1">
        <v>2</v>
      </c>
      <c r="F116" t="s">
        <v>1818</v>
      </c>
      <c r="G116" t="s">
        <v>1819</v>
      </c>
      <c r="H116" t="s">
        <v>1798</v>
      </c>
      <c r="I116" s="1" t="s">
        <v>1456</v>
      </c>
      <c r="J116" t="s">
        <v>1785</v>
      </c>
      <c r="K116" s="25">
        <f>Tabelle52[[#This Row],[value_present]]*Tabelle52[[#This Row],[binding_level]]</f>
        <v>2</v>
      </c>
    </row>
    <row r="117" spans="1:11" x14ac:dyDescent="0.25">
      <c r="A117" s="24">
        <v>15</v>
      </c>
      <c r="B117" s="2">
        <v>86</v>
      </c>
      <c r="C117" s="2" t="s">
        <v>106</v>
      </c>
      <c r="D117" s="3">
        <v>1</v>
      </c>
      <c r="E117" s="1">
        <v>2</v>
      </c>
      <c r="F117" t="s">
        <v>1820</v>
      </c>
      <c r="G117" t="s">
        <v>1821</v>
      </c>
      <c r="H117" t="s">
        <v>1799</v>
      </c>
      <c r="I117" s="1" t="s">
        <v>1457</v>
      </c>
      <c r="J117" t="s">
        <v>1786</v>
      </c>
      <c r="K117" s="25">
        <f>Tabelle52[[#This Row],[value_present]]*Tabelle52[[#This Row],[binding_level]]</f>
        <v>2</v>
      </c>
    </row>
    <row r="118" spans="1:11" x14ac:dyDescent="0.25">
      <c r="A118" s="24">
        <v>15</v>
      </c>
      <c r="B118" s="2">
        <v>86</v>
      </c>
      <c r="C118" s="2" t="s">
        <v>112</v>
      </c>
      <c r="D118" s="3">
        <v>1</v>
      </c>
      <c r="E118" s="1">
        <v>2</v>
      </c>
      <c r="F118" t="s">
        <v>1822</v>
      </c>
      <c r="G118" t="s">
        <v>1823</v>
      </c>
      <c r="H118" t="s">
        <v>1800</v>
      </c>
      <c r="I118" s="1" t="s">
        <v>1457</v>
      </c>
      <c r="J118" t="s">
        <v>1787</v>
      </c>
      <c r="K118" s="25">
        <f>Tabelle52[[#This Row],[value_present]]*Tabelle52[[#This Row],[binding_level]]</f>
        <v>2</v>
      </c>
    </row>
    <row r="119" spans="1:11" x14ac:dyDescent="0.25">
      <c r="A119" s="24">
        <v>15</v>
      </c>
      <c r="B119" s="2">
        <v>86</v>
      </c>
      <c r="C119" s="2" t="s">
        <v>118</v>
      </c>
      <c r="D119" s="3">
        <v>0</v>
      </c>
      <c r="E119" s="1"/>
      <c r="I119" s="1" t="s">
        <v>1456</v>
      </c>
      <c r="J119" t="s">
        <v>1390</v>
      </c>
      <c r="K119" s="25">
        <f>Tabelle52[[#This Row],[value_present]]*Tabelle52[[#This Row],[binding_level]]</f>
        <v>0</v>
      </c>
    </row>
    <row r="120" spans="1:11" x14ac:dyDescent="0.25">
      <c r="A120" s="24">
        <v>15</v>
      </c>
      <c r="B120" s="2">
        <v>86</v>
      </c>
      <c r="C120" s="2" t="s">
        <v>125</v>
      </c>
      <c r="D120" s="3">
        <v>0</v>
      </c>
      <c r="E120" s="1"/>
      <c r="I120" s="1" t="s">
        <v>1456</v>
      </c>
      <c r="J120" t="s">
        <v>1390</v>
      </c>
      <c r="K120" s="25">
        <f>Tabelle52[[#This Row],[value_present]]*Tabelle52[[#This Row],[binding_level]]</f>
        <v>0</v>
      </c>
    </row>
    <row r="121" spans="1:11" x14ac:dyDescent="0.25">
      <c r="A121" s="24">
        <v>15</v>
      </c>
      <c r="B121" s="2">
        <v>86</v>
      </c>
      <c r="C121" s="2" t="s">
        <v>132</v>
      </c>
      <c r="D121" s="3">
        <v>0</v>
      </c>
      <c r="E121" s="1"/>
      <c r="I121" s="1" t="s">
        <v>1456</v>
      </c>
      <c r="J121" t="s">
        <v>1390</v>
      </c>
      <c r="K121" s="25">
        <f>Tabelle52[[#This Row],[value_present]]*Tabelle52[[#This Row],[binding_level]]</f>
        <v>0</v>
      </c>
    </row>
    <row r="122" spans="1:11" x14ac:dyDescent="0.25">
      <c r="A122" s="24">
        <v>15</v>
      </c>
      <c r="B122" s="2">
        <v>86</v>
      </c>
      <c r="C122" s="2" t="s">
        <v>140</v>
      </c>
      <c r="D122" s="3">
        <v>1</v>
      </c>
      <c r="E122" s="1">
        <v>1</v>
      </c>
      <c r="F122" t="s">
        <v>1824</v>
      </c>
      <c r="G122" t="s">
        <v>1825</v>
      </c>
      <c r="H122" t="s">
        <v>1801</v>
      </c>
      <c r="I122" s="1" t="s">
        <v>1457</v>
      </c>
      <c r="J122" t="s">
        <v>1788</v>
      </c>
      <c r="K122" s="25">
        <f>Tabelle52[[#This Row],[value_present]]*Tabelle52[[#This Row],[binding_level]]</f>
        <v>1</v>
      </c>
    </row>
    <row r="123" spans="1:11" x14ac:dyDescent="0.25">
      <c r="A123" s="24">
        <v>15</v>
      </c>
      <c r="B123" s="2">
        <v>86</v>
      </c>
      <c r="C123" s="2" t="s">
        <v>147</v>
      </c>
      <c r="D123" s="3">
        <v>1</v>
      </c>
      <c r="E123" s="1">
        <v>2</v>
      </c>
      <c r="F123" t="s">
        <v>1826</v>
      </c>
      <c r="G123" t="s">
        <v>1827</v>
      </c>
      <c r="H123" t="s">
        <v>1802</v>
      </c>
      <c r="I123" s="1" t="s">
        <v>1456</v>
      </c>
      <c r="J123" t="s">
        <v>1789</v>
      </c>
      <c r="K123" s="25">
        <f>Tabelle52[[#This Row],[value_present]]*Tabelle52[[#This Row],[binding_level]]</f>
        <v>2</v>
      </c>
    </row>
    <row r="124" spans="1:11" x14ac:dyDescent="0.25">
      <c r="A124" s="24">
        <v>15</v>
      </c>
      <c r="B124" s="2">
        <v>86</v>
      </c>
      <c r="C124" s="2" t="s">
        <v>154</v>
      </c>
      <c r="D124" s="3">
        <v>1</v>
      </c>
      <c r="E124" s="1">
        <v>1</v>
      </c>
      <c r="F124" t="s">
        <v>1828</v>
      </c>
      <c r="G124" t="s">
        <v>1829</v>
      </c>
      <c r="H124" t="s">
        <v>1803</v>
      </c>
      <c r="I124" s="1" t="s">
        <v>1456</v>
      </c>
      <c r="J124" t="s">
        <v>1790</v>
      </c>
      <c r="K124" s="25">
        <f>Tabelle52[[#This Row],[value_present]]*Tabelle52[[#This Row],[binding_level]]</f>
        <v>1</v>
      </c>
    </row>
    <row r="125" spans="1:11" x14ac:dyDescent="0.25">
      <c r="A125" s="24">
        <v>15</v>
      </c>
      <c r="B125" s="2">
        <v>86</v>
      </c>
      <c r="C125" s="2" t="s">
        <v>161</v>
      </c>
      <c r="D125" s="3">
        <v>1</v>
      </c>
      <c r="E125" s="1">
        <v>3</v>
      </c>
      <c r="F125" t="s">
        <v>1830</v>
      </c>
      <c r="G125" t="s">
        <v>1831</v>
      </c>
      <c r="H125" t="s">
        <v>1804</v>
      </c>
      <c r="I125" s="1" t="s">
        <v>1457</v>
      </c>
      <c r="J125" t="s">
        <v>1791</v>
      </c>
      <c r="K125" s="25">
        <f>Tabelle52[[#This Row],[value_present]]*Tabelle52[[#This Row],[binding_level]]</f>
        <v>3</v>
      </c>
    </row>
    <row r="126" spans="1:11" x14ac:dyDescent="0.25">
      <c r="A126" s="24">
        <v>15</v>
      </c>
      <c r="B126" s="2">
        <v>86</v>
      </c>
      <c r="C126" s="2" t="s">
        <v>166</v>
      </c>
      <c r="D126" s="3">
        <v>0</v>
      </c>
      <c r="E126" s="1"/>
      <c r="I126" s="1" t="s">
        <v>1456</v>
      </c>
      <c r="J126" t="s">
        <v>1390</v>
      </c>
      <c r="K126" s="25">
        <f>Tabelle52[[#This Row],[value_present]]*Tabelle52[[#This Row],[binding_level]]</f>
        <v>0</v>
      </c>
    </row>
    <row r="127" spans="1:11" ht="15.75" thickBot="1" x14ac:dyDescent="0.3">
      <c r="A127" s="26">
        <v>15</v>
      </c>
      <c r="B127" s="27">
        <v>86</v>
      </c>
      <c r="C127" s="27" t="s">
        <v>174</v>
      </c>
      <c r="D127" s="28">
        <v>0</v>
      </c>
      <c r="E127" s="29"/>
      <c r="F127" s="30"/>
      <c r="G127" s="30"/>
      <c r="H127" s="30"/>
      <c r="I127" s="29" t="s">
        <v>1456</v>
      </c>
      <c r="J127" s="30" t="s">
        <v>1390</v>
      </c>
      <c r="K127" s="31">
        <f>Tabelle52[[#This Row],[value_present]]*Tabelle52[[#This Row],[binding_level]]</f>
        <v>0</v>
      </c>
    </row>
    <row r="128" spans="1:11" x14ac:dyDescent="0.25">
      <c r="A128" s="18">
        <v>32</v>
      </c>
      <c r="B128" s="19">
        <v>188</v>
      </c>
      <c r="C128" s="19" t="s">
        <v>53</v>
      </c>
      <c r="D128" s="20">
        <v>1</v>
      </c>
      <c r="E128" s="21">
        <v>3</v>
      </c>
      <c r="F128" t="s">
        <v>1898</v>
      </c>
      <c r="G128" s="22" t="s">
        <v>1899</v>
      </c>
      <c r="H128" s="22" t="s">
        <v>1882</v>
      </c>
      <c r="I128" s="1" t="s">
        <v>1456</v>
      </c>
      <c r="J128" t="s">
        <v>1866</v>
      </c>
      <c r="K128" s="23">
        <f>Tabelle52[[#This Row],[value_present]]*Tabelle52[[#This Row],[binding_level]]</f>
        <v>3</v>
      </c>
    </row>
    <row r="129" spans="1:11" x14ac:dyDescent="0.25">
      <c r="A129" s="24">
        <v>32</v>
      </c>
      <c r="B129" s="2">
        <v>188</v>
      </c>
      <c r="C129" s="2" t="s">
        <v>61</v>
      </c>
      <c r="D129" s="3">
        <v>1</v>
      </c>
      <c r="E129" s="1">
        <v>2</v>
      </c>
      <c r="F129" t="s">
        <v>1900</v>
      </c>
      <c r="G129" t="s">
        <v>1901</v>
      </c>
      <c r="H129" t="s">
        <v>1883</v>
      </c>
      <c r="I129" s="1" t="s">
        <v>1456</v>
      </c>
      <c r="J129" t="s">
        <v>1867</v>
      </c>
      <c r="K129" s="25">
        <f>Tabelle52[[#This Row],[value_present]]*Tabelle52[[#This Row],[binding_level]]</f>
        <v>2</v>
      </c>
    </row>
    <row r="130" spans="1:11" x14ac:dyDescent="0.25">
      <c r="A130" s="24">
        <v>32</v>
      </c>
      <c r="B130" s="2">
        <v>188</v>
      </c>
      <c r="C130" s="2" t="s">
        <v>69</v>
      </c>
      <c r="D130" s="3">
        <v>1</v>
      </c>
      <c r="E130" s="1">
        <v>3</v>
      </c>
      <c r="F130" t="s">
        <v>1902</v>
      </c>
      <c r="G130" t="s">
        <v>1903</v>
      </c>
      <c r="H130" t="s">
        <v>1884</v>
      </c>
      <c r="I130" s="1" t="s">
        <v>1456</v>
      </c>
      <c r="J130" t="s">
        <v>1868</v>
      </c>
      <c r="K130" s="25">
        <f>Tabelle52[[#This Row],[value_present]]*Tabelle52[[#This Row],[binding_level]]</f>
        <v>3</v>
      </c>
    </row>
    <row r="131" spans="1:11" x14ac:dyDescent="0.25">
      <c r="A131" s="24">
        <v>32</v>
      </c>
      <c r="B131" s="2">
        <v>188</v>
      </c>
      <c r="C131" s="2" t="s">
        <v>76</v>
      </c>
      <c r="D131" s="3">
        <v>1</v>
      </c>
      <c r="E131" s="1">
        <v>2</v>
      </c>
      <c r="F131" t="s">
        <v>1904</v>
      </c>
      <c r="G131" t="s">
        <v>1905</v>
      </c>
      <c r="H131" t="s">
        <v>1885</v>
      </c>
      <c r="I131" s="1" t="s">
        <v>1456</v>
      </c>
      <c r="J131" t="s">
        <v>1869</v>
      </c>
      <c r="K131" s="25">
        <f>Tabelle52[[#This Row],[value_present]]*Tabelle52[[#This Row],[binding_level]]</f>
        <v>2</v>
      </c>
    </row>
    <row r="132" spans="1:11" x14ac:dyDescent="0.25">
      <c r="A132" s="24">
        <v>32</v>
      </c>
      <c r="B132" s="2">
        <v>188</v>
      </c>
      <c r="C132" s="2" t="s">
        <v>83</v>
      </c>
      <c r="D132" s="3">
        <v>1</v>
      </c>
      <c r="E132" s="1">
        <v>3</v>
      </c>
      <c r="F132" t="s">
        <v>1906</v>
      </c>
      <c r="G132" t="s">
        <v>1907</v>
      </c>
      <c r="H132" t="s">
        <v>1886</v>
      </c>
      <c r="I132" s="1" t="s">
        <v>1456</v>
      </c>
      <c r="J132" t="s">
        <v>1870</v>
      </c>
      <c r="K132" s="25">
        <f>Tabelle52[[#This Row],[value_present]]*Tabelle52[[#This Row],[binding_level]]</f>
        <v>3</v>
      </c>
    </row>
    <row r="133" spans="1:11" x14ac:dyDescent="0.25">
      <c r="A133" s="24">
        <v>32</v>
      </c>
      <c r="B133" s="2">
        <v>188</v>
      </c>
      <c r="C133" s="2" t="s">
        <v>90</v>
      </c>
      <c r="D133" s="3">
        <v>1</v>
      </c>
      <c r="E133" s="1">
        <v>2</v>
      </c>
      <c r="F133" t="s">
        <v>1908</v>
      </c>
      <c r="G133" t="s">
        <v>1909</v>
      </c>
      <c r="H133" t="s">
        <v>1887</v>
      </c>
      <c r="I133" s="1" t="s">
        <v>1456</v>
      </c>
      <c r="J133" t="s">
        <v>1871</v>
      </c>
      <c r="K133" s="25">
        <f>Tabelle52[[#This Row],[value_present]]*Tabelle52[[#This Row],[binding_level]]</f>
        <v>2</v>
      </c>
    </row>
    <row r="134" spans="1:11" x14ac:dyDescent="0.25">
      <c r="A134" s="24">
        <v>32</v>
      </c>
      <c r="B134" s="2">
        <v>188</v>
      </c>
      <c r="C134" s="2" t="s">
        <v>98</v>
      </c>
      <c r="D134" s="3">
        <v>1</v>
      </c>
      <c r="E134" s="1">
        <v>2</v>
      </c>
      <c r="F134" t="s">
        <v>1910</v>
      </c>
      <c r="G134" t="s">
        <v>1911</v>
      </c>
      <c r="H134" t="s">
        <v>1888</v>
      </c>
      <c r="I134" s="1" t="s">
        <v>1456</v>
      </c>
      <c r="J134" t="s">
        <v>1872</v>
      </c>
      <c r="K134" s="25">
        <f>Tabelle52[[#This Row],[value_present]]*Tabelle52[[#This Row],[binding_level]]</f>
        <v>2</v>
      </c>
    </row>
    <row r="135" spans="1:11" x14ac:dyDescent="0.25">
      <c r="A135" s="24">
        <v>32</v>
      </c>
      <c r="B135" s="2">
        <v>188</v>
      </c>
      <c r="C135" s="2" t="s">
        <v>106</v>
      </c>
      <c r="D135" s="3">
        <v>1</v>
      </c>
      <c r="E135" s="1">
        <v>3</v>
      </c>
      <c r="F135" t="s">
        <v>1912</v>
      </c>
      <c r="G135" t="s">
        <v>1913</v>
      </c>
      <c r="H135" t="s">
        <v>1889</v>
      </c>
      <c r="I135" s="1" t="s">
        <v>1456</v>
      </c>
      <c r="J135" t="s">
        <v>1873</v>
      </c>
      <c r="K135" s="25">
        <f>Tabelle52[[#This Row],[value_present]]*Tabelle52[[#This Row],[binding_level]]</f>
        <v>3</v>
      </c>
    </row>
    <row r="136" spans="1:11" x14ac:dyDescent="0.25">
      <c r="A136" s="24">
        <v>32</v>
      </c>
      <c r="B136" s="2">
        <v>188</v>
      </c>
      <c r="C136" s="2" t="s">
        <v>112</v>
      </c>
      <c r="D136" s="3">
        <v>1</v>
      </c>
      <c r="E136" s="1">
        <v>3</v>
      </c>
      <c r="F136" t="s">
        <v>1914</v>
      </c>
      <c r="G136" t="s">
        <v>1915</v>
      </c>
      <c r="H136" t="s">
        <v>1890</v>
      </c>
      <c r="I136" s="1" t="s">
        <v>1457</v>
      </c>
      <c r="J136" t="s">
        <v>1874</v>
      </c>
      <c r="K136" s="25">
        <f>Tabelle52[[#This Row],[value_present]]*Tabelle52[[#This Row],[binding_level]]</f>
        <v>3</v>
      </c>
    </row>
    <row r="137" spans="1:11" x14ac:dyDescent="0.25">
      <c r="A137" s="24">
        <v>32</v>
      </c>
      <c r="B137" s="2">
        <v>188</v>
      </c>
      <c r="C137" s="2" t="s">
        <v>118</v>
      </c>
      <c r="D137" s="3">
        <v>1</v>
      </c>
      <c r="E137" s="1">
        <v>3</v>
      </c>
      <c r="F137" t="s">
        <v>1916</v>
      </c>
      <c r="H137" t="s">
        <v>1893</v>
      </c>
      <c r="I137" s="1" t="s">
        <v>1457</v>
      </c>
      <c r="J137" t="s">
        <v>1875</v>
      </c>
      <c r="K137" s="25">
        <f>Tabelle52[[#This Row],[value_present]]*Tabelle52[[#This Row],[binding_level]]</f>
        <v>3</v>
      </c>
    </row>
    <row r="138" spans="1:11" x14ac:dyDescent="0.25">
      <c r="A138" s="24">
        <v>32</v>
      </c>
      <c r="B138" s="2">
        <v>188</v>
      </c>
      <c r="C138" s="2" t="s">
        <v>125</v>
      </c>
      <c r="D138" s="3">
        <v>1</v>
      </c>
      <c r="E138" s="1">
        <v>2</v>
      </c>
      <c r="F138" t="s">
        <v>1917</v>
      </c>
      <c r="G138" t="s">
        <v>1918</v>
      </c>
      <c r="H138" t="s">
        <v>1891</v>
      </c>
      <c r="I138" s="1" t="s">
        <v>1456</v>
      </c>
      <c r="J138" t="s">
        <v>1876</v>
      </c>
      <c r="K138" s="25">
        <f>Tabelle52[[#This Row],[value_present]]*Tabelle52[[#This Row],[binding_level]]</f>
        <v>2</v>
      </c>
    </row>
    <row r="139" spans="1:11" x14ac:dyDescent="0.25">
      <c r="A139" s="24">
        <v>32</v>
      </c>
      <c r="B139" s="2">
        <v>188</v>
      </c>
      <c r="C139" s="2" t="s">
        <v>132</v>
      </c>
      <c r="D139" s="3">
        <v>1</v>
      </c>
      <c r="E139" s="1">
        <v>2</v>
      </c>
      <c r="F139" t="s">
        <v>1919</v>
      </c>
      <c r="G139" t="s">
        <v>1920</v>
      </c>
      <c r="H139" t="s">
        <v>1892</v>
      </c>
      <c r="I139" s="1" t="s">
        <v>1456</v>
      </c>
      <c r="J139" t="s">
        <v>1877</v>
      </c>
      <c r="K139" s="25">
        <f>Tabelle52[[#This Row],[value_present]]*Tabelle52[[#This Row],[binding_level]]</f>
        <v>2</v>
      </c>
    </row>
    <row r="140" spans="1:11" x14ac:dyDescent="0.25">
      <c r="A140" s="24">
        <v>32</v>
      </c>
      <c r="B140" s="2">
        <v>188</v>
      </c>
      <c r="C140" s="2" t="s">
        <v>140</v>
      </c>
      <c r="D140" s="3">
        <v>0</v>
      </c>
      <c r="E140" s="1"/>
      <c r="I140" s="1" t="s">
        <v>1457</v>
      </c>
      <c r="J140" t="s">
        <v>1390</v>
      </c>
      <c r="K140" s="25">
        <f>Tabelle52[[#This Row],[value_present]]*Tabelle52[[#This Row],[binding_level]]</f>
        <v>0</v>
      </c>
    </row>
    <row r="141" spans="1:11" x14ac:dyDescent="0.25">
      <c r="A141" s="24">
        <v>32</v>
      </c>
      <c r="B141" s="2">
        <v>188</v>
      </c>
      <c r="C141" s="2" t="s">
        <v>147</v>
      </c>
      <c r="D141" s="3">
        <v>1</v>
      </c>
      <c r="E141" s="1">
        <v>2</v>
      </c>
      <c r="F141" t="s">
        <v>1921</v>
      </c>
      <c r="G141" t="s">
        <v>1922</v>
      </c>
      <c r="H141" t="s">
        <v>1894</v>
      </c>
      <c r="I141" s="1"/>
      <c r="J141" t="s">
        <v>1878</v>
      </c>
      <c r="K141" s="25">
        <f>Tabelle52[[#This Row],[value_present]]*Tabelle52[[#This Row],[binding_level]]</f>
        <v>2</v>
      </c>
    </row>
    <row r="142" spans="1:11" x14ac:dyDescent="0.25">
      <c r="A142" s="24">
        <v>32</v>
      </c>
      <c r="B142" s="2">
        <v>188</v>
      </c>
      <c r="C142" s="2" t="s">
        <v>154</v>
      </c>
      <c r="D142" s="3">
        <v>1</v>
      </c>
      <c r="E142" s="1">
        <v>1</v>
      </c>
      <c r="F142" t="s">
        <v>1923</v>
      </c>
      <c r="G142" t="s">
        <v>1924</v>
      </c>
      <c r="H142" t="s">
        <v>1895</v>
      </c>
      <c r="I142" s="1" t="s">
        <v>1456</v>
      </c>
      <c r="J142" t="s">
        <v>1879</v>
      </c>
      <c r="K142" s="25">
        <f>Tabelle52[[#This Row],[value_present]]*Tabelle52[[#This Row],[binding_level]]</f>
        <v>1</v>
      </c>
    </row>
    <row r="143" spans="1:11" x14ac:dyDescent="0.25">
      <c r="A143" s="24">
        <v>32</v>
      </c>
      <c r="B143" s="2">
        <v>188</v>
      </c>
      <c r="C143" s="2" t="s">
        <v>161</v>
      </c>
      <c r="D143" s="3">
        <v>1</v>
      </c>
      <c r="E143" s="1">
        <v>3</v>
      </c>
      <c r="F143" t="s">
        <v>1925</v>
      </c>
      <c r="G143" t="s">
        <v>1926</v>
      </c>
      <c r="H143" t="s">
        <v>1896</v>
      </c>
      <c r="I143" s="1" t="s">
        <v>1457</v>
      </c>
      <c r="J143" t="s">
        <v>1880</v>
      </c>
      <c r="K143" s="25">
        <f>Tabelle52[[#This Row],[value_present]]*Tabelle52[[#This Row],[binding_level]]</f>
        <v>3</v>
      </c>
    </row>
    <row r="144" spans="1:11" x14ac:dyDescent="0.25">
      <c r="A144" s="24">
        <v>32</v>
      </c>
      <c r="B144" s="2">
        <v>188</v>
      </c>
      <c r="C144" s="2" t="s">
        <v>166</v>
      </c>
      <c r="D144" s="3">
        <v>0</v>
      </c>
      <c r="E144" s="1"/>
      <c r="I144" s="1" t="s">
        <v>1456</v>
      </c>
      <c r="J144" t="s">
        <v>1390</v>
      </c>
      <c r="K144" s="25">
        <f>Tabelle52[[#This Row],[value_present]]*Tabelle52[[#This Row],[binding_level]]</f>
        <v>0</v>
      </c>
    </row>
    <row r="145" spans="1:11" ht="15.75" thickBot="1" x14ac:dyDescent="0.3">
      <c r="A145" s="26">
        <v>32</v>
      </c>
      <c r="B145" s="27">
        <v>188</v>
      </c>
      <c r="C145" s="27" t="s">
        <v>174</v>
      </c>
      <c r="D145" s="28">
        <v>1</v>
      </c>
      <c r="E145" s="29">
        <v>3</v>
      </c>
      <c r="F145" s="30" t="s">
        <v>1927</v>
      </c>
      <c r="G145" s="30" t="s">
        <v>1928</v>
      </c>
      <c r="H145" s="30" t="s">
        <v>1897</v>
      </c>
      <c r="I145" s="29" t="s">
        <v>1456</v>
      </c>
      <c r="J145" s="30" t="s">
        <v>1881</v>
      </c>
      <c r="K145" s="31">
        <f>Tabelle52[[#This Row],[value_present]]*Tabelle52[[#This Row],[binding_level]]</f>
        <v>3</v>
      </c>
    </row>
    <row r="146" spans="1:11" x14ac:dyDescent="0.25">
      <c r="A146" s="2"/>
      <c r="B146" s="2"/>
      <c r="C146" s="2"/>
      <c r="D146" s="3"/>
      <c r="E146" s="1"/>
      <c r="I146" s="1"/>
      <c r="K146" s="4">
        <f>Tabelle52[[#This Row],[value_present]]*Tabelle52[[#This Row],[binding_level]]</f>
        <v>0</v>
      </c>
    </row>
    <row r="147" spans="1:11" x14ac:dyDescent="0.25">
      <c r="A147" s="2"/>
      <c r="B147" s="2"/>
      <c r="C147" s="2"/>
      <c r="D147" s="3"/>
      <c r="E147" s="1"/>
      <c r="I147" s="1"/>
      <c r="K147" s="4">
        <f>Tabelle52[[#This Row],[value_present]]*Tabelle52[[#This Row],[binding_level]]</f>
        <v>0</v>
      </c>
    </row>
    <row r="148" spans="1:11" x14ac:dyDescent="0.25">
      <c r="A148" s="2"/>
      <c r="B148" s="2"/>
      <c r="C148" s="2"/>
      <c r="D148" s="3"/>
      <c r="E148" s="1"/>
      <c r="I148" s="1"/>
      <c r="K148" s="4">
        <f>Tabelle52[[#This Row],[value_present]]*Tabelle52[[#This Row],[binding_level]]</f>
        <v>0</v>
      </c>
    </row>
    <row r="149" spans="1:11" x14ac:dyDescent="0.25">
      <c r="A149" s="2"/>
      <c r="B149" s="2"/>
      <c r="C149" s="2"/>
      <c r="D149" s="3"/>
      <c r="E149" s="1"/>
      <c r="I149" s="1"/>
      <c r="K149" s="4">
        <f>Tabelle52[[#This Row],[value_present]]*Tabelle52[[#This Row],[binding_level]]</f>
        <v>0</v>
      </c>
    </row>
    <row r="150" spans="1:11" x14ac:dyDescent="0.25">
      <c r="A150" s="2"/>
      <c r="B150" s="2"/>
      <c r="C150" s="2"/>
      <c r="D150" s="3"/>
      <c r="E150" s="1"/>
      <c r="I150" s="1"/>
      <c r="K150" s="4">
        <f>Tabelle52[[#This Row],[value_present]]*Tabelle52[[#This Row],[binding_level]]</f>
        <v>0</v>
      </c>
    </row>
    <row r="151" spans="1:11" x14ac:dyDescent="0.25">
      <c r="A151" s="2"/>
      <c r="B151" s="2"/>
      <c r="C151" s="2"/>
      <c r="D151" s="3"/>
      <c r="E151" s="1"/>
      <c r="I151" s="1"/>
      <c r="K151" s="4">
        <f>Tabelle52[[#This Row],[value_present]]*Tabelle52[[#This Row],[binding_level]]</f>
        <v>0</v>
      </c>
    </row>
    <row r="152" spans="1:11" x14ac:dyDescent="0.25">
      <c r="A152" s="2"/>
      <c r="B152" s="2"/>
      <c r="C152" s="2"/>
      <c r="D152" s="3"/>
      <c r="E152" s="1"/>
      <c r="I152" s="1"/>
      <c r="K152" s="4">
        <f>Tabelle52[[#This Row],[value_present]]*Tabelle52[[#This Row],[binding_level]]</f>
        <v>0</v>
      </c>
    </row>
    <row r="153" spans="1:11" x14ac:dyDescent="0.25">
      <c r="A153" s="2"/>
      <c r="B153" s="2"/>
      <c r="C153" s="2"/>
      <c r="D153" s="3"/>
      <c r="E153" s="1"/>
      <c r="I153" s="1"/>
      <c r="K153" s="4">
        <f>Tabelle52[[#This Row],[value_present]]*Tabelle52[[#This Row],[binding_level]]</f>
        <v>0</v>
      </c>
    </row>
    <row r="154" spans="1:11" x14ac:dyDescent="0.25">
      <c r="A154" s="2"/>
      <c r="B154" s="2"/>
      <c r="C154" s="2"/>
      <c r="D154" s="3"/>
      <c r="E154" s="1"/>
      <c r="I154" s="1"/>
      <c r="K154" s="4">
        <f>Tabelle52[[#This Row],[value_present]]*Tabelle52[[#This Row],[binding_level]]</f>
        <v>0</v>
      </c>
    </row>
    <row r="155" spans="1:11" x14ac:dyDescent="0.25">
      <c r="A155" s="2"/>
      <c r="B155" s="2"/>
      <c r="C155" s="2"/>
      <c r="D155" s="3"/>
      <c r="E155" s="1"/>
      <c r="I155" s="1"/>
      <c r="K155" s="4">
        <f>Tabelle52[[#This Row],[value_present]]*Tabelle52[[#This Row],[binding_level]]</f>
        <v>0</v>
      </c>
    </row>
    <row r="156" spans="1:11" x14ac:dyDescent="0.25">
      <c r="A156" s="2"/>
      <c r="B156" s="2"/>
      <c r="C156" s="2"/>
      <c r="D156" s="3"/>
      <c r="E156" s="1"/>
      <c r="I156" s="1"/>
      <c r="K156" s="4">
        <f>Tabelle52[[#This Row],[value_present]]*Tabelle52[[#This Row],[binding_level]]</f>
        <v>0</v>
      </c>
    </row>
    <row r="157" spans="1:11" x14ac:dyDescent="0.25">
      <c r="A157" s="2"/>
      <c r="B157" s="2"/>
      <c r="C157" s="2"/>
      <c r="D157" s="3"/>
      <c r="E157" s="1"/>
      <c r="I157" s="1"/>
      <c r="K157" s="4">
        <f>Tabelle52[[#This Row],[value_present]]*Tabelle52[[#This Row],[binding_level]]</f>
        <v>0</v>
      </c>
    </row>
    <row r="158" spans="1:11" x14ac:dyDescent="0.25">
      <c r="A158" s="2"/>
      <c r="B158" s="2"/>
      <c r="C158" s="2"/>
      <c r="D158" s="3"/>
      <c r="E158" s="1"/>
      <c r="I158" s="1"/>
      <c r="K158" s="4">
        <f>Tabelle52[[#This Row],[value_present]]*Tabelle52[[#This Row],[binding_level]]</f>
        <v>0</v>
      </c>
    </row>
    <row r="159" spans="1:11" x14ac:dyDescent="0.25">
      <c r="A159" s="2"/>
      <c r="B159" s="2"/>
      <c r="C159" s="2"/>
      <c r="D159" s="3"/>
      <c r="E159" s="1"/>
      <c r="I159" s="1"/>
      <c r="K159" s="4">
        <f>Tabelle52[[#This Row],[value_present]]*Tabelle52[[#This Row],[binding_level]]</f>
        <v>0</v>
      </c>
    </row>
    <row r="160" spans="1:11" x14ac:dyDescent="0.25">
      <c r="A160" s="2"/>
      <c r="B160" s="2"/>
      <c r="C160" s="2"/>
      <c r="D160" s="3"/>
      <c r="E160" s="1"/>
      <c r="I160" s="1"/>
      <c r="K160" s="4">
        <f>Tabelle52[[#This Row],[value_present]]*Tabelle52[[#This Row],[binding_level]]</f>
        <v>0</v>
      </c>
    </row>
    <row r="161" spans="1:11" x14ac:dyDescent="0.25">
      <c r="A161" s="2"/>
      <c r="B161" s="2"/>
      <c r="C161" s="2"/>
      <c r="D161" s="3"/>
      <c r="E161" s="1"/>
      <c r="I161" s="1"/>
      <c r="K161" s="4">
        <f>Tabelle52[[#This Row],[value_present]]*Tabelle52[[#This Row],[binding_level]]</f>
        <v>0</v>
      </c>
    </row>
    <row r="162" spans="1:11" x14ac:dyDescent="0.25">
      <c r="A162" s="2"/>
      <c r="B162" s="2"/>
      <c r="C162" s="2"/>
      <c r="D162" s="3"/>
      <c r="E162" s="1"/>
      <c r="I162" s="1"/>
      <c r="K162" s="4">
        <f>Tabelle52[[#This Row],[value_present]]*Tabelle52[[#This Row],[binding_level]]</f>
        <v>0</v>
      </c>
    </row>
    <row r="163" spans="1:11" x14ac:dyDescent="0.25">
      <c r="A163" s="2"/>
      <c r="B163" s="2"/>
      <c r="C163" s="2"/>
      <c r="D163" s="3"/>
      <c r="E163" s="1"/>
      <c r="I163" s="1"/>
      <c r="K163" s="4">
        <f>Tabelle52[[#This Row],[value_present]]*Tabelle52[[#This Row],[binding_level]]</f>
        <v>0</v>
      </c>
    </row>
    <row r="164" spans="1:11" x14ac:dyDescent="0.25">
      <c r="A164" s="2"/>
      <c r="B164" s="2"/>
      <c r="C164" s="2"/>
      <c r="D164" s="3"/>
      <c r="E164" s="1"/>
      <c r="I164" s="1"/>
      <c r="K164" s="4">
        <f>Tabelle52[[#This Row],[value_present]]*Tabelle52[[#This Row],[binding_level]]</f>
        <v>0</v>
      </c>
    </row>
    <row r="165" spans="1:11" x14ac:dyDescent="0.25">
      <c r="A165" s="2"/>
      <c r="B165" s="2"/>
      <c r="C165" s="2"/>
      <c r="D165" s="3"/>
      <c r="E165" s="1"/>
      <c r="I165" s="1"/>
      <c r="K165" s="4">
        <f>Tabelle52[[#This Row],[value_present]]*Tabelle52[[#This Row],[binding_level]]</f>
        <v>0</v>
      </c>
    </row>
    <row r="166" spans="1:11" x14ac:dyDescent="0.25">
      <c r="A166" s="2"/>
      <c r="B166" s="2"/>
      <c r="C166" s="2"/>
      <c r="D166" s="3"/>
      <c r="E166" s="1"/>
      <c r="I166" s="1"/>
      <c r="K166" s="4">
        <f>Tabelle52[[#This Row],[value_present]]*Tabelle52[[#This Row],[binding_level]]</f>
        <v>0</v>
      </c>
    </row>
    <row r="167" spans="1:11" x14ac:dyDescent="0.25">
      <c r="A167" s="2"/>
      <c r="B167" s="2"/>
      <c r="C167" s="2"/>
      <c r="D167" s="3"/>
      <c r="E167" s="1"/>
      <c r="I167" s="1"/>
      <c r="K167" s="4">
        <f>Tabelle52[[#This Row],[value_present]]*Tabelle52[[#This Row],[binding_level]]</f>
        <v>0</v>
      </c>
    </row>
    <row r="168" spans="1:11" x14ac:dyDescent="0.25">
      <c r="A168" s="2"/>
      <c r="B168" s="2"/>
      <c r="C168" s="2"/>
      <c r="D168" s="3"/>
      <c r="E168" s="1"/>
      <c r="I168" s="1"/>
      <c r="K168" s="4">
        <f>Tabelle52[[#This Row],[value_present]]*Tabelle52[[#This Row],[binding_level]]</f>
        <v>0</v>
      </c>
    </row>
    <row r="169" spans="1:11" x14ac:dyDescent="0.25">
      <c r="A169" s="2"/>
      <c r="B169" s="2"/>
      <c r="C169" s="2"/>
      <c r="D169" s="3"/>
      <c r="E169" s="1"/>
      <c r="I169" s="1"/>
      <c r="K169" s="4">
        <f>Tabelle52[[#This Row],[value_present]]*Tabelle52[[#This Row],[binding_level]]</f>
        <v>0</v>
      </c>
    </row>
    <row r="170" spans="1:11" x14ac:dyDescent="0.25">
      <c r="A170" s="2"/>
      <c r="B170" s="2"/>
      <c r="C170" s="2"/>
      <c r="D170" s="3"/>
      <c r="E170" s="1"/>
      <c r="I170" s="1"/>
      <c r="K170" s="4">
        <f>Tabelle52[[#This Row],[value_present]]*Tabelle52[[#This Row],[binding_level]]</f>
        <v>0</v>
      </c>
    </row>
    <row r="171" spans="1:11" x14ac:dyDescent="0.25">
      <c r="A171" s="2"/>
      <c r="B171" s="2"/>
      <c r="C171" s="2"/>
      <c r="D171" s="3"/>
      <c r="E171" s="1"/>
      <c r="I171" s="1"/>
      <c r="K171" s="4">
        <f>Tabelle52[[#This Row],[value_present]]*Tabelle52[[#This Row],[binding_level]]</f>
        <v>0</v>
      </c>
    </row>
    <row r="172" spans="1:11" x14ac:dyDescent="0.25">
      <c r="A172" s="2"/>
      <c r="B172" s="2"/>
      <c r="C172" s="2"/>
      <c r="D172" s="3"/>
      <c r="E172" s="1"/>
      <c r="I172" s="1"/>
      <c r="K172" s="4">
        <f>Tabelle52[[#This Row],[value_present]]*Tabelle52[[#This Row],[binding_level]]</f>
        <v>0</v>
      </c>
    </row>
    <row r="173" spans="1:11" x14ac:dyDescent="0.25">
      <c r="A173" s="2"/>
      <c r="B173" s="2"/>
      <c r="C173" s="2"/>
      <c r="D173" s="3"/>
      <c r="E173" s="1"/>
      <c r="I173" s="1"/>
      <c r="K173" s="4">
        <f>Tabelle52[[#This Row],[value_present]]*Tabelle52[[#This Row],[binding_level]]</f>
        <v>0</v>
      </c>
    </row>
    <row r="174" spans="1:11" x14ac:dyDescent="0.25">
      <c r="A174" s="2"/>
      <c r="B174" s="2"/>
      <c r="C174" s="2"/>
      <c r="D174" s="3"/>
      <c r="E174" s="1"/>
      <c r="I174" s="1"/>
      <c r="K174" s="4">
        <f>Tabelle52[[#This Row],[value_present]]*Tabelle52[[#This Row],[binding_level]]</f>
        <v>0</v>
      </c>
    </row>
    <row r="175" spans="1:11" x14ac:dyDescent="0.25">
      <c r="A175" s="2"/>
      <c r="B175" s="2"/>
      <c r="C175" s="2"/>
      <c r="D175" s="3"/>
      <c r="E175" s="1"/>
      <c r="I175" s="1"/>
      <c r="K175" s="4">
        <f>Tabelle52[[#This Row],[value_present]]*Tabelle52[[#This Row],[binding_level]]</f>
        <v>0</v>
      </c>
    </row>
    <row r="176" spans="1:11" x14ac:dyDescent="0.25">
      <c r="A176" s="2"/>
      <c r="B176" s="2"/>
      <c r="C176" s="2"/>
      <c r="D176" s="3"/>
      <c r="E176" s="1"/>
      <c r="I176" s="1"/>
      <c r="K176" s="4">
        <f>Tabelle52[[#This Row],[value_present]]*Tabelle52[[#This Row],[binding_level]]</f>
        <v>0</v>
      </c>
    </row>
    <row r="177" spans="1:11" x14ac:dyDescent="0.25">
      <c r="A177" s="2"/>
      <c r="B177" s="2"/>
      <c r="C177" s="2"/>
      <c r="D177" s="3"/>
      <c r="E177" s="1"/>
      <c r="I177" s="1"/>
      <c r="K177" s="4">
        <f>Tabelle52[[#This Row],[value_present]]*Tabelle52[[#This Row],[binding_level]]</f>
        <v>0</v>
      </c>
    </row>
    <row r="178" spans="1:11" x14ac:dyDescent="0.25">
      <c r="A178" s="2"/>
      <c r="B178" s="2"/>
      <c r="C178" s="2"/>
      <c r="D178" s="3"/>
      <c r="E178" s="1"/>
      <c r="I178" s="1"/>
      <c r="K178" s="4">
        <f>Tabelle52[[#This Row],[value_present]]*Tabelle52[[#This Row],[binding_level]]</f>
        <v>0</v>
      </c>
    </row>
    <row r="179" spans="1:11" x14ac:dyDescent="0.25">
      <c r="A179" s="2"/>
      <c r="B179" s="2"/>
      <c r="C179" s="2"/>
      <c r="D179" s="3"/>
      <c r="E179" s="1"/>
      <c r="I179" s="1"/>
      <c r="K179" s="4">
        <f>Tabelle52[[#This Row],[value_present]]*Tabelle52[[#This Row],[binding_level]]</f>
        <v>0</v>
      </c>
    </row>
    <row r="180" spans="1:11" x14ac:dyDescent="0.25">
      <c r="A180" s="2"/>
      <c r="B180" s="2"/>
      <c r="C180" s="2"/>
      <c r="D180" s="3"/>
      <c r="E180" s="1"/>
      <c r="I180" s="1"/>
      <c r="K180" s="4">
        <f>Tabelle52[[#This Row],[value_present]]*Tabelle52[[#This Row],[binding_level]]</f>
        <v>0</v>
      </c>
    </row>
    <row r="181" spans="1:11" x14ac:dyDescent="0.25">
      <c r="A181" s="2"/>
      <c r="B181" s="2"/>
      <c r="C181" s="2"/>
      <c r="D181" s="3"/>
      <c r="E181" s="1"/>
      <c r="I181" s="1"/>
      <c r="K181" s="4">
        <f>Tabelle52[[#This Row],[value_present]]*Tabelle52[[#This Row],[binding_level]]</f>
        <v>0</v>
      </c>
    </row>
    <row r="182" spans="1:11" x14ac:dyDescent="0.25">
      <c r="A182" s="2"/>
      <c r="B182" s="2"/>
      <c r="C182" s="2"/>
      <c r="D182" s="3"/>
      <c r="E182" s="1"/>
      <c r="I182" s="1"/>
      <c r="K182" s="4">
        <f>Tabelle52[[#This Row],[value_present]]*Tabelle52[[#This Row],[binding_level]]</f>
        <v>0</v>
      </c>
    </row>
    <row r="183" spans="1:11" x14ac:dyDescent="0.25">
      <c r="A183" s="2"/>
      <c r="B183" s="2"/>
      <c r="C183" s="2"/>
      <c r="D183" s="3"/>
      <c r="E183" s="1"/>
      <c r="I183" s="1"/>
      <c r="K183" s="4">
        <f>Tabelle52[[#This Row],[value_present]]*Tabelle52[[#This Row],[binding_level]]</f>
        <v>0</v>
      </c>
    </row>
    <row r="184" spans="1:11" x14ac:dyDescent="0.25">
      <c r="A184" s="2"/>
      <c r="B184" s="2"/>
      <c r="C184" s="2"/>
      <c r="D184" s="3"/>
      <c r="E184" s="1"/>
      <c r="I184" s="1"/>
      <c r="K184" s="4">
        <f>Tabelle52[[#This Row],[value_present]]*Tabelle52[[#This Row],[binding_level]]</f>
        <v>0</v>
      </c>
    </row>
    <row r="185" spans="1:11" x14ac:dyDescent="0.25">
      <c r="A185" s="2"/>
      <c r="B185" s="2"/>
      <c r="C185" s="2"/>
      <c r="D185" s="3"/>
      <c r="E185" s="1"/>
      <c r="I185" s="1"/>
      <c r="K185" s="4">
        <f>Tabelle52[[#This Row],[value_present]]*Tabelle52[[#This Row],[binding_level]]</f>
        <v>0</v>
      </c>
    </row>
    <row r="186" spans="1:11" x14ac:dyDescent="0.25">
      <c r="A186" s="2"/>
      <c r="B186" s="2"/>
      <c r="C186" s="2"/>
      <c r="D186" s="3"/>
      <c r="E186" s="1"/>
      <c r="I186" s="1"/>
      <c r="K186" s="4">
        <f>Tabelle52[[#This Row],[value_present]]*Tabelle52[[#This Row],[binding_level]]</f>
        <v>0</v>
      </c>
    </row>
    <row r="187" spans="1:11" x14ac:dyDescent="0.25">
      <c r="A187" s="2"/>
      <c r="B187" s="2"/>
      <c r="C187" s="2"/>
      <c r="D187" s="3"/>
      <c r="E187" s="1"/>
      <c r="I187" s="1"/>
      <c r="K187" s="4">
        <f>Tabelle52[[#This Row],[value_present]]*Tabelle52[[#This Row],[binding_level]]</f>
        <v>0</v>
      </c>
    </row>
    <row r="188" spans="1:11" x14ac:dyDescent="0.25">
      <c r="A188" s="2"/>
      <c r="B188" s="2"/>
      <c r="C188" s="2"/>
      <c r="D188" s="3"/>
      <c r="E188" s="1"/>
      <c r="I188" s="1"/>
      <c r="K188" s="4">
        <f>Tabelle52[[#This Row],[value_present]]*Tabelle52[[#This Row],[binding_level]]</f>
        <v>0</v>
      </c>
    </row>
    <row r="189" spans="1:11" x14ac:dyDescent="0.25">
      <c r="A189" s="2"/>
      <c r="B189" s="2"/>
      <c r="C189" s="2"/>
      <c r="D189" s="3"/>
      <c r="E189" s="1"/>
      <c r="I189" s="1"/>
      <c r="K189" s="4">
        <f>Tabelle52[[#This Row],[value_present]]*Tabelle52[[#This Row],[binding_level]]</f>
        <v>0</v>
      </c>
    </row>
    <row r="190" spans="1:11" x14ac:dyDescent="0.25">
      <c r="A190" s="2"/>
      <c r="B190" s="2"/>
      <c r="C190" s="2"/>
      <c r="D190" s="3"/>
      <c r="E190" s="1"/>
      <c r="I190" s="1"/>
      <c r="K190" s="4">
        <f>Tabelle52[[#This Row],[value_present]]*Tabelle52[[#This Row],[binding_level]]</f>
        <v>0</v>
      </c>
    </row>
    <row r="191" spans="1:11" x14ac:dyDescent="0.25">
      <c r="A191" s="2"/>
      <c r="B191" s="2"/>
      <c r="C191" s="2"/>
      <c r="D191" s="3"/>
      <c r="E191" s="1"/>
      <c r="I191" s="1"/>
      <c r="K191" s="4">
        <f>Tabelle52[[#This Row],[value_present]]*Tabelle52[[#This Row],[binding_level]]</f>
        <v>0</v>
      </c>
    </row>
    <row r="192" spans="1:11" x14ac:dyDescent="0.25">
      <c r="A192" s="2"/>
      <c r="B192" s="2"/>
      <c r="C192" s="2"/>
      <c r="D192" s="3"/>
      <c r="E192" s="1"/>
      <c r="I192" s="1"/>
      <c r="K192" s="4">
        <f>Tabelle52[[#This Row],[value_present]]*Tabelle52[[#This Row],[binding_level]]</f>
        <v>0</v>
      </c>
    </row>
    <row r="193" spans="1:11" x14ac:dyDescent="0.25">
      <c r="A193" s="2"/>
      <c r="B193" s="2"/>
      <c r="C193" s="2"/>
      <c r="D193" s="3"/>
      <c r="E193" s="1"/>
      <c r="I193" s="1"/>
      <c r="K193" s="4">
        <f>Tabelle52[[#This Row],[value_present]]*Tabelle52[[#This Row],[binding_level]]</f>
        <v>0</v>
      </c>
    </row>
    <row r="194" spans="1:11" x14ac:dyDescent="0.25">
      <c r="A194" s="2"/>
      <c r="B194" s="2"/>
      <c r="C194" s="2"/>
      <c r="D194" s="3"/>
      <c r="E194" s="1"/>
      <c r="I194" s="1"/>
      <c r="K194" s="4">
        <f>Tabelle52[[#This Row],[value_present]]*Tabelle52[[#This Row],[binding_level]]</f>
        <v>0</v>
      </c>
    </row>
    <row r="195" spans="1:11" x14ac:dyDescent="0.25">
      <c r="A195" s="2"/>
      <c r="B195" s="2"/>
      <c r="C195" s="2"/>
      <c r="D195" s="3"/>
      <c r="E195" s="1"/>
      <c r="I195" s="1"/>
      <c r="K195" s="4">
        <f>Tabelle52[[#This Row],[value_present]]*Tabelle52[[#This Row],[binding_level]]</f>
        <v>0</v>
      </c>
    </row>
    <row r="196" spans="1:11" x14ac:dyDescent="0.25">
      <c r="A196" s="2"/>
      <c r="B196" s="2"/>
      <c r="C196" s="2"/>
      <c r="D196" s="3"/>
      <c r="E196" s="1"/>
      <c r="I196" s="1"/>
      <c r="K196" s="4">
        <f>Tabelle52[[#This Row],[value_present]]*Tabelle52[[#This Row],[binding_level]]</f>
        <v>0</v>
      </c>
    </row>
    <row r="197" spans="1:11" x14ac:dyDescent="0.25">
      <c r="A197" s="2"/>
      <c r="B197" s="2"/>
      <c r="C197" s="2"/>
      <c r="D197" s="3"/>
      <c r="E197" s="1"/>
      <c r="I197" s="1"/>
      <c r="K197" s="4">
        <f>Tabelle52[[#This Row],[value_present]]*Tabelle52[[#This Row],[binding_level]]</f>
        <v>0</v>
      </c>
    </row>
    <row r="198" spans="1:11" x14ac:dyDescent="0.25">
      <c r="A198" s="2"/>
      <c r="B198" s="2"/>
      <c r="C198" s="2"/>
      <c r="D198" s="3"/>
      <c r="E198" s="1"/>
      <c r="I198" s="1"/>
      <c r="K198" s="4">
        <f>Tabelle52[[#This Row],[value_present]]*Tabelle52[[#This Row],[binding_level]]</f>
        <v>0</v>
      </c>
    </row>
    <row r="199" spans="1:11" x14ac:dyDescent="0.25">
      <c r="A199" s="2"/>
      <c r="B199" s="2"/>
      <c r="C199" s="2"/>
      <c r="D199" s="3"/>
      <c r="E199" s="1"/>
      <c r="I199" s="1"/>
      <c r="K199" s="4">
        <f>Tabelle52[[#This Row],[value_present]]*Tabelle52[[#This Row],[binding_level]]</f>
        <v>0</v>
      </c>
    </row>
    <row r="200" spans="1:11" x14ac:dyDescent="0.25">
      <c r="A200" s="2"/>
      <c r="B200" s="2"/>
      <c r="C200" s="2"/>
      <c r="D200" s="3"/>
      <c r="E200" s="1"/>
      <c r="I200" s="1"/>
      <c r="K200" s="4">
        <f>Tabelle52[[#This Row],[value_present]]*Tabelle52[[#This Row],[binding_level]]</f>
        <v>0</v>
      </c>
    </row>
    <row r="201" spans="1:11" x14ac:dyDescent="0.25">
      <c r="A201" s="2"/>
      <c r="B201" s="2"/>
      <c r="C201" s="2"/>
      <c r="D201" s="3"/>
      <c r="E201" s="1"/>
      <c r="I201" s="1"/>
      <c r="K201" s="4">
        <f>Tabelle52[[#This Row],[value_present]]*Tabelle52[[#This Row],[binding_level]]</f>
        <v>0</v>
      </c>
    </row>
    <row r="202" spans="1:11" x14ac:dyDescent="0.25">
      <c r="A202" s="2"/>
      <c r="B202" s="2"/>
      <c r="C202" s="2"/>
      <c r="D202" s="3"/>
      <c r="E202" s="1"/>
      <c r="I202" s="1"/>
      <c r="K202" s="4">
        <f>Tabelle52[[#This Row],[value_present]]*Tabelle52[[#This Row],[binding_level]]</f>
        <v>0</v>
      </c>
    </row>
    <row r="203" spans="1:11" x14ac:dyDescent="0.25">
      <c r="A203" s="2"/>
      <c r="B203" s="2"/>
      <c r="C203" s="2"/>
      <c r="D203" s="3"/>
      <c r="E203" s="1"/>
      <c r="I203" s="1"/>
      <c r="K203" s="4">
        <f>Tabelle52[[#This Row],[value_present]]*Tabelle52[[#This Row],[binding_level]]</f>
        <v>0</v>
      </c>
    </row>
    <row r="204" spans="1:11" x14ac:dyDescent="0.25">
      <c r="A204" s="2"/>
      <c r="B204" s="2"/>
      <c r="C204" s="2"/>
      <c r="D204" s="3"/>
      <c r="E204" s="1"/>
      <c r="I204" s="1"/>
      <c r="K204" s="4">
        <f>Tabelle52[[#This Row],[value_present]]*Tabelle52[[#This Row],[binding_level]]</f>
        <v>0</v>
      </c>
    </row>
    <row r="205" spans="1:11" x14ac:dyDescent="0.25">
      <c r="A205" s="2"/>
      <c r="B205" s="2"/>
      <c r="C205" s="2"/>
      <c r="D205" s="3"/>
      <c r="E205" s="1"/>
      <c r="I205" s="1"/>
      <c r="K205" s="4">
        <f>Tabelle52[[#This Row],[value_present]]*Tabelle52[[#This Row],[binding_level]]</f>
        <v>0</v>
      </c>
    </row>
    <row r="206" spans="1:11" x14ac:dyDescent="0.25">
      <c r="A206" s="2"/>
      <c r="B206" s="2"/>
      <c r="C206" s="2"/>
      <c r="D206" s="3"/>
      <c r="E206" s="1"/>
      <c r="I206" s="1"/>
      <c r="K206" s="4">
        <f>Tabelle52[[#This Row],[value_present]]*Tabelle52[[#This Row],[binding_level]]</f>
        <v>0</v>
      </c>
    </row>
    <row r="207" spans="1:11" x14ac:dyDescent="0.25">
      <c r="A207" s="2"/>
      <c r="B207" s="2"/>
      <c r="C207" s="2"/>
      <c r="D207" s="3"/>
      <c r="E207" s="1"/>
      <c r="I207" s="1"/>
      <c r="K207" s="4">
        <f>Tabelle52[[#This Row],[value_present]]*Tabelle52[[#This Row],[binding_level]]</f>
        <v>0</v>
      </c>
    </row>
    <row r="208" spans="1:11" x14ac:dyDescent="0.25">
      <c r="A208" s="2"/>
      <c r="B208" s="2"/>
      <c r="C208" s="2"/>
      <c r="D208" s="3"/>
      <c r="E208" s="1"/>
      <c r="I208" s="1"/>
      <c r="K208" s="4">
        <f>Tabelle52[[#This Row],[value_present]]*Tabelle52[[#This Row],[binding_level]]</f>
        <v>0</v>
      </c>
    </row>
    <row r="209" spans="1:11" x14ac:dyDescent="0.25">
      <c r="A209" s="2"/>
      <c r="B209" s="2"/>
      <c r="C209" s="2"/>
      <c r="D209" s="3"/>
      <c r="E209" s="1"/>
      <c r="I209" s="1"/>
      <c r="K209" s="4">
        <f>Tabelle52[[#This Row],[value_present]]*Tabelle52[[#This Row],[binding_level]]</f>
        <v>0</v>
      </c>
    </row>
    <row r="210" spans="1:11" x14ac:dyDescent="0.25">
      <c r="A210" s="2"/>
      <c r="B210" s="2"/>
      <c r="C210" s="2"/>
      <c r="D210" s="3"/>
      <c r="E210" s="1"/>
      <c r="I210" s="1"/>
      <c r="K210" s="4">
        <f>Tabelle52[[#This Row],[value_present]]*Tabelle52[[#This Row],[binding_level]]</f>
        <v>0</v>
      </c>
    </row>
    <row r="211" spans="1:11" x14ac:dyDescent="0.25">
      <c r="A211" s="2"/>
      <c r="B211" s="2"/>
      <c r="C211" s="2"/>
      <c r="D211" s="3"/>
      <c r="E211" s="1"/>
      <c r="I211" s="1"/>
      <c r="K211" s="4">
        <f>Tabelle52[[#This Row],[value_present]]*Tabelle52[[#This Row],[binding_level]]</f>
        <v>0</v>
      </c>
    </row>
    <row r="212" spans="1:11" x14ac:dyDescent="0.25">
      <c r="A212" s="2"/>
      <c r="B212" s="2"/>
      <c r="C212" s="2"/>
      <c r="D212" s="3"/>
      <c r="E212" s="1"/>
      <c r="I212" s="1"/>
      <c r="K212" s="4">
        <f>Tabelle52[[#This Row],[value_present]]*Tabelle52[[#This Row],[binding_level]]</f>
        <v>0</v>
      </c>
    </row>
    <row r="213" spans="1:11" x14ac:dyDescent="0.25">
      <c r="A213" s="2"/>
      <c r="B213" s="2"/>
      <c r="C213" s="2"/>
      <c r="D213" s="3"/>
      <c r="E213" s="1"/>
      <c r="I213" s="1"/>
      <c r="K213" s="4">
        <f>Tabelle52[[#This Row],[value_present]]*Tabelle52[[#This Row],[binding_level]]</f>
        <v>0</v>
      </c>
    </row>
    <row r="214" spans="1:11" x14ac:dyDescent="0.25">
      <c r="A214" s="2"/>
      <c r="B214" s="2"/>
      <c r="C214" s="2"/>
      <c r="D214" s="3"/>
      <c r="E214" s="1"/>
      <c r="I214" s="1"/>
      <c r="K214" s="4">
        <f>Tabelle52[[#This Row],[value_present]]*Tabelle52[[#This Row],[binding_level]]</f>
        <v>0</v>
      </c>
    </row>
    <row r="215" spans="1:11" x14ac:dyDescent="0.25">
      <c r="A215" s="2"/>
      <c r="B215" s="2"/>
      <c r="C215" s="2"/>
      <c r="D215" s="3"/>
      <c r="E215" s="1"/>
      <c r="I215" s="1"/>
      <c r="K215" s="4">
        <f>Tabelle52[[#This Row],[value_present]]*Tabelle52[[#This Row],[binding_level]]</f>
        <v>0</v>
      </c>
    </row>
    <row r="216" spans="1:11" x14ac:dyDescent="0.25">
      <c r="A216" s="2"/>
      <c r="B216" s="2"/>
      <c r="C216" s="2"/>
      <c r="D216" s="3"/>
      <c r="E216" s="1"/>
      <c r="I216" s="1"/>
      <c r="K216" s="4">
        <f>Tabelle52[[#This Row],[value_present]]*Tabelle52[[#This Row],[binding_level]]</f>
        <v>0</v>
      </c>
    </row>
    <row r="217" spans="1:11" x14ac:dyDescent="0.25">
      <c r="A217" s="2"/>
      <c r="B217" s="2"/>
      <c r="C217" s="2"/>
      <c r="D217" s="3"/>
      <c r="E217" s="1"/>
      <c r="I217" s="1"/>
      <c r="K217" s="4">
        <f>Tabelle52[[#This Row],[value_present]]*Tabelle52[[#This Row],[binding_level]]</f>
        <v>0</v>
      </c>
    </row>
    <row r="218" spans="1:11" x14ac:dyDescent="0.25">
      <c r="A218" s="2"/>
      <c r="B218" s="2"/>
      <c r="C218" s="2"/>
      <c r="D218" s="3"/>
      <c r="E218" s="1"/>
      <c r="I218" s="1"/>
      <c r="K218" s="4">
        <f>Tabelle52[[#This Row],[value_present]]*Tabelle52[[#This Row],[binding_level]]</f>
        <v>0</v>
      </c>
    </row>
    <row r="219" spans="1:11" x14ac:dyDescent="0.25">
      <c r="A219" s="2"/>
      <c r="B219" s="2"/>
      <c r="C219" s="2"/>
      <c r="D219" s="3"/>
      <c r="E219" s="1"/>
      <c r="I219" s="1"/>
      <c r="K219" s="4">
        <f>Tabelle52[[#This Row],[value_present]]*Tabelle52[[#This Row],[binding_level]]</f>
        <v>0</v>
      </c>
    </row>
    <row r="220" spans="1:11" x14ac:dyDescent="0.25">
      <c r="A220" s="2"/>
      <c r="B220" s="2"/>
      <c r="C220" s="2"/>
      <c r="D220" s="3"/>
      <c r="E220" s="1"/>
      <c r="I220" s="1"/>
      <c r="K220" s="4">
        <f>Tabelle52[[#This Row],[value_present]]*Tabelle52[[#This Row],[binding_level]]</f>
        <v>0</v>
      </c>
    </row>
    <row r="221" spans="1:11" x14ac:dyDescent="0.25">
      <c r="A221" s="2"/>
      <c r="B221" s="2"/>
      <c r="C221" s="2"/>
      <c r="D221" s="3"/>
      <c r="E221" s="1"/>
      <c r="I221" s="1"/>
      <c r="K221" s="4">
        <f>Tabelle52[[#This Row],[value_present]]*Tabelle52[[#This Row],[binding_level]]</f>
        <v>0</v>
      </c>
    </row>
    <row r="222" spans="1:11" x14ac:dyDescent="0.25">
      <c r="A222" s="2"/>
      <c r="B222" s="2"/>
      <c r="C222" s="2"/>
      <c r="D222" s="3"/>
      <c r="E222" s="1"/>
      <c r="I222" s="1"/>
      <c r="K222" s="4">
        <f>Tabelle52[[#This Row],[value_present]]*Tabelle52[[#This Row],[binding_level]]</f>
        <v>0</v>
      </c>
    </row>
    <row r="223" spans="1:11" x14ac:dyDescent="0.25">
      <c r="A223" s="2"/>
      <c r="B223" s="2"/>
      <c r="C223" s="2"/>
      <c r="D223" s="3"/>
      <c r="E223" s="1"/>
      <c r="I223" s="1"/>
      <c r="K223" s="4">
        <f>Tabelle52[[#This Row],[value_present]]*Tabelle52[[#This Row],[binding_level]]</f>
        <v>0</v>
      </c>
    </row>
    <row r="224" spans="1:11" x14ac:dyDescent="0.25">
      <c r="A224" s="2"/>
      <c r="B224" s="2"/>
      <c r="C224" s="2"/>
      <c r="D224" s="3"/>
      <c r="E224" s="1"/>
      <c r="I224" s="1"/>
      <c r="K224" s="4">
        <f>Tabelle52[[#This Row],[value_present]]*Tabelle52[[#This Row],[binding_level]]</f>
        <v>0</v>
      </c>
    </row>
    <row r="225" spans="1:11" x14ac:dyDescent="0.25">
      <c r="A225" s="2"/>
      <c r="B225" s="2"/>
      <c r="C225" s="2"/>
      <c r="D225" s="3"/>
      <c r="E225" s="1"/>
      <c r="I225" s="1"/>
      <c r="K225" s="4">
        <f>Tabelle52[[#This Row],[value_present]]*Tabelle52[[#This Row],[binding_level]]</f>
        <v>0</v>
      </c>
    </row>
    <row r="226" spans="1:11" x14ac:dyDescent="0.25">
      <c r="A226" s="2"/>
      <c r="B226" s="2"/>
      <c r="C226" s="2"/>
      <c r="D226" s="3"/>
      <c r="E226" s="1"/>
      <c r="I226" s="1"/>
      <c r="K226" s="4">
        <f>Tabelle52[[#This Row],[value_present]]*Tabelle52[[#This Row],[binding_level]]</f>
        <v>0</v>
      </c>
    </row>
    <row r="227" spans="1:11" x14ac:dyDescent="0.25">
      <c r="A227" s="2"/>
      <c r="B227" s="2"/>
      <c r="C227" s="2"/>
      <c r="D227" s="3"/>
      <c r="E227" s="1"/>
      <c r="I227" s="1"/>
      <c r="K227" s="4">
        <f>Tabelle52[[#This Row],[value_present]]*Tabelle52[[#This Row],[binding_level]]</f>
        <v>0</v>
      </c>
    </row>
    <row r="228" spans="1:11" x14ac:dyDescent="0.25">
      <c r="A228" s="2"/>
      <c r="B228" s="2"/>
      <c r="C228" s="2"/>
      <c r="D228" s="3"/>
      <c r="E228" s="1"/>
      <c r="I228" s="1"/>
      <c r="K228" s="4">
        <f>Tabelle52[[#This Row],[value_present]]*Tabelle52[[#This Row],[binding_level]]</f>
        <v>0</v>
      </c>
    </row>
    <row r="229" spans="1:11" x14ac:dyDescent="0.25">
      <c r="A229" s="2"/>
      <c r="B229" s="2"/>
      <c r="C229" s="2"/>
      <c r="D229" s="3"/>
      <c r="E229" s="1"/>
      <c r="I229" s="1"/>
      <c r="K229" s="4">
        <f>Tabelle52[[#This Row],[value_present]]*Tabelle52[[#This Row],[binding_level]]</f>
        <v>0</v>
      </c>
    </row>
    <row r="230" spans="1:11" x14ac:dyDescent="0.25">
      <c r="A230" s="2"/>
      <c r="B230" s="2"/>
      <c r="C230" s="2"/>
      <c r="D230" s="3"/>
      <c r="E230" s="1"/>
      <c r="I230" s="1"/>
      <c r="K230" s="4">
        <f>Tabelle52[[#This Row],[value_present]]*Tabelle52[[#This Row],[binding_level]]</f>
        <v>0</v>
      </c>
    </row>
    <row r="231" spans="1:11" x14ac:dyDescent="0.25">
      <c r="A231" s="2"/>
      <c r="B231" s="2"/>
      <c r="C231" s="2"/>
      <c r="D231" s="3"/>
      <c r="E231" s="1"/>
      <c r="I231" s="1"/>
      <c r="K231" s="4">
        <f>Tabelle52[[#This Row],[value_present]]*Tabelle52[[#This Row],[binding_level]]</f>
        <v>0</v>
      </c>
    </row>
    <row r="232" spans="1:11" x14ac:dyDescent="0.25">
      <c r="A232" s="2"/>
      <c r="B232" s="2"/>
      <c r="C232" s="2"/>
      <c r="D232" s="3"/>
      <c r="E232" s="1"/>
      <c r="I232" s="1"/>
      <c r="K232" s="4">
        <f>Tabelle52[[#This Row],[value_present]]*Tabelle52[[#This Row],[binding_level]]</f>
        <v>0</v>
      </c>
    </row>
    <row r="233" spans="1:11" x14ac:dyDescent="0.25">
      <c r="A233" s="2"/>
      <c r="B233" s="2"/>
      <c r="C233" s="2"/>
      <c r="D233" s="3"/>
      <c r="E233" s="1"/>
      <c r="I233" s="1"/>
      <c r="K233" s="4">
        <f>Tabelle52[[#This Row],[value_present]]*Tabelle52[[#This Row],[binding_level]]</f>
        <v>0</v>
      </c>
    </row>
    <row r="234" spans="1:11" x14ac:dyDescent="0.25">
      <c r="A234" s="2"/>
      <c r="B234" s="2"/>
      <c r="C234" s="2"/>
      <c r="D234" s="3"/>
      <c r="E234" s="1"/>
      <c r="I234" s="1"/>
      <c r="K234" s="4">
        <f>Tabelle52[[#This Row],[value_present]]*Tabelle52[[#This Row],[binding_level]]</f>
        <v>0</v>
      </c>
    </row>
    <row r="235" spans="1:11" x14ac:dyDescent="0.25">
      <c r="A235" s="2"/>
      <c r="B235" s="2"/>
      <c r="C235" s="2"/>
      <c r="D235" s="3"/>
      <c r="E235" s="1"/>
      <c r="I235" s="1"/>
      <c r="K235" s="4">
        <f>Tabelle52[[#This Row],[value_present]]*Tabelle52[[#This Row],[binding_level]]</f>
        <v>0</v>
      </c>
    </row>
    <row r="236" spans="1:11" x14ac:dyDescent="0.25">
      <c r="A236" s="2"/>
      <c r="B236" s="2"/>
      <c r="C236" s="2"/>
      <c r="D236" s="3"/>
      <c r="E236" s="1"/>
      <c r="I236" s="1"/>
      <c r="K236" s="4">
        <f>Tabelle52[[#This Row],[value_present]]*Tabelle52[[#This Row],[binding_level]]</f>
        <v>0</v>
      </c>
    </row>
    <row r="237" spans="1:11" x14ac:dyDescent="0.25">
      <c r="A237" s="2"/>
      <c r="B237" s="2"/>
      <c r="C237" s="2"/>
      <c r="D237" s="3"/>
      <c r="E237" s="1"/>
      <c r="I237" s="1"/>
      <c r="K237" s="4">
        <f>Tabelle52[[#This Row],[value_present]]*Tabelle52[[#This Row],[binding_level]]</f>
        <v>0</v>
      </c>
    </row>
    <row r="238" spans="1:11" x14ac:dyDescent="0.25">
      <c r="A238" s="2"/>
      <c r="B238" s="2"/>
      <c r="C238" s="2"/>
      <c r="D238" s="3"/>
      <c r="E238" s="1"/>
      <c r="I238" s="1"/>
      <c r="K238" s="4">
        <f>Tabelle52[[#This Row],[value_present]]*Tabelle52[[#This Row],[binding_level]]</f>
        <v>0</v>
      </c>
    </row>
    <row r="239" spans="1:11" x14ac:dyDescent="0.25">
      <c r="A239" s="2"/>
      <c r="B239" s="2"/>
      <c r="C239" s="2"/>
      <c r="D239" s="3"/>
      <c r="E239" s="1"/>
      <c r="I239" s="1"/>
      <c r="K239" s="4">
        <f>Tabelle52[[#This Row],[value_present]]*Tabelle52[[#This Row],[binding_level]]</f>
        <v>0</v>
      </c>
    </row>
    <row r="240" spans="1:11" x14ac:dyDescent="0.25">
      <c r="A240" s="2"/>
      <c r="B240" s="2"/>
      <c r="C240" s="2"/>
      <c r="D240" s="3"/>
      <c r="E240" s="1"/>
      <c r="I240" s="1"/>
      <c r="K240" s="4">
        <f>Tabelle52[[#This Row],[value_present]]*Tabelle52[[#This Row],[binding_level]]</f>
        <v>0</v>
      </c>
    </row>
    <row r="241" spans="1:11" x14ac:dyDescent="0.25">
      <c r="A241" s="2"/>
      <c r="B241" s="2"/>
      <c r="C241" s="2"/>
      <c r="D241" s="3"/>
      <c r="E241" s="1"/>
      <c r="I241" s="1"/>
      <c r="K241" s="4">
        <f>Tabelle52[[#This Row],[value_present]]*Tabelle52[[#This Row],[binding_level]]</f>
        <v>0</v>
      </c>
    </row>
    <row r="242" spans="1:11" x14ac:dyDescent="0.25">
      <c r="A242" s="2"/>
      <c r="B242" s="2"/>
      <c r="C242" s="2"/>
      <c r="D242" s="3"/>
      <c r="E242" s="1"/>
      <c r="I242" s="1"/>
      <c r="K242" s="4">
        <f>Tabelle52[[#This Row],[value_present]]*Tabelle52[[#This Row],[binding_level]]</f>
        <v>0</v>
      </c>
    </row>
    <row r="243" spans="1:11" x14ac:dyDescent="0.25">
      <c r="A243" s="2"/>
      <c r="B243" s="2"/>
      <c r="C243" s="2"/>
      <c r="D243" s="3"/>
      <c r="E243" s="1"/>
      <c r="I243" s="1"/>
      <c r="K243" s="4">
        <f>Tabelle52[[#This Row],[value_present]]*Tabelle52[[#This Row],[binding_level]]</f>
        <v>0</v>
      </c>
    </row>
    <row r="244" spans="1:11" x14ac:dyDescent="0.25">
      <c r="A244" s="2"/>
      <c r="B244" s="2"/>
      <c r="C244" s="2"/>
      <c r="D244" s="3"/>
      <c r="E244" s="1"/>
      <c r="I244" s="1"/>
      <c r="K244" s="4">
        <f>Tabelle52[[#This Row],[value_present]]*Tabelle52[[#This Row],[binding_level]]</f>
        <v>0</v>
      </c>
    </row>
    <row r="245" spans="1:11" x14ac:dyDescent="0.25">
      <c r="A245" s="2"/>
      <c r="B245" s="2"/>
      <c r="C245" s="2"/>
      <c r="D245" s="3"/>
      <c r="E245" s="1"/>
      <c r="I245" s="1"/>
      <c r="K245" s="4">
        <f>Tabelle52[[#This Row],[value_present]]*Tabelle52[[#This Row],[binding_level]]</f>
        <v>0</v>
      </c>
    </row>
    <row r="246" spans="1:11" x14ac:dyDescent="0.25">
      <c r="A246" s="2"/>
      <c r="B246" s="2"/>
      <c r="C246" s="2"/>
      <c r="D246" s="3"/>
      <c r="E246" s="1"/>
      <c r="I246" s="1"/>
      <c r="K246" s="4">
        <f>Tabelle52[[#This Row],[value_present]]*Tabelle52[[#This Row],[binding_level]]</f>
        <v>0</v>
      </c>
    </row>
    <row r="247" spans="1:11" x14ac:dyDescent="0.25">
      <c r="A247" s="2"/>
      <c r="B247" s="2"/>
      <c r="C247" s="2"/>
      <c r="D247" s="3"/>
      <c r="E247" s="1"/>
      <c r="I247" s="1"/>
      <c r="K247" s="4">
        <f>Tabelle52[[#This Row],[value_present]]*Tabelle52[[#This Row],[binding_level]]</f>
        <v>0</v>
      </c>
    </row>
    <row r="248" spans="1:11" x14ac:dyDescent="0.25">
      <c r="A248" s="2"/>
      <c r="B248" s="2"/>
      <c r="C248" s="2"/>
      <c r="D248" s="3"/>
      <c r="E248" s="1"/>
      <c r="I248" s="1"/>
      <c r="K248" s="4">
        <f>Tabelle52[[#This Row],[value_present]]*Tabelle52[[#This Row],[binding_level]]</f>
        <v>0</v>
      </c>
    </row>
    <row r="249" spans="1:11" x14ac:dyDescent="0.25">
      <c r="A249" s="2"/>
      <c r="B249" s="2"/>
      <c r="C249" s="2"/>
      <c r="D249" s="3"/>
      <c r="E249" s="1"/>
      <c r="I249" s="1"/>
      <c r="K249" s="4">
        <f>Tabelle52[[#This Row],[value_present]]*Tabelle52[[#This Row],[binding_level]]</f>
        <v>0</v>
      </c>
    </row>
    <row r="250" spans="1:11" x14ac:dyDescent="0.25">
      <c r="A250" s="2"/>
      <c r="B250" s="2"/>
      <c r="C250" s="2"/>
      <c r="D250" s="3"/>
      <c r="E250" s="1"/>
      <c r="I250" s="1"/>
      <c r="K250" s="4">
        <f>Tabelle52[[#This Row],[value_present]]*Tabelle52[[#This Row],[binding_level]]</f>
        <v>0</v>
      </c>
    </row>
    <row r="251" spans="1:11" x14ac:dyDescent="0.25">
      <c r="A251" s="2"/>
      <c r="B251" s="2"/>
      <c r="C251" s="2"/>
      <c r="D251" s="3"/>
      <c r="E251" s="1"/>
      <c r="I251" s="1"/>
      <c r="K251" s="4">
        <f>Tabelle52[[#This Row],[value_present]]*Tabelle52[[#This Row],[binding_level]]</f>
        <v>0</v>
      </c>
    </row>
    <row r="252" spans="1:11" x14ac:dyDescent="0.25">
      <c r="A252" s="2"/>
      <c r="B252" s="2"/>
      <c r="C252" s="2"/>
      <c r="D252" s="3"/>
      <c r="E252" s="1"/>
      <c r="I252" s="1"/>
      <c r="K252" s="4">
        <f>Tabelle52[[#This Row],[value_present]]*Tabelle52[[#This Row],[binding_level]]</f>
        <v>0</v>
      </c>
    </row>
    <row r="253" spans="1:11" x14ac:dyDescent="0.25">
      <c r="A253" s="2"/>
      <c r="B253" s="2"/>
      <c r="C253" s="2"/>
      <c r="D253" s="3"/>
      <c r="E253" s="1"/>
      <c r="I253" s="1"/>
      <c r="K253" s="4">
        <f>Tabelle52[[#This Row],[value_present]]*Tabelle52[[#This Row],[binding_level]]</f>
        <v>0</v>
      </c>
    </row>
    <row r="254" spans="1:11" x14ac:dyDescent="0.25">
      <c r="A254" s="2"/>
      <c r="B254" s="2"/>
      <c r="C254" s="2"/>
      <c r="D254" s="3"/>
      <c r="E254" s="1"/>
      <c r="I254" s="1"/>
      <c r="K254" s="4">
        <f>Tabelle52[[#This Row],[value_present]]*Tabelle52[[#This Row],[binding_level]]</f>
        <v>0</v>
      </c>
    </row>
    <row r="255" spans="1:11" x14ac:dyDescent="0.25">
      <c r="A255" s="2"/>
      <c r="B255" s="2"/>
      <c r="C255" s="2"/>
      <c r="D255" s="3"/>
      <c r="E255" s="1"/>
      <c r="I255" s="1"/>
      <c r="K255" s="4">
        <f>Tabelle52[[#This Row],[value_present]]*Tabelle52[[#This Row],[binding_level]]</f>
        <v>0</v>
      </c>
    </row>
    <row r="256" spans="1:11" x14ac:dyDescent="0.25">
      <c r="A256" s="2"/>
      <c r="B256" s="2"/>
      <c r="C256" s="2"/>
      <c r="D256" s="3"/>
      <c r="E256" s="1"/>
      <c r="I256" s="1"/>
      <c r="K256" s="4">
        <f>Tabelle52[[#This Row],[value_present]]*Tabelle52[[#This Row],[binding_level]]</f>
        <v>0</v>
      </c>
    </row>
    <row r="257" spans="1:11" x14ac:dyDescent="0.25">
      <c r="A257" s="2"/>
      <c r="B257" s="2"/>
      <c r="C257" s="2"/>
      <c r="D257" s="3"/>
      <c r="E257" s="1"/>
      <c r="I257" s="1"/>
      <c r="K257" s="4">
        <f>Tabelle52[[#This Row],[value_present]]*Tabelle52[[#This Row],[binding_level]]</f>
        <v>0</v>
      </c>
    </row>
    <row r="258" spans="1:11" x14ac:dyDescent="0.25">
      <c r="A258" s="2"/>
      <c r="B258" s="2"/>
      <c r="C258" s="2"/>
      <c r="D258" s="3"/>
      <c r="E258" s="1"/>
      <c r="I258" s="1"/>
      <c r="K258" s="4">
        <f>Tabelle52[[#This Row],[value_present]]*Tabelle52[[#This Row],[binding_level]]</f>
        <v>0</v>
      </c>
    </row>
    <row r="259" spans="1:11" x14ac:dyDescent="0.25">
      <c r="A259" s="2"/>
      <c r="B259" s="2"/>
      <c r="C259" s="2"/>
      <c r="D259" s="3"/>
      <c r="E259" s="1"/>
      <c r="I259" s="1"/>
      <c r="K259" s="4">
        <f>Tabelle52[[#This Row],[value_present]]*Tabelle52[[#This Row],[binding_level]]</f>
        <v>0</v>
      </c>
    </row>
    <row r="260" spans="1:11" x14ac:dyDescent="0.25">
      <c r="A260" s="2"/>
      <c r="B260" s="2"/>
      <c r="C260" s="2"/>
      <c r="D260" s="3"/>
      <c r="E260" s="1"/>
      <c r="I260" s="1"/>
      <c r="K260" s="4">
        <f>Tabelle52[[#This Row],[value_present]]*Tabelle52[[#This Row],[binding_level]]</f>
        <v>0</v>
      </c>
    </row>
    <row r="261" spans="1:11" x14ac:dyDescent="0.25">
      <c r="A261" s="2"/>
      <c r="B261" s="2"/>
      <c r="C261" s="2"/>
      <c r="D261" s="3"/>
      <c r="E261" s="1"/>
      <c r="I261" s="1"/>
      <c r="K261" s="4">
        <f>Tabelle52[[#This Row],[value_present]]*Tabelle52[[#This Row],[binding_level]]</f>
        <v>0</v>
      </c>
    </row>
    <row r="262" spans="1:11" x14ac:dyDescent="0.25">
      <c r="A262" s="2"/>
      <c r="B262" s="2"/>
      <c r="C262" s="2"/>
      <c r="D262" s="3"/>
      <c r="E262" s="1"/>
      <c r="I262" s="1"/>
      <c r="K262" s="4">
        <f>Tabelle52[[#This Row],[value_present]]*Tabelle52[[#This Row],[binding_level]]</f>
        <v>0</v>
      </c>
    </row>
    <row r="263" spans="1:11" x14ac:dyDescent="0.25">
      <c r="A263" s="2"/>
      <c r="B263" s="2"/>
      <c r="C263" s="2"/>
      <c r="D263" s="3"/>
      <c r="E263" s="1"/>
      <c r="I263" s="1"/>
      <c r="K263" s="4">
        <f>Tabelle52[[#This Row],[value_present]]*Tabelle52[[#This Row],[binding_level]]</f>
        <v>0</v>
      </c>
    </row>
    <row r="264" spans="1:11" x14ac:dyDescent="0.25">
      <c r="A264" s="2"/>
      <c r="B264" s="2"/>
      <c r="C264" s="2"/>
      <c r="D264" s="3"/>
      <c r="E264" s="1"/>
      <c r="I264" s="1"/>
      <c r="K264" s="4">
        <f>Tabelle52[[#This Row],[value_present]]*Tabelle52[[#This Row],[binding_level]]</f>
        <v>0</v>
      </c>
    </row>
    <row r="265" spans="1:11" x14ac:dyDescent="0.25">
      <c r="A265" s="2"/>
      <c r="B265" s="2"/>
      <c r="C265" s="2"/>
      <c r="D265" s="3"/>
      <c r="E265" s="1"/>
      <c r="I265" s="1"/>
      <c r="K265" s="4">
        <f>Tabelle52[[#This Row],[value_present]]*Tabelle52[[#This Row],[binding_level]]</f>
        <v>0</v>
      </c>
    </row>
    <row r="266" spans="1:11" x14ac:dyDescent="0.25">
      <c r="A266" s="2"/>
      <c r="B266" s="2"/>
      <c r="C266" s="2"/>
      <c r="D266" s="3"/>
      <c r="E266" s="1"/>
      <c r="I266" s="1"/>
      <c r="K266" s="4">
        <f>Tabelle52[[#This Row],[value_present]]*Tabelle52[[#This Row],[binding_level]]</f>
        <v>0</v>
      </c>
    </row>
    <row r="267" spans="1:11" x14ac:dyDescent="0.25">
      <c r="A267" s="2"/>
      <c r="B267" s="2"/>
      <c r="C267" s="2"/>
      <c r="D267" s="3"/>
      <c r="E267" s="1"/>
      <c r="I267" s="1"/>
      <c r="K267" s="4">
        <f>Tabelle52[[#This Row],[value_present]]*Tabelle52[[#This Row],[binding_level]]</f>
        <v>0</v>
      </c>
    </row>
    <row r="268" spans="1:11" x14ac:dyDescent="0.25">
      <c r="A268" s="2"/>
      <c r="B268" s="2"/>
      <c r="C268" s="2"/>
      <c r="D268" s="3"/>
      <c r="E268" s="1"/>
      <c r="I268" s="1"/>
      <c r="K268" s="4">
        <f>Tabelle52[[#This Row],[value_present]]*Tabelle52[[#This Row],[binding_level]]</f>
        <v>0</v>
      </c>
    </row>
    <row r="269" spans="1:11" x14ac:dyDescent="0.25">
      <c r="A269" s="2"/>
      <c r="B269" s="2"/>
      <c r="C269" s="2"/>
      <c r="D269" s="3"/>
      <c r="E269" s="1"/>
      <c r="I269" s="1"/>
      <c r="K269" s="4">
        <f>Tabelle52[[#This Row],[value_present]]*Tabelle52[[#This Row],[binding_level]]</f>
        <v>0</v>
      </c>
    </row>
    <row r="270" spans="1:11" x14ac:dyDescent="0.25">
      <c r="A270" s="2"/>
      <c r="B270" s="2"/>
      <c r="C270" s="2"/>
      <c r="D270" s="3"/>
      <c r="E270" s="1"/>
      <c r="I270" s="1"/>
      <c r="K270" s="4">
        <f>Tabelle52[[#This Row],[value_present]]*Tabelle52[[#This Row],[binding_level]]</f>
        <v>0</v>
      </c>
    </row>
    <row r="271" spans="1:11" x14ac:dyDescent="0.25">
      <c r="A271" s="2"/>
      <c r="B271" s="2"/>
      <c r="C271" s="2"/>
      <c r="D271" s="3"/>
      <c r="E271" s="1"/>
      <c r="I271" s="1"/>
      <c r="K271" s="4">
        <f>Tabelle52[[#This Row],[value_present]]*Tabelle52[[#This Row],[binding_level]]</f>
        <v>0</v>
      </c>
    </row>
    <row r="272" spans="1:11" x14ac:dyDescent="0.25">
      <c r="A272" s="2"/>
      <c r="B272" s="2"/>
      <c r="C272" s="2"/>
      <c r="D272" s="3"/>
      <c r="E272" s="1"/>
      <c r="I272" s="1"/>
      <c r="K272" s="4">
        <f>Tabelle52[[#This Row],[value_present]]*Tabelle52[[#This Row],[binding_level]]</f>
        <v>0</v>
      </c>
    </row>
    <row r="273" spans="1:11" x14ac:dyDescent="0.25">
      <c r="A273" s="2"/>
      <c r="B273" s="2"/>
      <c r="C273" s="2"/>
      <c r="D273" s="3"/>
      <c r="E273" s="1"/>
      <c r="I273" s="1"/>
      <c r="K273" s="4">
        <f>Tabelle52[[#This Row],[value_present]]*Tabelle52[[#This Row],[binding_level]]</f>
        <v>0</v>
      </c>
    </row>
    <row r="274" spans="1:11" x14ac:dyDescent="0.25">
      <c r="A274" s="2"/>
      <c r="B274" s="2"/>
      <c r="C274" s="2"/>
      <c r="D274" s="3"/>
      <c r="E274" s="1"/>
      <c r="I274" s="1"/>
      <c r="K274" s="4">
        <f>Tabelle52[[#This Row],[value_present]]*Tabelle52[[#This Row],[binding_level]]</f>
        <v>0</v>
      </c>
    </row>
    <row r="275" spans="1:11" x14ac:dyDescent="0.25">
      <c r="A275" s="2"/>
      <c r="B275" s="2"/>
      <c r="C275" s="2"/>
      <c r="D275" s="3"/>
      <c r="E275" s="1"/>
      <c r="I275" s="1"/>
      <c r="K275" s="4">
        <f>Tabelle52[[#This Row],[value_present]]*Tabelle52[[#This Row],[binding_level]]</f>
        <v>0</v>
      </c>
    </row>
    <row r="276" spans="1:11" x14ac:dyDescent="0.25">
      <c r="A276" s="2"/>
      <c r="B276" s="2"/>
      <c r="C276" s="2"/>
      <c r="D276" s="3"/>
      <c r="E276" s="1"/>
      <c r="I276" s="1"/>
      <c r="K276" s="4">
        <f>Tabelle52[[#This Row],[value_present]]*Tabelle52[[#This Row],[binding_level]]</f>
        <v>0</v>
      </c>
    </row>
    <row r="277" spans="1:11" x14ac:dyDescent="0.25">
      <c r="A277" s="2"/>
      <c r="B277" s="2"/>
      <c r="C277" s="2"/>
      <c r="D277" s="3"/>
      <c r="E277" s="1"/>
      <c r="I277" s="1"/>
      <c r="K277" s="4">
        <f>Tabelle52[[#This Row],[value_present]]*Tabelle52[[#This Row],[binding_level]]</f>
        <v>0</v>
      </c>
    </row>
    <row r="278" spans="1:11" x14ac:dyDescent="0.25">
      <c r="A278" s="2"/>
      <c r="B278" s="2"/>
      <c r="C278" s="2"/>
      <c r="D278" s="3"/>
      <c r="E278" s="1"/>
      <c r="I278" s="1"/>
      <c r="K278" s="4">
        <f>Tabelle52[[#This Row],[value_present]]*Tabelle52[[#This Row],[binding_level]]</f>
        <v>0</v>
      </c>
    </row>
    <row r="279" spans="1:11" x14ac:dyDescent="0.25">
      <c r="A279" s="2"/>
      <c r="B279" s="2"/>
      <c r="C279" s="2"/>
      <c r="D279" s="3"/>
      <c r="E279" s="1"/>
      <c r="I279" s="1"/>
      <c r="K279" s="4">
        <f>Tabelle52[[#This Row],[value_present]]*Tabelle52[[#This Row],[binding_level]]</f>
        <v>0</v>
      </c>
    </row>
    <row r="280" spans="1:11" x14ac:dyDescent="0.25">
      <c r="A280" s="2"/>
      <c r="B280" s="2"/>
      <c r="C280" s="2"/>
      <c r="D280" s="3"/>
      <c r="E280" s="1"/>
      <c r="I280" s="1"/>
      <c r="K280" s="4">
        <f>Tabelle52[[#This Row],[value_present]]*Tabelle52[[#This Row],[binding_level]]</f>
        <v>0</v>
      </c>
    </row>
    <row r="281" spans="1:11" x14ac:dyDescent="0.25">
      <c r="A281" s="2"/>
      <c r="B281" s="2"/>
      <c r="C281" s="2"/>
      <c r="D281" s="3"/>
      <c r="E281" s="1"/>
      <c r="I281" s="1"/>
      <c r="K281" s="4">
        <f>Tabelle52[[#This Row],[value_present]]*Tabelle52[[#This Row],[binding_level]]</f>
        <v>0</v>
      </c>
    </row>
    <row r="282" spans="1:11" x14ac:dyDescent="0.25">
      <c r="A282" s="2"/>
      <c r="B282" s="2"/>
      <c r="C282" s="2"/>
      <c r="D282" s="3"/>
      <c r="E282" s="1"/>
      <c r="I282" s="1"/>
      <c r="K282" s="4">
        <f>Tabelle52[[#This Row],[value_present]]*Tabelle52[[#This Row],[binding_level]]</f>
        <v>0</v>
      </c>
    </row>
    <row r="283" spans="1:11" x14ac:dyDescent="0.25">
      <c r="A283" s="2"/>
      <c r="B283" s="2"/>
      <c r="C283" s="2"/>
      <c r="D283" s="3"/>
      <c r="E283" s="1"/>
      <c r="I283" s="1"/>
      <c r="K283" s="4">
        <f>Tabelle52[[#This Row],[value_present]]*Tabelle52[[#This Row],[binding_level]]</f>
        <v>0</v>
      </c>
    </row>
    <row r="284" spans="1:11" x14ac:dyDescent="0.25">
      <c r="A284" s="2"/>
      <c r="B284" s="2"/>
      <c r="C284" s="2"/>
      <c r="D284" s="3"/>
      <c r="E284" s="1"/>
      <c r="I284" s="1"/>
      <c r="K284" s="4">
        <f>Tabelle52[[#This Row],[value_present]]*Tabelle52[[#This Row],[binding_level]]</f>
        <v>0</v>
      </c>
    </row>
    <row r="285" spans="1:11" x14ac:dyDescent="0.25">
      <c r="A285" s="2"/>
      <c r="B285" s="2"/>
      <c r="C285" s="2"/>
      <c r="D285" s="3"/>
      <c r="E285" s="1"/>
      <c r="I285" s="1"/>
      <c r="K285" s="4">
        <f>Tabelle52[[#This Row],[value_present]]*Tabelle52[[#This Row],[binding_level]]</f>
        <v>0</v>
      </c>
    </row>
    <row r="286" spans="1:11" x14ac:dyDescent="0.25">
      <c r="A286" s="2"/>
      <c r="B286" s="2"/>
      <c r="C286" s="2"/>
      <c r="D286" s="3"/>
      <c r="E286" s="1"/>
      <c r="I286" s="1"/>
      <c r="K286" s="4">
        <f>Tabelle52[[#This Row],[value_present]]*Tabelle52[[#This Row],[binding_level]]</f>
        <v>0</v>
      </c>
    </row>
    <row r="287" spans="1:11" x14ac:dyDescent="0.25">
      <c r="A287" s="2"/>
      <c r="B287" s="2"/>
      <c r="C287" s="2"/>
      <c r="D287" s="3"/>
      <c r="E287" s="1"/>
      <c r="I287" s="1"/>
      <c r="K287" s="4">
        <f>Tabelle52[[#This Row],[value_present]]*Tabelle52[[#This Row],[binding_level]]</f>
        <v>0</v>
      </c>
    </row>
    <row r="288" spans="1:11" x14ac:dyDescent="0.25">
      <c r="A288" s="2"/>
      <c r="B288" s="2"/>
      <c r="C288" s="2"/>
      <c r="D288" s="3"/>
      <c r="E288" s="1"/>
      <c r="I288" s="1"/>
      <c r="K288" s="4">
        <f>Tabelle52[[#This Row],[value_present]]*Tabelle52[[#This Row],[binding_level]]</f>
        <v>0</v>
      </c>
    </row>
    <row r="289" spans="1:11" x14ac:dyDescent="0.25">
      <c r="A289" s="2"/>
      <c r="B289" s="2"/>
      <c r="C289" s="2"/>
      <c r="D289" s="3"/>
      <c r="E289" s="1"/>
      <c r="I289" s="1"/>
      <c r="K289" s="4">
        <f>Tabelle52[[#This Row],[value_present]]*Tabelle52[[#This Row],[binding_level]]</f>
        <v>0</v>
      </c>
    </row>
    <row r="290" spans="1:11" x14ac:dyDescent="0.25">
      <c r="A290" s="2"/>
      <c r="B290" s="2"/>
      <c r="C290" s="2"/>
      <c r="D290" s="3"/>
      <c r="E290" s="1"/>
      <c r="I290" s="1"/>
      <c r="K290" s="4">
        <f>Tabelle52[[#This Row],[value_present]]*Tabelle52[[#This Row],[binding_level]]</f>
        <v>0</v>
      </c>
    </row>
    <row r="291" spans="1:11" x14ac:dyDescent="0.25">
      <c r="A291" s="2"/>
      <c r="B291" s="2"/>
      <c r="C291" s="2"/>
      <c r="D291" s="3"/>
      <c r="E291" s="1"/>
      <c r="I291" s="1"/>
      <c r="K291" s="4">
        <f>Tabelle52[[#This Row],[value_present]]*Tabelle52[[#This Row],[binding_level]]</f>
        <v>0</v>
      </c>
    </row>
    <row r="292" spans="1:11" x14ac:dyDescent="0.25">
      <c r="A292" s="2"/>
      <c r="B292" s="2"/>
      <c r="C292" s="2"/>
      <c r="D292" s="3"/>
      <c r="E292" s="1"/>
      <c r="I292" s="1"/>
      <c r="K292" s="4">
        <f>Tabelle52[[#This Row],[value_present]]*Tabelle52[[#This Row],[binding_level]]</f>
        <v>0</v>
      </c>
    </row>
    <row r="293" spans="1:11" x14ac:dyDescent="0.25">
      <c r="A293" s="2"/>
      <c r="B293" s="2"/>
      <c r="C293" s="2"/>
      <c r="D293" s="3"/>
      <c r="E293" s="1"/>
      <c r="I293" s="1"/>
      <c r="K293" s="4">
        <f>Tabelle52[[#This Row],[value_present]]*Tabelle52[[#This Row],[binding_level]]</f>
        <v>0</v>
      </c>
    </row>
    <row r="294" spans="1:11" x14ac:dyDescent="0.25">
      <c r="A294" s="2"/>
      <c r="B294" s="2"/>
      <c r="C294" s="2"/>
      <c r="D294" s="3"/>
      <c r="E294" s="1"/>
      <c r="I294" s="1"/>
      <c r="K294" s="4">
        <f>Tabelle52[[#This Row],[value_present]]*Tabelle52[[#This Row],[binding_level]]</f>
        <v>0</v>
      </c>
    </row>
    <row r="295" spans="1:11" x14ac:dyDescent="0.25">
      <c r="A295" s="2"/>
      <c r="B295" s="2"/>
      <c r="C295" s="2"/>
      <c r="D295" s="3"/>
      <c r="E295" s="1"/>
      <c r="I295" s="1"/>
      <c r="K295" s="4">
        <f>Tabelle52[[#This Row],[value_present]]*Tabelle52[[#This Row],[binding_level]]</f>
        <v>0</v>
      </c>
    </row>
    <row r="296" spans="1:11" x14ac:dyDescent="0.25">
      <c r="A296" s="2"/>
      <c r="B296" s="2"/>
      <c r="C296" s="2"/>
      <c r="D296" s="3"/>
      <c r="E296" s="1"/>
      <c r="I296" s="1"/>
      <c r="K296" s="4">
        <f>Tabelle52[[#This Row],[value_present]]*Tabelle52[[#This Row],[binding_level]]</f>
        <v>0</v>
      </c>
    </row>
    <row r="297" spans="1:11" x14ac:dyDescent="0.25">
      <c r="A297" s="2"/>
      <c r="B297" s="2"/>
      <c r="C297" s="2"/>
      <c r="D297" s="3"/>
      <c r="E297" s="1"/>
      <c r="I297" s="1"/>
      <c r="K297" s="4">
        <f>Tabelle52[[#This Row],[value_present]]*Tabelle52[[#This Row],[binding_level]]</f>
        <v>0</v>
      </c>
    </row>
    <row r="298" spans="1:11" x14ac:dyDescent="0.25">
      <c r="A298" s="2"/>
      <c r="B298" s="2"/>
      <c r="C298" s="2"/>
      <c r="D298" s="3"/>
      <c r="E298" s="1"/>
      <c r="I298" s="1"/>
      <c r="K298" s="4">
        <f>Tabelle52[[#This Row],[value_present]]*Tabelle52[[#This Row],[binding_level]]</f>
        <v>0</v>
      </c>
    </row>
    <row r="299" spans="1:11" x14ac:dyDescent="0.25">
      <c r="A299" s="2"/>
      <c r="B299" s="2"/>
      <c r="C299" s="2"/>
      <c r="D299" s="3"/>
      <c r="E299" s="1"/>
      <c r="I299" s="1"/>
      <c r="K299" s="4">
        <f>Tabelle52[[#This Row],[value_present]]*Tabelle52[[#This Row],[binding_level]]</f>
        <v>0</v>
      </c>
    </row>
    <row r="300" spans="1:11" x14ac:dyDescent="0.25">
      <c r="A300" s="2"/>
      <c r="B300" s="2"/>
      <c r="C300" s="2"/>
      <c r="D300" s="3"/>
      <c r="E300" s="1"/>
      <c r="I300" s="1"/>
      <c r="K300" s="4">
        <f>Tabelle52[[#This Row],[value_present]]*Tabelle52[[#This Row],[binding_level]]</f>
        <v>0</v>
      </c>
    </row>
    <row r="301" spans="1:11" x14ac:dyDescent="0.25">
      <c r="A301" s="2"/>
      <c r="B301" s="2"/>
      <c r="C301" s="2"/>
      <c r="D301" s="3"/>
      <c r="E301" s="1"/>
      <c r="I301" s="1"/>
      <c r="K301" s="4">
        <f>Tabelle52[[#This Row],[value_present]]*Tabelle52[[#This Row],[binding_level]]</f>
        <v>0</v>
      </c>
    </row>
    <row r="302" spans="1:11" x14ac:dyDescent="0.25">
      <c r="A302" s="2"/>
      <c r="B302" s="2"/>
      <c r="C302" s="2"/>
      <c r="D302" s="3"/>
      <c r="E302" s="1"/>
      <c r="I302" s="1"/>
      <c r="K302" s="4">
        <f>Tabelle52[[#This Row],[value_present]]*Tabelle52[[#This Row],[binding_level]]</f>
        <v>0</v>
      </c>
    </row>
    <row r="303" spans="1:11" x14ac:dyDescent="0.25">
      <c r="A303" s="2"/>
      <c r="B303" s="2"/>
      <c r="C303" s="2"/>
      <c r="D303" s="3"/>
      <c r="E303" s="1"/>
      <c r="I303" s="1"/>
      <c r="K303" s="4">
        <f>Tabelle52[[#This Row],[value_present]]*Tabelle52[[#This Row],[binding_level]]</f>
        <v>0</v>
      </c>
    </row>
    <row r="304" spans="1:11" x14ac:dyDescent="0.25">
      <c r="A304" s="2"/>
      <c r="B304" s="2"/>
      <c r="C304" s="2"/>
      <c r="D304" s="3"/>
      <c r="E304" s="1"/>
      <c r="I304" s="1"/>
      <c r="K304" s="4">
        <f>Tabelle52[[#This Row],[value_present]]*Tabelle52[[#This Row],[binding_level]]</f>
        <v>0</v>
      </c>
    </row>
    <row r="305" spans="1:11" x14ac:dyDescent="0.25">
      <c r="A305" s="2"/>
      <c r="B305" s="2"/>
      <c r="C305" s="2"/>
      <c r="D305" s="3"/>
      <c r="E305" s="1"/>
      <c r="I305" s="1"/>
      <c r="K305" s="4">
        <f>Tabelle52[[#This Row],[value_present]]*Tabelle52[[#This Row],[binding_level]]</f>
        <v>0</v>
      </c>
    </row>
    <row r="306" spans="1:11" x14ac:dyDescent="0.25">
      <c r="A306" s="2"/>
      <c r="B306" s="2"/>
      <c r="C306" s="2"/>
      <c r="D306" s="3"/>
      <c r="E306" s="1"/>
      <c r="I306" s="1"/>
      <c r="K306" s="4">
        <f>Tabelle52[[#This Row],[value_present]]*Tabelle52[[#This Row],[binding_level]]</f>
        <v>0</v>
      </c>
    </row>
    <row r="307" spans="1:11" x14ac:dyDescent="0.25">
      <c r="A307" s="2"/>
      <c r="B307" s="2"/>
      <c r="C307" s="2"/>
      <c r="D307" s="3"/>
      <c r="E307" s="1"/>
      <c r="I307" s="1"/>
      <c r="K307" s="4">
        <f>Tabelle52[[#This Row],[value_present]]*Tabelle52[[#This Row],[binding_level]]</f>
        <v>0</v>
      </c>
    </row>
    <row r="308" spans="1:11" x14ac:dyDescent="0.25">
      <c r="A308" s="2"/>
      <c r="B308" s="2"/>
      <c r="C308" s="2"/>
      <c r="D308" s="3"/>
      <c r="E308" s="1"/>
      <c r="I308" s="1"/>
      <c r="K308" s="4">
        <f>Tabelle52[[#This Row],[value_present]]*Tabelle52[[#This Row],[binding_level]]</f>
        <v>0</v>
      </c>
    </row>
    <row r="309" spans="1:11" x14ac:dyDescent="0.25">
      <c r="A309" s="2"/>
      <c r="B309" s="2"/>
      <c r="C309" s="2"/>
      <c r="D309" s="3"/>
      <c r="E309" s="1"/>
      <c r="I309" s="1"/>
      <c r="K309" s="4">
        <f>Tabelle52[[#This Row],[value_present]]*Tabelle52[[#This Row],[binding_level]]</f>
        <v>0</v>
      </c>
    </row>
    <row r="310" spans="1:11" x14ac:dyDescent="0.25">
      <c r="A310" s="2"/>
      <c r="B310" s="2"/>
      <c r="C310" s="2"/>
      <c r="D310" s="3"/>
      <c r="E310" s="1"/>
      <c r="I310" s="1"/>
      <c r="K310" s="4">
        <f>Tabelle52[[#This Row],[value_present]]*Tabelle52[[#This Row],[binding_level]]</f>
        <v>0</v>
      </c>
    </row>
    <row r="311" spans="1:11" x14ac:dyDescent="0.25">
      <c r="A311" s="2"/>
      <c r="B311" s="2"/>
      <c r="C311" s="2"/>
      <c r="D311" s="3"/>
      <c r="E311" s="1"/>
      <c r="I311" s="1"/>
      <c r="K311" s="4">
        <f>Tabelle52[[#This Row],[value_present]]*Tabelle52[[#This Row],[binding_level]]</f>
        <v>0</v>
      </c>
    </row>
    <row r="312" spans="1:11" x14ac:dyDescent="0.25">
      <c r="A312" s="2"/>
      <c r="B312" s="2"/>
      <c r="C312" s="2"/>
      <c r="D312" s="3"/>
      <c r="E312" s="1"/>
      <c r="I312" s="1"/>
      <c r="K312" s="4">
        <f>Tabelle52[[#This Row],[value_present]]*Tabelle52[[#This Row],[binding_level]]</f>
        <v>0</v>
      </c>
    </row>
    <row r="313" spans="1:11" x14ac:dyDescent="0.25">
      <c r="A313" s="2"/>
      <c r="B313" s="2"/>
      <c r="C313" s="2"/>
      <c r="D313" s="3"/>
      <c r="E313" s="1"/>
      <c r="I313" s="1"/>
      <c r="K313" s="4">
        <f>Tabelle52[[#This Row],[value_present]]*Tabelle52[[#This Row],[binding_level]]</f>
        <v>0</v>
      </c>
    </row>
    <row r="314" spans="1:11" x14ac:dyDescent="0.25">
      <c r="A314" s="2"/>
      <c r="B314" s="2"/>
      <c r="C314" s="2"/>
      <c r="D314" s="3"/>
      <c r="E314" s="1"/>
      <c r="I314" s="1"/>
      <c r="K314" s="4">
        <f>Tabelle52[[#This Row],[value_present]]*Tabelle52[[#This Row],[binding_level]]</f>
        <v>0</v>
      </c>
    </row>
    <row r="315" spans="1:11" x14ac:dyDescent="0.25">
      <c r="A315" s="2"/>
      <c r="B315" s="2"/>
      <c r="C315" s="2"/>
      <c r="D315" s="3"/>
      <c r="E315" s="1"/>
      <c r="I315" s="1"/>
      <c r="K315" s="4">
        <f>Tabelle52[[#This Row],[value_present]]*Tabelle52[[#This Row],[binding_level]]</f>
        <v>0</v>
      </c>
    </row>
    <row r="316" spans="1:11" x14ac:dyDescent="0.25">
      <c r="A316" s="2"/>
      <c r="B316" s="2"/>
      <c r="C316" s="2"/>
      <c r="D316" s="3"/>
      <c r="E316" s="1"/>
      <c r="I316" s="1"/>
      <c r="K316" s="4">
        <f>Tabelle52[[#This Row],[value_present]]*Tabelle52[[#This Row],[binding_level]]</f>
        <v>0</v>
      </c>
    </row>
    <row r="317" spans="1:11" x14ac:dyDescent="0.25">
      <c r="A317" s="2"/>
      <c r="B317" s="2"/>
      <c r="C317" s="2"/>
      <c r="D317" s="3"/>
      <c r="E317" s="1"/>
      <c r="I317" s="1"/>
      <c r="K317" s="4">
        <f>Tabelle52[[#This Row],[value_present]]*Tabelle52[[#This Row],[binding_level]]</f>
        <v>0</v>
      </c>
    </row>
    <row r="318" spans="1:11" x14ac:dyDescent="0.25">
      <c r="A318" s="2"/>
      <c r="B318" s="2"/>
      <c r="C318" s="2"/>
      <c r="D318" s="3"/>
      <c r="E318" s="1"/>
      <c r="I318" s="1"/>
      <c r="K318" s="4">
        <f>Tabelle52[[#This Row],[value_present]]*Tabelle52[[#This Row],[binding_level]]</f>
        <v>0</v>
      </c>
    </row>
    <row r="319" spans="1:11" x14ac:dyDescent="0.25">
      <c r="A319" s="2"/>
      <c r="B319" s="2"/>
      <c r="C319" s="2"/>
      <c r="D319" s="3"/>
      <c r="E319" s="1"/>
      <c r="I319" s="1"/>
      <c r="K319" s="4">
        <f>Tabelle52[[#This Row],[value_present]]*Tabelle52[[#This Row],[binding_level]]</f>
        <v>0</v>
      </c>
    </row>
    <row r="320" spans="1:11" x14ac:dyDescent="0.25">
      <c r="A320" s="2"/>
      <c r="B320" s="2"/>
      <c r="C320" s="2"/>
      <c r="D320" s="3"/>
      <c r="E320" s="1"/>
      <c r="I320" s="1"/>
      <c r="K320" s="4">
        <f>Tabelle52[[#This Row],[value_present]]*Tabelle52[[#This Row],[binding_level]]</f>
        <v>0</v>
      </c>
    </row>
    <row r="321" spans="1:11" x14ac:dyDescent="0.25">
      <c r="A321" s="2"/>
      <c r="B321" s="2"/>
      <c r="C321" s="2"/>
      <c r="D321" s="3"/>
      <c r="E321" s="1"/>
      <c r="I321" s="1"/>
      <c r="K321" s="4">
        <f>Tabelle52[[#This Row],[value_present]]*Tabelle52[[#This Row],[binding_level]]</f>
        <v>0</v>
      </c>
    </row>
    <row r="322" spans="1:11" x14ac:dyDescent="0.25">
      <c r="A322" s="2"/>
      <c r="B322" s="2"/>
      <c r="C322" s="2"/>
      <c r="D322" s="3"/>
      <c r="E322" s="1"/>
      <c r="I322" s="1"/>
      <c r="K322" s="4">
        <f>Tabelle52[[#This Row],[value_present]]*Tabelle52[[#This Row],[binding_level]]</f>
        <v>0</v>
      </c>
    </row>
    <row r="323" spans="1:11" x14ac:dyDescent="0.25">
      <c r="A323" s="2"/>
      <c r="B323" s="2"/>
      <c r="C323" s="2"/>
      <c r="D323" s="3"/>
      <c r="E323" s="1"/>
      <c r="I323" s="1"/>
      <c r="K323" s="4">
        <f>Tabelle52[[#This Row],[value_present]]*Tabelle52[[#This Row],[binding_level]]</f>
        <v>0</v>
      </c>
    </row>
    <row r="324" spans="1:11" x14ac:dyDescent="0.25">
      <c r="A324" s="2"/>
      <c r="B324" s="2"/>
      <c r="C324" s="2"/>
      <c r="D324" s="3"/>
      <c r="E324" s="1"/>
      <c r="I324" s="1"/>
      <c r="K324" s="4">
        <f>Tabelle52[[#This Row],[value_present]]*Tabelle52[[#This Row],[binding_level]]</f>
        <v>0</v>
      </c>
    </row>
    <row r="325" spans="1:11" x14ac:dyDescent="0.25">
      <c r="A325" s="2"/>
      <c r="B325" s="2"/>
      <c r="C325" s="2"/>
      <c r="D325" s="3"/>
      <c r="E325" s="1"/>
      <c r="I325" s="1"/>
      <c r="K325" s="4">
        <f>Tabelle52[[#This Row],[value_present]]*Tabelle52[[#This Row],[binding_level]]</f>
        <v>0</v>
      </c>
    </row>
    <row r="326" spans="1:11" x14ac:dyDescent="0.25">
      <c r="A326" s="2"/>
      <c r="B326" s="2"/>
      <c r="C326" s="2"/>
      <c r="D326" s="3"/>
      <c r="E326" s="1"/>
      <c r="I326" s="1"/>
      <c r="K326" s="4">
        <f>Tabelle52[[#This Row],[value_present]]*Tabelle52[[#This Row],[binding_level]]</f>
        <v>0</v>
      </c>
    </row>
    <row r="327" spans="1:11" x14ac:dyDescent="0.25">
      <c r="A327" s="2"/>
      <c r="B327" s="2"/>
      <c r="C327" s="2"/>
      <c r="D327" s="3"/>
      <c r="E327" s="1"/>
      <c r="I327" s="1"/>
      <c r="K327" s="4">
        <f>Tabelle52[[#This Row],[value_present]]*Tabelle52[[#This Row],[binding_level]]</f>
        <v>0</v>
      </c>
    </row>
    <row r="328" spans="1:11" x14ac:dyDescent="0.25">
      <c r="A328" s="2"/>
      <c r="B328" s="2"/>
      <c r="C328" s="2"/>
      <c r="D328" s="3"/>
      <c r="E328" s="1"/>
      <c r="I328" s="1"/>
      <c r="K328" s="4">
        <f>Tabelle52[[#This Row],[value_present]]*Tabelle52[[#This Row],[binding_level]]</f>
        <v>0</v>
      </c>
    </row>
    <row r="329" spans="1:11" x14ac:dyDescent="0.25">
      <c r="A329" s="2"/>
      <c r="B329" s="2"/>
      <c r="C329" s="2"/>
      <c r="D329" s="3"/>
      <c r="E329" s="1"/>
      <c r="I329" s="1"/>
      <c r="K329" s="4">
        <f>Tabelle52[[#This Row],[value_present]]*Tabelle52[[#This Row],[binding_level]]</f>
        <v>0</v>
      </c>
    </row>
    <row r="330" spans="1:11" x14ac:dyDescent="0.25">
      <c r="A330" s="2"/>
      <c r="B330" s="2"/>
      <c r="C330" s="2"/>
      <c r="D330" s="3"/>
      <c r="E330" s="1"/>
      <c r="I330" s="1"/>
      <c r="K330" s="4">
        <f>Tabelle52[[#This Row],[value_present]]*Tabelle52[[#This Row],[binding_level]]</f>
        <v>0</v>
      </c>
    </row>
    <row r="331" spans="1:11" x14ac:dyDescent="0.25">
      <c r="A331" s="2"/>
      <c r="B331" s="2"/>
      <c r="C331" s="2"/>
      <c r="D331" s="3"/>
      <c r="E331" s="1"/>
      <c r="I331" s="1"/>
      <c r="K331" s="4">
        <f>Tabelle52[[#This Row],[value_present]]*Tabelle52[[#This Row],[binding_level]]</f>
        <v>0</v>
      </c>
    </row>
    <row r="332" spans="1:11" x14ac:dyDescent="0.25">
      <c r="A332" s="2"/>
      <c r="B332" s="2"/>
      <c r="C332" s="2"/>
      <c r="D332" s="3"/>
      <c r="E332" s="1"/>
      <c r="I332" s="1"/>
      <c r="K332" s="4">
        <f>Tabelle52[[#This Row],[value_present]]*Tabelle52[[#This Row],[binding_level]]</f>
        <v>0</v>
      </c>
    </row>
    <row r="333" spans="1:11" x14ac:dyDescent="0.25">
      <c r="A333" s="2"/>
      <c r="B333" s="2"/>
      <c r="C333" s="2"/>
      <c r="D333" s="3"/>
      <c r="E333" s="1"/>
      <c r="I333" s="1"/>
      <c r="K333" s="4">
        <f>Tabelle52[[#This Row],[value_present]]*Tabelle52[[#This Row],[binding_level]]</f>
        <v>0</v>
      </c>
    </row>
    <row r="334" spans="1:11" x14ac:dyDescent="0.25">
      <c r="A334" s="2"/>
      <c r="B334" s="2"/>
      <c r="C334" s="2"/>
      <c r="D334" s="3"/>
      <c r="E334" s="1"/>
      <c r="I334" s="1"/>
      <c r="K334" s="4">
        <f>Tabelle52[[#This Row],[value_present]]*Tabelle52[[#This Row],[binding_level]]</f>
        <v>0</v>
      </c>
    </row>
    <row r="335" spans="1:11" x14ac:dyDescent="0.25">
      <c r="A335" s="2"/>
      <c r="B335" s="2"/>
      <c r="C335" s="2"/>
      <c r="D335" s="3"/>
      <c r="E335" s="1"/>
      <c r="I335" s="1"/>
      <c r="K335" s="4">
        <f>Tabelle52[[#This Row],[value_present]]*Tabelle52[[#This Row],[binding_level]]</f>
        <v>0</v>
      </c>
    </row>
    <row r="336" spans="1:11" x14ac:dyDescent="0.25">
      <c r="A336" s="2"/>
      <c r="B336" s="2"/>
      <c r="C336" s="2"/>
      <c r="D336" s="3"/>
      <c r="E336" s="1"/>
      <c r="I336" s="1"/>
      <c r="K336" s="4">
        <f>Tabelle52[[#This Row],[value_present]]*Tabelle52[[#This Row],[binding_level]]</f>
        <v>0</v>
      </c>
    </row>
    <row r="337" spans="1:11" x14ac:dyDescent="0.25">
      <c r="A337" s="2"/>
      <c r="B337" s="2"/>
      <c r="C337" s="2"/>
      <c r="D337" s="3"/>
      <c r="E337" s="1"/>
      <c r="I337" s="1"/>
      <c r="K337" s="4">
        <f>Tabelle52[[#This Row],[value_present]]*Tabelle52[[#This Row],[binding_level]]</f>
        <v>0</v>
      </c>
    </row>
    <row r="338" spans="1:11" x14ac:dyDescent="0.25">
      <c r="A338" s="2"/>
      <c r="B338" s="2"/>
      <c r="C338" s="2"/>
      <c r="D338" s="3"/>
      <c r="E338" s="1"/>
      <c r="I338" s="1"/>
      <c r="K338" s="4">
        <f>Tabelle52[[#This Row],[value_present]]*Tabelle52[[#This Row],[binding_level]]</f>
        <v>0</v>
      </c>
    </row>
    <row r="339" spans="1:11" x14ac:dyDescent="0.25">
      <c r="A339" s="2"/>
      <c r="B339" s="2"/>
      <c r="C339" s="2"/>
      <c r="D339" s="3"/>
      <c r="E339" s="1"/>
      <c r="I339" s="1"/>
      <c r="K339" s="4">
        <f>Tabelle52[[#This Row],[value_present]]*Tabelle52[[#This Row],[binding_level]]</f>
        <v>0</v>
      </c>
    </row>
    <row r="340" spans="1:11" x14ac:dyDescent="0.25">
      <c r="A340" s="2"/>
      <c r="B340" s="2"/>
      <c r="C340" s="2"/>
      <c r="D340" s="3"/>
      <c r="E340" s="1"/>
      <c r="I340" s="1"/>
      <c r="K340" s="4">
        <f>Tabelle52[[#This Row],[value_present]]*Tabelle52[[#This Row],[binding_level]]</f>
        <v>0</v>
      </c>
    </row>
    <row r="341" spans="1:11" x14ac:dyDescent="0.25">
      <c r="A341" s="2"/>
      <c r="B341" s="2"/>
      <c r="C341" s="2"/>
      <c r="D341" s="3"/>
      <c r="E341" s="1"/>
      <c r="I341" s="1"/>
      <c r="K341" s="4">
        <f>Tabelle52[[#This Row],[value_present]]*Tabelle52[[#This Row],[binding_level]]</f>
        <v>0</v>
      </c>
    </row>
    <row r="342" spans="1:11" x14ac:dyDescent="0.25">
      <c r="A342" s="2"/>
      <c r="B342" s="2"/>
      <c r="C342" s="2"/>
      <c r="D342" s="3"/>
      <c r="E342" s="1"/>
      <c r="I342" s="1"/>
      <c r="K342" s="4">
        <f>Tabelle52[[#This Row],[value_present]]*Tabelle52[[#This Row],[binding_level]]</f>
        <v>0</v>
      </c>
    </row>
    <row r="343" spans="1:11" x14ac:dyDescent="0.25">
      <c r="A343" s="2"/>
      <c r="B343" s="2"/>
      <c r="C343" s="2"/>
      <c r="D343" s="3"/>
      <c r="E343" s="1"/>
      <c r="I343" s="1"/>
      <c r="K343" s="4">
        <f>Tabelle52[[#This Row],[value_present]]*Tabelle52[[#This Row],[binding_level]]</f>
        <v>0</v>
      </c>
    </row>
    <row r="344" spans="1:11" x14ac:dyDescent="0.25">
      <c r="A344" s="2"/>
      <c r="B344" s="2"/>
      <c r="C344" s="2"/>
      <c r="D344" s="3"/>
      <c r="E344" s="1"/>
      <c r="I344" s="1"/>
      <c r="K344" s="4">
        <f>Tabelle52[[#This Row],[value_present]]*Tabelle52[[#This Row],[binding_level]]</f>
        <v>0</v>
      </c>
    </row>
    <row r="345" spans="1:11" x14ac:dyDescent="0.25">
      <c r="A345" s="2"/>
      <c r="B345" s="2"/>
      <c r="C345" s="2"/>
      <c r="D345" s="3"/>
      <c r="E345" s="1"/>
      <c r="I345" s="1"/>
      <c r="K345" s="4">
        <f>Tabelle52[[#This Row],[value_present]]*Tabelle52[[#This Row],[binding_level]]</f>
        <v>0</v>
      </c>
    </row>
    <row r="346" spans="1:11" x14ac:dyDescent="0.25">
      <c r="A346" s="2"/>
      <c r="B346" s="2"/>
      <c r="C346" s="2"/>
      <c r="D346" s="3"/>
      <c r="E346" s="1"/>
      <c r="I346" s="1"/>
      <c r="K346" s="4">
        <f>Tabelle52[[#This Row],[value_present]]*Tabelle52[[#This Row],[binding_level]]</f>
        <v>0</v>
      </c>
    </row>
    <row r="347" spans="1:11" x14ac:dyDescent="0.25">
      <c r="A347" s="2"/>
      <c r="B347" s="2"/>
      <c r="C347" s="2"/>
      <c r="D347" s="3"/>
      <c r="E347" s="1"/>
      <c r="I347" s="1"/>
      <c r="K347" s="4">
        <f>Tabelle52[[#This Row],[value_present]]*Tabelle52[[#This Row],[binding_level]]</f>
        <v>0</v>
      </c>
    </row>
    <row r="348" spans="1:11" x14ac:dyDescent="0.25">
      <c r="A348" s="2"/>
      <c r="B348" s="2"/>
      <c r="C348" s="2"/>
      <c r="D348" s="3"/>
      <c r="E348" s="1"/>
      <c r="I348" s="1"/>
      <c r="K348" s="4">
        <f>Tabelle52[[#This Row],[value_present]]*Tabelle52[[#This Row],[binding_level]]</f>
        <v>0</v>
      </c>
    </row>
    <row r="349" spans="1:11" x14ac:dyDescent="0.25">
      <c r="A349" s="2"/>
      <c r="B349" s="2"/>
      <c r="C349" s="2"/>
      <c r="D349" s="3"/>
      <c r="E349" s="1"/>
      <c r="I349" s="1"/>
      <c r="K349" s="4">
        <f>Tabelle52[[#This Row],[value_present]]*Tabelle52[[#This Row],[binding_level]]</f>
        <v>0</v>
      </c>
    </row>
    <row r="350" spans="1:11" x14ac:dyDescent="0.25">
      <c r="A350" s="2"/>
      <c r="B350" s="2"/>
      <c r="C350" s="2"/>
      <c r="D350" s="3"/>
      <c r="E350" s="1"/>
      <c r="I350" s="1"/>
      <c r="K350" s="4">
        <f>Tabelle52[[#This Row],[value_present]]*Tabelle52[[#This Row],[binding_level]]</f>
        <v>0</v>
      </c>
    </row>
    <row r="351" spans="1:11" x14ac:dyDescent="0.25">
      <c r="A351" s="2"/>
      <c r="B351" s="2"/>
      <c r="C351" s="2"/>
      <c r="D351" s="3"/>
      <c r="E351" s="1"/>
      <c r="I351" s="1"/>
      <c r="K351" s="4">
        <f>Tabelle52[[#This Row],[value_present]]*Tabelle52[[#This Row],[binding_level]]</f>
        <v>0</v>
      </c>
    </row>
    <row r="352" spans="1:11" x14ac:dyDescent="0.25">
      <c r="A352" s="2"/>
      <c r="B352" s="2"/>
      <c r="C352" s="2"/>
      <c r="D352" s="3"/>
      <c r="E352" s="1"/>
      <c r="I352" s="1"/>
      <c r="K352" s="4">
        <f>Tabelle52[[#This Row],[value_present]]*Tabelle52[[#This Row],[binding_level]]</f>
        <v>0</v>
      </c>
    </row>
    <row r="353" spans="1:11" x14ac:dyDescent="0.25">
      <c r="A353" s="2"/>
      <c r="B353" s="2"/>
      <c r="C353" s="2"/>
      <c r="D353" s="3"/>
      <c r="E353" s="1"/>
      <c r="I353" s="1"/>
      <c r="K353" s="4">
        <f>Tabelle52[[#This Row],[value_present]]*Tabelle52[[#This Row],[binding_level]]</f>
        <v>0</v>
      </c>
    </row>
    <row r="354" spans="1:11" x14ac:dyDescent="0.25">
      <c r="A354" s="2"/>
      <c r="B354" s="2"/>
      <c r="C354" s="2"/>
      <c r="D354" s="3"/>
      <c r="E354" s="1"/>
      <c r="I354" s="1"/>
      <c r="K354" s="4">
        <f>Tabelle52[[#This Row],[value_present]]*Tabelle52[[#This Row],[binding_level]]</f>
        <v>0</v>
      </c>
    </row>
    <row r="355" spans="1:11" x14ac:dyDescent="0.25">
      <c r="A355" s="2"/>
      <c r="B355" s="2"/>
      <c r="C355" s="2"/>
      <c r="D355" s="3"/>
      <c r="E355" s="1"/>
      <c r="I355" s="1"/>
      <c r="K355" s="4">
        <f>Tabelle52[[#This Row],[value_present]]*Tabelle52[[#This Row],[binding_level]]</f>
        <v>0</v>
      </c>
    </row>
    <row r="356" spans="1:11" x14ac:dyDescent="0.25">
      <c r="A356" s="2"/>
      <c r="B356" s="2"/>
      <c r="C356" s="2"/>
      <c r="D356" s="3"/>
      <c r="E356" s="1"/>
      <c r="I356" s="1"/>
      <c r="K356" s="4">
        <f>Tabelle52[[#This Row],[value_present]]*Tabelle52[[#This Row],[binding_level]]</f>
        <v>0</v>
      </c>
    </row>
    <row r="357" spans="1:11" x14ac:dyDescent="0.25">
      <c r="A357" s="2"/>
      <c r="B357" s="2"/>
      <c r="C357" s="2"/>
      <c r="D357" s="3"/>
      <c r="E357" s="1"/>
      <c r="I357" s="1"/>
      <c r="K357" s="4">
        <f>Tabelle52[[#This Row],[value_present]]*Tabelle52[[#This Row],[binding_level]]</f>
        <v>0</v>
      </c>
    </row>
    <row r="358" spans="1:11" x14ac:dyDescent="0.25">
      <c r="A358" s="2"/>
      <c r="B358" s="2"/>
      <c r="C358" s="2"/>
      <c r="D358" s="3"/>
      <c r="E358" s="1"/>
      <c r="I358" s="1"/>
      <c r="K358" s="4">
        <f>Tabelle52[[#This Row],[value_present]]*Tabelle52[[#This Row],[binding_level]]</f>
        <v>0</v>
      </c>
    </row>
    <row r="359" spans="1:11" x14ac:dyDescent="0.25">
      <c r="A359" s="2"/>
      <c r="B359" s="2"/>
      <c r="C359" s="2"/>
      <c r="D359" s="3"/>
      <c r="E359" s="1"/>
      <c r="I359" s="1"/>
      <c r="K359" s="4">
        <f>Tabelle52[[#This Row],[value_present]]*Tabelle52[[#This Row],[binding_level]]</f>
        <v>0</v>
      </c>
    </row>
    <row r="360" spans="1:11" x14ac:dyDescent="0.25">
      <c r="A360" s="2"/>
      <c r="B360" s="2"/>
      <c r="C360" s="2"/>
      <c r="D360" s="3"/>
      <c r="E360" s="1"/>
      <c r="I360" s="1"/>
      <c r="K360" s="4">
        <f>Tabelle52[[#This Row],[value_present]]*Tabelle52[[#This Row],[binding_level]]</f>
        <v>0</v>
      </c>
    </row>
    <row r="361" spans="1:11" x14ac:dyDescent="0.25">
      <c r="A361" s="2"/>
      <c r="B361" s="2"/>
      <c r="C361" s="2"/>
      <c r="D361" s="3"/>
      <c r="E361" s="1"/>
      <c r="I361" s="1"/>
      <c r="K361" s="4">
        <f>Tabelle52[[#This Row],[value_present]]*Tabelle52[[#This Row],[binding_level]]</f>
        <v>0</v>
      </c>
    </row>
    <row r="362" spans="1:11" x14ac:dyDescent="0.25">
      <c r="A362" s="2"/>
      <c r="B362" s="2"/>
      <c r="C362" s="2"/>
      <c r="D362" s="3"/>
      <c r="E362" s="1"/>
      <c r="I362" s="1"/>
      <c r="K362" s="4">
        <f>Tabelle52[[#This Row],[value_present]]*Tabelle52[[#This Row],[binding_level]]</f>
        <v>0</v>
      </c>
    </row>
    <row r="363" spans="1:11" x14ac:dyDescent="0.25">
      <c r="A363" s="2"/>
      <c r="B363" s="2"/>
      <c r="C363" s="2"/>
      <c r="D363" s="3"/>
      <c r="E363" s="1"/>
      <c r="I363" s="1"/>
      <c r="K363" s="4">
        <f>Tabelle52[[#This Row],[value_present]]*Tabelle52[[#This Row],[binding_level]]</f>
        <v>0</v>
      </c>
    </row>
    <row r="364" spans="1:11" x14ac:dyDescent="0.25">
      <c r="A364" s="2"/>
      <c r="B364" s="2"/>
      <c r="C364" s="2"/>
      <c r="D364" s="3"/>
      <c r="E364" s="1"/>
      <c r="I364" s="1"/>
      <c r="K364" s="4">
        <f>Tabelle52[[#This Row],[value_present]]*Tabelle52[[#This Row],[binding_level]]</f>
        <v>0</v>
      </c>
    </row>
    <row r="365" spans="1:11" x14ac:dyDescent="0.25">
      <c r="A365" s="2"/>
      <c r="B365" s="2"/>
      <c r="C365" s="2"/>
      <c r="D365" s="3"/>
      <c r="E365" s="1"/>
      <c r="I365" s="1"/>
      <c r="K365" s="4">
        <f>Tabelle52[[#This Row],[value_present]]*Tabelle52[[#This Row],[binding_level]]</f>
        <v>0</v>
      </c>
    </row>
    <row r="366" spans="1:11" x14ac:dyDescent="0.25">
      <c r="A366" s="2"/>
      <c r="B366" s="2"/>
      <c r="C366" s="2"/>
      <c r="D366" s="3"/>
      <c r="E366" s="1"/>
      <c r="I366" s="1"/>
      <c r="K366" s="4">
        <f>Tabelle52[[#This Row],[value_present]]*Tabelle52[[#This Row],[binding_level]]</f>
        <v>0</v>
      </c>
    </row>
    <row r="367" spans="1:11" x14ac:dyDescent="0.25">
      <c r="A367" s="2"/>
      <c r="B367" s="2"/>
      <c r="C367" s="2"/>
      <c r="D367" s="3"/>
      <c r="E367" s="1"/>
      <c r="I367" s="1"/>
      <c r="K367" s="4">
        <f>Tabelle52[[#This Row],[value_present]]*Tabelle52[[#This Row],[binding_level]]</f>
        <v>0</v>
      </c>
    </row>
    <row r="368" spans="1:11" x14ac:dyDescent="0.25">
      <c r="A368" s="2"/>
      <c r="B368" s="2"/>
      <c r="C368" s="2"/>
      <c r="D368" s="3"/>
      <c r="E368" s="1"/>
      <c r="I368" s="1"/>
      <c r="K368" s="4">
        <f>Tabelle52[[#This Row],[value_present]]*Tabelle52[[#This Row],[binding_level]]</f>
        <v>0</v>
      </c>
    </row>
    <row r="369" spans="1:11" x14ac:dyDescent="0.25">
      <c r="A369" s="2"/>
      <c r="B369" s="2"/>
      <c r="C369" s="2"/>
      <c r="D369" s="3"/>
      <c r="E369" s="1"/>
      <c r="I369" s="1"/>
      <c r="K369" s="4">
        <f>Tabelle52[[#This Row],[value_present]]*Tabelle52[[#This Row],[binding_level]]</f>
        <v>0</v>
      </c>
    </row>
    <row r="370" spans="1:11" x14ac:dyDescent="0.25">
      <c r="A370" s="2"/>
      <c r="B370" s="2"/>
      <c r="C370" s="2"/>
      <c r="D370" s="3"/>
      <c r="E370" s="1"/>
      <c r="I370" s="1"/>
      <c r="K370" s="4">
        <f>Tabelle52[[#This Row],[value_present]]*Tabelle52[[#This Row],[binding_level]]</f>
        <v>0</v>
      </c>
    </row>
    <row r="371" spans="1:11" x14ac:dyDescent="0.25">
      <c r="A371" s="2"/>
      <c r="B371" s="2"/>
      <c r="C371" s="2"/>
      <c r="D371" s="3"/>
      <c r="E371" s="1"/>
      <c r="I371" s="1"/>
      <c r="K371" s="4">
        <f>Tabelle52[[#This Row],[value_present]]*Tabelle52[[#This Row],[binding_level]]</f>
        <v>0</v>
      </c>
    </row>
    <row r="372" spans="1:11" x14ac:dyDescent="0.25">
      <c r="A372" s="2"/>
      <c r="B372" s="2"/>
      <c r="C372" s="2"/>
      <c r="D372" s="3"/>
      <c r="E372" s="1"/>
      <c r="I372" s="1"/>
      <c r="K372" s="4">
        <f>Tabelle52[[#This Row],[value_present]]*Tabelle52[[#This Row],[binding_level]]</f>
        <v>0</v>
      </c>
    </row>
    <row r="373" spans="1:11" x14ac:dyDescent="0.25">
      <c r="A373" s="2"/>
      <c r="B373" s="2"/>
      <c r="C373" s="2"/>
      <c r="D373" s="3"/>
      <c r="E373" s="1"/>
      <c r="I373" s="1"/>
      <c r="K373" s="4">
        <f>Tabelle52[[#This Row],[value_present]]*Tabelle52[[#This Row],[binding_level]]</f>
        <v>0</v>
      </c>
    </row>
    <row r="374" spans="1:11" x14ac:dyDescent="0.25">
      <c r="A374" s="2"/>
      <c r="B374" s="2"/>
      <c r="C374" s="2"/>
      <c r="D374" s="3"/>
      <c r="E374" s="1"/>
      <c r="I374" s="1"/>
      <c r="K374" s="4">
        <f>Tabelle52[[#This Row],[value_present]]*Tabelle52[[#This Row],[binding_level]]</f>
        <v>0</v>
      </c>
    </row>
    <row r="375" spans="1:11" x14ac:dyDescent="0.25">
      <c r="A375" s="2"/>
      <c r="B375" s="2"/>
      <c r="C375" s="2"/>
      <c r="D375" s="3"/>
      <c r="E375" s="1"/>
      <c r="I375" s="1"/>
      <c r="K375" s="4">
        <f>Tabelle52[[#This Row],[value_present]]*Tabelle52[[#This Row],[binding_level]]</f>
        <v>0</v>
      </c>
    </row>
    <row r="376" spans="1:11" x14ac:dyDescent="0.25">
      <c r="A376" s="2"/>
      <c r="B376" s="2"/>
      <c r="C376" s="2"/>
      <c r="D376" s="3"/>
      <c r="E376" s="1"/>
      <c r="I376" s="1"/>
      <c r="K376" s="4">
        <f>Tabelle52[[#This Row],[value_present]]*Tabelle52[[#This Row],[binding_level]]</f>
        <v>0</v>
      </c>
    </row>
    <row r="377" spans="1:11" x14ac:dyDescent="0.25">
      <c r="A377" s="2"/>
      <c r="B377" s="2"/>
      <c r="C377" s="2"/>
      <c r="D377" s="3"/>
      <c r="E377" s="1"/>
      <c r="I377" s="1"/>
      <c r="K377" s="4">
        <f>Tabelle52[[#This Row],[value_present]]*Tabelle52[[#This Row],[binding_level]]</f>
        <v>0</v>
      </c>
    </row>
    <row r="378" spans="1:11" x14ac:dyDescent="0.25">
      <c r="A378" s="2"/>
      <c r="B378" s="2"/>
      <c r="C378" s="2"/>
      <c r="D378" s="3"/>
      <c r="E378" s="1"/>
      <c r="I378" s="1"/>
      <c r="K378" s="4">
        <f>Tabelle52[[#This Row],[value_present]]*Tabelle52[[#This Row],[binding_level]]</f>
        <v>0</v>
      </c>
    </row>
    <row r="379" spans="1:11" x14ac:dyDescent="0.25">
      <c r="A379" s="2"/>
      <c r="B379" s="2"/>
      <c r="C379" s="2"/>
      <c r="D379" s="3"/>
      <c r="E379" s="1"/>
      <c r="I379" s="1"/>
      <c r="K379" s="4">
        <f>Tabelle52[[#This Row],[value_present]]*Tabelle52[[#This Row],[binding_level]]</f>
        <v>0</v>
      </c>
    </row>
    <row r="380" spans="1:11" x14ac:dyDescent="0.25">
      <c r="A380" s="2"/>
      <c r="B380" s="2"/>
      <c r="C380" s="2"/>
      <c r="D380" s="3"/>
      <c r="E380" s="1"/>
      <c r="I380" s="1"/>
      <c r="K380" s="4">
        <f>Tabelle52[[#This Row],[value_present]]*Tabelle52[[#This Row],[binding_level]]</f>
        <v>0</v>
      </c>
    </row>
    <row r="381" spans="1:11" x14ac:dyDescent="0.25">
      <c r="A381" s="2"/>
      <c r="B381" s="2"/>
      <c r="C381" s="2"/>
      <c r="D381" s="3"/>
      <c r="E381" s="1"/>
      <c r="I381" s="1"/>
      <c r="K381" s="4">
        <f>Tabelle52[[#This Row],[value_present]]*Tabelle52[[#This Row],[binding_level]]</f>
        <v>0</v>
      </c>
    </row>
    <row r="382" spans="1:11" x14ac:dyDescent="0.25">
      <c r="A382" s="2"/>
      <c r="B382" s="2"/>
      <c r="C382" s="2"/>
      <c r="D382" s="3"/>
      <c r="E382" s="1"/>
      <c r="I382" s="1"/>
      <c r="K382" s="4">
        <f>Tabelle52[[#This Row],[value_present]]*Tabelle52[[#This Row],[binding_level]]</f>
        <v>0</v>
      </c>
    </row>
    <row r="383" spans="1:11" x14ac:dyDescent="0.25">
      <c r="A383" s="2"/>
      <c r="B383" s="2"/>
      <c r="C383" s="2"/>
      <c r="D383" s="3"/>
      <c r="E383" s="1"/>
      <c r="I383" s="1"/>
      <c r="K383" s="4">
        <f>Tabelle52[[#This Row],[value_present]]*Tabelle52[[#This Row],[binding_level]]</f>
        <v>0</v>
      </c>
    </row>
    <row r="384" spans="1:11" x14ac:dyDescent="0.25">
      <c r="A384" s="2"/>
      <c r="B384" s="2"/>
      <c r="C384" s="2"/>
      <c r="D384" s="3"/>
      <c r="E384" s="1"/>
      <c r="I384" s="1"/>
      <c r="K384" s="4">
        <f>Tabelle52[[#This Row],[value_present]]*Tabelle52[[#This Row],[binding_level]]</f>
        <v>0</v>
      </c>
    </row>
    <row r="385" spans="1:11" x14ac:dyDescent="0.25">
      <c r="A385" s="2"/>
      <c r="B385" s="2"/>
      <c r="C385" s="2"/>
      <c r="D385" s="3"/>
      <c r="E385" s="1"/>
      <c r="I385" s="1"/>
      <c r="K385" s="4">
        <f>Tabelle52[[#This Row],[value_present]]*Tabelle52[[#This Row],[binding_level]]</f>
        <v>0</v>
      </c>
    </row>
    <row r="386" spans="1:11" x14ac:dyDescent="0.25">
      <c r="A386" s="2"/>
      <c r="B386" s="2"/>
      <c r="C386" s="2"/>
      <c r="D386" s="3"/>
      <c r="E386" s="1"/>
      <c r="I386" s="1"/>
      <c r="K386" s="4">
        <f>Tabelle52[[#This Row],[value_present]]*Tabelle52[[#This Row],[binding_level]]</f>
        <v>0</v>
      </c>
    </row>
    <row r="387" spans="1:11" x14ac:dyDescent="0.25">
      <c r="A387" s="2"/>
      <c r="B387" s="2"/>
      <c r="C387" s="2"/>
      <c r="D387" s="3"/>
      <c r="E387" s="1"/>
      <c r="I387" s="1"/>
      <c r="K387" s="4">
        <f>Tabelle52[[#This Row],[value_present]]*Tabelle52[[#This Row],[binding_level]]</f>
        <v>0</v>
      </c>
    </row>
    <row r="388" spans="1:11" x14ac:dyDescent="0.25">
      <c r="A388" s="2"/>
      <c r="B388" s="2"/>
      <c r="C388" s="2"/>
      <c r="D388" s="3"/>
      <c r="E388" s="1"/>
      <c r="I388" s="1"/>
      <c r="K388" s="4">
        <f>Tabelle52[[#This Row],[value_present]]*Tabelle52[[#This Row],[binding_level]]</f>
        <v>0</v>
      </c>
    </row>
    <row r="389" spans="1:11" x14ac:dyDescent="0.25">
      <c r="A389" s="2"/>
      <c r="B389" s="2"/>
      <c r="C389" s="2"/>
      <c r="D389" s="3"/>
      <c r="E389" s="1"/>
      <c r="I389" s="1"/>
      <c r="K389" s="4">
        <f>Tabelle52[[#This Row],[value_present]]*Tabelle52[[#This Row],[binding_level]]</f>
        <v>0</v>
      </c>
    </row>
    <row r="390" spans="1:11" x14ac:dyDescent="0.25">
      <c r="A390" s="2"/>
      <c r="B390" s="2"/>
      <c r="C390" s="2"/>
      <c r="D390" s="3"/>
      <c r="E390" s="1"/>
      <c r="I390" s="1"/>
      <c r="K390" s="4">
        <f>Tabelle52[[#This Row],[value_present]]*Tabelle52[[#This Row],[binding_level]]</f>
        <v>0</v>
      </c>
    </row>
    <row r="391" spans="1:11" x14ac:dyDescent="0.25">
      <c r="A391" s="2"/>
      <c r="B391" s="2"/>
      <c r="C391" s="2"/>
      <c r="D391" s="3"/>
      <c r="E391" s="1"/>
      <c r="I391" s="1"/>
      <c r="K391" s="4">
        <f>Tabelle52[[#This Row],[value_present]]*Tabelle52[[#This Row],[binding_level]]</f>
        <v>0</v>
      </c>
    </row>
    <row r="392" spans="1:11" x14ac:dyDescent="0.25">
      <c r="A392" s="2"/>
      <c r="B392" s="2"/>
      <c r="C392" s="2"/>
      <c r="D392" s="3"/>
      <c r="E392" s="1"/>
      <c r="I392" s="1"/>
      <c r="K392" s="4">
        <f>Tabelle52[[#This Row],[value_present]]*Tabelle52[[#This Row],[binding_level]]</f>
        <v>0</v>
      </c>
    </row>
    <row r="393" spans="1:11" x14ac:dyDescent="0.25">
      <c r="A393" s="2"/>
      <c r="B393" s="2"/>
      <c r="C393" s="2"/>
      <c r="D393" s="3"/>
      <c r="E393" s="1"/>
      <c r="I393" s="1"/>
      <c r="K393" s="4">
        <f>Tabelle52[[#This Row],[value_present]]*Tabelle52[[#This Row],[binding_level]]</f>
        <v>0</v>
      </c>
    </row>
    <row r="394" spans="1:11" x14ac:dyDescent="0.25">
      <c r="A394" s="2"/>
      <c r="B394" s="2"/>
      <c r="C394" s="2"/>
      <c r="D394" s="3"/>
      <c r="E394" s="1"/>
      <c r="I394" s="1"/>
      <c r="K394" s="4">
        <f>Tabelle52[[#This Row],[value_present]]*Tabelle52[[#This Row],[binding_level]]</f>
        <v>0</v>
      </c>
    </row>
    <row r="395" spans="1:11" x14ac:dyDescent="0.25">
      <c r="A395" s="2"/>
      <c r="B395" s="2"/>
      <c r="C395" s="2"/>
      <c r="D395" s="3"/>
      <c r="E395" s="1"/>
      <c r="I395" s="1"/>
      <c r="K395" s="4">
        <f>Tabelle52[[#This Row],[value_present]]*Tabelle52[[#This Row],[binding_level]]</f>
        <v>0</v>
      </c>
    </row>
    <row r="396" spans="1:11" x14ac:dyDescent="0.25">
      <c r="A396" s="2"/>
      <c r="B396" s="2"/>
      <c r="C396" s="2"/>
      <c r="D396" s="3"/>
      <c r="E396" s="1"/>
      <c r="I396" s="1"/>
      <c r="K396" s="4">
        <f>Tabelle52[[#This Row],[value_present]]*Tabelle52[[#This Row],[binding_level]]</f>
        <v>0</v>
      </c>
    </row>
    <row r="397" spans="1:11" x14ac:dyDescent="0.25">
      <c r="A397" s="2"/>
      <c r="B397" s="2"/>
      <c r="C397" s="2"/>
      <c r="D397" s="3"/>
      <c r="E397" s="1"/>
      <c r="I397" s="1"/>
      <c r="K397" s="4">
        <f>Tabelle52[[#This Row],[value_present]]*Tabelle52[[#This Row],[binding_level]]</f>
        <v>0</v>
      </c>
    </row>
    <row r="398" spans="1:11" x14ac:dyDescent="0.25">
      <c r="A398" s="2"/>
      <c r="B398" s="2"/>
      <c r="C398" s="2"/>
      <c r="D398" s="3"/>
      <c r="E398" s="1"/>
      <c r="I398" s="1"/>
      <c r="K398" s="4">
        <f>Tabelle52[[#This Row],[value_present]]*Tabelle52[[#This Row],[binding_level]]</f>
        <v>0</v>
      </c>
    </row>
    <row r="399" spans="1:11" x14ac:dyDescent="0.25">
      <c r="A399" s="2"/>
      <c r="B399" s="2"/>
      <c r="C399" s="2"/>
      <c r="D399" s="3"/>
      <c r="E399" s="1"/>
      <c r="I399" s="1"/>
      <c r="K399" s="4">
        <f>Tabelle52[[#This Row],[value_present]]*Tabelle52[[#This Row],[binding_level]]</f>
        <v>0</v>
      </c>
    </row>
    <row r="400" spans="1:11" x14ac:dyDescent="0.25">
      <c r="A400" s="2"/>
      <c r="B400" s="2"/>
      <c r="C400" s="2"/>
      <c r="D400" s="3"/>
      <c r="E400" s="1"/>
      <c r="I400" s="1"/>
      <c r="K400" s="4">
        <f>Tabelle52[[#This Row],[value_present]]*Tabelle52[[#This Row],[binding_level]]</f>
        <v>0</v>
      </c>
    </row>
    <row r="401" spans="1:11" x14ac:dyDescent="0.25">
      <c r="A401" s="2"/>
      <c r="B401" s="2"/>
      <c r="C401" s="2"/>
      <c r="D401" s="3"/>
      <c r="E401" s="1"/>
      <c r="I401" s="1"/>
      <c r="K401" s="4">
        <f>Tabelle52[[#This Row],[value_present]]*Tabelle52[[#This Row],[binding_level]]</f>
        <v>0</v>
      </c>
    </row>
    <row r="402" spans="1:11" x14ac:dyDescent="0.25">
      <c r="A402" s="2"/>
      <c r="B402" s="2"/>
      <c r="C402" s="2"/>
      <c r="D402" s="3"/>
      <c r="E402" s="1"/>
      <c r="I402" s="1"/>
      <c r="K402" s="4">
        <f>Tabelle52[[#This Row],[value_present]]*Tabelle52[[#This Row],[binding_level]]</f>
        <v>0</v>
      </c>
    </row>
    <row r="403" spans="1:11" x14ac:dyDescent="0.25">
      <c r="A403" s="2"/>
      <c r="B403" s="2"/>
      <c r="C403" s="2"/>
      <c r="D403" s="3"/>
      <c r="E403" s="1"/>
      <c r="I403" s="1"/>
      <c r="K403" s="4">
        <f>Tabelle52[[#This Row],[value_present]]*Tabelle52[[#This Row],[binding_level]]</f>
        <v>0</v>
      </c>
    </row>
    <row r="404" spans="1:11" x14ac:dyDescent="0.25">
      <c r="A404" s="2"/>
      <c r="B404" s="2"/>
      <c r="C404" s="2"/>
      <c r="D404" s="3"/>
      <c r="E404" s="1"/>
      <c r="I404" s="1"/>
      <c r="K404" s="4">
        <f>Tabelle52[[#This Row],[value_present]]*Tabelle52[[#This Row],[binding_level]]</f>
        <v>0</v>
      </c>
    </row>
    <row r="405" spans="1:11" x14ac:dyDescent="0.25">
      <c r="A405" s="2"/>
      <c r="B405" s="2"/>
      <c r="C405" s="2"/>
      <c r="D405" s="3"/>
      <c r="E405" s="1"/>
      <c r="I405" s="1"/>
      <c r="K405" s="4">
        <f>Tabelle52[[#This Row],[value_present]]*Tabelle52[[#This Row],[binding_level]]</f>
        <v>0</v>
      </c>
    </row>
    <row r="406" spans="1:11" x14ac:dyDescent="0.25">
      <c r="A406" s="2"/>
      <c r="B406" s="2"/>
      <c r="C406" s="2"/>
      <c r="D406" s="3"/>
      <c r="E406" s="1"/>
      <c r="I406" s="1"/>
      <c r="K406" s="4">
        <f>Tabelle52[[#This Row],[value_present]]*Tabelle52[[#This Row],[binding_level]]</f>
        <v>0</v>
      </c>
    </row>
    <row r="407" spans="1:11" x14ac:dyDescent="0.25">
      <c r="A407" s="2"/>
      <c r="B407" s="2"/>
      <c r="C407" s="2"/>
      <c r="D407" s="3"/>
      <c r="E407" s="1"/>
      <c r="I407" s="1"/>
      <c r="K407" s="4">
        <f>Tabelle52[[#This Row],[value_present]]*Tabelle52[[#This Row],[binding_level]]</f>
        <v>0</v>
      </c>
    </row>
    <row r="408" spans="1:11" x14ac:dyDescent="0.25">
      <c r="A408" s="2"/>
      <c r="B408" s="2"/>
      <c r="C408" s="2"/>
      <c r="D408" s="3"/>
      <c r="E408" s="1"/>
      <c r="I408" s="1"/>
      <c r="K408" s="4">
        <f>Tabelle52[[#This Row],[value_present]]*Tabelle52[[#This Row],[binding_level]]</f>
        <v>0</v>
      </c>
    </row>
    <row r="409" spans="1:11" x14ac:dyDescent="0.25">
      <c r="A409" s="2"/>
      <c r="B409" s="2"/>
      <c r="C409" s="2"/>
      <c r="D409" s="3"/>
      <c r="E409" s="1"/>
      <c r="I409" s="1"/>
      <c r="K409" s="4">
        <f>Tabelle52[[#This Row],[value_present]]*Tabelle52[[#This Row],[binding_level]]</f>
        <v>0</v>
      </c>
    </row>
    <row r="410" spans="1:11" x14ac:dyDescent="0.25">
      <c r="A410" s="2"/>
      <c r="B410" s="2"/>
      <c r="C410" s="2"/>
      <c r="D410" s="3"/>
      <c r="E410" s="1"/>
      <c r="I410" s="1"/>
      <c r="K410" s="4">
        <f>Tabelle52[[#This Row],[value_present]]*Tabelle52[[#This Row],[binding_level]]</f>
        <v>0</v>
      </c>
    </row>
    <row r="411" spans="1:11" x14ac:dyDescent="0.25">
      <c r="A411" s="2"/>
      <c r="B411" s="2"/>
      <c r="C411" s="2"/>
      <c r="D411" s="3"/>
      <c r="E411" s="1"/>
      <c r="I411" s="1"/>
      <c r="K411" s="4">
        <f>Tabelle52[[#This Row],[value_present]]*Tabelle52[[#This Row],[binding_level]]</f>
        <v>0</v>
      </c>
    </row>
    <row r="412" spans="1:11" x14ac:dyDescent="0.25">
      <c r="A412" s="2"/>
      <c r="B412" s="2"/>
      <c r="C412" s="2"/>
      <c r="D412" s="3"/>
      <c r="E412" s="1"/>
      <c r="I412" s="1"/>
      <c r="K412" s="4">
        <f>Tabelle52[[#This Row],[value_present]]*Tabelle52[[#This Row],[binding_level]]</f>
        <v>0</v>
      </c>
    </row>
    <row r="413" spans="1:11" x14ac:dyDescent="0.25">
      <c r="A413" s="2"/>
      <c r="B413" s="2"/>
      <c r="C413" s="2"/>
      <c r="D413" s="3"/>
      <c r="E413" s="1"/>
      <c r="I413" s="1"/>
      <c r="K413" s="4">
        <f>Tabelle52[[#This Row],[value_present]]*Tabelle52[[#This Row],[binding_level]]</f>
        <v>0</v>
      </c>
    </row>
    <row r="414" spans="1:11" x14ac:dyDescent="0.25">
      <c r="A414" s="2"/>
      <c r="B414" s="2"/>
      <c r="C414" s="2"/>
      <c r="D414" s="3"/>
      <c r="E414" s="1"/>
      <c r="I414" s="1"/>
      <c r="K414" s="4">
        <f>Tabelle52[[#This Row],[value_present]]*Tabelle52[[#This Row],[binding_level]]</f>
        <v>0</v>
      </c>
    </row>
    <row r="415" spans="1:11" x14ac:dyDescent="0.25">
      <c r="A415" s="2"/>
      <c r="B415" s="2"/>
      <c r="C415" s="2"/>
      <c r="D415" s="3"/>
      <c r="E415" s="1"/>
      <c r="I415" s="1"/>
      <c r="K415" s="4">
        <f>Tabelle52[[#This Row],[value_present]]*Tabelle52[[#This Row],[binding_level]]</f>
        <v>0</v>
      </c>
    </row>
    <row r="416" spans="1:11" x14ac:dyDescent="0.25">
      <c r="A416" s="2"/>
      <c r="B416" s="2"/>
      <c r="C416" s="2"/>
      <c r="D416" s="3"/>
      <c r="E416" s="1"/>
      <c r="I416" s="1"/>
      <c r="K416" s="4">
        <f>Tabelle52[[#This Row],[value_present]]*Tabelle52[[#This Row],[binding_level]]</f>
        <v>0</v>
      </c>
    </row>
    <row r="417" spans="1:11" x14ac:dyDescent="0.25">
      <c r="A417" s="2"/>
      <c r="B417" s="2"/>
      <c r="C417" s="2"/>
      <c r="D417" s="3"/>
      <c r="E417" s="1"/>
      <c r="I417" s="1"/>
      <c r="K417" s="4">
        <f>Tabelle52[[#This Row],[value_present]]*Tabelle52[[#This Row],[binding_level]]</f>
        <v>0</v>
      </c>
    </row>
    <row r="418" spans="1:11" x14ac:dyDescent="0.25">
      <c r="A418" s="2"/>
      <c r="B418" s="2"/>
      <c r="C418" s="2"/>
      <c r="D418" s="3"/>
      <c r="E418" s="1"/>
      <c r="I418" s="1"/>
      <c r="K418" s="4">
        <f>Tabelle52[[#This Row],[value_present]]*Tabelle52[[#This Row],[binding_level]]</f>
        <v>0</v>
      </c>
    </row>
    <row r="419" spans="1:11" x14ac:dyDescent="0.25">
      <c r="A419" s="2"/>
      <c r="B419" s="2"/>
      <c r="C419" s="2"/>
      <c r="D419" s="3"/>
      <c r="E419" s="1"/>
      <c r="I419" s="1"/>
      <c r="K419" s="4">
        <f>Tabelle52[[#This Row],[value_present]]*Tabelle52[[#This Row],[binding_level]]</f>
        <v>0</v>
      </c>
    </row>
    <row r="420" spans="1:11" x14ac:dyDescent="0.25">
      <c r="A420" s="2"/>
      <c r="B420" s="2"/>
      <c r="C420" s="2"/>
      <c r="D420" s="3"/>
      <c r="E420" s="1"/>
      <c r="I420" s="1"/>
      <c r="K420" s="4">
        <f>Tabelle52[[#This Row],[value_present]]*Tabelle52[[#This Row],[binding_level]]</f>
        <v>0</v>
      </c>
    </row>
    <row r="421" spans="1:11" x14ac:dyDescent="0.25">
      <c r="A421" s="2"/>
      <c r="B421" s="2"/>
      <c r="C421" s="2"/>
      <c r="D421" s="3"/>
      <c r="E421" s="1"/>
      <c r="I421" s="1"/>
      <c r="K421" s="4">
        <f>Tabelle52[[#This Row],[value_present]]*Tabelle52[[#This Row],[binding_level]]</f>
        <v>0</v>
      </c>
    </row>
    <row r="422" spans="1:11" x14ac:dyDescent="0.25">
      <c r="A422" s="2"/>
      <c r="B422" s="2"/>
      <c r="C422" s="2"/>
      <c r="D422" s="3"/>
      <c r="E422" s="1"/>
      <c r="I422" s="1"/>
      <c r="K422" s="4">
        <f>Tabelle52[[#This Row],[value_present]]*Tabelle52[[#This Row],[binding_level]]</f>
        <v>0</v>
      </c>
    </row>
    <row r="423" spans="1:11" x14ac:dyDescent="0.25">
      <c r="A423" s="2"/>
      <c r="B423" s="2"/>
      <c r="C423" s="2"/>
      <c r="D423" s="3"/>
      <c r="E423" s="1"/>
      <c r="I423" s="1"/>
      <c r="K423" s="4">
        <f>Tabelle52[[#This Row],[value_present]]*Tabelle52[[#This Row],[binding_level]]</f>
        <v>0</v>
      </c>
    </row>
    <row r="424" spans="1:11" x14ac:dyDescent="0.25">
      <c r="A424" s="2"/>
      <c r="B424" s="2"/>
      <c r="C424" s="2"/>
      <c r="D424" s="3"/>
      <c r="E424" s="1"/>
      <c r="I424" s="1"/>
      <c r="K424" s="4">
        <f>Tabelle52[[#This Row],[value_present]]*Tabelle52[[#This Row],[binding_level]]</f>
        <v>0</v>
      </c>
    </row>
    <row r="425" spans="1:11" x14ac:dyDescent="0.25">
      <c r="A425" s="2"/>
      <c r="B425" s="2"/>
      <c r="C425" s="2"/>
      <c r="D425" s="3"/>
      <c r="E425" s="1"/>
      <c r="I425" s="1"/>
      <c r="K425" s="4">
        <f>Tabelle52[[#This Row],[value_present]]*Tabelle52[[#This Row],[binding_level]]</f>
        <v>0</v>
      </c>
    </row>
    <row r="426" spans="1:11" x14ac:dyDescent="0.25">
      <c r="A426" s="2"/>
      <c r="B426" s="2"/>
      <c r="C426" s="2"/>
      <c r="D426" s="3"/>
      <c r="E426" s="1"/>
      <c r="I426" s="1"/>
      <c r="K426" s="4">
        <f>Tabelle52[[#This Row],[value_present]]*Tabelle52[[#This Row],[binding_level]]</f>
        <v>0</v>
      </c>
    </row>
    <row r="427" spans="1:11" x14ac:dyDescent="0.25">
      <c r="A427" s="2"/>
      <c r="B427" s="2"/>
      <c r="C427" s="2"/>
      <c r="D427" s="3"/>
      <c r="E427" s="1"/>
      <c r="I427" s="1"/>
      <c r="K427" s="4">
        <f>Tabelle52[[#This Row],[value_present]]*Tabelle52[[#This Row],[binding_level]]</f>
        <v>0</v>
      </c>
    </row>
    <row r="428" spans="1:11" x14ac:dyDescent="0.25">
      <c r="A428" s="2"/>
      <c r="B428" s="2"/>
      <c r="C428" s="2"/>
      <c r="D428" s="3"/>
      <c r="E428" s="1"/>
      <c r="I428" s="1"/>
      <c r="K428" s="4">
        <f>Tabelle52[[#This Row],[value_present]]*Tabelle52[[#This Row],[binding_level]]</f>
        <v>0</v>
      </c>
    </row>
    <row r="429" spans="1:11" x14ac:dyDescent="0.25">
      <c r="A429" s="2"/>
      <c r="B429" s="2"/>
      <c r="C429" s="2"/>
      <c r="D429" s="3"/>
      <c r="E429" s="1"/>
      <c r="I429" s="1"/>
      <c r="K429" s="4">
        <f>Tabelle52[[#This Row],[value_present]]*Tabelle52[[#This Row],[binding_level]]</f>
        <v>0</v>
      </c>
    </row>
    <row r="430" spans="1:11" x14ac:dyDescent="0.25">
      <c r="A430" s="2"/>
      <c r="B430" s="2"/>
      <c r="C430" s="2"/>
      <c r="D430" s="3"/>
      <c r="E430" s="1"/>
      <c r="I430" s="1"/>
      <c r="K430" s="4">
        <f>Tabelle52[[#This Row],[value_present]]*Tabelle52[[#This Row],[binding_level]]</f>
        <v>0</v>
      </c>
    </row>
    <row r="431" spans="1:11" x14ac:dyDescent="0.25">
      <c r="A431" s="2"/>
      <c r="B431" s="2"/>
      <c r="C431" s="2"/>
      <c r="D431" s="3"/>
      <c r="E431" s="1"/>
      <c r="I431" s="1"/>
      <c r="K431" s="4">
        <f>Tabelle52[[#This Row],[value_present]]*Tabelle52[[#This Row],[binding_level]]</f>
        <v>0</v>
      </c>
    </row>
    <row r="432" spans="1:11" x14ac:dyDescent="0.25">
      <c r="A432" s="2"/>
      <c r="B432" s="2"/>
      <c r="C432" s="2"/>
      <c r="D432" s="3"/>
      <c r="E432" s="1"/>
      <c r="I432" s="1"/>
      <c r="K432" s="4">
        <f>Tabelle52[[#This Row],[value_present]]*Tabelle52[[#This Row],[binding_level]]</f>
        <v>0</v>
      </c>
    </row>
    <row r="433" spans="1:11" x14ac:dyDescent="0.25">
      <c r="A433" s="2"/>
      <c r="B433" s="2"/>
      <c r="C433" s="2"/>
      <c r="D433" s="3"/>
      <c r="E433" s="1"/>
      <c r="I433" s="1"/>
      <c r="K433" s="4">
        <f>Tabelle52[[#This Row],[value_present]]*Tabelle52[[#This Row],[binding_level]]</f>
        <v>0</v>
      </c>
    </row>
    <row r="434" spans="1:11" x14ac:dyDescent="0.25">
      <c r="A434" s="2"/>
      <c r="B434" s="2"/>
      <c r="C434" s="2"/>
      <c r="D434" s="3"/>
      <c r="E434" s="1"/>
      <c r="I434" s="1"/>
      <c r="K434" s="4">
        <f>Tabelle52[[#This Row],[value_present]]*Tabelle52[[#This Row],[binding_level]]</f>
        <v>0</v>
      </c>
    </row>
    <row r="435" spans="1:11" x14ac:dyDescent="0.25">
      <c r="A435" s="2"/>
      <c r="B435" s="2"/>
      <c r="C435" s="2"/>
      <c r="D435" s="3"/>
      <c r="E435" s="1"/>
      <c r="I435" s="1"/>
      <c r="K435" s="4">
        <f>Tabelle52[[#This Row],[value_present]]*Tabelle52[[#This Row],[binding_level]]</f>
        <v>0</v>
      </c>
    </row>
    <row r="436" spans="1:11" x14ac:dyDescent="0.25">
      <c r="A436" s="2"/>
      <c r="B436" s="2"/>
      <c r="C436" s="2"/>
      <c r="D436" s="3"/>
      <c r="E436" s="1"/>
      <c r="I436" s="1"/>
      <c r="K436" s="4">
        <f>Tabelle52[[#This Row],[value_present]]*Tabelle52[[#This Row],[binding_level]]</f>
        <v>0</v>
      </c>
    </row>
    <row r="437" spans="1:11" x14ac:dyDescent="0.25">
      <c r="A437" s="2"/>
      <c r="B437" s="2"/>
      <c r="C437" s="2"/>
      <c r="D437" s="3"/>
      <c r="E437" s="1"/>
      <c r="I437" s="1"/>
      <c r="K437" s="4">
        <f>Tabelle52[[#This Row],[value_present]]*Tabelle52[[#This Row],[binding_level]]</f>
        <v>0</v>
      </c>
    </row>
    <row r="438" spans="1:11" x14ac:dyDescent="0.25">
      <c r="A438" s="2"/>
      <c r="B438" s="2"/>
      <c r="C438" s="2"/>
      <c r="D438" s="3"/>
      <c r="E438" s="1"/>
      <c r="I438" s="1"/>
      <c r="K438" s="4">
        <f>Tabelle52[[#This Row],[value_present]]*Tabelle52[[#This Row],[binding_level]]</f>
        <v>0</v>
      </c>
    </row>
    <row r="439" spans="1:11" x14ac:dyDescent="0.25">
      <c r="A439" s="2"/>
      <c r="B439" s="2"/>
      <c r="C439" s="2"/>
      <c r="D439" s="3"/>
      <c r="E439" s="1"/>
      <c r="I439" s="1"/>
      <c r="K439" s="4">
        <f>Tabelle52[[#This Row],[value_present]]*Tabelle52[[#This Row],[binding_level]]</f>
        <v>0</v>
      </c>
    </row>
    <row r="440" spans="1:11" x14ac:dyDescent="0.25">
      <c r="A440" s="2"/>
      <c r="B440" s="2"/>
      <c r="C440" s="2"/>
      <c r="D440" s="3"/>
      <c r="E440" s="1"/>
      <c r="I440" s="1"/>
      <c r="K440" s="4">
        <f>Tabelle52[[#This Row],[value_present]]*Tabelle52[[#This Row],[binding_level]]</f>
        <v>0</v>
      </c>
    </row>
    <row r="441" spans="1:11" x14ac:dyDescent="0.25">
      <c r="A441" s="2"/>
      <c r="B441" s="2"/>
      <c r="C441" s="2"/>
      <c r="D441" s="3"/>
      <c r="E441" s="1"/>
      <c r="I441" s="1"/>
      <c r="K441" s="4">
        <f>Tabelle52[[#This Row],[value_present]]*Tabelle52[[#This Row],[binding_level]]</f>
        <v>0</v>
      </c>
    </row>
    <row r="442" spans="1:11" x14ac:dyDescent="0.25">
      <c r="A442" s="2"/>
      <c r="B442" s="2"/>
      <c r="C442" s="2"/>
      <c r="D442" s="3"/>
      <c r="E442" s="1"/>
      <c r="I442" s="1"/>
      <c r="K442" s="4">
        <f>Tabelle52[[#This Row],[value_present]]*Tabelle52[[#This Row],[binding_level]]</f>
        <v>0</v>
      </c>
    </row>
    <row r="443" spans="1:11" x14ac:dyDescent="0.25">
      <c r="A443" s="2"/>
      <c r="B443" s="2"/>
      <c r="C443" s="2"/>
      <c r="D443" s="3"/>
      <c r="E443" s="1"/>
      <c r="I443" s="1"/>
      <c r="K443" s="4">
        <f>Tabelle52[[#This Row],[value_present]]*Tabelle52[[#This Row],[binding_level]]</f>
        <v>0</v>
      </c>
    </row>
    <row r="444" spans="1:11" x14ac:dyDescent="0.25">
      <c r="A444" s="2"/>
      <c r="B444" s="2"/>
      <c r="C444" s="2"/>
      <c r="D444" s="3"/>
      <c r="E444" s="1"/>
      <c r="I444" s="1"/>
      <c r="K444" s="4">
        <f>Tabelle52[[#This Row],[value_present]]*Tabelle52[[#This Row],[binding_level]]</f>
        <v>0</v>
      </c>
    </row>
    <row r="445" spans="1:11" x14ac:dyDescent="0.25">
      <c r="A445" s="2"/>
      <c r="B445" s="2"/>
      <c r="C445" s="2"/>
      <c r="D445" s="3"/>
      <c r="E445" s="1"/>
      <c r="I445" s="1"/>
      <c r="K445" s="4">
        <f>Tabelle52[[#This Row],[value_present]]*Tabelle52[[#This Row],[binding_level]]</f>
        <v>0</v>
      </c>
    </row>
    <row r="446" spans="1:11" x14ac:dyDescent="0.25">
      <c r="A446" s="2"/>
      <c r="B446" s="2"/>
      <c r="C446" s="2"/>
      <c r="D446" s="3"/>
      <c r="E446" s="1"/>
      <c r="I446" s="1"/>
      <c r="K446" s="4">
        <f>Tabelle52[[#This Row],[value_present]]*Tabelle52[[#This Row],[binding_level]]</f>
        <v>0</v>
      </c>
    </row>
    <row r="447" spans="1:11" x14ac:dyDescent="0.25">
      <c r="A447" s="2"/>
      <c r="B447" s="2"/>
      <c r="C447" s="2"/>
      <c r="D447" s="3"/>
      <c r="E447" s="1"/>
      <c r="I447" s="1"/>
      <c r="K447" s="4">
        <f>Tabelle52[[#This Row],[value_present]]*Tabelle52[[#This Row],[binding_level]]</f>
        <v>0</v>
      </c>
    </row>
    <row r="448" spans="1:11" x14ac:dyDescent="0.25">
      <c r="A448" s="2"/>
      <c r="B448" s="2"/>
      <c r="C448" s="2"/>
      <c r="D448" s="3"/>
      <c r="E448" s="1"/>
      <c r="I448" s="1"/>
      <c r="K448" s="4">
        <f>Tabelle52[[#This Row],[value_present]]*Tabelle52[[#This Row],[binding_level]]</f>
        <v>0</v>
      </c>
    </row>
    <row r="449" spans="1:11" x14ac:dyDescent="0.25">
      <c r="A449" s="2"/>
      <c r="B449" s="2"/>
      <c r="C449" s="2"/>
      <c r="D449" s="3"/>
      <c r="E449" s="1"/>
      <c r="I449" s="1"/>
      <c r="K449" s="4">
        <f>Tabelle52[[#This Row],[value_present]]*Tabelle52[[#This Row],[binding_level]]</f>
        <v>0</v>
      </c>
    </row>
    <row r="450" spans="1:11" x14ac:dyDescent="0.25">
      <c r="A450" s="2"/>
      <c r="B450" s="2"/>
      <c r="C450" s="2"/>
      <c r="D450" s="3"/>
      <c r="E450" s="1"/>
      <c r="I450" s="1"/>
      <c r="K450" s="4">
        <f>Tabelle52[[#This Row],[value_present]]*Tabelle52[[#This Row],[binding_level]]</f>
        <v>0</v>
      </c>
    </row>
    <row r="451" spans="1:11" x14ac:dyDescent="0.25">
      <c r="A451" s="2"/>
      <c r="B451" s="2"/>
      <c r="C451" s="2"/>
      <c r="D451" s="3"/>
      <c r="E451" s="1"/>
      <c r="I451" s="1"/>
      <c r="K451" s="4">
        <f>Tabelle52[[#This Row],[value_present]]*Tabelle52[[#This Row],[binding_level]]</f>
        <v>0</v>
      </c>
    </row>
    <row r="452" spans="1:11" x14ac:dyDescent="0.25">
      <c r="A452" s="2"/>
      <c r="B452" s="2"/>
      <c r="C452" s="2"/>
      <c r="D452" s="3"/>
      <c r="E452" s="1"/>
      <c r="I452" s="1"/>
      <c r="K452" s="4">
        <f>Tabelle52[[#This Row],[value_present]]*Tabelle52[[#This Row],[binding_level]]</f>
        <v>0</v>
      </c>
    </row>
    <row r="453" spans="1:11" x14ac:dyDescent="0.25">
      <c r="A453" s="2"/>
      <c r="B453" s="2"/>
      <c r="C453" s="2"/>
      <c r="D453" s="3"/>
      <c r="E453" s="1"/>
      <c r="I453" s="1"/>
      <c r="K453" s="4">
        <f>Tabelle52[[#This Row],[value_present]]*Tabelle52[[#This Row],[binding_level]]</f>
        <v>0</v>
      </c>
    </row>
    <row r="454" spans="1:11" x14ac:dyDescent="0.25">
      <c r="A454" s="2"/>
      <c r="B454" s="2"/>
      <c r="C454" s="2"/>
      <c r="D454" s="3"/>
      <c r="E454" s="1"/>
      <c r="I454" s="1"/>
      <c r="K454" s="4">
        <f>Tabelle52[[#This Row],[value_present]]*Tabelle52[[#This Row],[binding_level]]</f>
        <v>0</v>
      </c>
    </row>
    <row r="455" spans="1:11" x14ac:dyDescent="0.25">
      <c r="A455" s="2"/>
      <c r="B455" s="2"/>
      <c r="C455" s="2"/>
      <c r="D455" s="3"/>
      <c r="E455" s="1"/>
      <c r="I455" s="1"/>
      <c r="K455" s="4">
        <f>Tabelle52[[#This Row],[value_present]]*Tabelle52[[#This Row],[binding_level]]</f>
        <v>0</v>
      </c>
    </row>
    <row r="456" spans="1:11" x14ac:dyDescent="0.25">
      <c r="A456" s="2"/>
      <c r="B456" s="2"/>
      <c r="C456" s="2"/>
      <c r="D456" s="3"/>
      <c r="E456" s="1"/>
      <c r="I456" s="1"/>
      <c r="K456" s="4">
        <f>Tabelle52[[#This Row],[value_present]]*Tabelle52[[#This Row],[binding_level]]</f>
        <v>0</v>
      </c>
    </row>
    <row r="457" spans="1:11" x14ac:dyDescent="0.25">
      <c r="A457" s="2"/>
      <c r="B457" s="2"/>
      <c r="C457" s="2"/>
      <c r="D457" s="3"/>
      <c r="E457" s="1"/>
      <c r="I457" s="1"/>
      <c r="K457" s="4">
        <f>Tabelle52[[#This Row],[value_present]]*Tabelle52[[#This Row],[binding_level]]</f>
        <v>0</v>
      </c>
    </row>
    <row r="458" spans="1:11" x14ac:dyDescent="0.25">
      <c r="A458" s="2"/>
      <c r="B458" s="2"/>
      <c r="C458" s="2"/>
      <c r="D458" s="3"/>
      <c r="E458" s="1"/>
      <c r="I458" s="1"/>
      <c r="K458" s="4">
        <f>Tabelle52[[#This Row],[value_present]]*Tabelle52[[#This Row],[binding_level]]</f>
        <v>0</v>
      </c>
    </row>
    <row r="459" spans="1:11" x14ac:dyDescent="0.25">
      <c r="A459" s="2"/>
      <c r="B459" s="2"/>
      <c r="C459" s="2"/>
      <c r="D459" s="3"/>
      <c r="E459" s="1"/>
      <c r="I459" s="1"/>
      <c r="K459" s="4">
        <f>Tabelle52[[#This Row],[value_present]]*Tabelle52[[#This Row],[binding_level]]</f>
        <v>0</v>
      </c>
    </row>
    <row r="460" spans="1:11" x14ac:dyDescent="0.25">
      <c r="A460" s="2"/>
      <c r="B460" s="2"/>
      <c r="C460" s="2"/>
      <c r="D460" s="3"/>
      <c r="E460" s="1"/>
      <c r="I460" s="1"/>
      <c r="K460" s="4">
        <f>Tabelle52[[#This Row],[value_present]]*Tabelle52[[#This Row],[binding_level]]</f>
        <v>0</v>
      </c>
    </row>
    <row r="461" spans="1:11" x14ac:dyDescent="0.25">
      <c r="A461" s="2"/>
      <c r="B461" s="2"/>
      <c r="C461" s="2"/>
      <c r="D461" s="3"/>
      <c r="E461" s="1"/>
      <c r="I461" s="1"/>
      <c r="K461" s="4">
        <f>Tabelle52[[#This Row],[value_present]]*Tabelle52[[#This Row],[binding_level]]</f>
        <v>0</v>
      </c>
    </row>
    <row r="462" spans="1:11" x14ac:dyDescent="0.25">
      <c r="A462" s="2"/>
      <c r="B462" s="2"/>
      <c r="C462" s="2"/>
      <c r="D462" s="3"/>
      <c r="E462" s="1"/>
      <c r="I462" s="1"/>
      <c r="K462" s="4">
        <f>Tabelle52[[#This Row],[value_present]]*Tabelle52[[#This Row],[binding_level]]</f>
        <v>0</v>
      </c>
    </row>
    <row r="463" spans="1:11" x14ac:dyDescent="0.25">
      <c r="A463" s="2"/>
      <c r="B463" s="2"/>
      <c r="C463" s="2"/>
      <c r="D463" s="3"/>
      <c r="E463" s="1"/>
      <c r="I463" s="1"/>
      <c r="K463" s="4">
        <f>Tabelle52[[#This Row],[value_present]]*Tabelle52[[#This Row],[binding_level]]</f>
        <v>0</v>
      </c>
    </row>
    <row r="464" spans="1:11" x14ac:dyDescent="0.25">
      <c r="A464" s="2"/>
      <c r="B464" s="2"/>
      <c r="C464" s="2"/>
      <c r="D464" s="3"/>
      <c r="E464" s="1"/>
      <c r="I464" s="1"/>
      <c r="K464" s="4">
        <f>Tabelle52[[#This Row],[value_present]]*Tabelle52[[#This Row],[binding_level]]</f>
        <v>0</v>
      </c>
    </row>
    <row r="465" spans="1:11" x14ac:dyDescent="0.25">
      <c r="A465" s="2"/>
      <c r="B465" s="2"/>
      <c r="C465" s="2"/>
      <c r="D465" s="3"/>
      <c r="E465" s="1"/>
      <c r="I465" s="1"/>
      <c r="K465" s="4">
        <f>Tabelle52[[#This Row],[value_present]]*Tabelle52[[#This Row],[binding_level]]</f>
        <v>0</v>
      </c>
    </row>
    <row r="466" spans="1:11" x14ac:dyDescent="0.25">
      <c r="A466" s="2"/>
      <c r="B466" s="2"/>
      <c r="C466" s="2"/>
      <c r="D466" s="3"/>
      <c r="E466" s="1"/>
      <c r="I466" s="1"/>
      <c r="K466" s="4">
        <f>Tabelle52[[#This Row],[value_present]]*Tabelle52[[#This Row],[binding_level]]</f>
        <v>0</v>
      </c>
    </row>
    <row r="467" spans="1:11" x14ac:dyDescent="0.25">
      <c r="A467" s="2"/>
      <c r="B467" s="2"/>
      <c r="C467" s="2"/>
      <c r="D467" s="3"/>
      <c r="E467" s="1"/>
      <c r="I467" s="1"/>
      <c r="K467" s="4">
        <f>Tabelle52[[#This Row],[value_present]]*Tabelle52[[#This Row],[binding_level]]</f>
        <v>0</v>
      </c>
    </row>
    <row r="468" spans="1:11" x14ac:dyDescent="0.25">
      <c r="A468" s="2"/>
      <c r="B468" s="2"/>
      <c r="C468" s="2"/>
      <c r="D468" s="3"/>
      <c r="E468" s="1"/>
      <c r="I468" s="1"/>
      <c r="K468" s="4">
        <f>Tabelle52[[#This Row],[value_present]]*Tabelle52[[#This Row],[binding_level]]</f>
        <v>0</v>
      </c>
    </row>
    <row r="469" spans="1:11" x14ac:dyDescent="0.25">
      <c r="A469" s="2"/>
      <c r="B469" s="2"/>
      <c r="C469" s="2"/>
      <c r="D469" s="3"/>
      <c r="E469" s="1"/>
      <c r="I469" s="1"/>
      <c r="K469" s="4">
        <f>Tabelle52[[#This Row],[value_present]]*Tabelle52[[#This Row],[binding_level]]</f>
        <v>0</v>
      </c>
    </row>
    <row r="470" spans="1:11" x14ac:dyDescent="0.25">
      <c r="A470" s="2"/>
      <c r="B470" s="2"/>
      <c r="C470" s="2"/>
      <c r="D470" s="3"/>
      <c r="E470" s="1"/>
      <c r="I470" s="1"/>
      <c r="K470" s="4">
        <f>Tabelle52[[#This Row],[value_present]]*Tabelle52[[#This Row],[binding_level]]</f>
        <v>0</v>
      </c>
    </row>
    <row r="471" spans="1:11" x14ac:dyDescent="0.25">
      <c r="A471" s="2"/>
      <c r="B471" s="2"/>
      <c r="C471" s="2"/>
      <c r="D471" s="3"/>
      <c r="E471" s="1"/>
      <c r="I471" s="1"/>
      <c r="K471" s="4">
        <f>Tabelle52[[#This Row],[value_present]]*Tabelle52[[#This Row],[binding_level]]</f>
        <v>0</v>
      </c>
    </row>
    <row r="472" spans="1:11" x14ac:dyDescent="0.25">
      <c r="A472" s="2"/>
      <c r="B472" s="2"/>
      <c r="C472" s="2"/>
      <c r="D472" s="3"/>
      <c r="E472" s="1"/>
      <c r="I472" s="1"/>
      <c r="K472" s="4">
        <f>Tabelle52[[#This Row],[value_present]]*Tabelle52[[#This Row],[binding_level]]</f>
        <v>0</v>
      </c>
    </row>
    <row r="473" spans="1:11" x14ac:dyDescent="0.25">
      <c r="A473" s="2"/>
      <c r="B473" s="2"/>
      <c r="C473" s="2"/>
      <c r="D473" s="3"/>
      <c r="E473" s="1"/>
      <c r="I473" s="1"/>
      <c r="K473" s="4">
        <f>Tabelle52[[#This Row],[value_present]]*Tabelle52[[#This Row],[binding_level]]</f>
        <v>0</v>
      </c>
    </row>
    <row r="474" spans="1:11" x14ac:dyDescent="0.25">
      <c r="A474" s="2"/>
      <c r="B474" s="2"/>
      <c r="C474" s="2"/>
      <c r="D474" s="3"/>
      <c r="E474" s="1"/>
      <c r="I474" s="1"/>
      <c r="K474" s="4">
        <f>Tabelle52[[#This Row],[value_present]]*Tabelle52[[#This Row],[binding_level]]</f>
        <v>0</v>
      </c>
    </row>
    <row r="475" spans="1:11" x14ac:dyDescent="0.25">
      <c r="A475" s="2"/>
      <c r="B475" s="2"/>
      <c r="C475" s="2"/>
      <c r="D475" s="3"/>
      <c r="E475" s="1"/>
      <c r="I475" s="1"/>
      <c r="K475" s="4">
        <f>Tabelle52[[#This Row],[value_present]]*Tabelle52[[#This Row],[binding_level]]</f>
        <v>0</v>
      </c>
    </row>
    <row r="476" spans="1:11" x14ac:dyDescent="0.25">
      <c r="A476" s="2"/>
      <c r="B476" s="2"/>
      <c r="C476" s="2"/>
      <c r="D476" s="3"/>
      <c r="E476" s="1"/>
      <c r="I476" s="1"/>
      <c r="K476" s="4">
        <f>Tabelle52[[#This Row],[value_present]]*Tabelle52[[#This Row],[binding_level]]</f>
        <v>0</v>
      </c>
    </row>
    <row r="477" spans="1:11" x14ac:dyDescent="0.25">
      <c r="A477" s="2"/>
      <c r="B477" s="2"/>
      <c r="C477" s="2"/>
      <c r="D477" s="3"/>
      <c r="E477" s="1"/>
      <c r="I477" s="1"/>
      <c r="K477" s="4">
        <f>Tabelle52[[#This Row],[value_present]]*Tabelle52[[#This Row],[binding_level]]</f>
        <v>0</v>
      </c>
    </row>
    <row r="478" spans="1:11" x14ac:dyDescent="0.25">
      <c r="A478" s="2"/>
      <c r="B478" s="2"/>
      <c r="C478" s="2"/>
      <c r="D478" s="3"/>
      <c r="E478" s="1"/>
      <c r="I478" s="1"/>
      <c r="K478" s="4">
        <f>Tabelle52[[#This Row],[value_present]]*Tabelle52[[#This Row],[binding_level]]</f>
        <v>0</v>
      </c>
    </row>
    <row r="479" spans="1:11" x14ac:dyDescent="0.25">
      <c r="A479" s="2"/>
      <c r="B479" s="2"/>
      <c r="C479" s="2"/>
      <c r="D479" s="3"/>
      <c r="E479" s="1"/>
      <c r="I479" s="1"/>
      <c r="K479" s="4">
        <f>Tabelle52[[#This Row],[value_present]]*Tabelle52[[#This Row],[binding_level]]</f>
        <v>0</v>
      </c>
    </row>
    <row r="480" spans="1:11" x14ac:dyDescent="0.25">
      <c r="A480" s="2"/>
      <c r="B480" s="2"/>
      <c r="C480" s="2"/>
      <c r="D480" s="3"/>
      <c r="E480" s="1"/>
      <c r="I480" s="1"/>
      <c r="K480" s="4">
        <f>Tabelle52[[#This Row],[value_present]]*Tabelle52[[#This Row],[binding_level]]</f>
        <v>0</v>
      </c>
    </row>
    <row r="481" spans="1:11" x14ac:dyDescent="0.25">
      <c r="A481" s="2"/>
      <c r="B481" s="2"/>
      <c r="C481" s="2"/>
      <c r="D481" s="3"/>
      <c r="E481" s="1"/>
      <c r="I481" s="1"/>
      <c r="K481" s="4">
        <f>Tabelle52[[#This Row],[value_present]]*Tabelle52[[#This Row],[binding_level]]</f>
        <v>0</v>
      </c>
    </row>
    <row r="482" spans="1:11" x14ac:dyDescent="0.25">
      <c r="A482" s="2"/>
      <c r="B482" s="2"/>
      <c r="C482" s="2"/>
      <c r="D482" s="3"/>
      <c r="E482" s="1"/>
      <c r="I482" s="1"/>
      <c r="K482" s="4">
        <f>Tabelle52[[#This Row],[value_present]]*Tabelle52[[#This Row],[binding_level]]</f>
        <v>0</v>
      </c>
    </row>
    <row r="483" spans="1:11" x14ac:dyDescent="0.25">
      <c r="A483" s="2"/>
      <c r="B483" s="2"/>
      <c r="C483" s="2"/>
      <c r="D483" s="3"/>
      <c r="E483" s="1"/>
      <c r="I483" s="1"/>
      <c r="K483" s="4">
        <f>Tabelle52[[#This Row],[value_present]]*Tabelle52[[#This Row],[binding_level]]</f>
        <v>0</v>
      </c>
    </row>
    <row r="484" spans="1:11" x14ac:dyDescent="0.25">
      <c r="A484" s="2"/>
      <c r="B484" s="2"/>
      <c r="C484" s="2"/>
      <c r="D484" s="3"/>
      <c r="E484" s="1"/>
      <c r="I484" s="1"/>
      <c r="K484" s="4">
        <f>Tabelle52[[#This Row],[value_present]]*Tabelle52[[#This Row],[binding_level]]</f>
        <v>0</v>
      </c>
    </row>
    <row r="485" spans="1:11" x14ac:dyDescent="0.25">
      <c r="A485" s="2"/>
      <c r="B485" s="2"/>
      <c r="C485" s="2"/>
      <c r="D485" s="3"/>
      <c r="E485" s="1"/>
      <c r="I485" s="1"/>
      <c r="K485" s="4">
        <f>Tabelle52[[#This Row],[value_present]]*Tabelle52[[#This Row],[binding_level]]</f>
        <v>0</v>
      </c>
    </row>
    <row r="486" spans="1:11" x14ac:dyDescent="0.25">
      <c r="A486" s="2"/>
      <c r="B486" s="2"/>
      <c r="C486" s="2"/>
      <c r="D486" s="3"/>
      <c r="E486" s="1"/>
      <c r="I486" s="1"/>
      <c r="K486" s="4">
        <f>Tabelle52[[#This Row],[value_present]]*Tabelle52[[#This Row],[binding_level]]</f>
        <v>0</v>
      </c>
    </row>
    <row r="487" spans="1:11" x14ac:dyDescent="0.25">
      <c r="A487" s="2"/>
      <c r="B487" s="2"/>
      <c r="C487" s="2"/>
      <c r="D487" s="3"/>
      <c r="E487" s="1"/>
      <c r="I487" s="1"/>
      <c r="K487" s="4">
        <f>Tabelle52[[#This Row],[value_present]]*Tabelle52[[#This Row],[binding_level]]</f>
        <v>0</v>
      </c>
    </row>
    <row r="488" spans="1:11" x14ac:dyDescent="0.25">
      <c r="A488" s="2"/>
      <c r="B488" s="2"/>
      <c r="C488" s="2"/>
      <c r="D488" s="3"/>
      <c r="E488" s="1"/>
      <c r="I488" s="1"/>
      <c r="K488" s="4">
        <f>Tabelle52[[#This Row],[value_present]]*Tabelle52[[#This Row],[binding_level]]</f>
        <v>0</v>
      </c>
    </row>
    <row r="489" spans="1:11" x14ac:dyDescent="0.25">
      <c r="A489" s="2"/>
      <c r="B489" s="2"/>
      <c r="C489" s="2"/>
      <c r="D489" s="3"/>
      <c r="E489" s="1"/>
      <c r="I489" s="1"/>
      <c r="K489" s="4">
        <f>Tabelle52[[#This Row],[value_present]]*Tabelle52[[#This Row],[binding_level]]</f>
        <v>0</v>
      </c>
    </row>
    <row r="490" spans="1:11" x14ac:dyDescent="0.25">
      <c r="A490" s="2"/>
      <c r="B490" s="2"/>
      <c r="C490" s="2"/>
      <c r="D490" s="3"/>
      <c r="E490" s="1"/>
      <c r="I490" s="1"/>
      <c r="K490" s="4">
        <f>Tabelle52[[#This Row],[value_present]]*Tabelle52[[#This Row],[binding_level]]</f>
        <v>0</v>
      </c>
    </row>
    <row r="491" spans="1:11" x14ac:dyDescent="0.25">
      <c r="A491" s="2"/>
      <c r="B491" s="2"/>
      <c r="C491" s="2"/>
      <c r="D491" s="3"/>
      <c r="E491" s="1"/>
      <c r="I491" s="1"/>
      <c r="K491" s="4">
        <f>Tabelle52[[#This Row],[value_present]]*Tabelle52[[#This Row],[binding_level]]</f>
        <v>0</v>
      </c>
    </row>
    <row r="492" spans="1:11" x14ac:dyDescent="0.25">
      <c r="A492" s="2"/>
      <c r="B492" s="2"/>
      <c r="C492" s="2"/>
      <c r="D492" s="3"/>
      <c r="E492" s="1"/>
      <c r="I492" s="1"/>
      <c r="K492" s="4">
        <f>Tabelle52[[#This Row],[value_present]]*Tabelle52[[#This Row],[binding_level]]</f>
        <v>0</v>
      </c>
    </row>
    <row r="493" spans="1:11" x14ac:dyDescent="0.25">
      <c r="A493" s="2"/>
      <c r="B493" s="2"/>
      <c r="C493" s="2"/>
      <c r="D493" s="3"/>
      <c r="E493" s="1"/>
      <c r="I493" s="1"/>
      <c r="K493" s="4">
        <f>Tabelle52[[#This Row],[value_present]]*Tabelle52[[#This Row],[binding_level]]</f>
        <v>0</v>
      </c>
    </row>
    <row r="494" spans="1:11" x14ac:dyDescent="0.25">
      <c r="A494" s="2"/>
      <c r="B494" s="2"/>
      <c r="C494" s="2"/>
      <c r="D494" s="3"/>
      <c r="E494" s="1"/>
      <c r="I494" s="1"/>
      <c r="K494" s="4">
        <f>Tabelle52[[#This Row],[value_present]]*Tabelle52[[#This Row],[binding_level]]</f>
        <v>0</v>
      </c>
    </row>
    <row r="495" spans="1:11" x14ac:dyDescent="0.25">
      <c r="A495" s="2"/>
      <c r="B495" s="2"/>
      <c r="C495" s="2"/>
      <c r="D495" s="3"/>
      <c r="E495" s="1"/>
      <c r="I495" s="1"/>
      <c r="K495" s="4">
        <f>Tabelle52[[#This Row],[value_present]]*Tabelle52[[#This Row],[binding_level]]</f>
        <v>0</v>
      </c>
    </row>
    <row r="496" spans="1:11" x14ac:dyDescent="0.25">
      <c r="A496" s="2"/>
      <c r="B496" s="2"/>
      <c r="C496" s="2"/>
      <c r="D496" s="3"/>
      <c r="E496" s="1"/>
      <c r="I496" s="1"/>
      <c r="K496" s="4">
        <f>Tabelle52[[#This Row],[value_present]]*Tabelle52[[#This Row],[binding_level]]</f>
        <v>0</v>
      </c>
    </row>
    <row r="497" spans="1:11" x14ac:dyDescent="0.25">
      <c r="A497" s="2"/>
      <c r="B497" s="2"/>
      <c r="C497" s="2"/>
      <c r="D497" s="3"/>
      <c r="E497" s="1"/>
      <c r="I497" s="1"/>
      <c r="K497" s="4">
        <f>Tabelle52[[#This Row],[value_present]]*Tabelle52[[#This Row],[binding_level]]</f>
        <v>0</v>
      </c>
    </row>
    <row r="498" spans="1:11" x14ac:dyDescent="0.25">
      <c r="A498" s="2"/>
      <c r="B498" s="2"/>
      <c r="C498" s="2"/>
      <c r="D498" s="3"/>
      <c r="E498" s="1"/>
      <c r="I498" s="1"/>
      <c r="K498" s="4">
        <f>Tabelle52[[#This Row],[value_present]]*Tabelle52[[#This Row],[binding_level]]</f>
        <v>0</v>
      </c>
    </row>
    <row r="499" spans="1:11" x14ac:dyDescent="0.25">
      <c r="A499" s="2"/>
      <c r="B499" s="2"/>
      <c r="C499" s="2"/>
      <c r="D499" s="3"/>
      <c r="E499" s="1"/>
      <c r="I499" s="1"/>
      <c r="K499" s="4">
        <f>Tabelle52[[#This Row],[value_present]]*Tabelle52[[#This Row],[binding_level]]</f>
        <v>0</v>
      </c>
    </row>
    <row r="500" spans="1:11" x14ac:dyDescent="0.25">
      <c r="A500" s="2"/>
      <c r="B500" s="2"/>
      <c r="C500" s="2"/>
      <c r="D500" s="3"/>
      <c r="E500" s="1"/>
      <c r="I500" s="1"/>
      <c r="K500" s="4">
        <f>Tabelle52[[#This Row],[value_present]]*Tabelle52[[#This Row],[binding_level]]</f>
        <v>0</v>
      </c>
    </row>
    <row r="501" spans="1:11" x14ac:dyDescent="0.25">
      <c r="A501" s="2"/>
      <c r="B501" s="2"/>
      <c r="C501" s="2"/>
      <c r="D501" s="3"/>
      <c r="E501" s="1"/>
      <c r="I501" s="1"/>
      <c r="K501" s="4">
        <f>Tabelle52[[#This Row],[value_present]]*Tabelle52[[#This Row],[binding_level]]</f>
        <v>0</v>
      </c>
    </row>
    <row r="502" spans="1:11" x14ac:dyDescent="0.25">
      <c r="A502" s="2"/>
      <c r="B502" s="2"/>
      <c r="C502" s="2"/>
      <c r="D502" s="3"/>
      <c r="E502" s="1"/>
      <c r="I502" s="1"/>
      <c r="K502" s="4">
        <f>Tabelle52[[#This Row],[value_present]]*Tabelle52[[#This Row],[binding_level]]</f>
        <v>0</v>
      </c>
    </row>
    <row r="503" spans="1:11" x14ac:dyDescent="0.25">
      <c r="A503" s="2"/>
      <c r="B503" s="2"/>
      <c r="C503" s="2"/>
      <c r="D503" s="3"/>
      <c r="E503" s="1"/>
      <c r="I503" s="1"/>
      <c r="K503" s="4">
        <f>Tabelle52[[#This Row],[value_present]]*Tabelle52[[#This Row],[binding_level]]</f>
        <v>0</v>
      </c>
    </row>
    <row r="504" spans="1:11" x14ac:dyDescent="0.25">
      <c r="A504" s="2"/>
      <c r="B504" s="2"/>
      <c r="C504" s="2"/>
      <c r="D504" s="3"/>
      <c r="E504" s="1"/>
      <c r="I504" s="1"/>
      <c r="K504" s="4">
        <f>Tabelle52[[#This Row],[value_present]]*Tabelle52[[#This Row],[binding_level]]</f>
        <v>0</v>
      </c>
    </row>
    <row r="505" spans="1:11" x14ac:dyDescent="0.25">
      <c r="A505" s="2"/>
      <c r="B505" s="2"/>
      <c r="C505" s="2"/>
      <c r="D505" s="3"/>
      <c r="E505" s="1"/>
      <c r="I505" s="1"/>
      <c r="K505" s="4">
        <f>Tabelle52[[#This Row],[value_present]]*Tabelle52[[#This Row],[binding_level]]</f>
        <v>0</v>
      </c>
    </row>
    <row r="506" spans="1:11" x14ac:dyDescent="0.25">
      <c r="A506" s="2"/>
      <c r="B506" s="2"/>
      <c r="C506" s="2"/>
      <c r="D506" s="3"/>
      <c r="E506" s="1"/>
      <c r="I506" s="1"/>
      <c r="K506" s="4">
        <f>Tabelle52[[#This Row],[value_present]]*Tabelle52[[#This Row],[binding_level]]</f>
        <v>0</v>
      </c>
    </row>
    <row r="507" spans="1:11" x14ac:dyDescent="0.25">
      <c r="A507" s="2"/>
      <c r="B507" s="2"/>
      <c r="C507" s="2"/>
      <c r="D507" s="3"/>
      <c r="E507" s="1"/>
      <c r="I507" s="1"/>
      <c r="K507" s="4">
        <f>Tabelle52[[#This Row],[value_present]]*Tabelle52[[#This Row],[binding_level]]</f>
        <v>0</v>
      </c>
    </row>
    <row r="508" spans="1:11" x14ac:dyDescent="0.25">
      <c r="A508" s="2"/>
      <c r="B508" s="2"/>
      <c r="C508" s="2"/>
      <c r="D508" s="3"/>
      <c r="E508" s="1"/>
      <c r="I508" s="1"/>
      <c r="K508" s="4">
        <f>Tabelle52[[#This Row],[value_present]]*Tabelle52[[#This Row],[binding_level]]</f>
        <v>0</v>
      </c>
    </row>
    <row r="509" spans="1:11" x14ac:dyDescent="0.25">
      <c r="A509" s="2"/>
      <c r="B509" s="2"/>
      <c r="C509" s="2"/>
      <c r="D509" s="3"/>
      <c r="E509" s="1"/>
      <c r="I509" s="1"/>
      <c r="K509" s="4">
        <f>Tabelle52[[#This Row],[value_present]]*Tabelle52[[#This Row],[binding_level]]</f>
        <v>0</v>
      </c>
    </row>
    <row r="510" spans="1:11" x14ac:dyDescent="0.25">
      <c r="A510" s="2"/>
      <c r="B510" s="2"/>
      <c r="C510" s="2"/>
      <c r="D510" s="3"/>
      <c r="E510" s="1"/>
      <c r="I510" s="1"/>
      <c r="K510" s="4">
        <f>Tabelle52[[#This Row],[value_present]]*Tabelle52[[#This Row],[binding_level]]</f>
        <v>0</v>
      </c>
    </row>
    <row r="511" spans="1:11" x14ac:dyDescent="0.25">
      <c r="A511" s="2"/>
      <c r="B511" s="2"/>
      <c r="C511" s="2"/>
      <c r="D511" s="3"/>
      <c r="E511" s="1"/>
      <c r="I511" s="1"/>
      <c r="K511" s="4">
        <f>Tabelle52[[#This Row],[value_present]]*Tabelle52[[#This Row],[binding_level]]</f>
        <v>0</v>
      </c>
    </row>
    <row r="512" spans="1:11" x14ac:dyDescent="0.25">
      <c r="A512" s="2"/>
      <c r="B512" s="2"/>
      <c r="C512" s="2"/>
      <c r="D512" s="3"/>
      <c r="E512" s="1"/>
      <c r="I512" s="1"/>
      <c r="K512" s="4">
        <f>Tabelle52[[#This Row],[value_present]]*Tabelle52[[#This Row],[binding_level]]</f>
        <v>0</v>
      </c>
    </row>
    <row r="513" spans="1:11" x14ac:dyDescent="0.25">
      <c r="A513" s="2"/>
      <c r="B513" s="2"/>
      <c r="C513" s="2"/>
      <c r="D513" s="3"/>
      <c r="E513" s="1"/>
      <c r="I513" s="1"/>
      <c r="K513" s="4">
        <f>Tabelle52[[#This Row],[value_present]]*Tabelle52[[#This Row],[binding_level]]</f>
        <v>0</v>
      </c>
    </row>
    <row r="514" spans="1:11" x14ac:dyDescent="0.25">
      <c r="A514" s="2"/>
      <c r="B514" s="2"/>
      <c r="C514" s="2"/>
      <c r="D514" s="3"/>
      <c r="E514" s="1"/>
      <c r="I514" s="1"/>
      <c r="K514" s="4">
        <f>Tabelle52[[#This Row],[value_present]]*Tabelle52[[#This Row],[binding_level]]</f>
        <v>0</v>
      </c>
    </row>
    <row r="515" spans="1:11" x14ac:dyDescent="0.25">
      <c r="A515" s="2"/>
      <c r="B515" s="2"/>
      <c r="C515" s="2"/>
      <c r="D515" s="3"/>
      <c r="E515" s="1"/>
      <c r="I515" s="1"/>
      <c r="K515" s="4">
        <f>Tabelle52[[#This Row],[value_present]]*Tabelle52[[#This Row],[binding_level]]</f>
        <v>0</v>
      </c>
    </row>
    <row r="516" spans="1:11" x14ac:dyDescent="0.25">
      <c r="A516" s="2"/>
      <c r="B516" s="2"/>
      <c r="C516" s="2"/>
      <c r="D516" s="3"/>
      <c r="E516" s="1"/>
      <c r="I516" s="1"/>
      <c r="K516" s="4">
        <f>Tabelle52[[#This Row],[value_present]]*Tabelle52[[#This Row],[binding_level]]</f>
        <v>0</v>
      </c>
    </row>
    <row r="517" spans="1:11" x14ac:dyDescent="0.25">
      <c r="A517" s="2"/>
      <c r="B517" s="2"/>
      <c r="C517" s="2"/>
      <c r="D517" s="3"/>
      <c r="E517" s="1"/>
      <c r="I517" s="1"/>
      <c r="K517" s="4">
        <f>Tabelle52[[#This Row],[value_present]]*Tabelle52[[#This Row],[binding_level]]</f>
        <v>0</v>
      </c>
    </row>
    <row r="518" spans="1:11" x14ac:dyDescent="0.25">
      <c r="A518" s="2"/>
      <c r="B518" s="2"/>
      <c r="C518" s="2"/>
      <c r="D518" s="3"/>
      <c r="E518" s="1"/>
      <c r="I518" s="1"/>
      <c r="K518" s="4">
        <f>Tabelle52[[#This Row],[value_present]]*Tabelle52[[#This Row],[binding_level]]</f>
        <v>0</v>
      </c>
    </row>
    <row r="519" spans="1:11" x14ac:dyDescent="0.25">
      <c r="A519" s="2"/>
      <c r="B519" s="2"/>
      <c r="C519" s="2"/>
      <c r="D519" s="3"/>
      <c r="E519" s="1"/>
      <c r="I519" s="1"/>
      <c r="K519" s="4">
        <f>Tabelle52[[#This Row],[value_present]]*Tabelle52[[#This Row],[binding_level]]</f>
        <v>0</v>
      </c>
    </row>
    <row r="520" spans="1:11" x14ac:dyDescent="0.25">
      <c r="A520" s="2"/>
      <c r="B520" s="2"/>
      <c r="C520" s="2"/>
      <c r="D520" s="3"/>
      <c r="E520" s="1"/>
      <c r="I520" s="1"/>
      <c r="K520" s="4">
        <f>Tabelle52[[#This Row],[value_present]]*Tabelle52[[#This Row],[binding_level]]</f>
        <v>0</v>
      </c>
    </row>
    <row r="521" spans="1:11" x14ac:dyDescent="0.25">
      <c r="A521" s="2"/>
      <c r="B521" s="2"/>
      <c r="C521" s="2"/>
      <c r="D521" s="3"/>
      <c r="E521" s="1"/>
      <c r="I521" s="1"/>
      <c r="K521" s="4">
        <f>Tabelle52[[#This Row],[value_present]]*Tabelle52[[#This Row],[binding_level]]</f>
        <v>0</v>
      </c>
    </row>
    <row r="522" spans="1:11" x14ac:dyDescent="0.25">
      <c r="A522" s="2"/>
      <c r="B522" s="2"/>
      <c r="C522" s="2"/>
      <c r="D522" s="3"/>
      <c r="E522" s="1"/>
      <c r="I522" s="1"/>
      <c r="K522" s="4">
        <f>Tabelle52[[#This Row],[value_present]]*Tabelle52[[#This Row],[binding_level]]</f>
        <v>0</v>
      </c>
    </row>
    <row r="523" spans="1:11" x14ac:dyDescent="0.25">
      <c r="A523" s="2"/>
      <c r="B523" s="2"/>
      <c r="C523" s="2"/>
      <c r="D523" s="3"/>
      <c r="E523" s="1"/>
      <c r="I523" s="1"/>
      <c r="K523" s="4">
        <f>Tabelle52[[#This Row],[value_present]]*Tabelle52[[#This Row],[binding_level]]</f>
        <v>0</v>
      </c>
    </row>
    <row r="524" spans="1:11" x14ac:dyDescent="0.25">
      <c r="A524" s="2"/>
      <c r="B524" s="2"/>
      <c r="C524" s="2"/>
      <c r="D524" s="3"/>
      <c r="E524" s="1"/>
      <c r="I524" s="1"/>
      <c r="K524" s="4">
        <f>Tabelle52[[#This Row],[value_present]]*Tabelle52[[#This Row],[binding_level]]</f>
        <v>0</v>
      </c>
    </row>
    <row r="525" spans="1:11" x14ac:dyDescent="0.25">
      <c r="A525" s="2"/>
      <c r="B525" s="2"/>
      <c r="C525" s="2"/>
      <c r="D525" s="3"/>
      <c r="E525" s="1"/>
      <c r="I525" s="1"/>
      <c r="K525" s="4">
        <f>Tabelle52[[#This Row],[value_present]]*Tabelle52[[#This Row],[binding_level]]</f>
        <v>0</v>
      </c>
    </row>
    <row r="526" spans="1:11" x14ac:dyDescent="0.25">
      <c r="A526" s="2"/>
      <c r="B526" s="2"/>
      <c r="C526" s="2"/>
      <c r="D526" s="3"/>
      <c r="E526" s="1"/>
      <c r="I526" s="1"/>
      <c r="K526" s="4">
        <f>Tabelle52[[#This Row],[value_present]]*Tabelle52[[#This Row],[binding_level]]</f>
        <v>0</v>
      </c>
    </row>
    <row r="527" spans="1:11" x14ac:dyDescent="0.25">
      <c r="A527" s="2"/>
      <c r="B527" s="2"/>
      <c r="C527" s="2"/>
      <c r="D527" s="3"/>
      <c r="E527" s="1"/>
      <c r="I527" s="1"/>
      <c r="K527" s="4">
        <f>Tabelle52[[#This Row],[value_present]]*Tabelle52[[#This Row],[binding_level]]</f>
        <v>0</v>
      </c>
    </row>
    <row r="528" spans="1:11" x14ac:dyDescent="0.25">
      <c r="A528" s="2"/>
      <c r="B528" s="2"/>
      <c r="C528" s="2"/>
      <c r="D528" s="3"/>
      <c r="E528" s="1"/>
      <c r="I528" s="1"/>
      <c r="K528" s="4">
        <f>Tabelle52[[#This Row],[value_present]]*Tabelle52[[#This Row],[binding_level]]</f>
        <v>0</v>
      </c>
    </row>
    <row r="529" spans="1:11" x14ac:dyDescent="0.25">
      <c r="A529" s="2"/>
      <c r="B529" s="2"/>
      <c r="C529" s="2"/>
      <c r="D529" s="3"/>
      <c r="E529" s="1"/>
      <c r="I529" s="1"/>
      <c r="K529" s="4">
        <f>Tabelle52[[#This Row],[value_present]]*Tabelle52[[#This Row],[binding_level]]</f>
        <v>0</v>
      </c>
    </row>
    <row r="530" spans="1:11" x14ac:dyDescent="0.25">
      <c r="A530" s="2"/>
      <c r="B530" s="2"/>
      <c r="C530" s="2"/>
      <c r="D530" s="3"/>
      <c r="E530" s="1"/>
      <c r="I530" s="1"/>
      <c r="K530" s="4">
        <f>Tabelle52[[#This Row],[value_present]]*Tabelle52[[#This Row],[binding_level]]</f>
        <v>0</v>
      </c>
    </row>
    <row r="531" spans="1:11" x14ac:dyDescent="0.25">
      <c r="A531" s="2"/>
      <c r="B531" s="2"/>
      <c r="C531" s="2"/>
      <c r="D531" s="3"/>
      <c r="E531" s="1"/>
      <c r="I531" s="1"/>
      <c r="K531" s="4">
        <f>Tabelle52[[#This Row],[value_present]]*Tabelle52[[#This Row],[binding_level]]</f>
        <v>0</v>
      </c>
    </row>
    <row r="532" spans="1:11" x14ac:dyDescent="0.25">
      <c r="A532" s="2"/>
      <c r="B532" s="2"/>
      <c r="C532" s="2"/>
      <c r="D532" s="3"/>
      <c r="E532" s="1"/>
      <c r="I532" s="1"/>
      <c r="K532" s="4">
        <f>Tabelle52[[#This Row],[value_present]]*Tabelle52[[#This Row],[binding_level]]</f>
        <v>0</v>
      </c>
    </row>
    <row r="533" spans="1:11" x14ac:dyDescent="0.25">
      <c r="A533" s="2"/>
      <c r="B533" s="2"/>
      <c r="C533" s="2"/>
      <c r="D533" s="3"/>
      <c r="E533" s="1"/>
      <c r="I533" s="1"/>
      <c r="K533" s="4">
        <f>Tabelle52[[#This Row],[value_present]]*Tabelle52[[#This Row],[binding_level]]</f>
        <v>0</v>
      </c>
    </row>
    <row r="534" spans="1:11" x14ac:dyDescent="0.25">
      <c r="A534" s="2"/>
      <c r="B534" s="2"/>
      <c r="C534" s="2"/>
      <c r="D534" s="3"/>
      <c r="E534" s="1"/>
      <c r="I534" s="1"/>
      <c r="K534" s="4">
        <f>Tabelle52[[#This Row],[value_present]]*Tabelle52[[#This Row],[binding_level]]</f>
        <v>0</v>
      </c>
    </row>
    <row r="535" spans="1:11" x14ac:dyDescent="0.25">
      <c r="A535" s="2"/>
      <c r="B535" s="2"/>
      <c r="C535" s="2"/>
      <c r="D535" s="3"/>
      <c r="E535" s="1"/>
      <c r="I535" s="1"/>
      <c r="K535" s="4">
        <f>Tabelle52[[#This Row],[value_present]]*Tabelle52[[#This Row],[binding_level]]</f>
        <v>0</v>
      </c>
    </row>
    <row r="536" spans="1:11" x14ac:dyDescent="0.25">
      <c r="A536" s="2"/>
      <c r="B536" s="2"/>
      <c r="C536" s="2"/>
      <c r="D536" s="3"/>
      <c r="E536" s="1"/>
      <c r="I536" s="1"/>
      <c r="K536" s="4">
        <f>Tabelle52[[#This Row],[value_present]]*Tabelle52[[#This Row],[binding_level]]</f>
        <v>0</v>
      </c>
    </row>
    <row r="537" spans="1:11" x14ac:dyDescent="0.25">
      <c r="A537" s="2"/>
      <c r="B537" s="2"/>
      <c r="C537" s="2"/>
      <c r="D537" s="3"/>
      <c r="E537" s="1"/>
      <c r="I537" s="1"/>
      <c r="K537" s="4">
        <f>Tabelle52[[#This Row],[value_present]]*Tabelle52[[#This Row],[binding_level]]</f>
        <v>0</v>
      </c>
    </row>
    <row r="538" spans="1:11" x14ac:dyDescent="0.25">
      <c r="A538" s="2"/>
      <c r="B538" s="2"/>
      <c r="C538" s="2"/>
      <c r="D538" s="3"/>
      <c r="E538" s="1"/>
      <c r="I538" s="1"/>
      <c r="K538" s="4">
        <f>Tabelle52[[#This Row],[value_present]]*Tabelle52[[#This Row],[binding_level]]</f>
        <v>0</v>
      </c>
    </row>
    <row r="539" spans="1:11" x14ac:dyDescent="0.25">
      <c r="A539" s="2"/>
      <c r="B539" s="2"/>
      <c r="C539" s="2"/>
      <c r="D539" s="3"/>
      <c r="E539" s="1"/>
      <c r="I539" s="1"/>
      <c r="K539" s="4">
        <f>Tabelle52[[#This Row],[value_present]]*Tabelle52[[#This Row],[binding_level]]</f>
        <v>0</v>
      </c>
    </row>
    <row r="540" spans="1:11" x14ac:dyDescent="0.25">
      <c r="A540" s="2"/>
      <c r="B540" s="2"/>
      <c r="C540" s="2"/>
      <c r="D540" s="3"/>
      <c r="E540" s="1"/>
      <c r="I540" s="1"/>
      <c r="K540" s="4">
        <f>Tabelle52[[#This Row],[value_present]]*Tabelle52[[#This Row],[binding_level]]</f>
        <v>0</v>
      </c>
    </row>
    <row r="541" spans="1:11" x14ac:dyDescent="0.25">
      <c r="A541" s="2"/>
      <c r="B541" s="2"/>
      <c r="C541" s="2"/>
      <c r="D541" s="3"/>
      <c r="E541" s="1"/>
      <c r="I541" s="1"/>
      <c r="K541" s="4">
        <f>Tabelle52[[#This Row],[value_present]]*Tabelle52[[#This Row],[binding_level]]</f>
        <v>0</v>
      </c>
    </row>
    <row r="542" spans="1:11" x14ac:dyDescent="0.25">
      <c r="A542" s="2"/>
      <c r="B542" s="2"/>
      <c r="C542" s="2"/>
      <c r="D542" s="3"/>
      <c r="E542" s="1"/>
      <c r="I542" s="1"/>
      <c r="K542" s="4">
        <f>Tabelle52[[#This Row],[value_present]]*Tabelle52[[#This Row],[binding_level]]</f>
        <v>0</v>
      </c>
    </row>
    <row r="543" spans="1:11" x14ac:dyDescent="0.25">
      <c r="A543" s="2"/>
      <c r="B543" s="2"/>
      <c r="C543" s="2"/>
      <c r="D543" s="3"/>
      <c r="E543" s="1"/>
      <c r="I543" s="1"/>
      <c r="K543" s="4">
        <f>Tabelle52[[#This Row],[value_present]]*Tabelle52[[#This Row],[binding_level]]</f>
        <v>0</v>
      </c>
    </row>
    <row r="544" spans="1:11" x14ac:dyDescent="0.25">
      <c r="A544" s="2"/>
      <c r="B544" s="2"/>
      <c r="C544" s="2"/>
      <c r="D544" s="3"/>
      <c r="E544" s="1"/>
      <c r="I544" s="1"/>
      <c r="K544" s="4">
        <f>Tabelle52[[#This Row],[value_present]]*Tabelle52[[#This Row],[binding_level]]</f>
        <v>0</v>
      </c>
    </row>
    <row r="545" spans="1:11" x14ac:dyDescent="0.25">
      <c r="A545" s="2"/>
      <c r="B545" s="2"/>
      <c r="C545" s="2"/>
      <c r="D545" s="3"/>
      <c r="E545" s="1"/>
      <c r="I545" s="1"/>
      <c r="K545" s="4">
        <f>Tabelle52[[#This Row],[value_present]]*Tabelle52[[#This Row],[binding_level]]</f>
        <v>0</v>
      </c>
    </row>
    <row r="546" spans="1:11" x14ac:dyDescent="0.25">
      <c r="A546" s="2"/>
      <c r="B546" s="2"/>
      <c r="C546" s="2"/>
      <c r="D546" s="3"/>
      <c r="E546" s="1"/>
      <c r="I546" s="1"/>
      <c r="K546" s="4">
        <f>Tabelle52[[#This Row],[value_present]]*Tabelle52[[#This Row],[binding_level]]</f>
        <v>0</v>
      </c>
    </row>
    <row r="547" spans="1:11" x14ac:dyDescent="0.25">
      <c r="A547" s="2"/>
      <c r="B547" s="2"/>
      <c r="C547" s="2"/>
      <c r="D547" s="3"/>
      <c r="E547" s="1"/>
      <c r="I547" s="1"/>
      <c r="K547" s="4">
        <f>Tabelle52[[#This Row],[value_present]]*Tabelle52[[#This Row],[binding_level]]</f>
        <v>0</v>
      </c>
    </row>
    <row r="548" spans="1:11" x14ac:dyDescent="0.25">
      <c r="A548" s="2"/>
      <c r="B548" s="2"/>
      <c r="C548" s="2"/>
      <c r="D548" s="3"/>
      <c r="E548" s="1"/>
      <c r="I548" s="1"/>
      <c r="K548" s="4">
        <f>Tabelle52[[#This Row],[value_present]]*Tabelle52[[#This Row],[binding_level]]</f>
        <v>0</v>
      </c>
    </row>
    <row r="549" spans="1:11" x14ac:dyDescent="0.25">
      <c r="A549" s="2"/>
      <c r="B549" s="2"/>
      <c r="C549" s="2"/>
      <c r="D549" s="3"/>
      <c r="E549" s="1"/>
      <c r="I549" s="1"/>
      <c r="K549" s="4">
        <f>Tabelle52[[#This Row],[value_present]]*Tabelle52[[#This Row],[binding_level]]</f>
        <v>0</v>
      </c>
    </row>
    <row r="550" spans="1:11" x14ac:dyDescent="0.25">
      <c r="A550" s="2"/>
      <c r="B550" s="2"/>
      <c r="C550" s="2"/>
      <c r="D550" s="3"/>
      <c r="E550" s="1"/>
      <c r="I550" s="1"/>
      <c r="K550" s="4">
        <f>Tabelle52[[#This Row],[value_present]]*Tabelle52[[#This Row],[binding_level]]</f>
        <v>0</v>
      </c>
    </row>
    <row r="551" spans="1:11" x14ac:dyDescent="0.25">
      <c r="A551" s="2"/>
      <c r="B551" s="2"/>
      <c r="C551" s="2"/>
      <c r="D551" s="3"/>
      <c r="E551" s="1"/>
      <c r="I551" s="1"/>
      <c r="K551" s="4">
        <f>Tabelle52[[#This Row],[value_present]]*Tabelle52[[#This Row],[binding_level]]</f>
        <v>0</v>
      </c>
    </row>
    <row r="552" spans="1:11" x14ac:dyDescent="0.25">
      <c r="A552" s="2"/>
      <c r="B552" s="2"/>
      <c r="C552" s="2"/>
      <c r="D552" s="3"/>
      <c r="E552" s="1"/>
      <c r="I552" s="1"/>
      <c r="K552" s="4">
        <f>Tabelle52[[#This Row],[value_present]]*Tabelle52[[#This Row],[binding_level]]</f>
        <v>0</v>
      </c>
    </row>
    <row r="553" spans="1:11" x14ac:dyDescent="0.25">
      <c r="A553" s="2"/>
      <c r="B553" s="2"/>
      <c r="C553" s="2"/>
      <c r="D553" s="3"/>
      <c r="E553" s="1"/>
      <c r="I553" s="1"/>
      <c r="K553" s="4">
        <f>Tabelle52[[#This Row],[value_present]]*Tabelle52[[#This Row],[binding_level]]</f>
        <v>0</v>
      </c>
    </row>
    <row r="554" spans="1:11" x14ac:dyDescent="0.25">
      <c r="A554" s="2"/>
      <c r="B554" s="2"/>
      <c r="C554" s="2"/>
      <c r="D554" s="3"/>
      <c r="E554" s="1"/>
      <c r="I554" s="1"/>
      <c r="K554" s="4">
        <f>Tabelle52[[#This Row],[value_present]]*Tabelle52[[#This Row],[binding_level]]</f>
        <v>0</v>
      </c>
    </row>
    <row r="555" spans="1:11" x14ac:dyDescent="0.25">
      <c r="A555" s="2"/>
      <c r="B555" s="2"/>
      <c r="C555" s="2"/>
      <c r="D555" s="3"/>
      <c r="E555" s="1"/>
      <c r="I555" s="1"/>
      <c r="K555" s="4">
        <f>Tabelle52[[#This Row],[value_present]]*Tabelle52[[#This Row],[binding_level]]</f>
        <v>0</v>
      </c>
    </row>
    <row r="556" spans="1:11" x14ac:dyDescent="0.25">
      <c r="A556" s="2"/>
      <c r="B556" s="2"/>
      <c r="C556" s="2"/>
      <c r="D556" s="3"/>
      <c r="E556" s="1"/>
      <c r="I556" s="1"/>
      <c r="K556" s="4">
        <f>Tabelle52[[#This Row],[value_present]]*Tabelle52[[#This Row],[binding_level]]</f>
        <v>0</v>
      </c>
    </row>
    <row r="557" spans="1:11" x14ac:dyDescent="0.25">
      <c r="A557" s="2"/>
      <c r="B557" s="2"/>
      <c r="C557" s="2"/>
      <c r="D557" s="3"/>
      <c r="E557" s="1"/>
      <c r="I557" s="1"/>
      <c r="K557" s="4">
        <f>Tabelle52[[#This Row],[value_present]]*Tabelle52[[#This Row],[binding_level]]</f>
        <v>0</v>
      </c>
    </row>
    <row r="558" spans="1:11" x14ac:dyDescent="0.25">
      <c r="A558" s="2"/>
      <c r="B558" s="2"/>
      <c r="C558" s="2"/>
      <c r="D558" s="3"/>
      <c r="E558" s="1"/>
      <c r="I558" s="1"/>
      <c r="K558" s="4">
        <f>Tabelle52[[#This Row],[value_present]]*Tabelle52[[#This Row],[binding_level]]</f>
        <v>0</v>
      </c>
    </row>
    <row r="559" spans="1:11" x14ac:dyDescent="0.25">
      <c r="A559" s="2"/>
      <c r="B559" s="2"/>
      <c r="C559" s="2"/>
      <c r="D559" s="3"/>
      <c r="E559" s="1"/>
      <c r="I559" s="1"/>
      <c r="K559" s="4">
        <f>Tabelle52[[#This Row],[value_present]]*Tabelle52[[#This Row],[binding_level]]</f>
        <v>0</v>
      </c>
    </row>
    <row r="560" spans="1:11" x14ac:dyDescent="0.25">
      <c r="A560" s="2"/>
      <c r="B560" s="2"/>
      <c r="C560" s="2"/>
      <c r="D560" s="3"/>
      <c r="E560" s="1"/>
      <c r="I560" s="1"/>
      <c r="K560" s="4">
        <f>Tabelle52[[#This Row],[value_present]]*Tabelle52[[#This Row],[binding_level]]</f>
        <v>0</v>
      </c>
    </row>
    <row r="561" spans="1:11" x14ac:dyDescent="0.25">
      <c r="A561" s="2"/>
      <c r="B561" s="2"/>
      <c r="C561" s="2"/>
      <c r="D561" s="3"/>
      <c r="E561" s="1"/>
      <c r="I561" s="1"/>
      <c r="K561" s="4">
        <f>Tabelle52[[#This Row],[value_present]]*Tabelle52[[#This Row],[binding_level]]</f>
        <v>0</v>
      </c>
    </row>
    <row r="562" spans="1:11" x14ac:dyDescent="0.25">
      <c r="A562" s="2"/>
      <c r="B562" s="2"/>
      <c r="C562" s="2"/>
      <c r="D562" s="3"/>
      <c r="E562" s="1"/>
      <c r="I562" s="1"/>
      <c r="K562" s="4">
        <f>Tabelle52[[#This Row],[value_present]]*Tabelle52[[#This Row],[binding_level]]</f>
        <v>0</v>
      </c>
    </row>
    <row r="563" spans="1:11" x14ac:dyDescent="0.25">
      <c r="A563" s="2"/>
      <c r="B563" s="2"/>
      <c r="C563" s="2"/>
      <c r="D563" s="3"/>
      <c r="E563" s="1"/>
      <c r="I563" s="1"/>
      <c r="K563" s="4">
        <f>Tabelle52[[#This Row],[value_present]]*Tabelle52[[#This Row],[binding_level]]</f>
        <v>0</v>
      </c>
    </row>
    <row r="564" spans="1:11" x14ac:dyDescent="0.25">
      <c r="A564" s="2"/>
      <c r="B564" s="2"/>
      <c r="C564" s="2"/>
      <c r="D564" s="3"/>
      <c r="E564" s="1"/>
      <c r="I564" s="1"/>
      <c r="K564" s="4">
        <f>Tabelle52[[#This Row],[value_present]]*Tabelle52[[#This Row],[binding_level]]</f>
        <v>0</v>
      </c>
    </row>
    <row r="565" spans="1:11" x14ac:dyDescent="0.25">
      <c r="A565" s="2"/>
      <c r="B565" s="2"/>
      <c r="C565" s="2"/>
      <c r="D565" s="3"/>
      <c r="E565" s="1"/>
      <c r="I565" s="1"/>
      <c r="K565" s="4">
        <f>Tabelle52[[#This Row],[value_present]]*Tabelle52[[#This Row],[binding_level]]</f>
        <v>0</v>
      </c>
    </row>
    <row r="566" spans="1:11" x14ac:dyDescent="0.25">
      <c r="A566" s="2"/>
      <c r="B566" s="2"/>
      <c r="C566" s="2"/>
      <c r="D566" s="3"/>
      <c r="E566" s="1"/>
      <c r="I566" s="1"/>
      <c r="K566" s="4">
        <f>Tabelle52[[#This Row],[value_present]]*Tabelle52[[#This Row],[binding_level]]</f>
        <v>0</v>
      </c>
    </row>
    <row r="567" spans="1:11" x14ac:dyDescent="0.25">
      <c r="A567" s="2"/>
      <c r="B567" s="2"/>
      <c r="C567" s="2"/>
      <c r="D567" s="3"/>
      <c r="E567" s="1"/>
      <c r="I567" s="1"/>
      <c r="K567" s="4">
        <f>Tabelle52[[#This Row],[value_present]]*Tabelle52[[#This Row],[binding_level]]</f>
        <v>0</v>
      </c>
    </row>
    <row r="568" spans="1:11" x14ac:dyDescent="0.25">
      <c r="A568" s="2"/>
      <c r="B568" s="2"/>
      <c r="C568" s="2"/>
      <c r="D568" s="3"/>
      <c r="E568" s="1"/>
      <c r="I568" s="1"/>
      <c r="K568" s="4">
        <f>Tabelle52[[#This Row],[value_present]]*Tabelle52[[#This Row],[binding_level]]</f>
        <v>0</v>
      </c>
    </row>
    <row r="569" spans="1:11" x14ac:dyDescent="0.25">
      <c r="A569" s="2"/>
      <c r="B569" s="2"/>
      <c r="C569" s="2"/>
      <c r="D569" s="3"/>
      <c r="E569" s="1"/>
      <c r="I569" s="1"/>
      <c r="K569" s="4">
        <f>Tabelle52[[#This Row],[value_present]]*Tabelle52[[#This Row],[binding_level]]</f>
        <v>0</v>
      </c>
    </row>
    <row r="570" spans="1:11" x14ac:dyDescent="0.25">
      <c r="A570" s="2"/>
      <c r="B570" s="2"/>
      <c r="C570" s="2"/>
      <c r="D570" s="3"/>
      <c r="E570" s="1"/>
      <c r="I570" s="1"/>
      <c r="K570" s="4">
        <f>Tabelle52[[#This Row],[value_present]]*Tabelle52[[#This Row],[binding_level]]</f>
        <v>0</v>
      </c>
    </row>
    <row r="571" spans="1:11" x14ac:dyDescent="0.25">
      <c r="A571" s="2"/>
      <c r="B571" s="2"/>
      <c r="C571" s="2"/>
      <c r="D571" s="3"/>
      <c r="E571" s="1"/>
      <c r="I571" s="1"/>
      <c r="K571" s="4">
        <f>Tabelle52[[#This Row],[value_present]]*Tabelle52[[#This Row],[binding_level]]</f>
        <v>0</v>
      </c>
    </row>
    <row r="572" spans="1:11" x14ac:dyDescent="0.25">
      <c r="A572" s="2"/>
      <c r="B572" s="2"/>
      <c r="C572" s="2"/>
      <c r="D572" s="3"/>
      <c r="E572" s="1"/>
      <c r="I572" s="1"/>
      <c r="K572" s="4">
        <f>Tabelle52[[#This Row],[value_present]]*Tabelle52[[#This Row],[binding_level]]</f>
        <v>0</v>
      </c>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InputMessage="1" showErrorMessage="1" xr:uid="{1390CC95-C4DF-4F8E-AD77-C2C0D552DA64}">
          <x14:formula1>
            <xm:f>'99_Lookups'!$M$2:$M$4</xm:f>
          </x14:formula1>
          <xm:sqref>E2:E572</xm:sqref>
        </x14:dataValidation>
        <x14:dataValidation type="list" showErrorMessage="1" xr:uid="{C0EA140C-20FC-42A9-A1F5-E14CAFE3D4D9}">
          <x14:formula1>
            <xm:f>'99_Lookups'!$O$2:$O$3</xm:f>
          </x14:formula1>
          <xm:sqref>D2:D572</xm:sqref>
        </x14:dataValidation>
        <x14:dataValidation type="list" showErrorMessage="1" xr:uid="{0DA668B5-83D6-4B10-95F2-FE1645EF146E}">
          <x14:formula1>
            <xm:f>'99_Lookups'!$K$2:$K$4</xm:f>
          </x14:formula1>
          <xm:sqref>I2:I127 J128:J139 I140 J141:J143 I144 J145 I146:I572</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691F-CE04-405F-A754-A868039307F0}">
  <sheetPr>
    <tabColor theme="0" tint="-0.499984740745262"/>
  </sheetPr>
  <dimension ref="A1:V464"/>
  <sheetViews>
    <sheetView workbookViewId="0">
      <selection activeCell="N2" sqref="N2:V9"/>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 min="14" max="14" width="13.85546875" customWidth="1"/>
    <col min="16" max="16" width="20.140625" customWidth="1"/>
    <col min="17" max="17" width="22.140625" customWidth="1"/>
    <col min="18" max="18" width="19.5703125" customWidth="1"/>
    <col min="19" max="19" width="21.5703125" customWidth="1"/>
    <col min="20" max="20" width="12" customWidth="1"/>
    <col min="21" max="21" width="15.7109375" customWidth="1"/>
    <col min="22" max="22" width="52.28515625" bestFit="1" customWidth="1"/>
  </cols>
  <sheetData>
    <row r="1" spans="1:22" ht="15.75" thickBot="1" x14ac:dyDescent="0.3">
      <c r="A1" t="s">
        <v>0</v>
      </c>
      <c r="B1" t="s">
        <v>8</v>
      </c>
      <c r="C1" t="s">
        <v>21</v>
      </c>
      <c r="D1" t="s">
        <v>29</v>
      </c>
      <c r="E1" t="s">
        <v>30</v>
      </c>
      <c r="F1" t="s">
        <v>31</v>
      </c>
      <c r="G1" t="s">
        <v>32</v>
      </c>
      <c r="H1" t="s">
        <v>33</v>
      </c>
      <c r="I1" t="s">
        <v>34</v>
      </c>
      <c r="J1" t="s">
        <v>35</v>
      </c>
      <c r="K1" t="s">
        <v>36</v>
      </c>
      <c r="N1" t="s">
        <v>2141</v>
      </c>
    </row>
    <row r="2" spans="1:22" x14ac:dyDescent="0.25">
      <c r="A2" s="18">
        <v>7</v>
      </c>
      <c r="B2" s="19">
        <v>37</v>
      </c>
      <c r="C2" s="19" t="s">
        <v>53</v>
      </c>
      <c r="D2" s="20">
        <v>1</v>
      </c>
      <c r="E2" s="21">
        <v>3</v>
      </c>
      <c r="F2" s="22" t="s">
        <v>1643</v>
      </c>
      <c r="G2" s="22" t="s">
        <v>1644</v>
      </c>
      <c r="H2" s="22" t="s">
        <v>1635</v>
      </c>
      <c r="I2" s="21" t="s">
        <v>1456</v>
      </c>
      <c r="J2" s="22" t="s">
        <v>2085</v>
      </c>
      <c r="K2" s="23">
        <f>Tabelle5225[[#This Row],[value_present]]*Tabelle5225[[#This Row],[binding_level]]</f>
        <v>3</v>
      </c>
      <c r="N2" t="s">
        <v>0</v>
      </c>
      <c r="O2" t="s">
        <v>21</v>
      </c>
      <c r="P2" t="s">
        <v>2128</v>
      </c>
      <c r="Q2" t="s">
        <v>2129</v>
      </c>
      <c r="R2" t="s">
        <v>2130</v>
      </c>
      <c r="S2" t="s">
        <v>2131</v>
      </c>
      <c r="T2" t="s">
        <v>2132</v>
      </c>
      <c r="U2" t="s">
        <v>2133</v>
      </c>
      <c r="V2" t="s">
        <v>2134</v>
      </c>
    </row>
    <row r="3" spans="1:22" x14ac:dyDescent="0.25">
      <c r="A3" s="24">
        <v>7</v>
      </c>
      <c r="B3" s="2">
        <v>37</v>
      </c>
      <c r="C3" s="2" t="s">
        <v>61</v>
      </c>
      <c r="D3" s="3">
        <v>1</v>
      </c>
      <c r="E3" s="1">
        <v>1</v>
      </c>
      <c r="F3" t="s">
        <v>1645</v>
      </c>
      <c r="G3" t="s">
        <v>1646</v>
      </c>
      <c r="H3" t="s">
        <v>1636</v>
      </c>
      <c r="I3" s="1" t="s">
        <v>272</v>
      </c>
      <c r="J3" t="s">
        <v>2086</v>
      </c>
      <c r="K3" s="25">
        <f>Tabelle5225[[#This Row],[value_present]]*Tabelle5225[[#This Row],[binding_level]]</f>
        <v>1</v>
      </c>
      <c r="N3">
        <v>7</v>
      </c>
      <c r="O3" t="s">
        <v>53</v>
      </c>
      <c r="P3">
        <v>1</v>
      </c>
      <c r="Q3">
        <v>1</v>
      </c>
      <c r="R3">
        <v>1</v>
      </c>
      <c r="S3">
        <v>3</v>
      </c>
      <c r="T3" t="s">
        <v>2135</v>
      </c>
      <c r="U3" t="s">
        <v>2136</v>
      </c>
      <c r="V3" t="s">
        <v>2142</v>
      </c>
    </row>
    <row r="4" spans="1:22" x14ac:dyDescent="0.25">
      <c r="A4" s="24">
        <v>7</v>
      </c>
      <c r="B4" s="2">
        <v>37</v>
      </c>
      <c r="C4" s="2" t="s">
        <v>69</v>
      </c>
      <c r="D4" s="3">
        <v>1</v>
      </c>
      <c r="E4" s="1">
        <v>1</v>
      </c>
      <c r="F4" t="s">
        <v>1647</v>
      </c>
      <c r="G4" t="s">
        <v>1648</v>
      </c>
      <c r="H4" t="s">
        <v>1637</v>
      </c>
      <c r="I4" s="1" t="s">
        <v>272</v>
      </c>
      <c r="J4" t="s">
        <v>2087</v>
      </c>
      <c r="K4" s="25">
        <f>Tabelle5225[[#This Row],[value_present]]*Tabelle5225[[#This Row],[binding_level]]</f>
        <v>1</v>
      </c>
      <c r="N4">
        <v>7</v>
      </c>
      <c r="O4" t="s">
        <v>147</v>
      </c>
      <c r="P4">
        <v>1</v>
      </c>
      <c r="Q4">
        <v>1</v>
      </c>
      <c r="R4">
        <v>1</v>
      </c>
      <c r="S4">
        <v>2</v>
      </c>
      <c r="T4" t="s">
        <v>2135</v>
      </c>
      <c r="U4" t="s">
        <v>2137</v>
      </c>
      <c r="V4" t="s">
        <v>2143</v>
      </c>
    </row>
    <row r="5" spans="1:22" x14ac:dyDescent="0.25">
      <c r="A5" s="24">
        <v>7</v>
      </c>
      <c r="B5" s="2">
        <v>37</v>
      </c>
      <c r="C5" s="2" t="s">
        <v>76</v>
      </c>
      <c r="D5" s="3">
        <v>1</v>
      </c>
      <c r="E5" s="1">
        <v>1</v>
      </c>
      <c r="F5" t="s">
        <v>1649</v>
      </c>
      <c r="G5" t="s">
        <v>1650</v>
      </c>
      <c r="H5" t="s">
        <v>1637</v>
      </c>
      <c r="I5" s="1" t="s">
        <v>1456</v>
      </c>
      <c r="J5" t="s">
        <v>2088</v>
      </c>
      <c r="K5" s="25">
        <f>Tabelle5225[[#This Row],[value_present]]*Tabelle5225[[#This Row],[binding_level]]</f>
        <v>1</v>
      </c>
      <c r="N5">
        <v>7</v>
      </c>
      <c r="O5" t="s">
        <v>154</v>
      </c>
      <c r="P5">
        <v>1</v>
      </c>
      <c r="Q5">
        <v>0</v>
      </c>
      <c r="R5">
        <v>1</v>
      </c>
      <c r="T5" t="s">
        <v>2138</v>
      </c>
      <c r="U5" t="s">
        <v>2137</v>
      </c>
      <c r="V5" t="s">
        <v>2139</v>
      </c>
    </row>
    <row r="6" spans="1:22" x14ac:dyDescent="0.25">
      <c r="A6" s="24">
        <v>7</v>
      </c>
      <c r="B6" s="2">
        <v>37</v>
      </c>
      <c r="C6" s="2" t="s">
        <v>83</v>
      </c>
      <c r="D6" s="3">
        <v>1</v>
      </c>
      <c r="E6" s="1">
        <v>1</v>
      </c>
      <c r="F6" t="s">
        <v>1651</v>
      </c>
      <c r="G6" t="s">
        <v>1652</v>
      </c>
      <c r="H6" t="s">
        <v>2104</v>
      </c>
      <c r="I6" s="1" t="s">
        <v>1456</v>
      </c>
      <c r="J6" t="s">
        <v>2089</v>
      </c>
      <c r="K6" s="25">
        <f>Tabelle5225[[#This Row],[value_present]]*Tabelle5225[[#This Row],[binding_level]]</f>
        <v>1</v>
      </c>
      <c r="N6">
        <v>15</v>
      </c>
      <c r="O6" t="s">
        <v>53</v>
      </c>
      <c r="P6">
        <v>1</v>
      </c>
      <c r="Q6">
        <v>1</v>
      </c>
      <c r="R6">
        <v>2</v>
      </c>
      <c r="S6">
        <v>3</v>
      </c>
      <c r="T6" t="s">
        <v>2135</v>
      </c>
      <c r="U6" t="s">
        <v>2136</v>
      </c>
      <c r="V6" t="s">
        <v>2144</v>
      </c>
    </row>
    <row r="7" spans="1:22" x14ac:dyDescent="0.25">
      <c r="A7" s="24">
        <v>7</v>
      </c>
      <c r="B7" s="2">
        <v>37</v>
      </c>
      <c r="C7" s="2" t="s">
        <v>90</v>
      </c>
      <c r="D7" s="3">
        <v>1</v>
      </c>
      <c r="E7" s="1">
        <v>1</v>
      </c>
      <c r="F7" t="s">
        <v>1653</v>
      </c>
      <c r="G7" t="s">
        <v>1654</v>
      </c>
      <c r="H7" t="s">
        <v>1639</v>
      </c>
      <c r="I7" s="1" t="s">
        <v>1456</v>
      </c>
      <c r="J7" t="s">
        <v>2090</v>
      </c>
      <c r="K7" s="25">
        <f>Tabelle5225[[#This Row],[value_present]]*Tabelle5225[[#This Row],[binding_level]]</f>
        <v>1</v>
      </c>
      <c r="N7">
        <v>15</v>
      </c>
      <c r="O7" t="s">
        <v>83</v>
      </c>
      <c r="P7">
        <v>1</v>
      </c>
      <c r="Q7">
        <v>1</v>
      </c>
      <c r="R7">
        <v>1</v>
      </c>
      <c r="S7">
        <v>3</v>
      </c>
      <c r="T7" t="s">
        <v>2135</v>
      </c>
      <c r="U7" t="s">
        <v>2136</v>
      </c>
      <c r="V7" t="s">
        <v>2145</v>
      </c>
    </row>
    <row r="8" spans="1:22" x14ac:dyDescent="0.25">
      <c r="A8" s="24">
        <v>7</v>
      </c>
      <c r="B8" s="2">
        <v>37</v>
      </c>
      <c r="C8" s="2" t="s">
        <v>98</v>
      </c>
      <c r="D8" s="3">
        <v>1</v>
      </c>
      <c r="E8" s="1">
        <v>1</v>
      </c>
      <c r="F8" t="s">
        <v>1655</v>
      </c>
      <c r="G8" t="s">
        <v>1656</v>
      </c>
      <c r="H8" t="s">
        <v>1639</v>
      </c>
      <c r="I8" s="1" t="s">
        <v>272</v>
      </c>
      <c r="J8" t="s">
        <v>2091</v>
      </c>
      <c r="K8" s="25">
        <f>Tabelle5225[[#This Row],[value_present]]*Tabelle5225[[#This Row],[binding_level]]</f>
        <v>1</v>
      </c>
      <c r="N8">
        <v>15</v>
      </c>
      <c r="O8" t="s">
        <v>106</v>
      </c>
      <c r="P8">
        <v>1</v>
      </c>
      <c r="Q8">
        <v>1</v>
      </c>
      <c r="R8">
        <v>2</v>
      </c>
      <c r="S8">
        <v>3</v>
      </c>
      <c r="T8" t="s">
        <v>2135</v>
      </c>
      <c r="U8" t="s">
        <v>2136</v>
      </c>
      <c r="V8" t="s">
        <v>2146</v>
      </c>
    </row>
    <row r="9" spans="1:22" x14ac:dyDescent="0.25">
      <c r="A9" s="24">
        <v>7</v>
      </c>
      <c r="B9" s="2">
        <v>37</v>
      </c>
      <c r="C9" s="2" t="s">
        <v>106</v>
      </c>
      <c r="D9" s="3">
        <v>1</v>
      </c>
      <c r="E9" s="1">
        <v>1</v>
      </c>
      <c r="F9" t="s">
        <v>1657</v>
      </c>
      <c r="G9" t="s">
        <v>1658</v>
      </c>
      <c r="H9" t="s">
        <v>1640</v>
      </c>
      <c r="I9" s="1" t="s">
        <v>272</v>
      </c>
      <c r="J9" t="s">
        <v>2092</v>
      </c>
      <c r="K9" s="25">
        <f>Tabelle5225[[#This Row],[value_present]]*Tabelle5225[[#This Row],[binding_level]]</f>
        <v>1</v>
      </c>
      <c r="N9">
        <v>15</v>
      </c>
      <c r="O9" t="s">
        <v>154</v>
      </c>
      <c r="P9">
        <v>1</v>
      </c>
      <c r="Q9">
        <v>0</v>
      </c>
      <c r="R9">
        <v>1</v>
      </c>
      <c r="T9" t="s">
        <v>2138</v>
      </c>
      <c r="U9" t="s">
        <v>2137</v>
      </c>
      <c r="V9" t="s">
        <v>2140</v>
      </c>
    </row>
    <row r="10" spans="1:22" x14ac:dyDescent="0.25">
      <c r="A10" s="24">
        <v>7</v>
      </c>
      <c r="B10" s="2">
        <v>37</v>
      </c>
      <c r="C10" s="2" t="s">
        <v>112</v>
      </c>
      <c r="D10" s="3">
        <v>1</v>
      </c>
      <c r="E10" s="1">
        <v>1</v>
      </c>
      <c r="F10" t="s">
        <v>1659</v>
      </c>
      <c r="G10" t="s">
        <v>1660</v>
      </c>
      <c r="H10" t="s">
        <v>1640</v>
      </c>
      <c r="I10" s="1" t="s">
        <v>1456</v>
      </c>
      <c r="J10" t="s">
        <v>2093</v>
      </c>
      <c r="K10" s="25">
        <f>Tabelle5225[[#This Row],[value_present]]*Tabelle5225[[#This Row],[binding_level]]</f>
        <v>1</v>
      </c>
    </row>
    <row r="11" spans="1:22" x14ac:dyDescent="0.25">
      <c r="A11" s="24">
        <v>7</v>
      </c>
      <c r="B11" s="2">
        <v>37</v>
      </c>
      <c r="C11" s="2" t="s">
        <v>118</v>
      </c>
      <c r="D11" s="3">
        <v>0</v>
      </c>
      <c r="E11" s="1"/>
      <c r="H11" t="s">
        <v>2094</v>
      </c>
      <c r="I11" s="1" t="s">
        <v>1456</v>
      </c>
      <c r="J11" t="s">
        <v>2095</v>
      </c>
      <c r="K11" s="25">
        <f>Tabelle5225[[#This Row],[value_present]]*Tabelle5225[[#This Row],[binding_level]]</f>
        <v>0</v>
      </c>
    </row>
    <row r="12" spans="1:22" x14ac:dyDescent="0.25">
      <c r="A12" s="24">
        <v>7</v>
      </c>
      <c r="B12" s="2">
        <v>37</v>
      </c>
      <c r="C12" s="2" t="s">
        <v>125</v>
      </c>
      <c r="D12" s="3">
        <v>0</v>
      </c>
      <c r="E12" s="1"/>
      <c r="H12" t="s">
        <v>2094</v>
      </c>
      <c r="I12" s="1" t="s">
        <v>1456</v>
      </c>
      <c r="J12" t="s">
        <v>2096</v>
      </c>
      <c r="K12" s="25">
        <f>Tabelle5225[[#This Row],[value_present]]*Tabelle5225[[#This Row],[binding_level]]</f>
        <v>0</v>
      </c>
    </row>
    <row r="13" spans="1:22" x14ac:dyDescent="0.25">
      <c r="A13" s="24">
        <v>7</v>
      </c>
      <c r="B13" s="2">
        <v>37</v>
      </c>
      <c r="C13" s="2" t="s">
        <v>132</v>
      </c>
      <c r="D13" s="3">
        <v>1</v>
      </c>
      <c r="E13" s="1">
        <v>1</v>
      </c>
      <c r="F13" t="s">
        <v>1661</v>
      </c>
      <c r="G13" t="s">
        <v>1662</v>
      </c>
      <c r="H13" t="s">
        <v>1641</v>
      </c>
      <c r="I13" s="1" t="s">
        <v>1456</v>
      </c>
      <c r="J13" t="s">
        <v>2097</v>
      </c>
      <c r="K13" s="25">
        <f>Tabelle5225[[#This Row],[value_present]]*Tabelle5225[[#This Row],[binding_level]]</f>
        <v>1</v>
      </c>
    </row>
    <row r="14" spans="1:22" x14ac:dyDescent="0.25">
      <c r="A14" s="24">
        <v>7</v>
      </c>
      <c r="B14" s="2">
        <v>37</v>
      </c>
      <c r="C14" s="2" t="s">
        <v>140</v>
      </c>
      <c r="D14" s="3">
        <v>1</v>
      </c>
      <c r="E14" s="1">
        <v>1</v>
      </c>
      <c r="F14" t="s">
        <v>1663</v>
      </c>
      <c r="G14" t="s">
        <v>1664</v>
      </c>
      <c r="H14" t="s">
        <v>1641</v>
      </c>
      <c r="I14" s="1" t="s">
        <v>1456</v>
      </c>
      <c r="J14" t="s">
        <v>2098</v>
      </c>
      <c r="K14" s="25">
        <f>Tabelle5225[[#This Row],[value_present]]*Tabelle5225[[#This Row],[binding_level]]</f>
        <v>1</v>
      </c>
    </row>
    <row r="15" spans="1:22" x14ac:dyDescent="0.25">
      <c r="A15" s="24">
        <v>7</v>
      </c>
      <c r="B15" s="2">
        <v>37</v>
      </c>
      <c r="C15" s="2" t="s">
        <v>147</v>
      </c>
      <c r="D15" s="3">
        <v>1</v>
      </c>
      <c r="E15" s="1">
        <v>2</v>
      </c>
      <c r="F15" t="s">
        <v>1665</v>
      </c>
      <c r="G15" t="s">
        <v>1666</v>
      </c>
      <c r="H15" t="s">
        <v>1640</v>
      </c>
      <c r="I15" s="1" t="s">
        <v>273</v>
      </c>
      <c r="J15" t="s">
        <v>2099</v>
      </c>
      <c r="K15" s="25">
        <f>Tabelle5225[[#This Row],[value_present]]*Tabelle5225[[#This Row],[binding_level]]</f>
        <v>2</v>
      </c>
    </row>
    <row r="16" spans="1:22" x14ac:dyDescent="0.25">
      <c r="A16" s="24">
        <v>7</v>
      </c>
      <c r="B16" s="2">
        <v>37</v>
      </c>
      <c r="C16" s="2" t="s">
        <v>154</v>
      </c>
      <c r="D16" s="3">
        <v>0</v>
      </c>
      <c r="E16" s="1"/>
      <c r="H16" t="s">
        <v>2094</v>
      </c>
      <c r="I16" s="1" t="s">
        <v>1457</v>
      </c>
      <c r="J16" t="s">
        <v>2100</v>
      </c>
      <c r="K16" s="25">
        <f>Tabelle5225[[#This Row],[value_present]]*Tabelle5225[[#This Row],[binding_level]]</f>
        <v>0</v>
      </c>
    </row>
    <row r="17" spans="1:11" x14ac:dyDescent="0.25">
      <c r="A17" s="24">
        <v>7</v>
      </c>
      <c r="B17" s="2">
        <v>37</v>
      </c>
      <c r="C17" s="2" t="s">
        <v>161</v>
      </c>
      <c r="D17" s="3">
        <v>0</v>
      </c>
      <c r="E17" s="1"/>
      <c r="H17" t="s">
        <v>2094</v>
      </c>
      <c r="I17" s="1" t="s">
        <v>1456</v>
      </c>
      <c r="J17" t="s">
        <v>2101</v>
      </c>
      <c r="K17" s="25">
        <f>Tabelle5225[[#This Row],[value_present]]*Tabelle5225[[#This Row],[binding_level]]</f>
        <v>0</v>
      </c>
    </row>
    <row r="18" spans="1:11" x14ac:dyDescent="0.25">
      <c r="A18" s="24">
        <v>7</v>
      </c>
      <c r="B18" s="2">
        <v>37</v>
      </c>
      <c r="C18" s="2" t="s">
        <v>166</v>
      </c>
      <c r="D18" s="3">
        <v>0</v>
      </c>
      <c r="E18" s="1"/>
      <c r="H18" t="s">
        <v>2094</v>
      </c>
      <c r="I18" s="1" t="s">
        <v>1456</v>
      </c>
      <c r="J18" t="s">
        <v>2102</v>
      </c>
      <c r="K18" s="25">
        <f>Tabelle5225[[#This Row],[value_present]]*Tabelle5225[[#This Row],[binding_level]]</f>
        <v>0</v>
      </c>
    </row>
    <row r="19" spans="1:11" ht="15.75" thickBot="1" x14ac:dyDescent="0.3">
      <c r="A19" s="26">
        <v>7</v>
      </c>
      <c r="B19" s="27">
        <v>37</v>
      </c>
      <c r="C19" s="27" t="s">
        <v>174</v>
      </c>
      <c r="D19" s="28">
        <v>1</v>
      </c>
      <c r="E19" s="29">
        <v>1</v>
      </c>
      <c r="F19" s="30" t="s">
        <v>1669</v>
      </c>
      <c r="G19" s="30" t="s">
        <v>1670</v>
      </c>
      <c r="H19" s="30" t="s">
        <v>1641</v>
      </c>
      <c r="I19" s="29" t="s">
        <v>1457</v>
      </c>
      <c r="J19" s="30" t="s">
        <v>2103</v>
      </c>
      <c r="K19" s="31">
        <f>Tabelle5225[[#This Row],[value_present]]*Tabelle5225[[#This Row],[binding_level]]</f>
        <v>1</v>
      </c>
    </row>
    <row r="20" spans="1:11" x14ac:dyDescent="0.25">
      <c r="A20" s="18">
        <v>15</v>
      </c>
      <c r="B20" s="19">
        <v>86</v>
      </c>
      <c r="C20" s="19" t="s">
        <v>53</v>
      </c>
      <c r="D20" s="20">
        <v>1</v>
      </c>
      <c r="E20" s="21">
        <v>3</v>
      </c>
      <c r="F20" t="s">
        <v>1805</v>
      </c>
      <c r="G20" s="22" t="s">
        <v>1806</v>
      </c>
      <c r="H20" s="22" t="s">
        <v>1792</v>
      </c>
      <c r="I20" s="21" t="s">
        <v>272</v>
      </c>
      <c r="J20" s="22" t="s">
        <v>2110</v>
      </c>
      <c r="K20" s="23">
        <f>Tabelle5225[[#This Row],[value_present]]*Tabelle5225[[#This Row],[binding_level]]</f>
        <v>3</v>
      </c>
    </row>
    <row r="21" spans="1:11" x14ac:dyDescent="0.25">
      <c r="A21" s="24">
        <v>15</v>
      </c>
      <c r="B21" s="2">
        <v>86</v>
      </c>
      <c r="C21" s="2" t="s">
        <v>61</v>
      </c>
      <c r="D21" s="3">
        <v>1</v>
      </c>
      <c r="E21" s="1">
        <v>2</v>
      </c>
      <c r="F21" t="s">
        <v>1807</v>
      </c>
      <c r="G21" t="s">
        <v>1808</v>
      </c>
      <c r="H21" t="s">
        <v>1793</v>
      </c>
      <c r="I21" s="1" t="s">
        <v>1456</v>
      </c>
      <c r="J21" t="s">
        <v>2111</v>
      </c>
      <c r="K21" s="25">
        <f>Tabelle5225[[#This Row],[value_present]]*Tabelle5225[[#This Row],[binding_level]]</f>
        <v>2</v>
      </c>
    </row>
    <row r="22" spans="1:11" x14ac:dyDescent="0.25">
      <c r="A22" s="24">
        <v>15</v>
      </c>
      <c r="B22" s="2">
        <v>86</v>
      </c>
      <c r="C22" s="2" t="s">
        <v>69</v>
      </c>
      <c r="D22" s="3">
        <v>1</v>
      </c>
      <c r="E22" s="1">
        <v>2</v>
      </c>
      <c r="F22" t="s">
        <v>1809</v>
      </c>
      <c r="G22" t="s">
        <v>1810</v>
      </c>
      <c r="H22" t="s">
        <v>1794</v>
      </c>
      <c r="I22" s="1" t="s">
        <v>1456</v>
      </c>
      <c r="J22" t="s">
        <v>2112</v>
      </c>
      <c r="K22" s="25">
        <f>Tabelle5225[[#This Row],[value_present]]*Tabelle5225[[#This Row],[binding_level]]</f>
        <v>2</v>
      </c>
    </row>
    <row r="23" spans="1:11" x14ac:dyDescent="0.25">
      <c r="A23" s="24">
        <v>15</v>
      </c>
      <c r="B23" s="2">
        <v>86</v>
      </c>
      <c r="C23" s="2" t="s">
        <v>76</v>
      </c>
      <c r="D23" s="3">
        <v>1</v>
      </c>
      <c r="E23" s="1">
        <v>1</v>
      </c>
      <c r="F23" t="s">
        <v>1811</v>
      </c>
      <c r="G23" t="s">
        <v>1812</v>
      </c>
      <c r="H23" t="s">
        <v>1795</v>
      </c>
      <c r="I23" s="1" t="s">
        <v>272</v>
      </c>
      <c r="J23" t="s">
        <v>2113</v>
      </c>
      <c r="K23" s="25">
        <f>Tabelle5225[[#This Row],[value_present]]*Tabelle5225[[#This Row],[binding_level]]</f>
        <v>1</v>
      </c>
    </row>
    <row r="24" spans="1:11" x14ac:dyDescent="0.25">
      <c r="A24" s="24">
        <v>15</v>
      </c>
      <c r="B24" s="2">
        <v>86</v>
      </c>
      <c r="C24" s="2" t="s">
        <v>83</v>
      </c>
      <c r="D24" s="3">
        <v>1</v>
      </c>
      <c r="E24" s="1">
        <v>3</v>
      </c>
      <c r="F24" t="s">
        <v>1813</v>
      </c>
      <c r="G24" t="s">
        <v>1815</v>
      </c>
      <c r="H24" t="s">
        <v>1796</v>
      </c>
      <c r="I24" s="1" t="s">
        <v>272</v>
      </c>
      <c r="J24" t="s">
        <v>2114</v>
      </c>
      <c r="K24" s="25">
        <f>Tabelle5225[[#This Row],[value_present]]*Tabelle5225[[#This Row],[binding_level]]</f>
        <v>3</v>
      </c>
    </row>
    <row r="25" spans="1:11" x14ac:dyDescent="0.25">
      <c r="A25" s="24">
        <v>15</v>
      </c>
      <c r="B25" s="2">
        <v>86</v>
      </c>
      <c r="C25" s="2" t="s">
        <v>90</v>
      </c>
      <c r="D25" s="3">
        <v>1</v>
      </c>
      <c r="E25" s="1">
        <v>2</v>
      </c>
      <c r="F25" t="s">
        <v>1816</v>
      </c>
      <c r="G25" t="s">
        <v>1817</v>
      </c>
      <c r="H25" t="s">
        <v>1797</v>
      </c>
      <c r="I25" s="1" t="s">
        <v>1456</v>
      </c>
      <c r="J25" t="s">
        <v>2115</v>
      </c>
      <c r="K25" s="25">
        <f>Tabelle5225[[#This Row],[value_present]]*Tabelle5225[[#This Row],[binding_level]]</f>
        <v>2</v>
      </c>
    </row>
    <row r="26" spans="1:11" x14ac:dyDescent="0.25">
      <c r="A26" s="24">
        <v>15</v>
      </c>
      <c r="B26" s="2">
        <v>86</v>
      </c>
      <c r="C26" s="2" t="s">
        <v>98</v>
      </c>
      <c r="D26" s="3">
        <v>1</v>
      </c>
      <c r="E26" s="1">
        <v>2</v>
      </c>
      <c r="F26" t="s">
        <v>1818</v>
      </c>
      <c r="G26" t="s">
        <v>1819</v>
      </c>
      <c r="H26" t="s">
        <v>1798</v>
      </c>
      <c r="I26" s="1" t="s">
        <v>1456</v>
      </c>
      <c r="J26" t="s">
        <v>2116</v>
      </c>
      <c r="K26" s="25">
        <f>Tabelle5225[[#This Row],[value_present]]*Tabelle5225[[#This Row],[binding_level]]</f>
        <v>2</v>
      </c>
    </row>
    <row r="27" spans="1:11" x14ac:dyDescent="0.25">
      <c r="A27" s="24">
        <v>15</v>
      </c>
      <c r="B27" s="2">
        <v>86</v>
      </c>
      <c r="C27" s="2" t="s">
        <v>106</v>
      </c>
      <c r="D27" s="3">
        <v>1</v>
      </c>
      <c r="E27" s="1">
        <v>3</v>
      </c>
      <c r="F27" t="s">
        <v>1820</v>
      </c>
      <c r="G27" t="s">
        <v>1821</v>
      </c>
      <c r="H27" t="s">
        <v>1799</v>
      </c>
      <c r="I27" s="1" t="s">
        <v>272</v>
      </c>
      <c r="J27" t="s">
        <v>2117</v>
      </c>
      <c r="K27" s="25">
        <f>Tabelle5225[[#This Row],[value_present]]*Tabelle5225[[#This Row],[binding_level]]</f>
        <v>3</v>
      </c>
    </row>
    <row r="28" spans="1:11" x14ac:dyDescent="0.25">
      <c r="A28" s="24">
        <v>15</v>
      </c>
      <c r="B28" s="2">
        <v>86</v>
      </c>
      <c r="C28" s="2" t="s">
        <v>112</v>
      </c>
      <c r="D28" s="3">
        <v>1</v>
      </c>
      <c r="E28" s="1">
        <v>2</v>
      </c>
      <c r="F28" t="s">
        <v>1822</v>
      </c>
      <c r="G28" t="s">
        <v>1823</v>
      </c>
      <c r="H28" t="s">
        <v>1800</v>
      </c>
      <c r="I28" s="1" t="s">
        <v>272</v>
      </c>
      <c r="J28" t="s">
        <v>2118</v>
      </c>
      <c r="K28" s="25">
        <f>Tabelle5225[[#This Row],[value_present]]*Tabelle5225[[#This Row],[binding_level]]</f>
        <v>2</v>
      </c>
    </row>
    <row r="29" spans="1:11" x14ac:dyDescent="0.25">
      <c r="A29" s="24">
        <v>15</v>
      </c>
      <c r="B29" s="2">
        <v>86</v>
      </c>
      <c r="C29" s="2" t="s">
        <v>118</v>
      </c>
      <c r="D29" s="3">
        <v>0</v>
      </c>
      <c r="E29" s="1"/>
      <c r="I29" s="1" t="s">
        <v>1456</v>
      </c>
      <c r="J29" t="s">
        <v>2119</v>
      </c>
      <c r="K29" s="25">
        <f>Tabelle5225[[#This Row],[value_present]]*Tabelle5225[[#This Row],[binding_level]]</f>
        <v>0</v>
      </c>
    </row>
    <row r="30" spans="1:11" x14ac:dyDescent="0.25">
      <c r="A30" s="24">
        <v>15</v>
      </c>
      <c r="B30" s="2">
        <v>86</v>
      </c>
      <c r="C30" s="2" t="s">
        <v>125</v>
      </c>
      <c r="D30" s="3">
        <v>0</v>
      </c>
      <c r="E30" s="1"/>
      <c r="I30" s="1" t="s">
        <v>1456</v>
      </c>
      <c r="J30" t="s">
        <v>2120</v>
      </c>
      <c r="K30" s="25">
        <f>Tabelle5225[[#This Row],[value_present]]*Tabelle5225[[#This Row],[binding_level]]</f>
        <v>0</v>
      </c>
    </row>
    <row r="31" spans="1:11" x14ac:dyDescent="0.25">
      <c r="A31" s="24">
        <v>15</v>
      </c>
      <c r="B31" s="2">
        <v>86</v>
      </c>
      <c r="C31" s="2" t="s">
        <v>132</v>
      </c>
      <c r="D31" s="3">
        <v>0</v>
      </c>
      <c r="E31" s="1"/>
      <c r="I31" s="1" t="s">
        <v>1456</v>
      </c>
      <c r="J31" t="s">
        <v>2121</v>
      </c>
      <c r="K31" s="25">
        <f>Tabelle5225[[#This Row],[value_present]]*Tabelle5225[[#This Row],[binding_level]]</f>
        <v>0</v>
      </c>
    </row>
    <row r="32" spans="1:11" x14ac:dyDescent="0.25">
      <c r="A32" s="24">
        <v>15</v>
      </c>
      <c r="B32" s="2">
        <v>86</v>
      </c>
      <c r="C32" s="2" t="s">
        <v>140</v>
      </c>
      <c r="D32" s="3">
        <v>1</v>
      </c>
      <c r="E32" s="1">
        <v>1</v>
      </c>
      <c r="F32" t="s">
        <v>1824</v>
      </c>
      <c r="G32" t="s">
        <v>1825</v>
      </c>
      <c r="H32" t="s">
        <v>1801</v>
      </c>
      <c r="I32" s="1" t="s">
        <v>272</v>
      </c>
      <c r="J32" t="s">
        <v>2122</v>
      </c>
      <c r="K32" s="25">
        <f>Tabelle5225[[#This Row],[value_present]]*Tabelle5225[[#This Row],[binding_level]]</f>
        <v>1</v>
      </c>
    </row>
    <row r="33" spans="1:11" x14ac:dyDescent="0.25">
      <c r="A33" s="24">
        <v>15</v>
      </c>
      <c r="B33" s="2">
        <v>86</v>
      </c>
      <c r="C33" s="2" t="s">
        <v>147</v>
      </c>
      <c r="D33" s="3">
        <v>1</v>
      </c>
      <c r="E33" s="1">
        <v>2</v>
      </c>
      <c r="F33" t="s">
        <v>1826</v>
      </c>
      <c r="G33" t="s">
        <v>1827</v>
      </c>
      <c r="H33" t="s">
        <v>1802</v>
      </c>
      <c r="I33" s="1" t="s">
        <v>1456</v>
      </c>
      <c r="J33" t="s">
        <v>2123</v>
      </c>
      <c r="K33" s="25">
        <f>Tabelle5225[[#This Row],[value_present]]*Tabelle5225[[#This Row],[binding_level]]</f>
        <v>2</v>
      </c>
    </row>
    <row r="34" spans="1:11" x14ac:dyDescent="0.25">
      <c r="A34" s="24">
        <v>15</v>
      </c>
      <c r="B34" s="2">
        <v>86</v>
      </c>
      <c r="C34" s="2" t="s">
        <v>154</v>
      </c>
      <c r="D34" s="3">
        <v>0</v>
      </c>
      <c r="E34" s="1"/>
      <c r="I34" s="1" t="s">
        <v>1456</v>
      </c>
      <c r="J34" t="s">
        <v>2124</v>
      </c>
      <c r="K34" s="25">
        <f>Tabelle5225[[#This Row],[value_present]]*Tabelle5225[[#This Row],[binding_level]]</f>
        <v>0</v>
      </c>
    </row>
    <row r="35" spans="1:11" x14ac:dyDescent="0.25">
      <c r="A35" s="24">
        <v>15</v>
      </c>
      <c r="B35" s="2">
        <v>86</v>
      </c>
      <c r="C35" s="2" t="s">
        <v>161</v>
      </c>
      <c r="D35" s="3">
        <v>1</v>
      </c>
      <c r="E35" s="1">
        <v>3</v>
      </c>
      <c r="F35" t="s">
        <v>1830</v>
      </c>
      <c r="G35" t="s">
        <v>1831</v>
      </c>
      <c r="H35" t="s">
        <v>1804</v>
      </c>
      <c r="I35" s="1" t="s">
        <v>1457</v>
      </c>
      <c r="J35" t="s">
        <v>2125</v>
      </c>
      <c r="K35" s="25">
        <f>Tabelle5225[[#This Row],[value_present]]*Tabelle5225[[#This Row],[binding_level]]</f>
        <v>3</v>
      </c>
    </row>
    <row r="36" spans="1:11" x14ac:dyDescent="0.25">
      <c r="A36" s="24">
        <v>15</v>
      </c>
      <c r="B36" s="2">
        <v>86</v>
      </c>
      <c r="C36" s="2" t="s">
        <v>166</v>
      </c>
      <c r="D36" s="3">
        <v>0</v>
      </c>
      <c r="E36" s="1"/>
      <c r="I36" s="1" t="s">
        <v>1456</v>
      </c>
      <c r="J36" t="s">
        <v>2126</v>
      </c>
      <c r="K36" s="25">
        <f>Tabelle5225[[#This Row],[value_present]]*Tabelle5225[[#This Row],[binding_level]]</f>
        <v>0</v>
      </c>
    </row>
    <row r="37" spans="1:11" ht="15.75" thickBot="1" x14ac:dyDescent="0.3">
      <c r="A37" s="26">
        <v>15</v>
      </c>
      <c r="B37" s="27">
        <v>86</v>
      </c>
      <c r="C37" s="27" t="s">
        <v>174</v>
      </c>
      <c r="D37" s="28">
        <v>0</v>
      </c>
      <c r="E37" s="29"/>
      <c r="F37" s="30"/>
      <c r="G37" s="30"/>
      <c r="H37" s="30"/>
      <c r="I37" s="29" t="s">
        <v>1456</v>
      </c>
      <c r="J37" s="30" t="s">
        <v>2127</v>
      </c>
      <c r="K37" s="31">
        <f>Tabelle5225[[#This Row],[value_present]]*Tabelle5225[[#This Row],[binding_level]]</f>
        <v>0</v>
      </c>
    </row>
    <row r="38" spans="1:11" x14ac:dyDescent="0.25">
      <c r="A38" s="2"/>
      <c r="B38" s="2"/>
      <c r="C38" s="2"/>
      <c r="D38" s="3"/>
      <c r="E38" s="1"/>
      <c r="I38" s="1"/>
      <c r="K38" s="4">
        <f>Tabelle5225[[#This Row],[value_present]]*Tabelle5225[[#This Row],[binding_level]]</f>
        <v>0</v>
      </c>
    </row>
    <row r="39" spans="1:11" x14ac:dyDescent="0.25">
      <c r="A39" s="2"/>
      <c r="B39" s="2"/>
      <c r="C39" s="2"/>
      <c r="D39" s="3"/>
      <c r="E39" s="1"/>
      <c r="I39" s="1"/>
      <c r="K39" s="4">
        <f>Tabelle5225[[#This Row],[value_present]]*Tabelle5225[[#This Row],[binding_level]]</f>
        <v>0</v>
      </c>
    </row>
    <row r="40" spans="1:11" x14ac:dyDescent="0.25">
      <c r="A40" s="2"/>
      <c r="B40" s="2"/>
      <c r="C40" s="2"/>
      <c r="D40" s="3"/>
      <c r="E40" s="1"/>
      <c r="I40" s="1"/>
      <c r="K40" s="4">
        <f>Tabelle5225[[#This Row],[value_present]]*Tabelle5225[[#This Row],[binding_level]]</f>
        <v>0</v>
      </c>
    </row>
    <row r="41" spans="1:11" x14ac:dyDescent="0.25">
      <c r="A41" s="2"/>
      <c r="B41" s="2"/>
      <c r="C41" s="2"/>
      <c r="D41" s="3"/>
      <c r="E41" s="1"/>
      <c r="I41" s="1"/>
      <c r="K41" s="4">
        <f>Tabelle5225[[#This Row],[value_present]]*Tabelle5225[[#This Row],[binding_level]]</f>
        <v>0</v>
      </c>
    </row>
    <row r="42" spans="1:11" x14ac:dyDescent="0.25">
      <c r="A42" s="2"/>
      <c r="B42" s="2"/>
      <c r="C42" s="2"/>
      <c r="D42" s="3"/>
      <c r="E42" s="1"/>
      <c r="I42" s="1"/>
      <c r="K42" s="4">
        <f>Tabelle5225[[#This Row],[value_present]]*Tabelle5225[[#This Row],[binding_level]]</f>
        <v>0</v>
      </c>
    </row>
    <row r="43" spans="1:11" x14ac:dyDescent="0.25">
      <c r="A43" s="2"/>
      <c r="B43" s="2"/>
      <c r="C43" s="2"/>
      <c r="D43" s="3"/>
      <c r="E43" s="1"/>
      <c r="I43" s="1"/>
      <c r="K43" s="4">
        <f>Tabelle5225[[#This Row],[value_present]]*Tabelle5225[[#This Row],[binding_level]]</f>
        <v>0</v>
      </c>
    </row>
    <row r="44" spans="1:11" x14ac:dyDescent="0.25">
      <c r="A44" s="2"/>
      <c r="B44" s="2"/>
      <c r="C44" s="2"/>
      <c r="D44" s="3"/>
      <c r="E44" s="1"/>
      <c r="I44" s="1"/>
      <c r="K44" s="4">
        <f>Tabelle5225[[#This Row],[value_present]]*Tabelle5225[[#This Row],[binding_level]]</f>
        <v>0</v>
      </c>
    </row>
    <row r="45" spans="1:11" x14ac:dyDescent="0.25">
      <c r="A45" s="2"/>
      <c r="B45" s="2"/>
      <c r="C45" s="2"/>
      <c r="D45" s="3"/>
      <c r="E45" s="1"/>
      <c r="I45" s="1"/>
      <c r="K45" s="4">
        <f>Tabelle5225[[#This Row],[value_present]]*Tabelle5225[[#This Row],[binding_level]]</f>
        <v>0</v>
      </c>
    </row>
    <row r="46" spans="1:11" x14ac:dyDescent="0.25">
      <c r="A46" s="2"/>
      <c r="B46" s="2"/>
      <c r="C46" s="2"/>
      <c r="D46" s="3"/>
      <c r="E46" s="1"/>
      <c r="I46" s="1"/>
      <c r="K46" s="4">
        <f>Tabelle5225[[#This Row],[value_present]]*Tabelle5225[[#This Row],[binding_level]]</f>
        <v>0</v>
      </c>
    </row>
    <row r="47" spans="1:11" x14ac:dyDescent="0.25">
      <c r="A47" s="2"/>
      <c r="B47" s="2"/>
      <c r="C47" s="2"/>
      <c r="D47" s="3"/>
      <c r="E47" s="1"/>
      <c r="I47" s="1"/>
      <c r="K47" s="4">
        <f>Tabelle5225[[#This Row],[value_present]]*Tabelle5225[[#This Row],[binding_level]]</f>
        <v>0</v>
      </c>
    </row>
    <row r="48" spans="1:11" x14ac:dyDescent="0.25">
      <c r="A48" s="2"/>
      <c r="B48" s="2"/>
      <c r="C48" s="2"/>
      <c r="D48" s="3"/>
      <c r="E48" s="1"/>
      <c r="I48" s="1"/>
      <c r="K48" s="4">
        <f>Tabelle5225[[#This Row],[value_present]]*Tabelle5225[[#This Row],[binding_level]]</f>
        <v>0</v>
      </c>
    </row>
    <row r="49" spans="1:11" x14ac:dyDescent="0.25">
      <c r="A49" s="2"/>
      <c r="B49" s="2"/>
      <c r="C49" s="2"/>
      <c r="D49" s="3"/>
      <c r="E49" s="1"/>
      <c r="I49" s="1"/>
      <c r="K49" s="4">
        <f>Tabelle5225[[#This Row],[value_present]]*Tabelle5225[[#This Row],[binding_level]]</f>
        <v>0</v>
      </c>
    </row>
    <row r="50" spans="1:11" x14ac:dyDescent="0.25">
      <c r="A50" s="2"/>
      <c r="B50" s="2"/>
      <c r="C50" s="2"/>
      <c r="D50" s="3"/>
      <c r="E50" s="1"/>
      <c r="I50" s="1"/>
      <c r="K50" s="4">
        <f>Tabelle5225[[#This Row],[value_present]]*Tabelle5225[[#This Row],[binding_level]]</f>
        <v>0</v>
      </c>
    </row>
    <row r="51" spans="1:11" x14ac:dyDescent="0.25">
      <c r="A51" s="2"/>
      <c r="B51" s="2"/>
      <c r="C51" s="2"/>
      <c r="D51" s="3"/>
      <c r="E51" s="1"/>
      <c r="I51" s="1"/>
      <c r="K51" s="4">
        <f>Tabelle5225[[#This Row],[value_present]]*Tabelle5225[[#This Row],[binding_level]]</f>
        <v>0</v>
      </c>
    </row>
    <row r="52" spans="1:11" x14ac:dyDescent="0.25">
      <c r="A52" s="2"/>
      <c r="B52" s="2"/>
      <c r="C52" s="2"/>
      <c r="D52" s="3"/>
      <c r="E52" s="1"/>
      <c r="I52" s="1"/>
      <c r="K52" s="4">
        <f>Tabelle5225[[#This Row],[value_present]]*Tabelle5225[[#This Row],[binding_level]]</f>
        <v>0</v>
      </c>
    </row>
    <row r="53" spans="1:11" x14ac:dyDescent="0.25">
      <c r="A53" s="2"/>
      <c r="B53" s="2"/>
      <c r="C53" s="2"/>
      <c r="D53" s="3"/>
      <c r="E53" s="1"/>
      <c r="I53" s="1"/>
      <c r="K53" s="4">
        <f>Tabelle5225[[#This Row],[value_present]]*Tabelle5225[[#This Row],[binding_level]]</f>
        <v>0</v>
      </c>
    </row>
    <row r="54" spans="1:11" x14ac:dyDescent="0.25">
      <c r="A54" s="2"/>
      <c r="B54" s="2"/>
      <c r="C54" s="2"/>
      <c r="D54" s="3"/>
      <c r="E54" s="1"/>
      <c r="I54" s="1"/>
      <c r="K54" s="4">
        <f>Tabelle5225[[#This Row],[value_present]]*Tabelle5225[[#This Row],[binding_level]]</f>
        <v>0</v>
      </c>
    </row>
    <row r="55" spans="1:11" x14ac:dyDescent="0.25">
      <c r="A55" s="2"/>
      <c r="B55" s="2"/>
      <c r="C55" s="2"/>
      <c r="D55" s="3"/>
      <c r="E55" s="1"/>
      <c r="I55" s="1"/>
      <c r="K55" s="4">
        <f>Tabelle5225[[#This Row],[value_present]]*Tabelle5225[[#This Row],[binding_level]]</f>
        <v>0</v>
      </c>
    </row>
    <row r="56" spans="1:11" x14ac:dyDescent="0.25">
      <c r="A56" s="2"/>
      <c r="B56" s="2"/>
      <c r="C56" s="2"/>
      <c r="D56" s="3"/>
      <c r="E56" s="1"/>
      <c r="I56" s="1"/>
      <c r="K56" s="4">
        <f>Tabelle5225[[#This Row],[value_present]]*Tabelle5225[[#This Row],[binding_level]]</f>
        <v>0</v>
      </c>
    </row>
    <row r="57" spans="1:11" x14ac:dyDescent="0.25">
      <c r="A57" s="2"/>
      <c r="B57" s="2"/>
      <c r="C57" s="2"/>
      <c r="D57" s="3"/>
      <c r="E57" s="1"/>
      <c r="I57" s="1"/>
      <c r="K57" s="4">
        <f>Tabelle5225[[#This Row],[value_present]]*Tabelle5225[[#This Row],[binding_level]]</f>
        <v>0</v>
      </c>
    </row>
    <row r="58" spans="1:11" x14ac:dyDescent="0.25">
      <c r="A58" s="2"/>
      <c r="B58" s="2"/>
      <c r="C58" s="2"/>
      <c r="D58" s="3"/>
      <c r="E58" s="1"/>
      <c r="I58" s="1"/>
      <c r="K58" s="4">
        <f>Tabelle5225[[#This Row],[value_present]]*Tabelle5225[[#This Row],[binding_level]]</f>
        <v>0</v>
      </c>
    </row>
    <row r="59" spans="1:11" x14ac:dyDescent="0.25">
      <c r="A59" s="2"/>
      <c r="B59" s="2"/>
      <c r="C59" s="2"/>
      <c r="D59" s="3"/>
      <c r="E59" s="1"/>
      <c r="I59" s="1"/>
      <c r="K59" s="4">
        <f>Tabelle5225[[#This Row],[value_present]]*Tabelle5225[[#This Row],[binding_level]]</f>
        <v>0</v>
      </c>
    </row>
    <row r="60" spans="1:11" x14ac:dyDescent="0.25">
      <c r="A60" s="2"/>
      <c r="B60" s="2"/>
      <c r="C60" s="2"/>
      <c r="D60" s="3"/>
      <c r="E60" s="1"/>
      <c r="I60" s="1"/>
      <c r="K60" s="4">
        <f>Tabelle5225[[#This Row],[value_present]]*Tabelle5225[[#This Row],[binding_level]]</f>
        <v>0</v>
      </c>
    </row>
    <row r="61" spans="1:11" x14ac:dyDescent="0.25">
      <c r="A61" s="2"/>
      <c r="B61" s="2"/>
      <c r="C61" s="2"/>
      <c r="D61" s="3"/>
      <c r="E61" s="1"/>
      <c r="I61" s="1"/>
      <c r="K61" s="4">
        <f>Tabelle5225[[#This Row],[value_present]]*Tabelle5225[[#This Row],[binding_level]]</f>
        <v>0</v>
      </c>
    </row>
    <row r="62" spans="1:11" x14ac:dyDescent="0.25">
      <c r="A62" s="2"/>
      <c r="B62" s="2"/>
      <c r="C62" s="2"/>
      <c r="D62" s="3"/>
      <c r="E62" s="1"/>
      <c r="I62" s="1"/>
      <c r="K62" s="4">
        <f>Tabelle5225[[#This Row],[value_present]]*Tabelle5225[[#This Row],[binding_level]]</f>
        <v>0</v>
      </c>
    </row>
    <row r="63" spans="1:11" x14ac:dyDescent="0.25">
      <c r="A63" s="2"/>
      <c r="B63" s="2"/>
      <c r="C63" s="2"/>
      <c r="D63" s="3"/>
      <c r="E63" s="1"/>
      <c r="I63" s="1"/>
      <c r="K63" s="4">
        <f>Tabelle5225[[#This Row],[value_present]]*Tabelle5225[[#This Row],[binding_level]]</f>
        <v>0</v>
      </c>
    </row>
    <row r="64" spans="1:11" x14ac:dyDescent="0.25">
      <c r="A64" s="2"/>
      <c r="B64" s="2"/>
      <c r="C64" s="2"/>
      <c r="D64" s="3"/>
      <c r="E64" s="1"/>
      <c r="I64" s="1"/>
      <c r="K64" s="4">
        <f>Tabelle5225[[#This Row],[value_present]]*Tabelle5225[[#This Row],[binding_level]]</f>
        <v>0</v>
      </c>
    </row>
    <row r="65" spans="1:11" x14ac:dyDescent="0.25">
      <c r="A65" s="2"/>
      <c r="B65" s="2"/>
      <c r="C65" s="2"/>
      <c r="D65" s="3"/>
      <c r="E65" s="1"/>
      <c r="I65" s="1"/>
      <c r="K65" s="4">
        <f>Tabelle5225[[#This Row],[value_present]]*Tabelle5225[[#This Row],[binding_level]]</f>
        <v>0</v>
      </c>
    </row>
    <row r="66" spans="1:11" x14ac:dyDescent="0.25">
      <c r="A66" s="2"/>
      <c r="B66" s="2"/>
      <c r="C66" s="2"/>
      <c r="D66" s="3"/>
      <c r="E66" s="1"/>
      <c r="I66" s="1"/>
      <c r="K66" s="4">
        <f>Tabelle5225[[#This Row],[value_present]]*Tabelle5225[[#This Row],[binding_level]]</f>
        <v>0</v>
      </c>
    </row>
    <row r="67" spans="1:11" x14ac:dyDescent="0.25">
      <c r="A67" s="2"/>
      <c r="B67" s="2"/>
      <c r="C67" s="2"/>
      <c r="D67" s="3"/>
      <c r="E67" s="1"/>
      <c r="I67" s="1"/>
      <c r="K67" s="4">
        <f>Tabelle5225[[#This Row],[value_present]]*Tabelle5225[[#This Row],[binding_level]]</f>
        <v>0</v>
      </c>
    </row>
    <row r="68" spans="1:11" x14ac:dyDescent="0.25">
      <c r="A68" s="2"/>
      <c r="B68" s="2"/>
      <c r="C68" s="2"/>
      <c r="D68" s="3"/>
      <c r="E68" s="1"/>
      <c r="I68" s="1"/>
      <c r="K68" s="4">
        <f>Tabelle5225[[#This Row],[value_present]]*Tabelle5225[[#This Row],[binding_level]]</f>
        <v>0</v>
      </c>
    </row>
    <row r="69" spans="1:11" x14ac:dyDescent="0.25">
      <c r="A69" s="2"/>
      <c r="B69" s="2"/>
      <c r="C69" s="2"/>
      <c r="D69" s="3"/>
      <c r="E69" s="1"/>
      <c r="I69" s="1"/>
      <c r="K69" s="4">
        <f>Tabelle5225[[#This Row],[value_present]]*Tabelle5225[[#This Row],[binding_level]]</f>
        <v>0</v>
      </c>
    </row>
    <row r="70" spans="1:11" x14ac:dyDescent="0.25">
      <c r="A70" s="2"/>
      <c r="B70" s="2"/>
      <c r="C70" s="2"/>
      <c r="D70" s="3"/>
      <c r="E70" s="1"/>
      <c r="I70" s="1"/>
      <c r="K70" s="4">
        <f>Tabelle5225[[#This Row],[value_present]]*Tabelle5225[[#This Row],[binding_level]]</f>
        <v>0</v>
      </c>
    </row>
    <row r="71" spans="1:11" x14ac:dyDescent="0.25">
      <c r="A71" s="2"/>
      <c r="B71" s="2"/>
      <c r="C71" s="2"/>
      <c r="D71" s="3"/>
      <c r="E71" s="1"/>
      <c r="I71" s="1"/>
      <c r="K71" s="4">
        <f>Tabelle5225[[#This Row],[value_present]]*Tabelle5225[[#This Row],[binding_level]]</f>
        <v>0</v>
      </c>
    </row>
    <row r="72" spans="1:11" x14ac:dyDescent="0.25">
      <c r="A72" s="2"/>
      <c r="B72" s="2"/>
      <c r="C72" s="2"/>
      <c r="D72" s="3"/>
      <c r="E72" s="1"/>
      <c r="I72" s="1"/>
      <c r="K72" s="4">
        <f>Tabelle5225[[#This Row],[value_present]]*Tabelle5225[[#This Row],[binding_level]]</f>
        <v>0</v>
      </c>
    </row>
    <row r="73" spans="1:11" x14ac:dyDescent="0.25">
      <c r="A73" s="2"/>
      <c r="B73" s="2"/>
      <c r="C73" s="2"/>
      <c r="D73" s="3"/>
      <c r="E73" s="1"/>
      <c r="I73" s="1"/>
      <c r="K73" s="4">
        <f>Tabelle5225[[#This Row],[value_present]]*Tabelle5225[[#This Row],[binding_level]]</f>
        <v>0</v>
      </c>
    </row>
    <row r="74" spans="1:11" x14ac:dyDescent="0.25">
      <c r="A74" s="2"/>
      <c r="B74" s="2"/>
      <c r="C74" s="2"/>
      <c r="D74" s="3"/>
      <c r="E74" s="1"/>
      <c r="I74" s="1"/>
      <c r="K74" s="4">
        <f>Tabelle5225[[#This Row],[value_present]]*Tabelle5225[[#This Row],[binding_level]]</f>
        <v>0</v>
      </c>
    </row>
    <row r="75" spans="1:11" x14ac:dyDescent="0.25">
      <c r="A75" s="2"/>
      <c r="B75" s="2"/>
      <c r="C75" s="2"/>
      <c r="D75" s="3"/>
      <c r="E75" s="1"/>
      <c r="I75" s="1"/>
      <c r="K75" s="4">
        <f>Tabelle5225[[#This Row],[value_present]]*Tabelle5225[[#This Row],[binding_level]]</f>
        <v>0</v>
      </c>
    </row>
    <row r="76" spans="1:11" x14ac:dyDescent="0.25">
      <c r="A76" s="2"/>
      <c r="B76" s="2"/>
      <c r="C76" s="2"/>
      <c r="D76" s="3"/>
      <c r="E76" s="1"/>
      <c r="I76" s="1"/>
      <c r="K76" s="4">
        <f>Tabelle5225[[#This Row],[value_present]]*Tabelle5225[[#This Row],[binding_level]]</f>
        <v>0</v>
      </c>
    </row>
    <row r="77" spans="1:11" x14ac:dyDescent="0.25">
      <c r="A77" s="2"/>
      <c r="B77" s="2"/>
      <c r="C77" s="2"/>
      <c r="D77" s="3"/>
      <c r="E77" s="1"/>
      <c r="I77" s="1"/>
      <c r="K77" s="4">
        <f>Tabelle5225[[#This Row],[value_present]]*Tabelle5225[[#This Row],[binding_level]]</f>
        <v>0</v>
      </c>
    </row>
    <row r="78" spans="1:11" x14ac:dyDescent="0.25">
      <c r="A78" s="2"/>
      <c r="B78" s="2"/>
      <c r="C78" s="2"/>
      <c r="D78" s="3"/>
      <c r="E78" s="1"/>
      <c r="I78" s="1"/>
      <c r="K78" s="4">
        <f>Tabelle5225[[#This Row],[value_present]]*Tabelle5225[[#This Row],[binding_level]]</f>
        <v>0</v>
      </c>
    </row>
    <row r="79" spans="1:11" x14ac:dyDescent="0.25">
      <c r="A79" s="2"/>
      <c r="B79" s="2"/>
      <c r="C79" s="2"/>
      <c r="D79" s="3"/>
      <c r="E79" s="1"/>
      <c r="I79" s="1"/>
      <c r="K79" s="4">
        <f>Tabelle5225[[#This Row],[value_present]]*Tabelle5225[[#This Row],[binding_level]]</f>
        <v>0</v>
      </c>
    </row>
    <row r="80" spans="1:11" x14ac:dyDescent="0.25">
      <c r="A80" s="2"/>
      <c r="B80" s="2"/>
      <c r="C80" s="2"/>
      <c r="D80" s="3"/>
      <c r="E80" s="1"/>
      <c r="I80" s="1"/>
      <c r="K80" s="4">
        <f>Tabelle5225[[#This Row],[value_present]]*Tabelle5225[[#This Row],[binding_level]]</f>
        <v>0</v>
      </c>
    </row>
    <row r="81" spans="1:11" x14ac:dyDescent="0.25">
      <c r="A81" s="2"/>
      <c r="B81" s="2"/>
      <c r="C81" s="2"/>
      <c r="D81" s="3"/>
      <c r="E81" s="1"/>
      <c r="I81" s="1"/>
      <c r="K81" s="4">
        <f>Tabelle5225[[#This Row],[value_present]]*Tabelle5225[[#This Row],[binding_level]]</f>
        <v>0</v>
      </c>
    </row>
    <row r="82" spans="1:11" x14ac:dyDescent="0.25">
      <c r="A82" s="2"/>
      <c r="B82" s="2"/>
      <c r="C82" s="2"/>
      <c r="D82" s="3"/>
      <c r="E82" s="1"/>
      <c r="I82" s="1"/>
      <c r="K82" s="4">
        <f>Tabelle5225[[#This Row],[value_present]]*Tabelle5225[[#This Row],[binding_level]]</f>
        <v>0</v>
      </c>
    </row>
    <row r="83" spans="1:11" x14ac:dyDescent="0.25">
      <c r="A83" s="2"/>
      <c r="B83" s="2"/>
      <c r="C83" s="2"/>
      <c r="D83" s="3"/>
      <c r="E83" s="1"/>
      <c r="I83" s="1"/>
      <c r="K83" s="4">
        <f>Tabelle5225[[#This Row],[value_present]]*Tabelle5225[[#This Row],[binding_level]]</f>
        <v>0</v>
      </c>
    </row>
    <row r="84" spans="1:11" x14ac:dyDescent="0.25">
      <c r="A84" s="2"/>
      <c r="B84" s="2"/>
      <c r="C84" s="2"/>
      <c r="D84" s="3"/>
      <c r="E84" s="1"/>
      <c r="I84" s="1"/>
      <c r="K84" s="4">
        <f>Tabelle5225[[#This Row],[value_present]]*Tabelle5225[[#This Row],[binding_level]]</f>
        <v>0</v>
      </c>
    </row>
    <row r="85" spans="1:11" x14ac:dyDescent="0.25">
      <c r="A85" s="2"/>
      <c r="B85" s="2"/>
      <c r="C85" s="2"/>
      <c r="D85" s="3"/>
      <c r="E85" s="1"/>
      <c r="I85" s="1"/>
      <c r="K85" s="4">
        <f>Tabelle5225[[#This Row],[value_present]]*Tabelle5225[[#This Row],[binding_level]]</f>
        <v>0</v>
      </c>
    </row>
    <row r="86" spans="1:11" x14ac:dyDescent="0.25">
      <c r="A86" s="2"/>
      <c r="B86" s="2"/>
      <c r="C86" s="2"/>
      <c r="D86" s="3"/>
      <c r="E86" s="1"/>
      <c r="I86" s="1"/>
      <c r="K86" s="4">
        <f>Tabelle5225[[#This Row],[value_present]]*Tabelle5225[[#This Row],[binding_level]]</f>
        <v>0</v>
      </c>
    </row>
    <row r="87" spans="1:11" x14ac:dyDescent="0.25">
      <c r="A87" s="2"/>
      <c r="B87" s="2"/>
      <c r="C87" s="2"/>
      <c r="D87" s="3"/>
      <c r="E87" s="1"/>
      <c r="I87" s="1"/>
      <c r="K87" s="4">
        <f>Tabelle5225[[#This Row],[value_present]]*Tabelle5225[[#This Row],[binding_level]]</f>
        <v>0</v>
      </c>
    </row>
    <row r="88" spans="1:11" x14ac:dyDescent="0.25">
      <c r="A88" s="2"/>
      <c r="B88" s="2"/>
      <c r="C88" s="2"/>
      <c r="D88" s="3"/>
      <c r="E88" s="1"/>
      <c r="I88" s="1"/>
      <c r="K88" s="4">
        <f>Tabelle5225[[#This Row],[value_present]]*Tabelle5225[[#This Row],[binding_level]]</f>
        <v>0</v>
      </c>
    </row>
    <row r="89" spans="1:11" x14ac:dyDescent="0.25">
      <c r="A89" s="2"/>
      <c r="B89" s="2"/>
      <c r="C89" s="2"/>
      <c r="D89" s="3"/>
      <c r="E89" s="1"/>
      <c r="I89" s="1"/>
      <c r="K89" s="4">
        <f>Tabelle5225[[#This Row],[value_present]]*Tabelle5225[[#This Row],[binding_level]]</f>
        <v>0</v>
      </c>
    </row>
    <row r="90" spans="1:11" x14ac:dyDescent="0.25">
      <c r="A90" s="2"/>
      <c r="B90" s="2"/>
      <c r="C90" s="2"/>
      <c r="D90" s="3"/>
      <c r="E90" s="1"/>
      <c r="I90" s="1"/>
      <c r="K90" s="4">
        <f>Tabelle5225[[#This Row],[value_present]]*Tabelle5225[[#This Row],[binding_level]]</f>
        <v>0</v>
      </c>
    </row>
    <row r="91" spans="1:11" x14ac:dyDescent="0.25">
      <c r="A91" s="2"/>
      <c r="B91" s="2"/>
      <c r="C91" s="2"/>
      <c r="D91" s="3"/>
      <c r="E91" s="1"/>
      <c r="I91" s="1"/>
      <c r="K91" s="4">
        <f>Tabelle5225[[#This Row],[value_present]]*Tabelle5225[[#This Row],[binding_level]]</f>
        <v>0</v>
      </c>
    </row>
    <row r="92" spans="1:11" x14ac:dyDescent="0.25">
      <c r="A92" s="2"/>
      <c r="B92" s="2"/>
      <c r="C92" s="2"/>
      <c r="D92" s="3"/>
      <c r="E92" s="1"/>
      <c r="I92" s="1"/>
      <c r="K92" s="4">
        <f>Tabelle5225[[#This Row],[value_present]]*Tabelle5225[[#This Row],[binding_level]]</f>
        <v>0</v>
      </c>
    </row>
    <row r="93" spans="1:11" x14ac:dyDescent="0.25">
      <c r="A93" s="2"/>
      <c r="B93" s="2"/>
      <c r="C93" s="2"/>
      <c r="D93" s="3"/>
      <c r="E93" s="1"/>
      <c r="I93" s="1"/>
      <c r="K93" s="4">
        <f>Tabelle5225[[#This Row],[value_present]]*Tabelle5225[[#This Row],[binding_level]]</f>
        <v>0</v>
      </c>
    </row>
    <row r="94" spans="1:11" x14ac:dyDescent="0.25">
      <c r="A94" s="2"/>
      <c r="B94" s="2"/>
      <c r="C94" s="2"/>
      <c r="D94" s="3"/>
      <c r="E94" s="1"/>
      <c r="I94" s="1"/>
      <c r="K94" s="4">
        <f>Tabelle5225[[#This Row],[value_present]]*Tabelle5225[[#This Row],[binding_level]]</f>
        <v>0</v>
      </c>
    </row>
    <row r="95" spans="1:11" x14ac:dyDescent="0.25">
      <c r="A95" s="2"/>
      <c r="B95" s="2"/>
      <c r="C95" s="2"/>
      <c r="D95" s="3"/>
      <c r="E95" s="1"/>
      <c r="I95" s="1"/>
      <c r="K95" s="4">
        <f>Tabelle5225[[#This Row],[value_present]]*Tabelle5225[[#This Row],[binding_level]]</f>
        <v>0</v>
      </c>
    </row>
    <row r="96" spans="1:11" x14ac:dyDescent="0.25">
      <c r="A96" s="2"/>
      <c r="B96" s="2"/>
      <c r="C96" s="2"/>
      <c r="D96" s="3"/>
      <c r="E96" s="1"/>
      <c r="I96" s="1"/>
      <c r="K96" s="4">
        <f>Tabelle5225[[#This Row],[value_present]]*Tabelle5225[[#This Row],[binding_level]]</f>
        <v>0</v>
      </c>
    </row>
    <row r="97" spans="1:11" x14ac:dyDescent="0.25">
      <c r="A97" s="2"/>
      <c r="B97" s="2"/>
      <c r="C97" s="2"/>
      <c r="D97" s="3"/>
      <c r="E97" s="1"/>
      <c r="I97" s="1"/>
      <c r="K97" s="4">
        <f>Tabelle5225[[#This Row],[value_present]]*Tabelle5225[[#This Row],[binding_level]]</f>
        <v>0</v>
      </c>
    </row>
    <row r="98" spans="1:11" x14ac:dyDescent="0.25">
      <c r="A98" s="2"/>
      <c r="B98" s="2"/>
      <c r="C98" s="2"/>
      <c r="D98" s="3"/>
      <c r="E98" s="1"/>
      <c r="I98" s="1"/>
      <c r="K98" s="4">
        <f>Tabelle5225[[#This Row],[value_present]]*Tabelle5225[[#This Row],[binding_level]]</f>
        <v>0</v>
      </c>
    </row>
    <row r="99" spans="1:11" x14ac:dyDescent="0.25">
      <c r="A99" s="2"/>
      <c r="B99" s="2"/>
      <c r="C99" s="2"/>
      <c r="D99" s="3"/>
      <c r="E99" s="1"/>
      <c r="I99" s="1"/>
      <c r="K99" s="4">
        <f>Tabelle5225[[#This Row],[value_present]]*Tabelle5225[[#This Row],[binding_level]]</f>
        <v>0</v>
      </c>
    </row>
    <row r="100" spans="1:11" x14ac:dyDescent="0.25">
      <c r="A100" s="2"/>
      <c r="B100" s="2"/>
      <c r="C100" s="2"/>
      <c r="D100" s="3"/>
      <c r="E100" s="1"/>
      <c r="I100" s="1"/>
      <c r="K100" s="4">
        <f>Tabelle5225[[#This Row],[value_present]]*Tabelle5225[[#This Row],[binding_level]]</f>
        <v>0</v>
      </c>
    </row>
    <row r="101" spans="1:11" x14ac:dyDescent="0.25">
      <c r="A101" s="2"/>
      <c r="B101" s="2"/>
      <c r="C101" s="2"/>
      <c r="D101" s="3"/>
      <c r="E101" s="1"/>
      <c r="I101" s="1"/>
      <c r="K101" s="4">
        <f>Tabelle5225[[#This Row],[value_present]]*Tabelle5225[[#This Row],[binding_level]]</f>
        <v>0</v>
      </c>
    </row>
    <row r="102" spans="1:11" x14ac:dyDescent="0.25">
      <c r="A102" s="2"/>
      <c r="B102" s="2"/>
      <c r="C102" s="2"/>
      <c r="D102" s="3"/>
      <c r="E102" s="1"/>
      <c r="I102" s="1"/>
      <c r="K102" s="4">
        <f>Tabelle5225[[#This Row],[value_present]]*Tabelle5225[[#This Row],[binding_level]]</f>
        <v>0</v>
      </c>
    </row>
    <row r="103" spans="1:11" x14ac:dyDescent="0.25">
      <c r="A103" s="2"/>
      <c r="B103" s="2"/>
      <c r="C103" s="2"/>
      <c r="D103" s="3"/>
      <c r="E103" s="1"/>
      <c r="I103" s="1"/>
      <c r="K103" s="4">
        <f>Tabelle5225[[#This Row],[value_present]]*Tabelle5225[[#This Row],[binding_level]]</f>
        <v>0</v>
      </c>
    </row>
    <row r="104" spans="1:11" x14ac:dyDescent="0.25">
      <c r="A104" s="2"/>
      <c r="B104" s="2"/>
      <c r="C104" s="2"/>
      <c r="D104" s="3"/>
      <c r="E104" s="1"/>
      <c r="I104" s="1"/>
      <c r="K104" s="4">
        <f>Tabelle5225[[#This Row],[value_present]]*Tabelle5225[[#This Row],[binding_level]]</f>
        <v>0</v>
      </c>
    </row>
    <row r="105" spans="1:11" x14ac:dyDescent="0.25">
      <c r="A105" s="2"/>
      <c r="B105" s="2"/>
      <c r="C105" s="2"/>
      <c r="D105" s="3"/>
      <c r="E105" s="1"/>
      <c r="I105" s="1"/>
      <c r="K105" s="4">
        <f>Tabelle5225[[#This Row],[value_present]]*Tabelle5225[[#This Row],[binding_level]]</f>
        <v>0</v>
      </c>
    </row>
    <row r="106" spans="1:11" x14ac:dyDescent="0.25">
      <c r="A106" s="2"/>
      <c r="B106" s="2"/>
      <c r="C106" s="2"/>
      <c r="D106" s="3"/>
      <c r="E106" s="1"/>
      <c r="I106" s="1"/>
      <c r="K106" s="4">
        <f>Tabelle5225[[#This Row],[value_present]]*Tabelle5225[[#This Row],[binding_level]]</f>
        <v>0</v>
      </c>
    </row>
    <row r="107" spans="1:11" x14ac:dyDescent="0.25">
      <c r="A107" s="2"/>
      <c r="B107" s="2"/>
      <c r="C107" s="2"/>
      <c r="D107" s="3"/>
      <c r="E107" s="1"/>
      <c r="I107" s="1"/>
      <c r="K107" s="4">
        <f>Tabelle5225[[#This Row],[value_present]]*Tabelle5225[[#This Row],[binding_level]]</f>
        <v>0</v>
      </c>
    </row>
    <row r="108" spans="1:11" x14ac:dyDescent="0.25">
      <c r="A108" s="2"/>
      <c r="B108" s="2"/>
      <c r="C108" s="2"/>
      <c r="D108" s="3"/>
      <c r="E108" s="1"/>
      <c r="I108" s="1"/>
      <c r="K108" s="4">
        <f>Tabelle5225[[#This Row],[value_present]]*Tabelle5225[[#This Row],[binding_level]]</f>
        <v>0</v>
      </c>
    </row>
    <row r="109" spans="1:11" x14ac:dyDescent="0.25">
      <c r="A109" s="2"/>
      <c r="B109" s="2"/>
      <c r="C109" s="2"/>
      <c r="D109" s="3"/>
      <c r="E109" s="1"/>
      <c r="I109" s="1"/>
      <c r="K109" s="4">
        <f>Tabelle5225[[#This Row],[value_present]]*Tabelle5225[[#This Row],[binding_level]]</f>
        <v>0</v>
      </c>
    </row>
    <row r="110" spans="1:11" x14ac:dyDescent="0.25">
      <c r="A110" s="2"/>
      <c r="B110" s="2"/>
      <c r="C110" s="2"/>
      <c r="D110" s="3"/>
      <c r="E110" s="1"/>
      <c r="I110" s="1"/>
      <c r="K110" s="4">
        <f>Tabelle5225[[#This Row],[value_present]]*Tabelle5225[[#This Row],[binding_level]]</f>
        <v>0</v>
      </c>
    </row>
    <row r="111" spans="1:11" x14ac:dyDescent="0.25">
      <c r="A111" s="2"/>
      <c r="B111" s="2"/>
      <c r="C111" s="2"/>
      <c r="D111" s="3"/>
      <c r="E111" s="1"/>
      <c r="I111" s="1"/>
      <c r="K111" s="4">
        <f>Tabelle5225[[#This Row],[value_present]]*Tabelle5225[[#This Row],[binding_level]]</f>
        <v>0</v>
      </c>
    </row>
    <row r="112" spans="1:11" x14ac:dyDescent="0.25">
      <c r="A112" s="2"/>
      <c r="B112" s="2"/>
      <c r="C112" s="2"/>
      <c r="D112" s="3"/>
      <c r="E112" s="1"/>
      <c r="I112" s="1"/>
      <c r="K112" s="4">
        <f>Tabelle5225[[#This Row],[value_present]]*Tabelle5225[[#This Row],[binding_level]]</f>
        <v>0</v>
      </c>
    </row>
    <row r="113" spans="1:11" x14ac:dyDescent="0.25">
      <c r="A113" s="2"/>
      <c r="B113" s="2"/>
      <c r="C113" s="2"/>
      <c r="D113" s="3"/>
      <c r="E113" s="1"/>
      <c r="I113" s="1"/>
      <c r="K113" s="4">
        <f>Tabelle5225[[#This Row],[value_present]]*Tabelle5225[[#This Row],[binding_level]]</f>
        <v>0</v>
      </c>
    </row>
    <row r="114" spans="1:11" x14ac:dyDescent="0.25">
      <c r="A114" s="2"/>
      <c r="B114" s="2"/>
      <c r="C114" s="2"/>
      <c r="D114" s="3"/>
      <c r="E114" s="1"/>
      <c r="I114" s="1"/>
      <c r="K114" s="4">
        <f>Tabelle5225[[#This Row],[value_present]]*Tabelle5225[[#This Row],[binding_level]]</f>
        <v>0</v>
      </c>
    </row>
    <row r="115" spans="1:11" x14ac:dyDescent="0.25">
      <c r="A115" s="2"/>
      <c r="B115" s="2"/>
      <c r="C115" s="2"/>
      <c r="D115" s="3"/>
      <c r="E115" s="1"/>
      <c r="I115" s="1"/>
      <c r="K115" s="4">
        <f>Tabelle5225[[#This Row],[value_present]]*Tabelle5225[[#This Row],[binding_level]]</f>
        <v>0</v>
      </c>
    </row>
    <row r="116" spans="1:11" x14ac:dyDescent="0.25">
      <c r="A116" s="2"/>
      <c r="B116" s="2"/>
      <c r="C116" s="2"/>
      <c r="D116" s="3"/>
      <c r="E116" s="1"/>
      <c r="I116" s="1"/>
      <c r="K116" s="4">
        <f>Tabelle5225[[#This Row],[value_present]]*Tabelle5225[[#This Row],[binding_level]]</f>
        <v>0</v>
      </c>
    </row>
    <row r="117" spans="1:11" x14ac:dyDescent="0.25">
      <c r="A117" s="2"/>
      <c r="B117" s="2"/>
      <c r="C117" s="2"/>
      <c r="D117" s="3"/>
      <c r="E117" s="1"/>
      <c r="I117" s="1"/>
      <c r="K117" s="4">
        <f>Tabelle5225[[#This Row],[value_present]]*Tabelle5225[[#This Row],[binding_level]]</f>
        <v>0</v>
      </c>
    </row>
    <row r="118" spans="1:11" x14ac:dyDescent="0.25">
      <c r="A118" s="2"/>
      <c r="B118" s="2"/>
      <c r="C118" s="2"/>
      <c r="D118" s="3"/>
      <c r="E118" s="1"/>
      <c r="I118" s="1"/>
      <c r="K118" s="4">
        <f>Tabelle5225[[#This Row],[value_present]]*Tabelle5225[[#This Row],[binding_level]]</f>
        <v>0</v>
      </c>
    </row>
    <row r="119" spans="1:11" x14ac:dyDescent="0.25">
      <c r="A119" s="2"/>
      <c r="B119" s="2"/>
      <c r="C119" s="2"/>
      <c r="D119" s="3"/>
      <c r="E119" s="1"/>
      <c r="I119" s="1"/>
      <c r="K119" s="4">
        <f>Tabelle5225[[#This Row],[value_present]]*Tabelle5225[[#This Row],[binding_level]]</f>
        <v>0</v>
      </c>
    </row>
    <row r="120" spans="1:11" x14ac:dyDescent="0.25">
      <c r="A120" s="2"/>
      <c r="B120" s="2"/>
      <c r="C120" s="2"/>
      <c r="D120" s="3"/>
      <c r="E120" s="1"/>
      <c r="I120" s="1"/>
      <c r="K120" s="4">
        <f>Tabelle5225[[#This Row],[value_present]]*Tabelle5225[[#This Row],[binding_level]]</f>
        <v>0</v>
      </c>
    </row>
    <row r="121" spans="1:11" x14ac:dyDescent="0.25">
      <c r="A121" s="2"/>
      <c r="B121" s="2"/>
      <c r="C121" s="2"/>
      <c r="D121" s="3"/>
      <c r="E121" s="1"/>
      <c r="I121" s="1"/>
      <c r="K121" s="4">
        <f>Tabelle5225[[#This Row],[value_present]]*Tabelle5225[[#This Row],[binding_level]]</f>
        <v>0</v>
      </c>
    </row>
    <row r="122" spans="1:11" x14ac:dyDescent="0.25">
      <c r="A122" s="2"/>
      <c r="B122" s="2"/>
      <c r="C122" s="2"/>
      <c r="D122" s="3"/>
      <c r="E122" s="1"/>
      <c r="I122" s="1"/>
      <c r="K122" s="4">
        <f>Tabelle5225[[#This Row],[value_present]]*Tabelle5225[[#This Row],[binding_level]]</f>
        <v>0</v>
      </c>
    </row>
    <row r="123" spans="1:11" x14ac:dyDescent="0.25">
      <c r="A123" s="2"/>
      <c r="B123" s="2"/>
      <c r="C123" s="2"/>
      <c r="D123" s="3"/>
      <c r="E123" s="1"/>
      <c r="I123" s="1"/>
      <c r="K123" s="4">
        <f>Tabelle5225[[#This Row],[value_present]]*Tabelle5225[[#This Row],[binding_level]]</f>
        <v>0</v>
      </c>
    </row>
    <row r="124" spans="1:11" x14ac:dyDescent="0.25">
      <c r="A124" s="2"/>
      <c r="B124" s="2"/>
      <c r="C124" s="2"/>
      <c r="D124" s="3"/>
      <c r="E124" s="1"/>
      <c r="I124" s="1"/>
      <c r="K124" s="4">
        <f>Tabelle5225[[#This Row],[value_present]]*Tabelle5225[[#This Row],[binding_level]]</f>
        <v>0</v>
      </c>
    </row>
    <row r="125" spans="1:11" x14ac:dyDescent="0.25">
      <c r="A125" s="2"/>
      <c r="B125" s="2"/>
      <c r="C125" s="2"/>
      <c r="D125" s="3"/>
      <c r="E125" s="1"/>
      <c r="I125" s="1"/>
      <c r="K125" s="4">
        <f>Tabelle5225[[#This Row],[value_present]]*Tabelle5225[[#This Row],[binding_level]]</f>
        <v>0</v>
      </c>
    </row>
    <row r="126" spans="1:11" x14ac:dyDescent="0.25">
      <c r="A126" s="2"/>
      <c r="B126" s="2"/>
      <c r="C126" s="2"/>
      <c r="D126" s="3"/>
      <c r="E126" s="1"/>
      <c r="I126" s="1"/>
      <c r="K126" s="4">
        <f>Tabelle5225[[#This Row],[value_present]]*Tabelle5225[[#This Row],[binding_level]]</f>
        <v>0</v>
      </c>
    </row>
    <row r="127" spans="1:11" x14ac:dyDescent="0.25">
      <c r="A127" s="2"/>
      <c r="B127" s="2"/>
      <c r="C127" s="2"/>
      <c r="D127" s="3"/>
      <c r="E127" s="1"/>
      <c r="I127" s="1"/>
      <c r="K127" s="4">
        <f>Tabelle5225[[#This Row],[value_present]]*Tabelle5225[[#This Row],[binding_level]]</f>
        <v>0</v>
      </c>
    </row>
    <row r="128" spans="1:11" x14ac:dyDescent="0.25">
      <c r="A128" s="2"/>
      <c r="B128" s="2"/>
      <c r="C128" s="2"/>
      <c r="D128" s="3"/>
      <c r="E128" s="1"/>
      <c r="I128" s="1"/>
      <c r="K128" s="4">
        <f>Tabelle5225[[#This Row],[value_present]]*Tabelle5225[[#This Row],[binding_level]]</f>
        <v>0</v>
      </c>
    </row>
    <row r="129" spans="1:11" x14ac:dyDescent="0.25">
      <c r="A129" s="2"/>
      <c r="B129" s="2"/>
      <c r="C129" s="2"/>
      <c r="D129" s="3"/>
      <c r="E129" s="1"/>
      <c r="I129" s="1"/>
      <c r="K129" s="4">
        <f>Tabelle5225[[#This Row],[value_present]]*Tabelle5225[[#This Row],[binding_level]]</f>
        <v>0</v>
      </c>
    </row>
    <row r="130" spans="1:11" x14ac:dyDescent="0.25">
      <c r="A130" s="2"/>
      <c r="B130" s="2"/>
      <c r="C130" s="2"/>
      <c r="D130" s="3"/>
      <c r="E130" s="1"/>
      <c r="I130" s="1"/>
      <c r="K130" s="4">
        <f>Tabelle5225[[#This Row],[value_present]]*Tabelle5225[[#This Row],[binding_level]]</f>
        <v>0</v>
      </c>
    </row>
    <row r="131" spans="1:11" x14ac:dyDescent="0.25">
      <c r="A131" s="2"/>
      <c r="B131" s="2"/>
      <c r="C131" s="2"/>
      <c r="D131" s="3"/>
      <c r="E131" s="1"/>
      <c r="I131" s="1"/>
      <c r="K131" s="4">
        <f>Tabelle5225[[#This Row],[value_present]]*Tabelle5225[[#This Row],[binding_level]]</f>
        <v>0</v>
      </c>
    </row>
    <row r="132" spans="1:11" x14ac:dyDescent="0.25">
      <c r="A132" s="2"/>
      <c r="B132" s="2"/>
      <c r="C132" s="2"/>
      <c r="D132" s="3"/>
      <c r="E132" s="1"/>
      <c r="I132" s="1"/>
      <c r="K132" s="4">
        <f>Tabelle5225[[#This Row],[value_present]]*Tabelle5225[[#This Row],[binding_level]]</f>
        <v>0</v>
      </c>
    </row>
    <row r="133" spans="1:11" x14ac:dyDescent="0.25">
      <c r="A133" s="2"/>
      <c r="B133" s="2"/>
      <c r="C133" s="2"/>
      <c r="D133" s="3"/>
      <c r="E133" s="1"/>
      <c r="I133" s="1"/>
      <c r="K133" s="4">
        <f>Tabelle5225[[#This Row],[value_present]]*Tabelle5225[[#This Row],[binding_level]]</f>
        <v>0</v>
      </c>
    </row>
    <row r="134" spans="1:11" x14ac:dyDescent="0.25">
      <c r="A134" s="2"/>
      <c r="B134" s="2"/>
      <c r="C134" s="2"/>
      <c r="D134" s="3"/>
      <c r="E134" s="1"/>
      <c r="I134" s="1"/>
      <c r="K134" s="4">
        <f>Tabelle5225[[#This Row],[value_present]]*Tabelle5225[[#This Row],[binding_level]]</f>
        <v>0</v>
      </c>
    </row>
    <row r="135" spans="1:11" x14ac:dyDescent="0.25">
      <c r="A135" s="2"/>
      <c r="B135" s="2"/>
      <c r="C135" s="2"/>
      <c r="D135" s="3"/>
      <c r="E135" s="1"/>
      <c r="I135" s="1"/>
      <c r="K135" s="4">
        <f>Tabelle5225[[#This Row],[value_present]]*Tabelle5225[[#This Row],[binding_level]]</f>
        <v>0</v>
      </c>
    </row>
    <row r="136" spans="1:11" x14ac:dyDescent="0.25">
      <c r="A136" s="2"/>
      <c r="B136" s="2"/>
      <c r="C136" s="2"/>
      <c r="D136" s="3"/>
      <c r="E136" s="1"/>
      <c r="I136" s="1"/>
      <c r="K136" s="4">
        <f>Tabelle5225[[#This Row],[value_present]]*Tabelle5225[[#This Row],[binding_level]]</f>
        <v>0</v>
      </c>
    </row>
    <row r="137" spans="1:11" x14ac:dyDescent="0.25">
      <c r="A137" s="2"/>
      <c r="B137" s="2"/>
      <c r="C137" s="2"/>
      <c r="D137" s="3"/>
      <c r="E137" s="1"/>
      <c r="I137" s="1"/>
      <c r="K137" s="4">
        <f>Tabelle5225[[#This Row],[value_present]]*Tabelle5225[[#This Row],[binding_level]]</f>
        <v>0</v>
      </c>
    </row>
    <row r="138" spans="1:11" x14ac:dyDescent="0.25">
      <c r="A138" s="2"/>
      <c r="B138" s="2"/>
      <c r="C138" s="2"/>
      <c r="D138" s="3"/>
      <c r="E138" s="1"/>
      <c r="I138" s="1"/>
      <c r="K138" s="4">
        <f>Tabelle5225[[#This Row],[value_present]]*Tabelle5225[[#This Row],[binding_level]]</f>
        <v>0</v>
      </c>
    </row>
    <row r="139" spans="1:11" x14ac:dyDescent="0.25">
      <c r="A139" s="2"/>
      <c r="B139" s="2"/>
      <c r="C139" s="2"/>
      <c r="D139" s="3"/>
      <c r="E139" s="1"/>
      <c r="I139" s="1"/>
      <c r="K139" s="4">
        <f>Tabelle5225[[#This Row],[value_present]]*Tabelle5225[[#This Row],[binding_level]]</f>
        <v>0</v>
      </c>
    </row>
    <row r="140" spans="1:11" x14ac:dyDescent="0.25">
      <c r="A140" s="2"/>
      <c r="B140" s="2"/>
      <c r="C140" s="2"/>
      <c r="D140" s="3"/>
      <c r="E140" s="1"/>
      <c r="I140" s="1"/>
      <c r="K140" s="4">
        <f>Tabelle5225[[#This Row],[value_present]]*Tabelle5225[[#This Row],[binding_level]]</f>
        <v>0</v>
      </c>
    </row>
    <row r="141" spans="1:11" x14ac:dyDescent="0.25">
      <c r="A141" s="2"/>
      <c r="B141" s="2"/>
      <c r="C141" s="2"/>
      <c r="D141" s="3"/>
      <c r="E141" s="1"/>
      <c r="I141" s="1"/>
      <c r="K141" s="4">
        <f>Tabelle5225[[#This Row],[value_present]]*Tabelle5225[[#This Row],[binding_level]]</f>
        <v>0</v>
      </c>
    </row>
    <row r="142" spans="1:11" x14ac:dyDescent="0.25">
      <c r="A142" s="2"/>
      <c r="B142" s="2"/>
      <c r="C142" s="2"/>
      <c r="D142" s="3"/>
      <c r="E142" s="1"/>
      <c r="I142" s="1"/>
      <c r="K142" s="4">
        <f>Tabelle5225[[#This Row],[value_present]]*Tabelle5225[[#This Row],[binding_level]]</f>
        <v>0</v>
      </c>
    </row>
    <row r="143" spans="1:11" x14ac:dyDescent="0.25">
      <c r="A143" s="2"/>
      <c r="B143" s="2"/>
      <c r="C143" s="2"/>
      <c r="D143" s="3"/>
      <c r="E143" s="1"/>
      <c r="I143" s="1"/>
      <c r="K143" s="4">
        <f>Tabelle5225[[#This Row],[value_present]]*Tabelle5225[[#This Row],[binding_level]]</f>
        <v>0</v>
      </c>
    </row>
    <row r="144" spans="1:11" x14ac:dyDescent="0.25">
      <c r="A144" s="2"/>
      <c r="B144" s="2"/>
      <c r="C144" s="2"/>
      <c r="D144" s="3"/>
      <c r="E144" s="1"/>
      <c r="I144" s="1"/>
      <c r="K144" s="4">
        <f>Tabelle5225[[#This Row],[value_present]]*Tabelle5225[[#This Row],[binding_level]]</f>
        <v>0</v>
      </c>
    </row>
    <row r="145" spans="1:11" x14ac:dyDescent="0.25">
      <c r="A145" s="2"/>
      <c r="B145" s="2"/>
      <c r="C145" s="2"/>
      <c r="D145" s="3"/>
      <c r="E145" s="1"/>
      <c r="I145" s="1"/>
      <c r="K145" s="4">
        <f>Tabelle5225[[#This Row],[value_present]]*Tabelle5225[[#This Row],[binding_level]]</f>
        <v>0</v>
      </c>
    </row>
    <row r="146" spans="1:11" x14ac:dyDescent="0.25">
      <c r="A146" s="2"/>
      <c r="B146" s="2"/>
      <c r="C146" s="2"/>
      <c r="D146" s="3"/>
      <c r="E146" s="1"/>
      <c r="I146" s="1"/>
      <c r="K146" s="4">
        <f>Tabelle5225[[#This Row],[value_present]]*Tabelle5225[[#This Row],[binding_level]]</f>
        <v>0</v>
      </c>
    </row>
    <row r="147" spans="1:11" x14ac:dyDescent="0.25">
      <c r="A147" s="2"/>
      <c r="B147" s="2"/>
      <c r="C147" s="2"/>
      <c r="D147" s="3"/>
      <c r="E147" s="1"/>
      <c r="I147" s="1"/>
      <c r="K147" s="4">
        <f>Tabelle5225[[#This Row],[value_present]]*Tabelle5225[[#This Row],[binding_level]]</f>
        <v>0</v>
      </c>
    </row>
    <row r="148" spans="1:11" x14ac:dyDescent="0.25">
      <c r="A148" s="2"/>
      <c r="B148" s="2"/>
      <c r="C148" s="2"/>
      <c r="D148" s="3"/>
      <c r="E148" s="1"/>
      <c r="I148" s="1"/>
      <c r="K148" s="4">
        <f>Tabelle5225[[#This Row],[value_present]]*Tabelle5225[[#This Row],[binding_level]]</f>
        <v>0</v>
      </c>
    </row>
    <row r="149" spans="1:11" x14ac:dyDescent="0.25">
      <c r="A149" s="2"/>
      <c r="B149" s="2"/>
      <c r="C149" s="2"/>
      <c r="D149" s="3"/>
      <c r="E149" s="1"/>
      <c r="I149" s="1"/>
      <c r="K149" s="4">
        <f>Tabelle5225[[#This Row],[value_present]]*Tabelle5225[[#This Row],[binding_level]]</f>
        <v>0</v>
      </c>
    </row>
    <row r="150" spans="1:11" x14ac:dyDescent="0.25">
      <c r="A150" s="2"/>
      <c r="B150" s="2"/>
      <c r="C150" s="2"/>
      <c r="D150" s="3"/>
      <c r="E150" s="1"/>
      <c r="I150" s="1"/>
      <c r="K150" s="4">
        <f>Tabelle5225[[#This Row],[value_present]]*Tabelle5225[[#This Row],[binding_level]]</f>
        <v>0</v>
      </c>
    </row>
    <row r="151" spans="1:11" x14ac:dyDescent="0.25">
      <c r="A151" s="2"/>
      <c r="B151" s="2"/>
      <c r="C151" s="2"/>
      <c r="D151" s="3"/>
      <c r="E151" s="1"/>
      <c r="I151" s="1"/>
      <c r="K151" s="4">
        <f>Tabelle5225[[#This Row],[value_present]]*Tabelle5225[[#This Row],[binding_level]]</f>
        <v>0</v>
      </c>
    </row>
    <row r="152" spans="1:11" x14ac:dyDescent="0.25">
      <c r="A152" s="2"/>
      <c r="B152" s="2"/>
      <c r="C152" s="2"/>
      <c r="D152" s="3"/>
      <c r="E152" s="1"/>
      <c r="I152" s="1"/>
      <c r="K152" s="4">
        <f>Tabelle5225[[#This Row],[value_present]]*Tabelle5225[[#This Row],[binding_level]]</f>
        <v>0</v>
      </c>
    </row>
    <row r="153" spans="1:11" x14ac:dyDescent="0.25">
      <c r="A153" s="2"/>
      <c r="B153" s="2"/>
      <c r="C153" s="2"/>
      <c r="D153" s="3"/>
      <c r="E153" s="1"/>
      <c r="I153" s="1"/>
      <c r="K153" s="4">
        <f>Tabelle5225[[#This Row],[value_present]]*Tabelle5225[[#This Row],[binding_level]]</f>
        <v>0</v>
      </c>
    </row>
    <row r="154" spans="1:11" x14ac:dyDescent="0.25">
      <c r="A154" s="2"/>
      <c r="B154" s="2"/>
      <c r="C154" s="2"/>
      <c r="D154" s="3"/>
      <c r="E154" s="1"/>
      <c r="I154" s="1"/>
      <c r="K154" s="4">
        <f>Tabelle5225[[#This Row],[value_present]]*Tabelle5225[[#This Row],[binding_level]]</f>
        <v>0</v>
      </c>
    </row>
    <row r="155" spans="1:11" x14ac:dyDescent="0.25">
      <c r="A155" s="2"/>
      <c r="B155" s="2"/>
      <c r="C155" s="2"/>
      <c r="D155" s="3"/>
      <c r="E155" s="1"/>
      <c r="I155" s="1"/>
      <c r="K155" s="4">
        <f>Tabelle5225[[#This Row],[value_present]]*Tabelle5225[[#This Row],[binding_level]]</f>
        <v>0</v>
      </c>
    </row>
    <row r="156" spans="1:11" x14ac:dyDescent="0.25">
      <c r="A156" s="2"/>
      <c r="B156" s="2"/>
      <c r="C156" s="2"/>
      <c r="D156" s="3"/>
      <c r="E156" s="1"/>
      <c r="I156" s="1"/>
      <c r="K156" s="4">
        <f>Tabelle5225[[#This Row],[value_present]]*Tabelle5225[[#This Row],[binding_level]]</f>
        <v>0</v>
      </c>
    </row>
    <row r="157" spans="1:11" x14ac:dyDescent="0.25">
      <c r="A157" s="2"/>
      <c r="B157" s="2"/>
      <c r="C157" s="2"/>
      <c r="D157" s="3"/>
      <c r="E157" s="1"/>
      <c r="I157" s="1"/>
      <c r="K157" s="4">
        <f>Tabelle5225[[#This Row],[value_present]]*Tabelle5225[[#This Row],[binding_level]]</f>
        <v>0</v>
      </c>
    </row>
    <row r="158" spans="1:11" x14ac:dyDescent="0.25">
      <c r="A158" s="2"/>
      <c r="B158" s="2"/>
      <c r="C158" s="2"/>
      <c r="D158" s="3"/>
      <c r="E158" s="1"/>
      <c r="I158" s="1"/>
      <c r="K158" s="4">
        <f>Tabelle5225[[#This Row],[value_present]]*Tabelle5225[[#This Row],[binding_level]]</f>
        <v>0</v>
      </c>
    </row>
    <row r="159" spans="1:11" x14ac:dyDescent="0.25">
      <c r="A159" s="2"/>
      <c r="B159" s="2"/>
      <c r="C159" s="2"/>
      <c r="D159" s="3"/>
      <c r="E159" s="1"/>
      <c r="I159" s="1"/>
      <c r="K159" s="4">
        <f>Tabelle5225[[#This Row],[value_present]]*Tabelle5225[[#This Row],[binding_level]]</f>
        <v>0</v>
      </c>
    </row>
    <row r="160" spans="1:11" x14ac:dyDescent="0.25">
      <c r="A160" s="2"/>
      <c r="B160" s="2"/>
      <c r="C160" s="2"/>
      <c r="D160" s="3"/>
      <c r="E160" s="1"/>
      <c r="I160" s="1"/>
      <c r="K160" s="4">
        <f>Tabelle5225[[#This Row],[value_present]]*Tabelle5225[[#This Row],[binding_level]]</f>
        <v>0</v>
      </c>
    </row>
    <row r="161" spans="1:11" x14ac:dyDescent="0.25">
      <c r="A161" s="2"/>
      <c r="B161" s="2"/>
      <c r="C161" s="2"/>
      <c r="D161" s="3"/>
      <c r="E161" s="1"/>
      <c r="I161" s="1"/>
      <c r="K161" s="4">
        <f>Tabelle5225[[#This Row],[value_present]]*Tabelle5225[[#This Row],[binding_level]]</f>
        <v>0</v>
      </c>
    </row>
    <row r="162" spans="1:11" x14ac:dyDescent="0.25">
      <c r="A162" s="2"/>
      <c r="B162" s="2"/>
      <c r="C162" s="2"/>
      <c r="D162" s="3"/>
      <c r="E162" s="1"/>
      <c r="I162" s="1"/>
      <c r="K162" s="4">
        <f>Tabelle5225[[#This Row],[value_present]]*Tabelle5225[[#This Row],[binding_level]]</f>
        <v>0</v>
      </c>
    </row>
    <row r="163" spans="1:11" x14ac:dyDescent="0.25">
      <c r="A163" s="2"/>
      <c r="B163" s="2"/>
      <c r="C163" s="2"/>
      <c r="D163" s="3"/>
      <c r="E163" s="1"/>
      <c r="I163" s="1"/>
      <c r="K163" s="4">
        <f>Tabelle5225[[#This Row],[value_present]]*Tabelle5225[[#This Row],[binding_level]]</f>
        <v>0</v>
      </c>
    </row>
    <row r="164" spans="1:11" x14ac:dyDescent="0.25">
      <c r="A164" s="2"/>
      <c r="B164" s="2"/>
      <c r="C164" s="2"/>
      <c r="D164" s="3"/>
      <c r="E164" s="1"/>
      <c r="I164" s="1"/>
      <c r="K164" s="4">
        <f>Tabelle5225[[#This Row],[value_present]]*Tabelle5225[[#This Row],[binding_level]]</f>
        <v>0</v>
      </c>
    </row>
    <row r="165" spans="1:11" x14ac:dyDescent="0.25">
      <c r="A165" s="2"/>
      <c r="B165" s="2"/>
      <c r="C165" s="2"/>
      <c r="D165" s="3"/>
      <c r="E165" s="1"/>
      <c r="I165" s="1"/>
      <c r="K165" s="4">
        <f>Tabelle5225[[#This Row],[value_present]]*Tabelle5225[[#This Row],[binding_level]]</f>
        <v>0</v>
      </c>
    </row>
    <row r="166" spans="1:11" x14ac:dyDescent="0.25">
      <c r="A166" s="2"/>
      <c r="B166" s="2"/>
      <c r="C166" s="2"/>
      <c r="D166" s="3"/>
      <c r="E166" s="1"/>
      <c r="I166" s="1"/>
      <c r="K166" s="4">
        <f>Tabelle5225[[#This Row],[value_present]]*Tabelle5225[[#This Row],[binding_level]]</f>
        <v>0</v>
      </c>
    </row>
    <row r="167" spans="1:11" x14ac:dyDescent="0.25">
      <c r="A167" s="2"/>
      <c r="B167" s="2"/>
      <c r="C167" s="2"/>
      <c r="D167" s="3"/>
      <c r="E167" s="1"/>
      <c r="I167" s="1"/>
      <c r="K167" s="4">
        <f>Tabelle5225[[#This Row],[value_present]]*Tabelle5225[[#This Row],[binding_level]]</f>
        <v>0</v>
      </c>
    </row>
    <row r="168" spans="1:11" x14ac:dyDescent="0.25">
      <c r="A168" s="2"/>
      <c r="B168" s="2"/>
      <c r="C168" s="2"/>
      <c r="D168" s="3"/>
      <c r="E168" s="1"/>
      <c r="I168" s="1"/>
      <c r="K168" s="4">
        <f>Tabelle5225[[#This Row],[value_present]]*Tabelle5225[[#This Row],[binding_level]]</f>
        <v>0</v>
      </c>
    </row>
    <row r="169" spans="1:11" x14ac:dyDescent="0.25">
      <c r="A169" s="2"/>
      <c r="B169" s="2"/>
      <c r="C169" s="2"/>
      <c r="D169" s="3"/>
      <c r="E169" s="1"/>
      <c r="I169" s="1"/>
      <c r="K169" s="4">
        <f>Tabelle5225[[#This Row],[value_present]]*Tabelle5225[[#This Row],[binding_level]]</f>
        <v>0</v>
      </c>
    </row>
    <row r="170" spans="1:11" x14ac:dyDescent="0.25">
      <c r="A170" s="2"/>
      <c r="B170" s="2"/>
      <c r="C170" s="2"/>
      <c r="D170" s="3"/>
      <c r="E170" s="1"/>
      <c r="I170" s="1"/>
      <c r="K170" s="4">
        <f>Tabelle5225[[#This Row],[value_present]]*Tabelle5225[[#This Row],[binding_level]]</f>
        <v>0</v>
      </c>
    </row>
    <row r="171" spans="1:11" x14ac:dyDescent="0.25">
      <c r="A171" s="2"/>
      <c r="B171" s="2"/>
      <c r="C171" s="2"/>
      <c r="D171" s="3"/>
      <c r="E171" s="1"/>
      <c r="I171" s="1"/>
      <c r="K171" s="4">
        <f>Tabelle5225[[#This Row],[value_present]]*Tabelle5225[[#This Row],[binding_level]]</f>
        <v>0</v>
      </c>
    </row>
    <row r="172" spans="1:11" x14ac:dyDescent="0.25">
      <c r="A172" s="2"/>
      <c r="B172" s="2"/>
      <c r="C172" s="2"/>
      <c r="D172" s="3"/>
      <c r="E172" s="1"/>
      <c r="I172" s="1"/>
      <c r="K172" s="4">
        <f>Tabelle5225[[#This Row],[value_present]]*Tabelle5225[[#This Row],[binding_level]]</f>
        <v>0</v>
      </c>
    </row>
    <row r="173" spans="1:11" x14ac:dyDescent="0.25">
      <c r="A173" s="2"/>
      <c r="B173" s="2"/>
      <c r="C173" s="2"/>
      <c r="D173" s="3"/>
      <c r="E173" s="1"/>
      <c r="I173" s="1"/>
      <c r="K173" s="4">
        <f>Tabelle5225[[#This Row],[value_present]]*Tabelle5225[[#This Row],[binding_level]]</f>
        <v>0</v>
      </c>
    </row>
    <row r="174" spans="1:11" x14ac:dyDescent="0.25">
      <c r="A174" s="2"/>
      <c r="B174" s="2"/>
      <c r="C174" s="2"/>
      <c r="D174" s="3"/>
      <c r="E174" s="1"/>
      <c r="I174" s="1"/>
      <c r="K174" s="4">
        <f>Tabelle5225[[#This Row],[value_present]]*Tabelle5225[[#This Row],[binding_level]]</f>
        <v>0</v>
      </c>
    </row>
    <row r="175" spans="1:11" x14ac:dyDescent="0.25">
      <c r="A175" s="2"/>
      <c r="B175" s="2"/>
      <c r="C175" s="2"/>
      <c r="D175" s="3"/>
      <c r="E175" s="1"/>
      <c r="I175" s="1"/>
      <c r="K175" s="4">
        <f>Tabelle5225[[#This Row],[value_present]]*Tabelle5225[[#This Row],[binding_level]]</f>
        <v>0</v>
      </c>
    </row>
    <row r="176" spans="1:11" x14ac:dyDescent="0.25">
      <c r="A176" s="2"/>
      <c r="B176" s="2"/>
      <c r="C176" s="2"/>
      <c r="D176" s="3"/>
      <c r="E176" s="1"/>
      <c r="I176" s="1"/>
      <c r="K176" s="4">
        <f>Tabelle5225[[#This Row],[value_present]]*Tabelle5225[[#This Row],[binding_level]]</f>
        <v>0</v>
      </c>
    </row>
    <row r="177" spans="1:11" x14ac:dyDescent="0.25">
      <c r="A177" s="2"/>
      <c r="B177" s="2"/>
      <c r="C177" s="2"/>
      <c r="D177" s="3"/>
      <c r="E177" s="1"/>
      <c r="I177" s="1"/>
      <c r="K177" s="4">
        <f>Tabelle5225[[#This Row],[value_present]]*Tabelle5225[[#This Row],[binding_level]]</f>
        <v>0</v>
      </c>
    </row>
    <row r="178" spans="1:11" x14ac:dyDescent="0.25">
      <c r="A178" s="2"/>
      <c r="B178" s="2"/>
      <c r="C178" s="2"/>
      <c r="D178" s="3"/>
      <c r="E178" s="1"/>
      <c r="I178" s="1"/>
      <c r="K178" s="4">
        <f>Tabelle5225[[#This Row],[value_present]]*Tabelle5225[[#This Row],[binding_level]]</f>
        <v>0</v>
      </c>
    </row>
    <row r="179" spans="1:11" x14ac:dyDescent="0.25">
      <c r="A179" s="2"/>
      <c r="B179" s="2"/>
      <c r="C179" s="2"/>
      <c r="D179" s="3"/>
      <c r="E179" s="1"/>
      <c r="I179" s="1"/>
      <c r="K179" s="4">
        <f>Tabelle5225[[#This Row],[value_present]]*Tabelle5225[[#This Row],[binding_level]]</f>
        <v>0</v>
      </c>
    </row>
    <row r="180" spans="1:11" x14ac:dyDescent="0.25">
      <c r="A180" s="2"/>
      <c r="B180" s="2"/>
      <c r="C180" s="2"/>
      <c r="D180" s="3"/>
      <c r="E180" s="1"/>
      <c r="I180" s="1"/>
      <c r="K180" s="4">
        <f>Tabelle5225[[#This Row],[value_present]]*Tabelle5225[[#This Row],[binding_level]]</f>
        <v>0</v>
      </c>
    </row>
    <row r="181" spans="1:11" x14ac:dyDescent="0.25">
      <c r="A181" s="2"/>
      <c r="B181" s="2"/>
      <c r="C181" s="2"/>
      <c r="D181" s="3"/>
      <c r="E181" s="1"/>
      <c r="I181" s="1"/>
      <c r="K181" s="4">
        <f>Tabelle5225[[#This Row],[value_present]]*Tabelle5225[[#This Row],[binding_level]]</f>
        <v>0</v>
      </c>
    </row>
    <row r="182" spans="1:11" x14ac:dyDescent="0.25">
      <c r="A182" s="2"/>
      <c r="B182" s="2"/>
      <c r="C182" s="2"/>
      <c r="D182" s="3"/>
      <c r="E182" s="1"/>
      <c r="I182" s="1"/>
      <c r="K182" s="4">
        <f>Tabelle5225[[#This Row],[value_present]]*Tabelle5225[[#This Row],[binding_level]]</f>
        <v>0</v>
      </c>
    </row>
    <row r="183" spans="1:11" x14ac:dyDescent="0.25">
      <c r="A183" s="2"/>
      <c r="B183" s="2"/>
      <c r="C183" s="2"/>
      <c r="D183" s="3"/>
      <c r="E183" s="1"/>
      <c r="I183" s="1"/>
      <c r="K183" s="4">
        <f>Tabelle5225[[#This Row],[value_present]]*Tabelle5225[[#This Row],[binding_level]]</f>
        <v>0</v>
      </c>
    </row>
    <row r="184" spans="1:11" x14ac:dyDescent="0.25">
      <c r="A184" s="2"/>
      <c r="B184" s="2"/>
      <c r="C184" s="2"/>
      <c r="D184" s="3"/>
      <c r="E184" s="1"/>
      <c r="I184" s="1"/>
      <c r="K184" s="4">
        <f>Tabelle5225[[#This Row],[value_present]]*Tabelle5225[[#This Row],[binding_level]]</f>
        <v>0</v>
      </c>
    </row>
    <row r="185" spans="1:11" x14ac:dyDescent="0.25">
      <c r="A185" s="2"/>
      <c r="B185" s="2"/>
      <c r="C185" s="2"/>
      <c r="D185" s="3"/>
      <c r="E185" s="1"/>
      <c r="I185" s="1"/>
      <c r="K185" s="4">
        <f>Tabelle5225[[#This Row],[value_present]]*Tabelle5225[[#This Row],[binding_level]]</f>
        <v>0</v>
      </c>
    </row>
    <row r="186" spans="1:11" x14ac:dyDescent="0.25">
      <c r="A186" s="2"/>
      <c r="B186" s="2"/>
      <c r="C186" s="2"/>
      <c r="D186" s="3"/>
      <c r="E186" s="1"/>
      <c r="I186" s="1"/>
      <c r="K186" s="4">
        <f>Tabelle5225[[#This Row],[value_present]]*Tabelle5225[[#This Row],[binding_level]]</f>
        <v>0</v>
      </c>
    </row>
    <row r="187" spans="1:11" x14ac:dyDescent="0.25">
      <c r="A187" s="2"/>
      <c r="B187" s="2"/>
      <c r="C187" s="2"/>
      <c r="D187" s="3"/>
      <c r="E187" s="1"/>
      <c r="I187" s="1"/>
      <c r="K187" s="4">
        <f>Tabelle5225[[#This Row],[value_present]]*Tabelle5225[[#This Row],[binding_level]]</f>
        <v>0</v>
      </c>
    </row>
    <row r="188" spans="1:11" x14ac:dyDescent="0.25">
      <c r="A188" s="2"/>
      <c r="B188" s="2"/>
      <c r="C188" s="2"/>
      <c r="D188" s="3"/>
      <c r="E188" s="1"/>
      <c r="I188" s="1"/>
      <c r="K188" s="4">
        <f>Tabelle5225[[#This Row],[value_present]]*Tabelle5225[[#This Row],[binding_level]]</f>
        <v>0</v>
      </c>
    </row>
    <row r="189" spans="1:11" x14ac:dyDescent="0.25">
      <c r="A189" s="2"/>
      <c r="B189" s="2"/>
      <c r="C189" s="2"/>
      <c r="D189" s="3"/>
      <c r="E189" s="1"/>
      <c r="I189" s="1"/>
      <c r="K189" s="4">
        <f>Tabelle5225[[#This Row],[value_present]]*Tabelle5225[[#This Row],[binding_level]]</f>
        <v>0</v>
      </c>
    </row>
    <row r="190" spans="1:11" x14ac:dyDescent="0.25">
      <c r="A190" s="2"/>
      <c r="B190" s="2"/>
      <c r="C190" s="2"/>
      <c r="D190" s="3"/>
      <c r="E190" s="1"/>
      <c r="I190" s="1"/>
      <c r="K190" s="4">
        <f>Tabelle5225[[#This Row],[value_present]]*Tabelle5225[[#This Row],[binding_level]]</f>
        <v>0</v>
      </c>
    </row>
    <row r="191" spans="1:11" x14ac:dyDescent="0.25">
      <c r="A191" s="2"/>
      <c r="B191" s="2"/>
      <c r="C191" s="2"/>
      <c r="D191" s="3"/>
      <c r="E191" s="1"/>
      <c r="I191" s="1"/>
      <c r="K191" s="4">
        <f>Tabelle5225[[#This Row],[value_present]]*Tabelle5225[[#This Row],[binding_level]]</f>
        <v>0</v>
      </c>
    </row>
    <row r="192" spans="1:11" x14ac:dyDescent="0.25">
      <c r="A192" s="2"/>
      <c r="B192" s="2"/>
      <c r="C192" s="2"/>
      <c r="D192" s="3"/>
      <c r="E192" s="1"/>
      <c r="I192" s="1"/>
      <c r="K192" s="4">
        <f>Tabelle5225[[#This Row],[value_present]]*Tabelle5225[[#This Row],[binding_level]]</f>
        <v>0</v>
      </c>
    </row>
    <row r="193" spans="1:11" x14ac:dyDescent="0.25">
      <c r="A193" s="2"/>
      <c r="B193" s="2"/>
      <c r="C193" s="2"/>
      <c r="D193" s="3"/>
      <c r="E193" s="1"/>
      <c r="I193" s="1"/>
      <c r="K193" s="4">
        <f>Tabelle5225[[#This Row],[value_present]]*Tabelle5225[[#This Row],[binding_level]]</f>
        <v>0</v>
      </c>
    </row>
    <row r="194" spans="1:11" x14ac:dyDescent="0.25">
      <c r="A194" s="2"/>
      <c r="B194" s="2"/>
      <c r="C194" s="2"/>
      <c r="D194" s="3"/>
      <c r="E194" s="1"/>
      <c r="I194" s="1"/>
      <c r="K194" s="4">
        <f>Tabelle5225[[#This Row],[value_present]]*Tabelle5225[[#This Row],[binding_level]]</f>
        <v>0</v>
      </c>
    </row>
    <row r="195" spans="1:11" x14ac:dyDescent="0.25">
      <c r="A195" s="2"/>
      <c r="B195" s="2"/>
      <c r="C195" s="2"/>
      <c r="D195" s="3"/>
      <c r="E195" s="1"/>
      <c r="I195" s="1"/>
      <c r="K195" s="4">
        <f>Tabelle5225[[#This Row],[value_present]]*Tabelle5225[[#This Row],[binding_level]]</f>
        <v>0</v>
      </c>
    </row>
    <row r="196" spans="1:11" x14ac:dyDescent="0.25">
      <c r="A196" s="2"/>
      <c r="B196" s="2"/>
      <c r="C196" s="2"/>
      <c r="D196" s="3"/>
      <c r="E196" s="1"/>
      <c r="I196" s="1"/>
      <c r="K196" s="4">
        <f>Tabelle5225[[#This Row],[value_present]]*Tabelle5225[[#This Row],[binding_level]]</f>
        <v>0</v>
      </c>
    </row>
    <row r="197" spans="1:11" x14ac:dyDescent="0.25">
      <c r="A197" s="2"/>
      <c r="B197" s="2"/>
      <c r="C197" s="2"/>
      <c r="D197" s="3"/>
      <c r="E197" s="1"/>
      <c r="I197" s="1"/>
      <c r="K197" s="4">
        <f>Tabelle5225[[#This Row],[value_present]]*Tabelle5225[[#This Row],[binding_level]]</f>
        <v>0</v>
      </c>
    </row>
    <row r="198" spans="1:11" x14ac:dyDescent="0.25">
      <c r="A198" s="2"/>
      <c r="B198" s="2"/>
      <c r="C198" s="2"/>
      <c r="D198" s="3"/>
      <c r="E198" s="1"/>
      <c r="I198" s="1"/>
      <c r="K198" s="4">
        <f>Tabelle5225[[#This Row],[value_present]]*Tabelle5225[[#This Row],[binding_level]]</f>
        <v>0</v>
      </c>
    </row>
    <row r="199" spans="1:11" x14ac:dyDescent="0.25">
      <c r="A199" s="2"/>
      <c r="B199" s="2"/>
      <c r="C199" s="2"/>
      <c r="D199" s="3"/>
      <c r="E199" s="1"/>
      <c r="I199" s="1"/>
      <c r="K199" s="4">
        <f>Tabelle5225[[#This Row],[value_present]]*Tabelle5225[[#This Row],[binding_level]]</f>
        <v>0</v>
      </c>
    </row>
    <row r="200" spans="1:11" x14ac:dyDescent="0.25">
      <c r="A200" s="2"/>
      <c r="B200" s="2"/>
      <c r="C200" s="2"/>
      <c r="D200" s="3"/>
      <c r="E200" s="1"/>
      <c r="I200" s="1"/>
      <c r="K200" s="4">
        <f>Tabelle5225[[#This Row],[value_present]]*Tabelle5225[[#This Row],[binding_level]]</f>
        <v>0</v>
      </c>
    </row>
    <row r="201" spans="1:11" x14ac:dyDescent="0.25">
      <c r="A201" s="2"/>
      <c r="B201" s="2"/>
      <c r="C201" s="2"/>
      <c r="D201" s="3"/>
      <c r="E201" s="1"/>
      <c r="I201" s="1"/>
      <c r="K201" s="4">
        <f>Tabelle5225[[#This Row],[value_present]]*Tabelle5225[[#This Row],[binding_level]]</f>
        <v>0</v>
      </c>
    </row>
    <row r="202" spans="1:11" x14ac:dyDescent="0.25">
      <c r="A202" s="2"/>
      <c r="B202" s="2"/>
      <c r="C202" s="2"/>
      <c r="D202" s="3"/>
      <c r="E202" s="1"/>
      <c r="I202" s="1"/>
      <c r="K202" s="4">
        <f>Tabelle5225[[#This Row],[value_present]]*Tabelle5225[[#This Row],[binding_level]]</f>
        <v>0</v>
      </c>
    </row>
    <row r="203" spans="1:11" x14ac:dyDescent="0.25">
      <c r="A203" s="2"/>
      <c r="B203" s="2"/>
      <c r="C203" s="2"/>
      <c r="D203" s="3"/>
      <c r="E203" s="1"/>
      <c r="I203" s="1"/>
      <c r="K203" s="4">
        <f>Tabelle5225[[#This Row],[value_present]]*Tabelle5225[[#This Row],[binding_level]]</f>
        <v>0</v>
      </c>
    </row>
    <row r="204" spans="1:11" x14ac:dyDescent="0.25">
      <c r="A204" s="2"/>
      <c r="B204" s="2"/>
      <c r="C204" s="2"/>
      <c r="D204" s="3"/>
      <c r="E204" s="1"/>
      <c r="I204" s="1"/>
      <c r="K204" s="4">
        <f>Tabelle5225[[#This Row],[value_present]]*Tabelle5225[[#This Row],[binding_level]]</f>
        <v>0</v>
      </c>
    </row>
    <row r="205" spans="1:11" x14ac:dyDescent="0.25">
      <c r="A205" s="2"/>
      <c r="B205" s="2"/>
      <c r="C205" s="2"/>
      <c r="D205" s="3"/>
      <c r="E205" s="1"/>
      <c r="I205" s="1"/>
      <c r="K205" s="4">
        <f>Tabelle5225[[#This Row],[value_present]]*Tabelle5225[[#This Row],[binding_level]]</f>
        <v>0</v>
      </c>
    </row>
    <row r="206" spans="1:11" x14ac:dyDescent="0.25">
      <c r="A206" s="2"/>
      <c r="B206" s="2"/>
      <c r="C206" s="2"/>
      <c r="D206" s="3"/>
      <c r="E206" s="1"/>
      <c r="I206" s="1"/>
      <c r="K206" s="4">
        <f>Tabelle5225[[#This Row],[value_present]]*Tabelle5225[[#This Row],[binding_level]]</f>
        <v>0</v>
      </c>
    </row>
    <row r="207" spans="1:11" x14ac:dyDescent="0.25">
      <c r="A207" s="2"/>
      <c r="B207" s="2"/>
      <c r="C207" s="2"/>
      <c r="D207" s="3"/>
      <c r="E207" s="1"/>
      <c r="I207" s="1"/>
      <c r="K207" s="4">
        <f>Tabelle5225[[#This Row],[value_present]]*Tabelle5225[[#This Row],[binding_level]]</f>
        <v>0</v>
      </c>
    </row>
    <row r="208" spans="1:11" x14ac:dyDescent="0.25">
      <c r="A208" s="2"/>
      <c r="B208" s="2"/>
      <c r="C208" s="2"/>
      <c r="D208" s="3"/>
      <c r="E208" s="1"/>
      <c r="I208" s="1"/>
      <c r="K208" s="4">
        <f>Tabelle5225[[#This Row],[value_present]]*Tabelle5225[[#This Row],[binding_level]]</f>
        <v>0</v>
      </c>
    </row>
    <row r="209" spans="1:11" x14ac:dyDescent="0.25">
      <c r="A209" s="2"/>
      <c r="B209" s="2"/>
      <c r="C209" s="2"/>
      <c r="D209" s="3"/>
      <c r="E209" s="1"/>
      <c r="I209" s="1"/>
      <c r="K209" s="4">
        <f>Tabelle5225[[#This Row],[value_present]]*Tabelle5225[[#This Row],[binding_level]]</f>
        <v>0</v>
      </c>
    </row>
    <row r="210" spans="1:11" x14ac:dyDescent="0.25">
      <c r="A210" s="2"/>
      <c r="B210" s="2"/>
      <c r="C210" s="2"/>
      <c r="D210" s="3"/>
      <c r="E210" s="1"/>
      <c r="I210" s="1"/>
      <c r="K210" s="4">
        <f>Tabelle5225[[#This Row],[value_present]]*Tabelle5225[[#This Row],[binding_level]]</f>
        <v>0</v>
      </c>
    </row>
    <row r="211" spans="1:11" x14ac:dyDescent="0.25">
      <c r="A211" s="2"/>
      <c r="B211" s="2"/>
      <c r="C211" s="2"/>
      <c r="D211" s="3"/>
      <c r="E211" s="1"/>
      <c r="I211" s="1"/>
      <c r="K211" s="4">
        <f>Tabelle5225[[#This Row],[value_present]]*Tabelle5225[[#This Row],[binding_level]]</f>
        <v>0</v>
      </c>
    </row>
    <row r="212" spans="1:11" x14ac:dyDescent="0.25">
      <c r="A212" s="2"/>
      <c r="B212" s="2"/>
      <c r="C212" s="2"/>
      <c r="D212" s="3"/>
      <c r="E212" s="1"/>
      <c r="I212" s="1"/>
      <c r="K212" s="4">
        <f>Tabelle5225[[#This Row],[value_present]]*Tabelle5225[[#This Row],[binding_level]]</f>
        <v>0</v>
      </c>
    </row>
    <row r="213" spans="1:11" x14ac:dyDescent="0.25">
      <c r="A213" s="2"/>
      <c r="B213" s="2"/>
      <c r="C213" s="2"/>
      <c r="D213" s="3"/>
      <c r="E213" s="1"/>
      <c r="I213" s="1"/>
      <c r="K213" s="4">
        <f>Tabelle5225[[#This Row],[value_present]]*Tabelle5225[[#This Row],[binding_level]]</f>
        <v>0</v>
      </c>
    </row>
    <row r="214" spans="1:11" x14ac:dyDescent="0.25">
      <c r="A214" s="2"/>
      <c r="B214" s="2"/>
      <c r="C214" s="2"/>
      <c r="D214" s="3"/>
      <c r="E214" s="1"/>
      <c r="I214" s="1"/>
      <c r="K214" s="4">
        <f>Tabelle5225[[#This Row],[value_present]]*Tabelle5225[[#This Row],[binding_level]]</f>
        <v>0</v>
      </c>
    </row>
    <row r="215" spans="1:11" x14ac:dyDescent="0.25">
      <c r="A215" s="2"/>
      <c r="B215" s="2"/>
      <c r="C215" s="2"/>
      <c r="D215" s="3"/>
      <c r="E215" s="1"/>
      <c r="I215" s="1"/>
      <c r="K215" s="4">
        <f>Tabelle5225[[#This Row],[value_present]]*Tabelle5225[[#This Row],[binding_level]]</f>
        <v>0</v>
      </c>
    </row>
    <row r="216" spans="1:11" x14ac:dyDescent="0.25">
      <c r="A216" s="2"/>
      <c r="B216" s="2"/>
      <c r="C216" s="2"/>
      <c r="D216" s="3"/>
      <c r="E216" s="1"/>
      <c r="I216" s="1"/>
      <c r="K216" s="4">
        <f>Tabelle5225[[#This Row],[value_present]]*Tabelle5225[[#This Row],[binding_level]]</f>
        <v>0</v>
      </c>
    </row>
    <row r="217" spans="1:11" x14ac:dyDescent="0.25">
      <c r="A217" s="2"/>
      <c r="B217" s="2"/>
      <c r="C217" s="2"/>
      <c r="D217" s="3"/>
      <c r="E217" s="1"/>
      <c r="I217" s="1"/>
      <c r="K217" s="4">
        <f>Tabelle5225[[#This Row],[value_present]]*Tabelle5225[[#This Row],[binding_level]]</f>
        <v>0</v>
      </c>
    </row>
    <row r="218" spans="1:11" x14ac:dyDescent="0.25">
      <c r="A218" s="2"/>
      <c r="B218" s="2"/>
      <c r="C218" s="2"/>
      <c r="D218" s="3"/>
      <c r="E218" s="1"/>
      <c r="I218" s="1"/>
      <c r="K218" s="4">
        <f>Tabelle5225[[#This Row],[value_present]]*Tabelle5225[[#This Row],[binding_level]]</f>
        <v>0</v>
      </c>
    </row>
    <row r="219" spans="1:11" x14ac:dyDescent="0.25">
      <c r="A219" s="2"/>
      <c r="B219" s="2"/>
      <c r="C219" s="2"/>
      <c r="D219" s="3"/>
      <c r="E219" s="1"/>
      <c r="I219" s="1"/>
      <c r="K219" s="4">
        <f>Tabelle5225[[#This Row],[value_present]]*Tabelle5225[[#This Row],[binding_level]]</f>
        <v>0</v>
      </c>
    </row>
    <row r="220" spans="1:11" x14ac:dyDescent="0.25">
      <c r="A220" s="2"/>
      <c r="B220" s="2"/>
      <c r="C220" s="2"/>
      <c r="D220" s="3"/>
      <c r="E220" s="1"/>
      <c r="I220" s="1"/>
      <c r="K220" s="4">
        <f>Tabelle5225[[#This Row],[value_present]]*Tabelle5225[[#This Row],[binding_level]]</f>
        <v>0</v>
      </c>
    </row>
    <row r="221" spans="1:11" x14ac:dyDescent="0.25">
      <c r="A221" s="2"/>
      <c r="B221" s="2"/>
      <c r="C221" s="2"/>
      <c r="D221" s="3"/>
      <c r="E221" s="1"/>
      <c r="I221" s="1"/>
      <c r="K221" s="4">
        <f>Tabelle5225[[#This Row],[value_present]]*Tabelle5225[[#This Row],[binding_level]]</f>
        <v>0</v>
      </c>
    </row>
    <row r="222" spans="1:11" x14ac:dyDescent="0.25">
      <c r="A222" s="2"/>
      <c r="B222" s="2"/>
      <c r="C222" s="2"/>
      <c r="D222" s="3"/>
      <c r="E222" s="1"/>
      <c r="I222" s="1"/>
      <c r="K222" s="4">
        <f>Tabelle5225[[#This Row],[value_present]]*Tabelle5225[[#This Row],[binding_level]]</f>
        <v>0</v>
      </c>
    </row>
    <row r="223" spans="1:11" x14ac:dyDescent="0.25">
      <c r="A223" s="2"/>
      <c r="B223" s="2"/>
      <c r="C223" s="2"/>
      <c r="D223" s="3"/>
      <c r="E223" s="1"/>
      <c r="I223" s="1"/>
      <c r="K223" s="4">
        <f>Tabelle5225[[#This Row],[value_present]]*Tabelle5225[[#This Row],[binding_level]]</f>
        <v>0</v>
      </c>
    </row>
    <row r="224" spans="1:11" x14ac:dyDescent="0.25">
      <c r="A224" s="2"/>
      <c r="B224" s="2"/>
      <c r="C224" s="2"/>
      <c r="D224" s="3"/>
      <c r="E224" s="1"/>
      <c r="I224" s="1"/>
      <c r="K224" s="4">
        <f>Tabelle5225[[#This Row],[value_present]]*Tabelle5225[[#This Row],[binding_level]]</f>
        <v>0</v>
      </c>
    </row>
    <row r="225" spans="1:11" x14ac:dyDescent="0.25">
      <c r="A225" s="2"/>
      <c r="B225" s="2"/>
      <c r="C225" s="2"/>
      <c r="D225" s="3"/>
      <c r="E225" s="1"/>
      <c r="I225" s="1"/>
      <c r="K225" s="4">
        <f>Tabelle5225[[#This Row],[value_present]]*Tabelle5225[[#This Row],[binding_level]]</f>
        <v>0</v>
      </c>
    </row>
    <row r="226" spans="1:11" x14ac:dyDescent="0.25">
      <c r="A226" s="2"/>
      <c r="B226" s="2"/>
      <c r="C226" s="2"/>
      <c r="D226" s="3"/>
      <c r="E226" s="1"/>
      <c r="I226" s="1"/>
      <c r="K226" s="4">
        <f>Tabelle5225[[#This Row],[value_present]]*Tabelle5225[[#This Row],[binding_level]]</f>
        <v>0</v>
      </c>
    </row>
    <row r="227" spans="1:11" x14ac:dyDescent="0.25">
      <c r="A227" s="2"/>
      <c r="B227" s="2"/>
      <c r="C227" s="2"/>
      <c r="D227" s="3"/>
      <c r="E227" s="1"/>
      <c r="I227" s="1"/>
      <c r="K227" s="4">
        <f>Tabelle5225[[#This Row],[value_present]]*Tabelle5225[[#This Row],[binding_level]]</f>
        <v>0</v>
      </c>
    </row>
    <row r="228" spans="1:11" x14ac:dyDescent="0.25">
      <c r="A228" s="2"/>
      <c r="B228" s="2"/>
      <c r="C228" s="2"/>
      <c r="D228" s="3"/>
      <c r="E228" s="1"/>
      <c r="I228" s="1"/>
      <c r="K228" s="4">
        <f>Tabelle5225[[#This Row],[value_present]]*Tabelle5225[[#This Row],[binding_level]]</f>
        <v>0</v>
      </c>
    </row>
    <row r="229" spans="1:11" x14ac:dyDescent="0.25">
      <c r="A229" s="2"/>
      <c r="B229" s="2"/>
      <c r="C229" s="2"/>
      <c r="D229" s="3"/>
      <c r="E229" s="1"/>
      <c r="I229" s="1"/>
      <c r="K229" s="4">
        <f>Tabelle5225[[#This Row],[value_present]]*Tabelle5225[[#This Row],[binding_level]]</f>
        <v>0</v>
      </c>
    </row>
    <row r="230" spans="1:11" x14ac:dyDescent="0.25">
      <c r="A230" s="2"/>
      <c r="B230" s="2"/>
      <c r="C230" s="2"/>
      <c r="D230" s="3"/>
      <c r="E230" s="1"/>
      <c r="I230" s="1"/>
      <c r="K230" s="4">
        <f>Tabelle5225[[#This Row],[value_present]]*Tabelle5225[[#This Row],[binding_level]]</f>
        <v>0</v>
      </c>
    </row>
    <row r="231" spans="1:11" x14ac:dyDescent="0.25">
      <c r="A231" s="2"/>
      <c r="B231" s="2"/>
      <c r="C231" s="2"/>
      <c r="D231" s="3"/>
      <c r="E231" s="1"/>
      <c r="I231" s="1"/>
      <c r="K231" s="4">
        <f>Tabelle5225[[#This Row],[value_present]]*Tabelle5225[[#This Row],[binding_level]]</f>
        <v>0</v>
      </c>
    </row>
    <row r="232" spans="1:11" x14ac:dyDescent="0.25">
      <c r="A232" s="2"/>
      <c r="B232" s="2"/>
      <c r="C232" s="2"/>
      <c r="D232" s="3"/>
      <c r="E232" s="1"/>
      <c r="I232" s="1"/>
      <c r="K232" s="4">
        <f>Tabelle5225[[#This Row],[value_present]]*Tabelle5225[[#This Row],[binding_level]]</f>
        <v>0</v>
      </c>
    </row>
    <row r="233" spans="1:11" x14ac:dyDescent="0.25">
      <c r="A233" s="2"/>
      <c r="B233" s="2"/>
      <c r="C233" s="2"/>
      <c r="D233" s="3"/>
      <c r="E233" s="1"/>
      <c r="I233" s="1"/>
      <c r="K233" s="4">
        <f>Tabelle5225[[#This Row],[value_present]]*Tabelle5225[[#This Row],[binding_level]]</f>
        <v>0</v>
      </c>
    </row>
    <row r="234" spans="1:11" x14ac:dyDescent="0.25">
      <c r="A234" s="2"/>
      <c r="B234" s="2"/>
      <c r="C234" s="2"/>
      <c r="D234" s="3"/>
      <c r="E234" s="1"/>
      <c r="I234" s="1"/>
      <c r="K234" s="4">
        <f>Tabelle5225[[#This Row],[value_present]]*Tabelle5225[[#This Row],[binding_level]]</f>
        <v>0</v>
      </c>
    </row>
    <row r="235" spans="1:11" x14ac:dyDescent="0.25">
      <c r="A235" s="2"/>
      <c r="B235" s="2"/>
      <c r="C235" s="2"/>
      <c r="D235" s="3"/>
      <c r="E235" s="1"/>
      <c r="I235" s="1"/>
      <c r="K235" s="4">
        <f>Tabelle5225[[#This Row],[value_present]]*Tabelle5225[[#This Row],[binding_level]]</f>
        <v>0</v>
      </c>
    </row>
    <row r="236" spans="1:11" x14ac:dyDescent="0.25">
      <c r="A236" s="2"/>
      <c r="B236" s="2"/>
      <c r="C236" s="2"/>
      <c r="D236" s="3"/>
      <c r="E236" s="1"/>
      <c r="I236" s="1"/>
      <c r="K236" s="4">
        <f>Tabelle5225[[#This Row],[value_present]]*Tabelle5225[[#This Row],[binding_level]]</f>
        <v>0</v>
      </c>
    </row>
    <row r="237" spans="1:11" x14ac:dyDescent="0.25">
      <c r="A237" s="2"/>
      <c r="B237" s="2"/>
      <c r="C237" s="2"/>
      <c r="D237" s="3"/>
      <c r="E237" s="1"/>
      <c r="I237" s="1"/>
      <c r="K237" s="4">
        <f>Tabelle5225[[#This Row],[value_present]]*Tabelle5225[[#This Row],[binding_level]]</f>
        <v>0</v>
      </c>
    </row>
    <row r="238" spans="1:11" x14ac:dyDescent="0.25">
      <c r="A238" s="2"/>
      <c r="B238" s="2"/>
      <c r="C238" s="2"/>
      <c r="D238" s="3"/>
      <c r="E238" s="1"/>
      <c r="I238" s="1"/>
      <c r="K238" s="4">
        <f>Tabelle5225[[#This Row],[value_present]]*Tabelle5225[[#This Row],[binding_level]]</f>
        <v>0</v>
      </c>
    </row>
    <row r="239" spans="1:11" x14ac:dyDescent="0.25">
      <c r="A239" s="2"/>
      <c r="B239" s="2"/>
      <c r="C239" s="2"/>
      <c r="D239" s="3"/>
      <c r="E239" s="1"/>
      <c r="I239" s="1"/>
      <c r="K239" s="4">
        <f>Tabelle5225[[#This Row],[value_present]]*Tabelle5225[[#This Row],[binding_level]]</f>
        <v>0</v>
      </c>
    </row>
    <row r="240" spans="1:11" x14ac:dyDescent="0.25">
      <c r="A240" s="2"/>
      <c r="B240" s="2"/>
      <c r="C240" s="2"/>
      <c r="D240" s="3"/>
      <c r="E240" s="1"/>
      <c r="I240" s="1"/>
      <c r="K240" s="4">
        <f>Tabelle5225[[#This Row],[value_present]]*Tabelle5225[[#This Row],[binding_level]]</f>
        <v>0</v>
      </c>
    </row>
    <row r="241" spans="1:11" x14ac:dyDescent="0.25">
      <c r="A241" s="2"/>
      <c r="B241" s="2"/>
      <c r="C241" s="2"/>
      <c r="D241" s="3"/>
      <c r="E241" s="1"/>
      <c r="I241" s="1"/>
      <c r="K241" s="4">
        <f>Tabelle5225[[#This Row],[value_present]]*Tabelle5225[[#This Row],[binding_level]]</f>
        <v>0</v>
      </c>
    </row>
    <row r="242" spans="1:11" x14ac:dyDescent="0.25">
      <c r="A242" s="2"/>
      <c r="B242" s="2"/>
      <c r="C242" s="2"/>
      <c r="D242" s="3"/>
      <c r="E242" s="1"/>
      <c r="I242" s="1"/>
      <c r="K242" s="4">
        <f>Tabelle5225[[#This Row],[value_present]]*Tabelle5225[[#This Row],[binding_level]]</f>
        <v>0</v>
      </c>
    </row>
    <row r="243" spans="1:11" x14ac:dyDescent="0.25">
      <c r="A243" s="2"/>
      <c r="B243" s="2"/>
      <c r="C243" s="2"/>
      <c r="D243" s="3"/>
      <c r="E243" s="1"/>
      <c r="I243" s="1"/>
      <c r="K243" s="4">
        <f>Tabelle5225[[#This Row],[value_present]]*Tabelle5225[[#This Row],[binding_level]]</f>
        <v>0</v>
      </c>
    </row>
    <row r="244" spans="1:11" x14ac:dyDescent="0.25">
      <c r="A244" s="2"/>
      <c r="B244" s="2"/>
      <c r="C244" s="2"/>
      <c r="D244" s="3"/>
      <c r="E244" s="1"/>
      <c r="I244" s="1"/>
      <c r="K244" s="4">
        <f>Tabelle5225[[#This Row],[value_present]]*Tabelle5225[[#This Row],[binding_level]]</f>
        <v>0</v>
      </c>
    </row>
    <row r="245" spans="1:11" x14ac:dyDescent="0.25">
      <c r="A245" s="2"/>
      <c r="B245" s="2"/>
      <c r="C245" s="2"/>
      <c r="D245" s="3"/>
      <c r="E245" s="1"/>
      <c r="I245" s="1"/>
      <c r="K245" s="4">
        <f>Tabelle5225[[#This Row],[value_present]]*Tabelle5225[[#This Row],[binding_level]]</f>
        <v>0</v>
      </c>
    </row>
    <row r="246" spans="1:11" x14ac:dyDescent="0.25">
      <c r="A246" s="2"/>
      <c r="B246" s="2"/>
      <c r="C246" s="2"/>
      <c r="D246" s="3"/>
      <c r="E246" s="1"/>
      <c r="I246" s="1"/>
      <c r="K246" s="4">
        <f>Tabelle5225[[#This Row],[value_present]]*Tabelle5225[[#This Row],[binding_level]]</f>
        <v>0</v>
      </c>
    </row>
    <row r="247" spans="1:11" x14ac:dyDescent="0.25">
      <c r="A247" s="2"/>
      <c r="B247" s="2"/>
      <c r="C247" s="2"/>
      <c r="D247" s="3"/>
      <c r="E247" s="1"/>
      <c r="I247" s="1"/>
      <c r="K247" s="4">
        <f>Tabelle5225[[#This Row],[value_present]]*Tabelle5225[[#This Row],[binding_level]]</f>
        <v>0</v>
      </c>
    </row>
    <row r="248" spans="1:11" x14ac:dyDescent="0.25">
      <c r="A248" s="2"/>
      <c r="B248" s="2"/>
      <c r="C248" s="2"/>
      <c r="D248" s="3"/>
      <c r="E248" s="1"/>
      <c r="I248" s="1"/>
      <c r="K248" s="4">
        <f>Tabelle5225[[#This Row],[value_present]]*Tabelle5225[[#This Row],[binding_level]]</f>
        <v>0</v>
      </c>
    </row>
    <row r="249" spans="1:11" x14ac:dyDescent="0.25">
      <c r="A249" s="2"/>
      <c r="B249" s="2"/>
      <c r="C249" s="2"/>
      <c r="D249" s="3"/>
      <c r="E249" s="1"/>
      <c r="I249" s="1"/>
      <c r="K249" s="4">
        <f>Tabelle5225[[#This Row],[value_present]]*Tabelle5225[[#This Row],[binding_level]]</f>
        <v>0</v>
      </c>
    </row>
    <row r="250" spans="1:11" x14ac:dyDescent="0.25">
      <c r="A250" s="2"/>
      <c r="B250" s="2"/>
      <c r="C250" s="2"/>
      <c r="D250" s="3"/>
      <c r="E250" s="1"/>
      <c r="I250" s="1"/>
      <c r="K250" s="4">
        <f>Tabelle5225[[#This Row],[value_present]]*Tabelle5225[[#This Row],[binding_level]]</f>
        <v>0</v>
      </c>
    </row>
    <row r="251" spans="1:11" x14ac:dyDescent="0.25">
      <c r="A251" s="2"/>
      <c r="B251" s="2"/>
      <c r="C251" s="2"/>
      <c r="D251" s="3"/>
      <c r="E251" s="1"/>
      <c r="I251" s="1"/>
      <c r="K251" s="4">
        <f>Tabelle5225[[#This Row],[value_present]]*Tabelle5225[[#This Row],[binding_level]]</f>
        <v>0</v>
      </c>
    </row>
    <row r="252" spans="1:11" x14ac:dyDescent="0.25">
      <c r="A252" s="2"/>
      <c r="B252" s="2"/>
      <c r="C252" s="2"/>
      <c r="D252" s="3"/>
      <c r="E252" s="1"/>
      <c r="I252" s="1"/>
      <c r="K252" s="4">
        <f>Tabelle5225[[#This Row],[value_present]]*Tabelle5225[[#This Row],[binding_level]]</f>
        <v>0</v>
      </c>
    </row>
    <row r="253" spans="1:11" x14ac:dyDescent="0.25">
      <c r="A253" s="2"/>
      <c r="B253" s="2"/>
      <c r="C253" s="2"/>
      <c r="D253" s="3"/>
      <c r="E253" s="1"/>
      <c r="I253" s="1"/>
      <c r="K253" s="4">
        <f>Tabelle5225[[#This Row],[value_present]]*Tabelle5225[[#This Row],[binding_level]]</f>
        <v>0</v>
      </c>
    </row>
    <row r="254" spans="1:11" x14ac:dyDescent="0.25">
      <c r="A254" s="2"/>
      <c r="B254" s="2"/>
      <c r="C254" s="2"/>
      <c r="D254" s="3"/>
      <c r="E254" s="1"/>
      <c r="I254" s="1"/>
      <c r="K254" s="4">
        <f>Tabelle5225[[#This Row],[value_present]]*Tabelle5225[[#This Row],[binding_level]]</f>
        <v>0</v>
      </c>
    </row>
    <row r="255" spans="1:11" x14ac:dyDescent="0.25">
      <c r="A255" s="2"/>
      <c r="B255" s="2"/>
      <c r="C255" s="2"/>
      <c r="D255" s="3"/>
      <c r="E255" s="1"/>
      <c r="I255" s="1"/>
      <c r="K255" s="4">
        <f>Tabelle5225[[#This Row],[value_present]]*Tabelle5225[[#This Row],[binding_level]]</f>
        <v>0</v>
      </c>
    </row>
    <row r="256" spans="1:11" x14ac:dyDescent="0.25">
      <c r="A256" s="2"/>
      <c r="B256" s="2"/>
      <c r="C256" s="2"/>
      <c r="D256" s="3"/>
      <c r="E256" s="1"/>
      <c r="I256" s="1"/>
      <c r="K256" s="4">
        <f>Tabelle5225[[#This Row],[value_present]]*Tabelle5225[[#This Row],[binding_level]]</f>
        <v>0</v>
      </c>
    </row>
    <row r="257" spans="1:11" x14ac:dyDescent="0.25">
      <c r="A257" s="2"/>
      <c r="B257" s="2"/>
      <c r="C257" s="2"/>
      <c r="D257" s="3"/>
      <c r="E257" s="1"/>
      <c r="I257" s="1"/>
      <c r="K257" s="4">
        <f>Tabelle5225[[#This Row],[value_present]]*Tabelle5225[[#This Row],[binding_level]]</f>
        <v>0</v>
      </c>
    </row>
    <row r="258" spans="1:11" x14ac:dyDescent="0.25">
      <c r="A258" s="2"/>
      <c r="B258" s="2"/>
      <c r="C258" s="2"/>
      <c r="D258" s="3"/>
      <c r="E258" s="1"/>
      <c r="I258" s="1"/>
      <c r="K258" s="4">
        <f>Tabelle5225[[#This Row],[value_present]]*Tabelle5225[[#This Row],[binding_level]]</f>
        <v>0</v>
      </c>
    </row>
    <row r="259" spans="1:11" x14ac:dyDescent="0.25">
      <c r="A259" s="2"/>
      <c r="B259" s="2"/>
      <c r="C259" s="2"/>
      <c r="D259" s="3"/>
      <c r="E259" s="1"/>
      <c r="I259" s="1"/>
      <c r="K259" s="4">
        <f>Tabelle5225[[#This Row],[value_present]]*Tabelle5225[[#This Row],[binding_level]]</f>
        <v>0</v>
      </c>
    </row>
    <row r="260" spans="1:11" x14ac:dyDescent="0.25">
      <c r="A260" s="2"/>
      <c r="B260" s="2"/>
      <c r="C260" s="2"/>
      <c r="D260" s="3"/>
      <c r="E260" s="1"/>
      <c r="I260" s="1"/>
      <c r="K260" s="4">
        <f>Tabelle5225[[#This Row],[value_present]]*Tabelle5225[[#This Row],[binding_level]]</f>
        <v>0</v>
      </c>
    </row>
    <row r="261" spans="1:11" x14ac:dyDescent="0.25">
      <c r="A261" s="2"/>
      <c r="B261" s="2"/>
      <c r="C261" s="2"/>
      <c r="D261" s="3"/>
      <c r="E261" s="1"/>
      <c r="I261" s="1"/>
      <c r="K261" s="4">
        <f>Tabelle5225[[#This Row],[value_present]]*Tabelle5225[[#This Row],[binding_level]]</f>
        <v>0</v>
      </c>
    </row>
    <row r="262" spans="1:11" x14ac:dyDescent="0.25">
      <c r="A262" s="2"/>
      <c r="B262" s="2"/>
      <c r="C262" s="2"/>
      <c r="D262" s="3"/>
      <c r="E262" s="1"/>
      <c r="I262" s="1"/>
      <c r="K262" s="4">
        <f>Tabelle5225[[#This Row],[value_present]]*Tabelle5225[[#This Row],[binding_level]]</f>
        <v>0</v>
      </c>
    </row>
    <row r="263" spans="1:11" x14ac:dyDescent="0.25">
      <c r="A263" s="2"/>
      <c r="B263" s="2"/>
      <c r="C263" s="2"/>
      <c r="D263" s="3"/>
      <c r="E263" s="1"/>
      <c r="I263" s="1"/>
      <c r="K263" s="4">
        <f>Tabelle5225[[#This Row],[value_present]]*Tabelle5225[[#This Row],[binding_level]]</f>
        <v>0</v>
      </c>
    </row>
    <row r="264" spans="1:11" x14ac:dyDescent="0.25">
      <c r="A264" s="2"/>
      <c r="B264" s="2"/>
      <c r="C264" s="2"/>
      <c r="D264" s="3"/>
      <c r="E264" s="1"/>
      <c r="I264" s="1"/>
      <c r="K264" s="4">
        <f>Tabelle5225[[#This Row],[value_present]]*Tabelle5225[[#This Row],[binding_level]]</f>
        <v>0</v>
      </c>
    </row>
    <row r="265" spans="1:11" x14ac:dyDescent="0.25">
      <c r="A265" s="2"/>
      <c r="B265" s="2"/>
      <c r="C265" s="2"/>
      <c r="D265" s="3"/>
      <c r="E265" s="1"/>
      <c r="I265" s="1"/>
      <c r="K265" s="4">
        <f>Tabelle5225[[#This Row],[value_present]]*Tabelle5225[[#This Row],[binding_level]]</f>
        <v>0</v>
      </c>
    </row>
    <row r="266" spans="1:11" x14ac:dyDescent="0.25">
      <c r="A266" s="2"/>
      <c r="B266" s="2"/>
      <c r="C266" s="2"/>
      <c r="D266" s="3"/>
      <c r="E266" s="1"/>
      <c r="I266" s="1"/>
      <c r="K266" s="4">
        <f>Tabelle5225[[#This Row],[value_present]]*Tabelle5225[[#This Row],[binding_level]]</f>
        <v>0</v>
      </c>
    </row>
    <row r="267" spans="1:11" x14ac:dyDescent="0.25">
      <c r="A267" s="2"/>
      <c r="B267" s="2"/>
      <c r="C267" s="2"/>
      <c r="D267" s="3"/>
      <c r="E267" s="1"/>
      <c r="I267" s="1"/>
      <c r="K267" s="4">
        <f>Tabelle5225[[#This Row],[value_present]]*Tabelle5225[[#This Row],[binding_level]]</f>
        <v>0</v>
      </c>
    </row>
    <row r="268" spans="1:11" x14ac:dyDescent="0.25">
      <c r="A268" s="2"/>
      <c r="B268" s="2"/>
      <c r="C268" s="2"/>
      <c r="D268" s="3"/>
      <c r="E268" s="1"/>
      <c r="I268" s="1"/>
      <c r="K268" s="4">
        <f>Tabelle5225[[#This Row],[value_present]]*Tabelle5225[[#This Row],[binding_level]]</f>
        <v>0</v>
      </c>
    </row>
    <row r="269" spans="1:11" x14ac:dyDescent="0.25">
      <c r="A269" s="2"/>
      <c r="B269" s="2"/>
      <c r="C269" s="2"/>
      <c r="D269" s="3"/>
      <c r="E269" s="1"/>
      <c r="I269" s="1"/>
      <c r="K269" s="4">
        <f>Tabelle5225[[#This Row],[value_present]]*Tabelle5225[[#This Row],[binding_level]]</f>
        <v>0</v>
      </c>
    </row>
    <row r="270" spans="1:11" x14ac:dyDescent="0.25">
      <c r="A270" s="2"/>
      <c r="B270" s="2"/>
      <c r="C270" s="2"/>
      <c r="D270" s="3"/>
      <c r="E270" s="1"/>
      <c r="I270" s="1"/>
      <c r="K270" s="4">
        <f>Tabelle5225[[#This Row],[value_present]]*Tabelle5225[[#This Row],[binding_level]]</f>
        <v>0</v>
      </c>
    </row>
    <row r="271" spans="1:11" x14ac:dyDescent="0.25">
      <c r="A271" s="2"/>
      <c r="B271" s="2"/>
      <c r="C271" s="2"/>
      <c r="D271" s="3"/>
      <c r="E271" s="1"/>
      <c r="I271" s="1"/>
      <c r="K271" s="4">
        <f>Tabelle5225[[#This Row],[value_present]]*Tabelle5225[[#This Row],[binding_level]]</f>
        <v>0</v>
      </c>
    </row>
    <row r="272" spans="1:11" x14ac:dyDescent="0.25">
      <c r="A272" s="2"/>
      <c r="B272" s="2"/>
      <c r="C272" s="2"/>
      <c r="D272" s="3"/>
      <c r="E272" s="1"/>
      <c r="I272" s="1"/>
      <c r="K272" s="4">
        <f>Tabelle5225[[#This Row],[value_present]]*Tabelle5225[[#This Row],[binding_level]]</f>
        <v>0</v>
      </c>
    </row>
    <row r="273" spans="1:11" x14ac:dyDescent="0.25">
      <c r="A273" s="2"/>
      <c r="B273" s="2"/>
      <c r="C273" s="2"/>
      <c r="D273" s="3"/>
      <c r="E273" s="1"/>
      <c r="I273" s="1"/>
      <c r="K273" s="4">
        <f>Tabelle5225[[#This Row],[value_present]]*Tabelle5225[[#This Row],[binding_level]]</f>
        <v>0</v>
      </c>
    </row>
    <row r="274" spans="1:11" x14ac:dyDescent="0.25">
      <c r="A274" s="2"/>
      <c r="B274" s="2"/>
      <c r="C274" s="2"/>
      <c r="D274" s="3"/>
      <c r="E274" s="1"/>
      <c r="I274" s="1"/>
      <c r="K274" s="4">
        <f>Tabelle5225[[#This Row],[value_present]]*Tabelle5225[[#This Row],[binding_level]]</f>
        <v>0</v>
      </c>
    </row>
    <row r="275" spans="1:11" x14ac:dyDescent="0.25">
      <c r="A275" s="2"/>
      <c r="B275" s="2"/>
      <c r="C275" s="2"/>
      <c r="D275" s="3"/>
      <c r="E275" s="1"/>
      <c r="I275" s="1"/>
      <c r="K275" s="4">
        <f>Tabelle5225[[#This Row],[value_present]]*Tabelle5225[[#This Row],[binding_level]]</f>
        <v>0</v>
      </c>
    </row>
    <row r="276" spans="1:11" x14ac:dyDescent="0.25">
      <c r="A276" s="2"/>
      <c r="B276" s="2"/>
      <c r="C276" s="2"/>
      <c r="D276" s="3"/>
      <c r="E276" s="1"/>
      <c r="I276" s="1"/>
      <c r="K276" s="4">
        <f>Tabelle5225[[#This Row],[value_present]]*Tabelle5225[[#This Row],[binding_level]]</f>
        <v>0</v>
      </c>
    </row>
    <row r="277" spans="1:11" x14ac:dyDescent="0.25">
      <c r="A277" s="2"/>
      <c r="B277" s="2"/>
      <c r="C277" s="2"/>
      <c r="D277" s="3"/>
      <c r="E277" s="1"/>
      <c r="I277" s="1"/>
      <c r="K277" s="4">
        <f>Tabelle5225[[#This Row],[value_present]]*Tabelle5225[[#This Row],[binding_level]]</f>
        <v>0</v>
      </c>
    </row>
    <row r="278" spans="1:11" x14ac:dyDescent="0.25">
      <c r="A278" s="2"/>
      <c r="B278" s="2"/>
      <c r="C278" s="2"/>
      <c r="D278" s="3"/>
      <c r="E278" s="1"/>
      <c r="I278" s="1"/>
      <c r="K278" s="4">
        <f>Tabelle5225[[#This Row],[value_present]]*Tabelle5225[[#This Row],[binding_level]]</f>
        <v>0</v>
      </c>
    </row>
    <row r="279" spans="1:11" x14ac:dyDescent="0.25">
      <c r="A279" s="2"/>
      <c r="B279" s="2"/>
      <c r="C279" s="2"/>
      <c r="D279" s="3"/>
      <c r="E279" s="1"/>
      <c r="I279" s="1"/>
      <c r="K279" s="4">
        <f>Tabelle5225[[#This Row],[value_present]]*Tabelle5225[[#This Row],[binding_level]]</f>
        <v>0</v>
      </c>
    </row>
    <row r="280" spans="1:11" x14ac:dyDescent="0.25">
      <c r="A280" s="2"/>
      <c r="B280" s="2"/>
      <c r="C280" s="2"/>
      <c r="D280" s="3"/>
      <c r="E280" s="1"/>
      <c r="I280" s="1"/>
      <c r="K280" s="4">
        <f>Tabelle5225[[#This Row],[value_present]]*Tabelle5225[[#This Row],[binding_level]]</f>
        <v>0</v>
      </c>
    </row>
    <row r="281" spans="1:11" x14ac:dyDescent="0.25">
      <c r="A281" s="2"/>
      <c r="B281" s="2"/>
      <c r="C281" s="2"/>
      <c r="D281" s="3"/>
      <c r="E281" s="1"/>
      <c r="I281" s="1"/>
      <c r="K281" s="4">
        <f>Tabelle5225[[#This Row],[value_present]]*Tabelle5225[[#This Row],[binding_level]]</f>
        <v>0</v>
      </c>
    </row>
    <row r="282" spans="1:11" x14ac:dyDescent="0.25">
      <c r="A282" s="2"/>
      <c r="B282" s="2"/>
      <c r="C282" s="2"/>
      <c r="D282" s="3"/>
      <c r="E282" s="1"/>
      <c r="I282" s="1"/>
      <c r="K282" s="4">
        <f>Tabelle5225[[#This Row],[value_present]]*Tabelle5225[[#This Row],[binding_level]]</f>
        <v>0</v>
      </c>
    </row>
    <row r="283" spans="1:11" x14ac:dyDescent="0.25">
      <c r="A283" s="2"/>
      <c r="B283" s="2"/>
      <c r="C283" s="2"/>
      <c r="D283" s="3"/>
      <c r="E283" s="1"/>
      <c r="I283" s="1"/>
      <c r="K283" s="4">
        <f>Tabelle5225[[#This Row],[value_present]]*Tabelle5225[[#This Row],[binding_level]]</f>
        <v>0</v>
      </c>
    </row>
    <row r="284" spans="1:11" x14ac:dyDescent="0.25">
      <c r="A284" s="2"/>
      <c r="B284" s="2"/>
      <c r="C284" s="2"/>
      <c r="D284" s="3"/>
      <c r="E284" s="1"/>
      <c r="I284" s="1"/>
      <c r="K284" s="4">
        <f>Tabelle5225[[#This Row],[value_present]]*Tabelle5225[[#This Row],[binding_level]]</f>
        <v>0</v>
      </c>
    </row>
    <row r="285" spans="1:11" x14ac:dyDescent="0.25">
      <c r="A285" s="2"/>
      <c r="B285" s="2"/>
      <c r="C285" s="2"/>
      <c r="D285" s="3"/>
      <c r="E285" s="1"/>
      <c r="I285" s="1"/>
      <c r="K285" s="4">
        <f>Tabelle5225[[#This Row],[value_present]]*Tabelle5225[[#This Row],[binding_level]]</f>
        <v>0</v>
      </c>
    </row>
    <row r="286" spans="1:11" x14ac:dyDescent="0.25">
      <c r="A286" s="2"/>
      <c r="B286" s="2"/>
      <c r="C286" s="2"/>
      <c r="D286" s="3"/>
      <c r="E286" s="1"/>
      <c r="I286" s="1"/>
      <c r="K286" s="4">
        <f>Tabelle5225[[#This Row],[value_present]]*Tabelle5225[[#This Row],[binding_level]]</f>
        <v>0</v>
      </c>
    </row>
    <row r="287" spans="1:11" x14ac:dyDescent="0.25">
      <c r="A287" s="2"/>
      <c r="B287" s="2"/>
      <c r="C287" s="2"/>
      <c r="D287" s="3"/>
      <c r="E287" s="1"/>
      <c r="I287" s="1"/>
      <c r="K287" s="4">
        <f>Tabelle5225[[#This Row],[value_present]]*Tabelle5225[[#This Row],[binding_level]]</f>
        <v>0</v>
      </c>
    </row>
    <row r="288" spans="1:11" x14ac:dyDescent="0.25">
      <c r="A288" s="2"/>
      <c r="B288" s="2"/>
      <c r="C288" s="2"/>
      <c r="D288" s="3"/>
      <c r="E288" s="1"/>
      <c r="I288" s="1"/>
      <c r="K288" s="4">
        <f>Tabelle5225[[#This Row],[value_present]]*Tabelle5225[[#This Row],[binding_level]]</f>
        <v>0</v>
      </c>
    </row>
    <row r="289" spans="1:11" x14ac:dyDescent="0.25">
      <c r="A289" s="2"/>
      <c r="B289" s="2"/>
      <c r="C289" s="2"/>
      <c r="D289" s="3"/>
      <c r="E289" s="1"/>
      <c r="I289" s="1"/>
      <c r="K289" s="4">
        <f>Tabelle5225[[#This Row],[value_present]]*Tabelle5225[[#This Row],[binding_level]]</f>
        <v>0</v>
      </c>
    </row>
    <row r="290" spans="1:11" x14ac:dyDescent="0.25">
      <c r="A290" s="2"/>
      <c r="B290" s="2"/>
      <c r="C290" s="2"/>
      <c r="D290" s="3"/>
      <c r="E290" s="1"/>
      <c r="I290" s="1"/>
      <c r="K290" s="4">
        <f>Tabelle5225[[#This Row],[value_present]]*Tabelle5225[[#This Row],[binding_level]]</f>
        <v>0</v>
      </c>
    </row>
    <row r="291" spans="1:11" x14ac:dyDescent="0.25">
      <c r="A291" s="2"/>
      <c r="B291" s="2"/>
      <c r="C291" s="2"/>
      <c r="D291" s="3"/>
      <c r="E291" s="1"/>
      <c r="I291" s="1"/>
      <c r="K291" s="4">
        <f>Tabelle5225[[#This Row],[value_present]]*Tabelle5225[[#This Row],[binding_level]]</f>
        <v>0</v>
      </c>
    </row>
    <row r="292" spans="1:11" x14ac:dyDescent="0.25">
      <c r="A292" s="2"/>
      <c r="B292" s="2"/>
      <c r="C292" s="2"/>
      <c r="D292" s="3"/>
      <c r="E292" s="1"/>
      <c r="I292" s="1"/>
      <c r="K292" s="4">
        <f>Tabelle5225[[#This Row],[value_present]]*Tabelle5225[[#This Row],[binding_level]]</f>
        <v>0</v>
      </c>
    </row>
    <row r="293" spans="1:11" x14ac:dyDescent="0.25">
      <c r="A293" s="2"/>
      <c r="B293" s="2"/>
      <c r="C293" s="2"/>
      <c r="D293" s="3"/>
      <c r="E293" s="1"/>
      <c r="I293" s="1"/>
      <c r="K293" s="4">
        <f>Tabelle5225[[#This Row],[value_present]]*Tabelle5225[[#This Row],[binding_level]]</f>
        <v>0</v>
      </c>
    </row>
    <row r="294" spans="1:11" x14ac:dyDescent="0.25">
      <c r="A294" s="2"/>
      <c r="B294" s="2"/>
      <c r="C294" s="2"/>
      <c r="D294" s="3"/>
      <c r="E294" s="1"/>
      <c r="I294" s="1"/>
      <c r="K294" s="4">
        <f>Tabelle5225[[#This Row],[value_present]]*Tabelle5225[[#This Row],[binding_level]]</f>
        <v>0</v>
      </c>
    </row>
    <row r="295" spans="1:11" x14ac:dyDescent="0.25">
      <c r="A295" s="2"/>
      <c r="B295" s="2"/>
      <c r="C295" s="2"/>
      <c r="D295" s="3"/>
      <c r="E295" s="1"/>
      <c r="I295" s="1"/>
      <c r="K295" s="4">
        <f>Tabelle5225[[#This Row],[value_present]]*Tabelle5225[[#This Row],[binding_level]]</f>
        <v>0</v>
      </c>
    </row>
    <row r="296" spans="1:11" x14ac:dyDescent="0.25">
      <c r="A296" s="2"/>
      <c r="B296" s="2"/>
      <c r="C296" s="2"/>
      <c r="D296" s="3"/>
      <c r="E296" s="1"/>
      <c r="I296" s="1"/>
      <c r="K296" s="4">
        <f>Tabelle5225[[#This Row],[value_present]]*Tabelle5225[[#This Row],[binding_level]]</f>
        <v>0</v>
      </c>
    </row>
    <row r="297" spans="1:11" x14ac:dyDescent="0.25">
      <c r="A297" s="2"/>
      <c r="B297" s="2"/>
      <c r="C297" s="2"/>
      <c r="D297" s="3"/>
      <c r="E297" s="1"/>
      <c r="I297" s="1"/>
      <c r="K297" s="4">
        <f>Tabelle5225[[#This Row],[value_present]]*Tabelle5225[[#This Row],[binding_level]]</f>
        <v>0</v>
      </c>
    </row>
    <row r="298" spans="1:11" x14ac:dyDescent="0.25">
      <c r="A298" s="2"/>
      <c r="B298" s="2"/>
      <c r="C298" s="2"/>
      <c r="D298" s="3"/>
      <c r="E298" s="1"/>
      <c r="I298" s="1"/>
      <c r="K298" s="4">
        <f>Tabelle5225[[#This Row],[value_present]]*Tabelle5225[[#This Row],[binding_level]]</f>
        <v>0</v>
      </c>
    </row>
    <row r="299" spans="1:11" x14ac:dyDescent="0.25">
      <c r="A299" s="2"/>
      <c r="B299" s="2"/>
      <c r="C299" s="2"/>
      <c r="D299" s="3"/>
      <c r="E299" s="1"/>
      <c r="I299" s="1"/>
      <c r="K299" s="4">
        <f>Tabelle5225[[#This Row],[value_present]]*Tabelle5225[[#This Row],[binding_level]]</f>
        <v>0</v>
      </c>
    </row>
    <row r="300" spans="1:11" x14ac:dyDescent="0.25">
      <c r="A300" s="2"/>
      <c r="B300" s="2"/>
      <c r="C300" s="2"/>
      <c r="D300" s="3"/>
      <c r="E300" s="1"/>
      <c r="I300" s="1"/>
      <c r="K300" s="4">
        <f>Tabelle5225[[#This Row],[value_present]]*Tabelle5225[[#This Row],[binding_level]]</f>
        <v>0</v>
      </c>
    </row>
    <row r="301" spans="1:11" x14ac:dyDescent="0.25">
      <c r="A301" s="2"/>
      <c r="B301" s="2"/>
      <c r="C301" s="2"/>
      <c r="D301" s="3"/>
      <c r="E301" s="1"/>
      <c r="I301" s="1"/>
      <c r="K301" s="4">
        <f>Tabelle5225[[#This Row],[value_present]]*Tabelle5225[[#This Row],[binding_level]]</f>
        <v>0</v>
      </c>
    </row>
    <row r="302" spans="1:11" x14ac:dyDescent="0.25">
      <c r="A302" s="2"/>
      <c r="B302" s="2"/>
      <c r="C302" s="2"/>
      <c r="D302" s="3"/>
      <c r="E302" s="1"/>
      <c r="I302" s="1"/>
      <c r="K302" s="4">
        <f>Tabelle5225[[#This Row],[value_present]]*Tabelle5225[[#This Row],[binding_level]]</f>
        <v>0</v>
      </c>
    </row>
    <row r="303" spans="1:11" x14ac:dyDescent="0.25">
      <c r="A303" s="2"/>
      <c r="B303" s="2"/>
      <c r="C303" s="2"/>
      <c r="D303" s="3"/>
      <c r="E303" s="1"/>
      <c r="I303" s="1"/>
      <c r="K303" s="4">
        <f>Tabelle5225[[#This Row],[value_present]]*Tabelle5225[[#This Row],[binding_level]]</f>
        <v>0</v>
      </c>
    </row>
    <row r="304" spans="1:11" x14ac:dyDescent="0.25">
      <c r="A304" s="2"/>
      <c r="B304" s="2"/>
      <c r="C304" s="2"/>
      <c r="D304" s="3"/>
      <c r="E304" s="1"/>
      <c r="I304" s="1"/>
      <c r="K304" s="4">
        <f>Tabelle5225[[#This Row],[value_present]]*Tabelle5225[[#This Row],[binding_level]]</f>
        <v>0</v>
      </c>
    </row>
    <row r="305" spans="1:11" x14ac:dyDescent="0.25">
      <c r="A305" s="2"/>
      <c r="B305" s="2"/>
      <c r="C305" s="2"/>
      <c r="D305" s="3"/>
      <c r="E305" s="1"/>
      <c r="I305" s="1"/>
      <c r="K305" s="4">
        <f>Tabelle5225[[#This Row],[value_present]]*Tabelle5225[[#This Row],[binding_level]]</f>
        <v>0</v>
      </c>
    </row>
    <row r="306" spans="1:11" x14ac:dyDescent="0.25">
      <c r="A306" s="2"/>
      <c r="B306" s="2"/>
      <c r="C306" s="2"/>
      <c r="D306" s="3"/>
      <c r="E306" s="1"/>
      <c r="I306" s="1"/>
      <c r="K306" s="4">
        <f>Tabelle5225[[#This Row],[value_present]]*Tabelle5225[[#This Row],[binding_level]]</f>
        <v>0</v>
      </c>
    </row>
    <row r="307" spans="1:11" x14ac:dyDescent="0.25">
      <c r="A307" s="2"/>
      <c r="B307" s="2"/>
      <c r="C307" s="2"/>
      <c r="D307" s="3"/>
      <c r="E307" s="1"/>
      <c r="I307" s="1"/>
      <c r="K307" s="4">
        <f>Tabelle5225[[#This Row],[value_present]]*Tabelle5225[[#This Row],[binding_level]]</f>
        <v>0</v>
      </c>
    </row>
    <row r="308" spans="1:11" x14ac:dyDescent="0.25">
      <c r="A308" s="2"/>
      <c r="B308" s="2"/>
      <c r="C308" s="2"/>
      <c r="D308" s="3"/>
      <c r="E308" s="1"/>
      <c r="I308" s="1"/>
      <c r="K308" s="4">
        <f>Tabelle5225[[#This Row],[value_present]]*Tabelle5225[[#This Row],[binding_level]]</f>
        <v>0</v>
      </c>
    </row>
    <row r="309" spans="1:11" x14ac:dyDescent="0.25">
      <c r="A309" s="2"/>
      <c r="B309" s="2"/>
      <c r="C309" s="2"/>
      <c r="D309" s="3"/>
      <c r="E309" s="1"/>
      <c r="I309" s="1"/>
      <c r="K309" s="4">
        <f>Tabelle5225[[#This Row],[value_present]]*Tabelle5225[[#This Row],[binding_level]]</f>
        <v>0</v>
      </c>
    </row>
    <row r="310" spans="1:11" x14ac:dyDescent="0.25">
      <c r="A310" s="2"/>
      <c r="B310" s="2"/>
      <c r="C310" s="2"/>
      <c r="D310" s="3"/>
      <c r="E310" s="1"/>
      <c r="I310" s="1"/>
      <c r="K310" s="4">
        <f>Tabelle5225[[#This Row],[value_present]]*Tabelle5225[[#This Row],[binding_level]]</f>
        <v>0</v>
      </c>
    </row>
    <row r="311" spans="1:11" x14ac:dyDescent="0.25">
      <c r="A311" s="2"/>
      <c r="B311" s="2"/>
      <c r="C311" s="2"/>
      <c r="D311" s="3"/>
      <c r="E311" s="1"/>
      <c r="I311" s="1"/>
      <c r="K311" s="4">
        <f>Tabelle5225[[#This Row],[value_present]]*Tabelle5225[[#This Row],[binding_level]]</f>
        <v>0</v>
      </c>
    </row>
    <row r="312" spans="1:11" x14ac:dyDescent="0.25">
      <c r="A312" s="2"/>
      <c r="B312" s="2"/>
      <c r="C312" s="2"/>
      <c r="D312" s="3"/>
      <c r="E312" s="1"/>
      <c r="I312" s="1"/>
      <c r="K312" s="4">
        <f>Tabelle5225[[#This Row],[value_present]]*Tabelle5225[[#This Row],[binding_level]]</f>
        <v>0</v>
      </c>
    </row>
    <row r="313" spans="1:11" x14ac:dyDescent="0.25">
      <c r="A313" s="2"/>
      <c r="B313" s="2"/>
      <c r="C313" s="2"/>
      <c r="D313" s="3"/>
      <c r="E313" s="1"/>
      <c r="I313" s="1"/>
      <c r="K313" s="4">
        <f>Tabelle5225[[#This Row],[value_present]]*Tabelle5225[[#This Row],[binding_level]]</f>
        <v>0</v>
      </c>
    </row>
    <row r="314" spans="1:11" x14ac:dyDescent="0.25">
      <c r="A314" s="2"/>
      <c r="B314" s="2"/>
      <c r="C314" s="2"/>
      <c r="D314" s="3"/>
      <c r="E314" s="1"/>
      <c r="I314" s="1"/>
      <c r="K314" s="4">
        <f>Tabelle5225[[#This Row],[value_present]]*Tabelle5225[[#This Row],[binding_level]]</f>
        <v>0</v>
      </c>
    </row>
    <row r="315" spans="1:11" x14ac:dyDescent="0.25">
      <c r="A315" s="2"/>
      <c r="B315" s="2"/>
      <c r="C315" s="2"/>
      <c r="D315" s="3"/>
      <c r="E315" s="1"/>
      <c r="I315" s="1"/>
      <c r="K315" s="4">
        <f>Tabelle5225[[#This Row],[value_present]]*Tabelle5225[[#This Row],[binding_level]]</f>
        <v>0</v>
      </c>
    </row>
    <row r="316" spans="1:11" x14ac:dyDescent="0.25">
      <c r="A316" s="2"/>
      <c r="B316" s="2"/>
      <c r="C316" s="2"/>
      <c r="D316" s="3"/>
      <c r="E316" s="1"/>
      <c r="I316" s="1"/>
      <c r="K316" s="4">
        <f>Tabelle5225[[#This Row],[value_present]]*Tabelle5225[[#This Row],[binding_level]]</f>
        <v>0</v>
      </c>
    </row>
    <row r="317" spans="1:11" x14ac:dyDescent="0.25">
      <c r="A317" s="2"/>
      <c r="B317" s="2"/>
      <c r="C317" s="2"/>
      <c r="D317" s="3"/>
      <c r="E317" s="1"/>
      <c r="I317" s="1"/>
      <c r="K317" s="4">
        <f>Tabelle5225[[#This Row],[value_present]]*Tabelle5225[[#This Row],[binding_level]]</f>
        <v>0</v>
      </c>
    </row>
    <row r="318" spans="1:11" x14ac:dyDescent="0.25">
      <c r="A318" s="2"/>
      <c r="B318" s="2"/>
      <c r="C318" s="2"/>
      <c r="D318" s="3"/>
      <c r="E318" s="1"/>
      <c r="I318" s="1"/>
      <c r="K318" s="4">
        <f>Tabelle5225[[#This Row],[value_present]]*Tabelle5225[[#This Row],[binding_level]]</f>
        <v>0</v>
      </c>
    </row>
    <row r="319" spans="1:11" x14ac:dyDescent="0.25">
      <c r="A319" s="2"/>
      <c r="B319" s="2"/>
      <c r="C319" s="2"/>
      <c r="D319" s="3"/>
      <c r="E319" s="1"/>
      <c r="I319" s="1"/>
      <c r="K319" s="4">
        <f>Tabelle5225[[#This Row],[value_present]]*Tabelle5225[[#This Row],[binding_level]]</f>
        <v>0</v>
      </c>
    </row>
    <row r="320" spans="1:11" x14ac:dyDescent="0.25">
      <c r="A320" s="2"/>
      <c r="B320" s="2"/>
      <c r="C320" s="2"/>
      <c r="D320" s="3"/>
      <c r="E320" s="1"/>
      <c r="I320" s="1"/>
      <c r="K320" s="4">
        <f>Tabelle5225[[#This Row],[value_present]]*Tabelle5225[[#This Row],[binding_level]]</f>
        <v>0</v>
      </c>
    </row>
    <row r="321" spans="1:11" x14ac:dyDescent="0.25">
      <c r="A321" s="2"/>
      <c r="B321" s="2"/>
      <c r="C321" s="2"/>
      <c r="D321" s="3"/>
      <c r="E321" s="1"/>
      <c r="I321" s="1"/>
      <c r="K321" s="4">
        <f>Tabelle5225[[#This Row],[value_present]]*Tabelle5225[[#This Row],[binding_level]]</f>
        <v>0</v>
      </c>
    </row>
    <row r="322" spans="1:11" x14ac:dyDescent="0.25">
      <c r="A322" s="2"/>
      <c r="B322" s="2"/>
      <c r="C322" s="2"/>
      <c r="D322" s="3"/>
      <c r="E322" s="1"/>
      <c r="I322" s="1"/>
      <c r="K322" s="4">
        <f>Tabelle5225[[#This Row],[value_present]]*Tabelle5225[[#This Row],[binding_level]]</f>
        <v>0</v>
      </c>
    </row>
    <row r="323" spans="1:11" x14ac:dyDescent="0.25">
      <c r="A323" s="2"/>
      <c r="B323" s="2"/>
      <c r="C323" s="2"/>
      <c r="D323" s="3"/>
      <c r="E323" s="1"/>
      <c r="I323" s="1"/>
      <c r="K323" s="4">
        <f>Tabelle5225[[#This Row],[value_present]]*Tabelle5225[[#This Row],[binding_level]]</f>
        <v>0</v>
      </c>
    </row>
    <row r="324" spans="1:11" x14ac:dyDescent="0.25">
      <c r="A324" s="2"/>
      <c r="B324" s="2"/>
      <c r="C324" s="2"/>
      <c r="D324" s="3"/>
      <c r="E324" s="1"/>
      <c r="I324" s="1"/>
      <c r="K324" s="4">
        <f>Tabelle5225[[#This Row],[value_present]]*Tabelle5225[[#This Row],[binding_level]]</f>
        <v>0</v>
      </c>
    </row>
    <row r="325" spans="1:11" x14ac:dyDescent="0.25">
      <c r="A325" s="2"/>
      <c r="B325" s="2"/>
      <c r="C325" s="2"/>
      <c r="D325" s="3"/>
      <c r="E325" s="1"/>
      <c r="I325" s="1"/>
      <c r="K325" s="4">
        <f>Tabelle5225[[#This Row],[value_present]]*Tabelle5225[[#This Row],[binding_level]]</f>
        <v>0</v>
      </c>
    </row>
    <row r="326" spans="1:11" x14ac:dyDescent="0.25">
      <c r="A326" s="2"/>
      <c r="B326" s="2"/>
      <c r="C326" s="2"/>
      <c r="D326" s="3"/>
      <c r="E326" s="1"/>
      <c r="I326" s="1"/>
      <c r="K326" s="4">
        <f>Tabelle5225[[#This Row],[value_present]]*Tabelle5225[[#This Row],[binding_level]]</f>
        <v>0</v>
      </c>
    </row>
    <row r="327" spans="1:11" x14ac:dyDescent="0.25">
      <c r="A327" s="2"/>
      <c r="B327" s="2"/>
      <c r="C327" s="2"/>
      <c r="D327" s="3"/>
      <c r="E327" s="1"/>
      <c r="I327" s="1"/>
      <c r="K327" s="4">
        <f>Tabelle5225[[#This Row],[value_present]]*Tabelle5225[[#This Row],[binding_level]]</f>
        <v>0</v>
      </c>
    </row>
    <row r="328" spans="1:11" x14ac:dyDescent="0.25">
      <c r="A328" s="2"/>
      <c r="B328" s="2"/>
      <c r="C328" s="2"/>
      <c r="D328" s="3"/>
      <c r="E328" s="1"/>
      <c r="I328" s="1"/>
      <c r="K328" s="4">
        <f>Tabelle5225[[#This Row],[value_present]]*Tabelle5225[[#This Row],[binding_level]]</f>
        <v>0</v>
      </c>
    </row>
    <row r="329" spans="1:11" x14ac:dyDescent="0.25">
      <c r="A329" s="2"/>
      <c r="B329" s="2"/>
      <c r="C329" s="2"/>
      <c r="D329" s="3"/>
      <c r="E329" s="1"/>
      <c r="I329" s="1"/>
      <c r="K329" s="4">
        <f>Tabelle5225[[#This Row],[value_present]]*Tabelle5225[[#This Row],[binding_level]]</f>
        <v>0</v>
      </c>
    </row>
    <row r="330" spans="1:11" x14ac:dyDescent="0.25">
      <c r="A330" s="2"/>
      <c r="B330" s="2"/>
      <c r="C330" s="2"/>
      <c r="D330" s="3"/>
      <c r="E330" s="1"/>
      <c r="I330" s="1"/>
      <c r="K330" s="4">
        <f>Tabelle5225[[#This Row],[value_present]]*Tabelle5225[[#This Row],[binding_level]]</f>
        <v>0</v>
      </c>
    </row>
    <row r="331" spans="1:11" x14ac:dyDescent="0.25">
      <c r="A331" s="2"/>
      <c r="B331" s="2"/>
      <c r="C331" s="2"/>
      <c r="D331" s="3"/>
      <c r="E331" s="1"/>
      <c r="I331" s="1"/>
      <c r="K331" s="4">
        <f>Tabelle5225[[#This Row],[value_present]]*Tabelle5225[[#This Row],[binding_level]]</f>
        <v>0</v>
      </c>
    </row>
    <row r="332" spans="1:11" x14ac:dyDescent="0.25">
      <c r="A332" s="2"/>
      <c r="B332" s="2"/>
      <c r="C332" s="2"/>
      <c r="D332" s="3"/>
      <c r="E332" s="1"/>
      <c r="I332" s="1"/>
      <c r="K332" s="4">
        <f>Tabelle5225[[#This Row],[value_present]]*Tabelle5225[[#This Row],[binding_level]]</f>
        <v>0</v>
      </c>
    </row>
    <row r="333" spans="1:11" x14ac:dyDescent="0.25">
      <c r="A333" s="2"/>
      <c r="B333" s="2"/>
      <c r="C333" s="2"/>
      <c r="D333" s="3"/>
      <c r="E333" s="1"/>
      <c r="I333" s="1"/>
      <c r="K333" s="4">
        <f>Tabelle5225[[#This Row],[value_present]]*Tabelle5225[[#This Row],[binding_level]]</f>
        <v>0</v>
      </c>
    </row>
    <row r="334" spans="1:11" x14ac:dyDescent="0.25">
      <c r="A334" s="2"/>
      <c r="B334" s="2"/>
      <c r="C334" s="2"/>
      <c r="D334" s="3"/>
      <c r="E334" s="1"/>
      <c r="I334" s="1"/>
      <c r="K334" s="4">
        <f>Tabelle5225[[#This Row],[value_present]]*Tabelle5225[[#This Row],[binding_level]]</f>
        <v>0</v>
      </c>
    </row>
    <row r="335" spans="1:11" x14ac:dyDescent="0.25">
      <c r="A335" s="2"/>
      <c r="B335" s="2"/>
      <c r="C335" s="2"/>
      <c r="D335" s="3"/>
      <c r="E335" s="1"/>
      <c r="I335" s="1"/>
      <c r="K335" s="4">
        <f>Tabelle5225[[#This Row],[value_present]]*Tabelle5225[[#This Row],[binding_level]]</f>
        <v>0</v>
      </c>
    </row>
    <row r="336" spans="1:11" x14ac:dyDescent="0.25">
      <c r="A336" s="2"/>
      <c r="B336" s="2"/>
      <c r="C336" s="2"/>
      <c r="D336" s="3"/>
      <c r="E336" s="1"/>
      <c r="I336" s="1"/>
      <c r="K336" s="4">
        <f>Tabelle5225[[#This Row],[value_present]]*Tabelle5225[[#This Row],[binding_level]]</f>
        <v>0</v>
      </c>
    </row>
    <row r="337" spans="1:11" x14ac:dyDescent="0.25">
      <c r="A337" s="2"/>
      <c r="B337" s="2"/>
      <c r="C337" s="2"/>
      <c r="D337" s="3"/>
      <c r="E337" s="1"/>
      <c r="I337" s="1"/>
      <c r="K337" s="4">
        <f>Tabelle5225[[#This Row],[value_present]]*Tabelle5225[[#This Row],[binding_level]]</f>
        <v>0</v>
      </c>
    </row>
    <row r="338" spans="1:11" x14ac:dyDescent="0.25">
      <c r="A338" s="2"/>
      <c r="B338" s="2"/>
      <c r="C338" s="2"/>
      <c r="D338" s="3"/>
      <c r="E338" s="1"/>
      <c r="I338" s="1"/>
      <c r="K338" s="4">
        <f>Tabelle5225[[#This Row],[value_present]]*Tabelle5225[[#This Row],[binding_level]]</f>
        <v>0</v>
      </c>
    </row>
    <row r="339" spans="1:11" x14ac:dyDescent="0.25">
      <c r="A339" s="2"/>
      <c r="B339" s="2"/>
      <c r="C339" s="2"/>
      <c r="D339" s="3"/>
      <c r="E339" s="1"/>
      <c r="I339" s="1"/>
      <c r="K339" s="4">
        <f>Tabelle5225[[#This Row],[value_present]]*Tabelle5225[[#This Row],[binding_level]]</f>
        <v>0</v>
      </c>
    </row>
    <row r="340" spans="1:11" x14ac:dyDescent="0.25">
      <c r="A340" s="2"/>
      <c r="B340" s="2"/>
      <c r="C340" s="2"/>
      <c r="D340" s="3"/>
      <c r="E340" s="1"/>
      <c r="I340" s="1"/>
      <c r="K340" s="4">
        <f>Tabelle5225[[#This Row],[value_present]]*Tabelle5225[[#This Row],[binding_level]]</f>
        <v>0</v>
      </c>
    </row>
    <row r="341" spans="1:11" x14ac:dyDescent="0.25">
      <c r="A341" s="2"/>
      <c r="B341" s="2"/>
      <c r="C341" s="2"/>
      <c r="D341" s="3"/>
      <c r="E341" s="1"/>
      <c r="I341" s="1"/>
      <c r="K341" s="4">
        <f>Tabelle5225[[#This Row],[value_present]]*Tabelle5225[[#This Row],[binding_level]]</f>
        <v>0</v>
      </c>
    </row>
    <row r="342" spans="1:11" x14ac:dyDescent="0.25">
      <c r="A342" s="2"/>
      <c r="B342" s="2"/>
      <c r="C342" s="2"/>
      <c r="D342" s="3"/>
      <c r="E342" s="1"/>
      <c r="I342" s="1"/>
      <c r="K342" s="4">
        <f>Tabelle5225[[#This Row],[value_present]]*Tabelle5225[[#This Row],[binding_level]]</f>
        <v>0</v>
      </c>
    </row>
    <row r="343" spans="1:11" x14ac:dyDescent="0.25">
      <c r="A343" s="2"/>
      <c r="B343" s="2"/>
      <c r="C343" s="2"/>
      <c r="D343" s="3"/>
      <c r="E343" s="1"/>
      <c r="I343" s="1"/>
      <c r="K343" s="4">
        <f>Tabelle5225[[#This Row],[value_present]]*Tabelle5225[[#This Row],[binding_level]]</f>
        <v>0</v>
      </c>
    </row>
    <row r="344" spans="1:11" x14ac:dyDescent="0.25">
      <c r="A344" s="2"/>
      <c r="B344" s="2"/>
      <c r="C344" s="2"/>
      <c r="D344" s="3"/>
      <c r="E344" s="1"/>
      <c r="I344" s="1"/>
      <c r="K344" s="4">
        <f>Tabelle5225[[#This Row],[value_present]]*Tabelle5225[[#This Row],[binding_level]]</f>
        <v>0</v>
      </c>
    </row>
    <row r="345" spans="1:11" x14ac:dyDescent="0.25">
      <c r="A345" s="2"/>
      <c r="B345" s="2"/>
      <c r="C345" s="2"/>
      <c r="D345" s="3"/>
      <c r="E345" s="1"/>
      <c r="I345" s="1"/>
      <c r="K345" s="4">
        <f>Tabelle5225[[#This Row],[value_present]]*Tabelle5225[[#This Row],[binding_level]]</f>
        <v>0</v>
      </c>
    </row>
    <row r="346" spans="1:11" x14ac:dyDescent="0.25">
      <c r="A346" s="2"/>
      <c r="B346" s="2"/>
      <c r="C346" s="2"/>
      <c r="D346" s="3"/>
      <c r="E346" s="1"/>
      <c r="I346" s="1"/>
      <c r="K346" s="4">
        <f>Tabelle5225[[#This Row],[value_present]]*Tabelle5225[[#This Row],[binding_level]]</f>
        <v>0</v>
      </c>
    </row>
    <row r="347" spans="1:11" x14ac:dyDescent="0.25">
      <c r="A347" s="2"/>
      <c r="B347" s="2"/>
      <c r="C347" s="2"/>
      <c r="D347" s="3"/>
      <c r="E347" s="1"/>
      <c r="I347" s="1"/>
      <c r="K347" s="4">
        <f>Tabelle5225[[#This Row],[value_present]]*Tabelle5225[[#This Row],[binding_level]]</f>
        <v>0</v>
      </c>
    </row>
    <row r="348" spans="1:11" x14ac:dyDescent="0.25">
      <c r="A348" s="2"/>
      <c r="B348" s="2"/>
      <c r="C348" s="2"/>
      <c r="D348" s="3"/>
      <c r="E348" s="1"/>
      <c r="I348" s="1"/>
      <c r="K348" s="4">
        <f>Tabelle5225[[#This Row],[value_present]]*Tabelle5225[[#This Row],[binding_level]]</f>
        <v>0</v>
      </c>
    </row>
    <row r="349" spans="1:11" x14ac:dyDescent="0.25">
      <c r="A349" s="2"/>
      <c r="B349" s="2"/>
      <c r="C349" s="2"/>
      <c r="D349" s="3"/>
      <c r="E349" s="1"/>
      <c r="I349" s="1"/>
      <c r="K349" s="4">
        <f>Tabelle5225[[#This Row],[value_present]]*Tabelle5225[[#This Row],[binding_level]]</f>
        <v>0</v>
      </c>
    </row>
    <row r="350" spans="1:11" x14ac:dyDescent="0.25">
      <c r="A350" s="2"/>
      <c r="B350" s="2"/>
      <c r="C350" s="2"/>
      <c r="D350" s="3"/>
      <c r="E350" s="1"/>
      <c r="I350" s="1"/>
      <c r="K350" s="4">
        <f>Tabelle5225[[#This Row],[value_present]]*Tabelle5225[[#This Row],[binding_level]]</f>
        <v>0</v>
      </c>
    </row>
    <row r="351" spans="1:11" x14ac:dyDescent="0.25">
      <c r="A351" s="2"/>
      <c r="B351" s="2"/>
      <c r="C351" s="2"/>
      <c r="D351" s="3"/>
      <c r="E351" s="1"/>
      <c r="I351" s="1"/>
      <c r="K351" s="4">
        <f>Tabelle5225[[#This Row],[value_present]]*Tabelle5225[[#This Row],[binding_level]]</f>
        <v>0</v>
      </c>
    </row>
    <row r="352" spans="1:11" x14ac:dyDescent="0.25">
      <c r="A352" s="2"/>
      <c r="B352" s="2"/>
      <c r="C352" s="2"/>
      <c r="D352" s="3"/>
      <c r="E352" s="1"/>
      <c r="I352" s="1"/>
      <c r="K352" s="4">
        <f>Tabelle5225[[#This Row],[value_present]]*Tabelle5225[[#This Row],[binding_level]]</f>
        <v>0</v>
      </c>
    </row>
    <row r="353" spans="1:11" x14ac:dyDescent="0.25">
      <c r="A353" s="2"/>
      <c r="B353" s="2"/>
      <c r="C353" s="2"/>
      <c r="D353" s="3"/>
      <c r="E353" s="1"/>
      <c r="I353" s="1"/>
      <c r="K353" s="4">
        <f>Tabelle5225[[#This Row],[value_present]]*Tabelle5225[[#This Row],[binding_level]]</f>
        <v>0</v>
      </c>
    </row>
    <row r="354" spans="1:11" x14ac:dyDescent="0.25">
      <c r="A354" s="2"/>
      <c r="B354" s="2"/>
      <c r="C354" s="2"/>
      <c r="D354" s="3"/>
      <c r="E354" s="1"/>
      <c r="I354" s="1"/>
      <c r="K354" s="4">
        <f>Tabelle5225[[#This Row],[value_present]]*Tabelle5225[[#This Row],[binding_level]]</f>
        <v>0</v>
      </c>
    </row>
    <row r="355" spans="1:11" x14ac:dyDescent="0.25">
      <c r="A355" s="2"/>
      <c r="B355" s="2"/>
      <c r="C355" s="2"/>
      <c r="D355" s="3"/>
      <c r="E355" s="1"/>
      <c r="I355" s="1"/>
      <c r="K355" s="4">
        <f>Tabelle5225[[#This Row],[value_present]]*Tabelle5225[[#This Row],[binding_level]]</f>
        <v>0</v>
      </c>
    </row>
    <row r="356" spans="1:11" x14ac:dyDescent="0.25">
      <c r="A356" s="2"/>
      <c r="B356" s="2"/>
      <c r="C356" s="2"/>
      <c r="D356" s="3"/>
      <c r="E356" s="1"/>
      <c r="I356" s="1"/>
      <c r="K356" s="4">
        <f>Tabelle5225[[#This Row],[value_present]]*Tabelle5225[[#This Row],[binding_level]]</f>
        <v>0</v>
      </c>
    </row>
    <row r="357" spans="1:11" x14ac:dyDescent="0.25">
      <c r="A357" s="2"/>
      <c r="B357" s="2"/>
      <c r="C357" s="2"/>
      <c r="D357" s="3"/>
      <c r="E357" s="1"/>
      <c r="I357" s="1"/>
      <c r="K357" s="4">
        <f>Tabelle5225[[#This Row],[value_present]]*Tabelle5225[[#This Row],[binding_level]]</f>
        <v>0</v>
      </c>
    </row>
    <row r="358" spans="1:11" x14ac:dyDescent="0.25">
      <c r="A358" s="2"/>
      <c r="B358" s="2"/>
      <c r="C358" s="2"/>
      <c r="D358" s="3"/>
      <c r="E358" s="1"/>
      <c r="I358" s="1"/>
      <c r="K358" s="4">
        <f>Tabelle5225[[#This Row],[value_present]]*Tabelle5225[[#This Row],[binding_level]]</f>
        <v>0</v>
      </c>
    </row>
    <row r="359" spans="1:11" x14ac:dyDescent="0.25">
      <c r="A359" s="2"/>
      <c r="B359" s="2"/>
      <c r="C359" s="2"/>
      <c r="D359" s="3"/>
      <c r="E359" s="1"/>
      <c r="I359" s="1"/>
      <c r="K359" s="4">
        <f>Tabelle5225[[#This Row],[value_present]]*Tabelle5225[[#This Row],[binding_level]]</f>
        <v>0</v>
      </c>
    </row>
    <row r="360" spans="1:11" x14ac:dyDescent="0.25">
      <c r="A360" s="2"/>
      <c r="B360" s="2"/>
      <c r="C360" s="2"/>
      <c r="D360" s="3"/>
      <c r="E360" s="1"/>
      <c r="I360" s="1"/>
      <c r="K360" s="4">
        <f>Tabelle5225[[#This Row],[value_present]]*Tabelle5225[[#This Row],[binding_level]]</f>
        <v>0</v>
      </c>
    </row>
    <row r="361" spans="1:11" x14ac:dyDescent="0.25">
      <c r="A361" s="2"/>
      <c r="B361" s="2"/>
      <c r="C361" s="2"/>
      <c r="D361" s="3"/>
      <c r="E361" s="1"/>
      <c r="I361" s="1"/>
      <c r="K361" s="4">
        <f>Tabelle5225[[#This Row],[value_present]]*Tabelle5225[[#This Row],[binding_level]]</f>
        <v>0</v>
      </c>
    </row>
    <row r="362" spans="1:11" x14ac:dyDescent="0.25">
      <c r="A362" s="2"/>
      <c r="B362" s="2"/>
      <c r="C362" s="2"/>
      <c r="D362" s="3"/>
      <c r="E362" s="1"/>
      <c r="I362" s="1"/>
      <c r="K362" s="4">
        <f>Tabelle5225[[#This Row],[value_present]]*Tabelle5225[[#This Row],[binding_level]]</f>
        <v>0</v>
      </c>
    </row>
    <row r="363" spans="1:11" x14ac:dyDescent="0.25">
      <c r="A363" s="2"/>
      <c r="B363" s="2"/>
      <c r="C363" s="2"/>
      <c r="D363" s="3"/>
      <c r="E363" s="1"/>
      <c r="I363" s="1"/>
      <c r="K363" s="4">
        <f>Tabelle5225[[#This Row],[value_present]]*Tabelle5225[[#This Row],[binding_level]]</f>
        <v>0</v>
      </c>
    </row>
    <row r="364" spans="1:11" x14ac:dyDescent="0.25">
      <c r="A364" s="2"/>
      <c r="B364" s="2"/>
      <c r="C364" s="2"/>
      <c r="D364" s="3"/>
      <c r="E364" s="1"/>
      <c r="I364" s="1"/>
      <c r="K364" s="4">
        <f>Tabelle5225[[#This Row],[value_present]]*Tabelle5225[[#This Row],[binding_level]]</f>
        <v>0</v>
      </c>
    </row>
    <row r="365" spans="1:11" x14ac:dyDescent="0.25">
      <c r="A365" s="2"/>
      <c r="B365" s="2"/>
      <c r="C365" s="2"/>
      <c r="D365" s="3"/>
      <c r="E365" s="1"/>
      <c r="I365" s="1"/>
      <c r="K365" s="4">
        <f>Tabelle5225[[#This Row],[value_present]]*Tabelle5225[[#This Row],[binding_level]]</f>
        <v>0</v>
      </c>
    </row>
    <row r="366" spans="1:11" x14ac:dyDescent="0.25">
      <c r="A366" s="2"/>
      <c r="B366" s="2"/>
      <c r="C366" s="2"/>
      <c r="D366" s="3"/>
      <c r="E366" s="1"/>
      <c r="I366" s="1"/>
      <c r="K366" s="4">
        <f>Tabelle5225[[#This Row],[value_present]]*Tabelle5225[[#This Row],[binding_level]]</f>
        <v>0</v>
      </c>
    </row>
    <row r="367" spans="1:11" x14ac:dyDescent="0.25">
      <c r="A367" s="2"/>
      <c r="B367" s="2"/>
      <c r="C367" s="2"/>
      <c r="D367" s="3"/>
      <c r="E367" s="1"/>
      <c r="I367" s="1"/>
      <c r="K367" s="4">
        <f>Tabelle5225[[#This Row],[value_present]]*Tabelle5225[[#This Row],[binding_level]]</f>
        <v>0</v>
      </c>
    </row>
    <row r="368" spans="1:11" x14ac:dyDescent="0.25">
      <c r="A368" s="2"/>
      <c r="B368" s="2"/>
      <c r="C368" s="2"/>
      <c r="D368" s="3"/>
      <c r="E368" s="1"/>
      <c r="I368" s="1"/>
      <c r="K368" s="4">
        <f>Tabelle5225[[#This Row],[value_present]]*Tabelle5225[[#This Row],[binding_level]]</f>
        <v>0</v>
      </c>
    </row>
    <row r="369" spans="1:11" x14ac:dyDescent="0.25">
      <c r="A369" s="2"/>
      <c r="B369" s="2"/>
      <c r="C369" s="2"/>
      <c r="D369" s="3"/>
      <c r="E369" s="1"/>
      <c r="I369" s="1"/>
      <c r="K369" s="4">
        <f>Tabelle5225[[#This Row],[value_present]]*Tabelle5225[[#This Row],[binding_level]]</f>
        <v>0</v>
      </c>
    </row>
    <row r="370" spans="1:11" x14ac:dyDescent="0.25">
      <c r="A370" s="2"/>
      <c r="B370" s="2"/>
      <c r="C370" s="2"/>
      <c r="D370" s="3"/>
      <c r="E370" s="1"/>
      <c r="I370" s="1"/>
      <c r="K370" s="4">
        <f>Tabelle5225[[#This Row],[value_present]]*Tabelle5225[[#This Row],[binding_level]]</f>
        <v>0</v>
      </c>
    </row>
    <row r="371" spans="1:11" x14ac:dyDescent="0.25">
      <c r="A371" s="2"/>
      <c r="B371" s="2"/>
      <c r="C371" s="2"/>
      <c r="D371" s="3"/>
      <c r="E371" s="1"/>
      <c r="I371" s="1"/>
      <c r="K371" s="4">
        <f>Tabelle5225[[#This Row],[value_present]]*Tabelle5225[[#This Row],[binding_level]]</f>
        <v>0</v>
      </c>
    </row>
    <row r="372" spans="1:11" x14ac:dyDescent="0.25">
      <c r="A372" s="2"/>
      <c r="B372" s="2"/>
      <c r="C372" s="2"/>
      <c r="D372" s="3"/>
      <c r="E372" s="1"/>
      <c r="I372" s="1"/>
      <c r="K372" s="4">
        <f>Tabelle5225[[#This Row],[value_present]]*Tabelle5225[[#This Row],[binding_level]]</f>
        <v>0</v>
      </c>
    </row>
    <row r="373" spans="1:11" x14ac:dyDescent="0.25">
      <c r="A373" s="2"/>
      <c r="B373" s="2"/>
      <c r="C373" s="2"/>
      <c r="D373" s="3"/>
      <c r="E373" s="1"/>
      <c r="I373" s="1"/>
      <c r="K373" s="4">
        <f>Tabelle5225[[#This Row],[value_present]]*Tabelle5225[[#This Row],[binding_level]]</f>
        <v>0</v>
      </c>
    </row>
    <row r="374" spans="1:11" x14ac:dyDescent="0.25">
      <c r="A374" s="2"/>
      <c r="B374" s="2"/>
      <c r="C374" s="2"/>
      <c r="D374" s="3"/>
      <c r="E374" s="1"/>
      <c r="I374" s="1"/>
      <c r="K374" s="4">
        <f>Tabelle5225[[#This Row],[value_present]]*Tabelle5225[[#This Row],[binding_level]]</f>
        <v>0</v>
      </c>
    </row>
    <row r="375" spans="1:11" x14ac:dyDescent="0.25">
      <c r="A375" s="2"/>
      <c r="B375" s="2"/>
      <c r="C375" s="2"/>
      <c r="D375" s="3"/>
      <c r="E375" s="1"/>
      <c r="I375" s="1"/>
      <c r="K375" s="4">
        <f>Tabelle5225[[#This Row],[value_present]]*Tabelle5225[[#This Row],[binding_level]]</f>
        <v>0</v>
      </c>
    </row>
    <row r="376" spans="1:11" x14ac:dyDescent="0.25">
      <c r="A376" s="2"/>
      <c r="B376" s="2"/>
      <c r="C376" s="2"/>
      <c r="D376" s="3"/>
      <c r="E376" s="1"/>
      <c r="I376" s="1"/>
      <c r="K376" s="4">
        <f>Tabelle5225[[#This Row],[value_present]]*Tabelle5225[[#This Row],[binding_level]]</f>
        <v>0</v>
      </c>
    </row>
    <row r="377" spans="1:11" x14ac:dyDescent="0.25">
      <c r="A377" s="2"/>
      <c r="B377" s="2"/>
      <c r="C377" s="2"/>
      <c r="D377" s="3"/>
      <c r="E377" s="1"/>
      <c r="I377" s="1"/>
      <c r="K377" s="4">
        <f>Tabelle5225[[#This Row],[value_present]]*Tabelle5225[[#This Row],[binding_level]]</f>
        <v>0</v>
      </c>
    </row>
    <row r="378" spans="1:11" x14ac:dyDescent="0.25">
      <c r="A378" s="2"/>
      <c r="B378" s="2"/>
      <c r="C378" s="2"/>
      <c r="D378" s="3"/>
      <c r="E378" s="1"/>
      <c r="I378" s="1"/>
      <c r="K378" s="4">
        <f>Tabelle5225[[#This Row],[value_present]]*Tabelle5225[[#This Row],[binding_level]]</f>
        <v>0</v>
      </c>
    </row>
    <row r="379" spans="1:11" x14ac:dyDescent="0.25">
      <c r="A379" s="2"/>
      <c r="B379" s="2"/>
      <c r="C379" s="2"/>
      <c r="D379" s="3"/>
      <c r="E379" s="1"/>
      <c r="I379" s="1"/>
      <c r="K379" s="4">
        <f>Tabelle5225[[#This Row],[value_present]]*Tabelle5225[[#This Row],[binding_level]]</f>
        <v>0</v>
      </c>
    </row>
    <row r="380" spans="1:11" x14ac:dyDescent="0.25">
      <c r="A380" s="2"/>
      <c r="B380" s="2"/>
      <c r="C380" s="2"/>
      <c r="D380" s="3"/>
      <c r="E380" s="1"/>
      <c r="I380" s="1"/>
      <c r="K380" s="4">
        <f>Tabelle5225[[#This Row],[value_present]]*Tabelle5225[[#This Row],[binding_level]]</f>
        <v>0</v>
      </c>
    </row>
    <row r="381" spans="1:11" x14ac:dyDescent="0.25">
      <c r="A381" s="2"/>
      <c r="B381" s="2"/>
      <c r="C381" s="2"/>
      <c r="D381" s="3"/>
      <c r="E381" s="1"/>
      <c r="I381" s="1"/>
      <c r="K381" s="4">
        <f>Tabelle5225[[#This Row],[value_present]]*Tabelle5225[[#This Row],[binding_level]]</f>
        <v>0</v>
      </c>
    </row>
    <row r="382" spans="1:11" x14ac:dyDescent="0.25">
      <c r="A382" s="2"/>
      <c r="B382" s="2"/>
      <c r="C382" s="2"/>
      <c r="D382" s="3"/>
      <c r="E382" s="1"/>
      <c r="I382" s="1"/>
      <c r="K382" s="4">
        <f>Tabelle5225[[#This Row],[value_present]]*Tabelle5225[[#This Row],[binding_level]]</f>
        <v>0</v>
      </c>
    </row>
    <row r="383" spans="1:11" x14ac:dyDescent="0.25">
      <c r="A383" s="2"/>
      <c r="B383" s="2"/>
      <c r="C383" s="2"/>
      <c r="D383" s="3"/>
      <c r="E383" s="1"/>
      <c r="I383" s="1"/>
      <c r="K383" s="4">
        <f>Tabelle5225[[#This Row],[value_present]]*Tabelle5225[[#This Row],[binding_level]]</f>
        <v>0</v>
      </c>
    </row>
    <row r="384" spans="1:11" x14ac:dyDescent="0.25">
      <c r="A384" s="2"/>
      <c r="B384" s="2"/>
      <c r="C384" s="2"/>
      <c r="D384" s="3"/>
      <c r="E384" s="1"/>
      <c r="I384" s="1"/>
      <c r="K384" s="4">
        <f>Tabelle5225[[#This Row],[value_present]]*Tabelle5225[[#This Row],[binding_level]]</f>
        <v>0</v>
      </c>
    </row>
    <row r="385" spans="1:11" x14ac:dyDescent="0.25">
      <c r="A385" s="2"/>
      <c r="B385" s="2"/>
      <c r="C385" s="2"/>
      <c r="D385" s="3"/>
      <c r="E385" s="1"/>
      <c r="I385" s="1"/>
      <c r="K385" s="4">
        <f>Tabelle5225[[#This Row],[value_present]]*Tabelle5225[[#This Row],[binding_level]]</f>
        <v>0</v>
      </c>
    </row>
    <row r="386" spans="1:11" x14ac:dyDescent="0.25">
      <c r="A386" s="2"/>
      <c r="B386" s="2"/>
      <c r="C386" s="2"/>
      <c r="D386" s="3"/>
      <c r="E386" s="1"/>
      <c r="I386" s="1"/>
      <c r="K386" s="4">
        <f>Tabelle5225[[#This Row],[value_present]]*Tabelle5225[[#This Row],[binding_level]]</f>
        <v>0</v>
      </c>
    </row>
    <row r="387" spans="1:11" x14ac:dyDescent="0.25">
      <c r="A387" s="2"/>
      <c r="B387" s="2"/>
      <c r="C387" s="2"/>
      <c r="D387" s="3"/>
      <c r="E387" s="1"/>
      <c r="I387" s="1"/>
      <c r="K387" s="4">
        <f>Tabelle5225[[#This Row],[value_present]]*Tabelle5225[[#This Row],[binding_level]]</f>
        <v>0</v>
      </c>
    </row>
    <row r="388" spans="1:11" x14ac:dyDescent="0.25">
      <c r="A388" s="2"/>
      <c r="B388" s="2"/>
      <c r="C388" s="2"/>
      <c r="D388" s="3"/>
      <c r="E388" s="1"/>
      <c r="I388" s="1"/>
      <c r="K388" s="4">
        <f>Tabelle5225[[#This Row],[value_present]]*Tabelle5225[[#This Row],[binding_level]]</f>
        <v>0</v>
      </c>
    </row>
    <row r="389" spans="1:11" x14ac:dyDescent="0.25">
      <c r="A389" s="2"/>
      <c r="B389" s="2"/>
      <c r="C389" s="2"/>
      <c r="D389" s="3"/>
      <c r="E389" s="1"/>
      <c r="I389" s="1"/>
      <c r="K389" s="4">
        <f>Tabelle5225[[#This Row],[value_present]]*Tabelle5225[[#This Row],[binding_level]]</f>
        <v>0</v>
      </c>
    </row>
    <row r="390" spans="1:11" x14ac:dyDescent="0.25">
      <c r="A390" s="2"/>
      <c r="B390" s="2"/>
      <c r="C390" s="2"/>
      <c r="D390" s="3"/>
      <c r="E390" s="1"/>
      <c r="I390" s="1"/>
      <c r="K390" s="4">
        <f>Tabelle5225[[#This Row],[value_present]]*Tabelle5225[[#This Row],[binding_level]]</f>
        <v>0</v>
      </c>
    </row>
    <row r="391" spans="1:11" x14ac:dyDescent="0.25">
      <c r="A391" s="2"/>
      <c r="B391" s="2"/>
      <c r="C391" s="2"/>
      <c r="D391" s="3"/>
      <c r="E391" s="1"/>
      <c r="I391" s="1"/>
      <c r="K391" s="4">
        <f>Tabelle5225[[#This Row],[value_present]]*Tabelle5225[[#This Row],[binding_level]]</f>
        <v>0</v>
      </c>
    </row>
    <row r="392" spans="1:11" x14ac:dyDescent="0.25">
      <c r="A392" s="2"/>
      <c r="B392" s="2"/>
      <c r="C392" s="2"/>
      <c r="D392" s="3"/>
      <c r="E392" s="1"/>
      <c r="I392" s="1"/>
      <c r="K392" s="4">
        <f>Tabelle5225[[#This Row],[value_present]]*Tabelle5225[[#This Row],[binding_level]]</f>
        <v>0</v>
      </c>
    </row>
    <row r="393" spans="1:11" x14ac:dyDescent="0.25">
      <c r="A393" s="2"/>
      <c r="B393" s="2"/>
      <c r="C393" s="2"/>
      <c r="D393" s="3"/>
      <c r="E393" s="1"/>
      <c r="I393" s="1"/>
      <c r="K393" s="4">
        <f>Tabelle5225[[#This Row],[value_present]]*Tabelle5225[[#This Row],[binding_level]]</f>
        <v>0</v>
      </c>
    </row>
    <row r="394" spans="1:11" x14ac:dyDescent="0.25">
      <c r="A394" s="2"/>
      <c r="B394" s="2"/>
      <c r="C394" s="2"/>
      <c r="D394" s="3"/>
      <c r="E394" s="1"/>
      <c r="I394" s="1"/>
      <c r="K394" s="4">
        <f>Tabelle5225[[#This Row],[value_present]]*Tabelle5225[[#This Row],[binding_level]]</f>
        <v>0</v>
      </c>
    </row>
    <row r="395" spans="1:11" x14ac:dyDescent="0.25">
      <c r="A395" s="2"/>
      <c r="B395" s="2"/>
      <c r="C395" s="2"/>
      <c r="D395" s="3"/>
      <c r="E395" s="1"/>
      <c r="I395" s="1"/>
      <c r="K395" s="4">
        <f>Tabelle5225[[#This Row],[value_present]]*Tabelle5225[[#This Row],[binding_level]]</f>
        <v>0</v>
      </c>
    </row>
    <row r="396" spans="1:11" x14ac:dyDescent="0.25">
      <c r="A396" s="2"/>
      <c r="B396" s="2"/>
      <c r="C396" s="2"/>
      <c r="D396" s="3"/>
      <c r="E396" s="1"/>
      <c r="I396" s="1"/>
      <c r="K396" s="4">
        <f>Tabelle5225[[#This Row],[value_present]]*Tabelle5225[[#This Row],[binding_level]]</f>
        <v>0</v>
      </c>
    </row>
    <row r="397" spans="1:11" x14ac:dyDescent="0.25">
      <c r="A397" s="2"/>
      <c r="B397" s="2"/>
      <c r="C397" s="2"/>
      <c r="D397" s="3"/>
      <c r="E397" s="1"/>
      <c r="I397" s="1"/>
      <c r="K397" s="4">
        <f>Tabelle5225[[#This Row],[value_present]]*Tabelle5225[[#This Row],[binding_level]]</f>
        <v>0</v>
      </c>
    </row>
    <row r="398" spans="1:11" x14ac:dyDescent="0.25">
      <c r="A398" s="2"/>
      <c r="B398" s="2"/>
      <c r="C398" s="2"/>
      <c r="D398" s="3"/>
      <c r="E398" s="1"/>
      <c r="I398" s="1"/>
      <c r="K398" s="4">
        <f>Tabelle5225[[#This Row],[value_present]]*Tabelle5225[[#This Row],[binding_level]]</f>
        <v>0</v>
      </c>
    </row>
    <row r="399" spans="1:11" x14ac:dyDescent="0.25">
      <c r="A399" s="2"/>
      <c r="B399" s="2"/>
      <c r="C399" s="2"/>
      <c r="D399" s="3"/>
      <c r="E399" s="1"/>
      <c r="I399" s="1"/>
      <c r="K399" s="4">
        <f>Tabelle5225[[#This Row],[value_present]]*Tabelle5225[[#This Row],[binding_level]]</f>
        <v>0</v>
      </c>
    </row>
    <row r="400" spans="1:11" x14ac:dyDescent="0.25">
      <c r="A400" s="2"/>
      <c r="B400" s="2"/>
      <c r="C400" s="2"/>
      <c r="D400" s="3"/>
      <c r="E400" s="1"/>
      <c r="I400" s="1"/>
      <c r="K400" s="4">
        <f>Tabelle5225[[#This Row],[value_present]]*Tabelle5225[[#This Row],[binding_level]]</f>
        <v>0</v>
      </c>
    </row>
    <row r="401" spans="1:11" x14ac:dyDescent="0.25">
      <c r="A401" s="2"/>
      <c r="B401" s="2"/>
      <c r="C401" s="2"/>
      <c r="D401" s="3"/>
      <c r="E401" s="1"/>
      <c r="I401" s="1"/>
      <c r="K401" s="4">
        <f>Tabelle5225[[#This Row],[value_present]]*Tabelle5225[[#This Row],[binding_level]]</f>
        <v>0</v>
      </c>
    </row>
    <row r="402" spans="1:11" x14ac:dyDescent="0.25">
      <c r="A402" s="2"/>
      <c r="B402" s="2"/>
      <c r="C402" s="2"/>
      <c r="D402" s="3"/>
      <c r="E402" s="1"/>
      <c r="I402" s="1"/>
      <c r="K402" s="4">
        <f>Tabelle5225[[#This Row],[value_present]]*Tabelle5225[[#This Row],[binding_level]]</f>
        <v>0</v>
      </c>
    </row>
    <row r="403" spans="1:11" x14ac:dyDescent="0.25">
      <c r="A403" s="2"/>
      <c r="B403" s="2"/>
      <c r="C403" s="2"/>
      <c r="D403" s="3"/>
      <c r="E403" s="1"/>
      <c r="I403" s="1"/>
      <c r="K403" s="4">
        <f>Tabelle5225[[#This Row],[value_present]]*Tabelle5225[[#This Row],[binding_level]]</f>
        <v>0</v>
      </c>
    </row>
    <row r="404" spans="1:11" x14ac:dyDescent="0.25">
      <c r="A404" s="2"/>
      <c r="B404" s="2"/>
      <c r="C404" s="2"/>
      <c r="D404" s="3"/>
      <c r="E404" s="1"/>
      <c r="I404" s="1"/>
      <c r="K404" s="4">
        <f>Tabelle5225[[#This Row],[value_present]]*Tabelle5225[[#This Row],[binding_level]]</f>
        <v>0</v>
      </c>
    </row>
    <row r="405" spans="1:11" x14ac:dyDescent="0.25">
      <c r="A405" s="2"/>
      <c r="B405" s="2"/>
      <c r="C405" s="2"/>
      <c r="D405" s="3"/>
      <c r="E405" s="1"/>
      <c r="I405" s="1"/>
      <c r="K405" s="4">
        <f>Tabelle5225[[#This Row],[value_present]]*Tabelle5225[[#This Row],[binding_level]]</f>
        <v>0</v>
      </c>
    </row>
    <row r="406" spans="1:11" x14ac:dyDescent="0.25">
      <c r="A406" s="2"/>
      <c r="B406" s="2"/>
      <c r="C406" s="2"/>
      <c r="D406" s="3"/>
      <c r="E406" s="1"/>
      <c r="I406" s="1"/>
      <c r="K406" s="4">
        <f>Tabelle5225[[#This Row],[value_present]]*Tabelle5225[[#This Row],[binding_level]]</f>
        <v>0</v>
      </c>
    </row>
    <row r="407" spans="1:11" x14ac:dyDescent="0.25">
      <c r="A407" s="2"/>
      <c r="B407" s="2"/>
      <c r="C407" s="2"/>
      <c r="D407" s="3"/>
      <c r="E407" s="1"/>
      <c r="I407" s="1"/>
      <c r="K407" s="4">
        <f>Tabelle5225[[#This Row],[value_present]]*Tabelle5225[[#This Row],[binding_level]]</f>
        <v>0</v>
      </c>
    </row>
    <row r="408" spans="1:11" x14ac:dyDescent="0.25">
      <c r="A408" s="2"/>
      <c r="B408" s="2"/>
      <c r="C408" s="2"/>
      <c r="D408" s="3"/>
      <c r="E408" s="1"/>
      <c r="I408" s="1"/>
      <c r="K408" s="4">
        <f>Tabelle5225[[#This Row],[value_present]]*Tabelle5225[[#This Row],[binding_level]]</f>
        <v>0</v>
      </c>
    </row>
    <row r="409" spans="1:11" x14ac:dyDescent="0.25">
      <c r="A409" s="2"/>
      <c r="B409" s="2"/>
      <c r="C409" s="2"/>
      <c r="D409" s="3"/>
      <c r="E409" s="1"/>
      <c r="I409" s="1"/>
      <c r="K409" s="4">
        <f>Tabelle5225[[#This Row],[value_present]]*Tabelle5225[[#This Row],[binding_level]]</f>
        <v>0</v>
      </c>
    </row>
    <row r="410" spans="1:11" x14ac:dyDescent="0.25">
      <c r="A410" s="2"/>
      <c r="B410" s="2"/>
      <c r="C410" s="2"/>
      <c r="D410" s="3"/>
      <c r="E410" s="1"/>
      <c r="I410" s="1"/>
      <c r="K410" s="4">
        <f>Tabelle5225[[#This Row],[value_present]]*Tabelle5225[[#This Row],[binding_level]]</f>
        <v>0</v>
      </c>
    </row>
    <row r="411" spans="1:11" x14ac:dyDescent="0.25">
      <c r="A411" s="2"/>
      <c r="B411" s="2"/>
      <c r="C411" s="2"/>
      <c r="D411" s="3"/>
      <c r="E411" s="1"/>
      <c r="I411" s="1"/>
      <c r="K411" s="4">
        <f>Tabelle5225[[#This Row],[value_present]]*Tabelle5225[[#This Row],[binding_level]]</f>
        <v>0</v>
      </c>
    </row>
    <row r="412" spans="1:11" x14ac:dyDescent="0.25">
      <c r="A412" s="2"/>
      <c r="B412" s="2"/>
      <c r="C412" s="2"/>
      <c r="D412" s="3"/>
      <c r="E412" s="1"/>
      <c r="I412" s="1"/>
      <c r="K412" s="4">
        <f>Tabelle5225[[#This Row],[value_present]]*Tabelle5225[[#This Row],[binding_level]]</f>
        <v>0</v>
      </c>
    </row>
    <row r="413" spans="1:11" x14ac:dyDescent="0.25">
      <c r="A413" s="2"/>
      <c r="B413" s="2"/>
      <c r="C413" s="2"/>
      <c r="D413" s="3"/>
      <c r="E413" s="1"/>
      <c r="I413" s="1"/>
      <c r="K413" s="4">
        <f>Tabelle5225[[#This Row],[value_present]]*Tabelle5225[[#This Row],[binding_level]]</f>
        <v>0</v>
      </c>
    </row>
    <row r="414" spans="1:11" x14ac:dyDescent="0.25">
      <c r="A414" s="2"/>
      <c r="B414" s="2"/>
      <c r="C414" s="2"/>
      <c r="D414" s="3"/>
      <c r="E414" s="1"/>
      <c r="I414" s="1"/>
      <c r="K414" s="4">
        <f>Tabelle5225[[#This Row],[value_present]]*Tabelle5225[[#This Row],[binding_level]]</f>
        <v>0</v>
      </c>
    </row>
    <row r="415" spans="1:11" x14ac:dyDescent="0.25">
      <c r="A415" s="2"/>
      <c r="B415" s="2"/>
      <c r="C415" s="2"/>
      <c r="D415" s="3"/>
      <c r="E415" s="1"/>
      <c r="I415" s="1"/>
      <c r="K415" s="4">
        <f>Tabelle5225[[#This Row],[value_present]]*Tabelle5225[[#This Row],[binding_level]]</f>
        <v>0</v>
      </c>
    </row>
    <row r="416" spans="1:11" x14ac:dyDescent="0.25">
      <c r="A416" s="2"/>
      <c r="B416" s="2"/>
      <c r="C416" s="2"/>
      <c r="D416" s="3"/>
      <c r="E416" s="1"/>
      <c r="I416" s="1"/>
      <c r="K416" s="4">
        <f>Tabelle5225[[#This Row],[value_present]]*Tabelle5225[[#This Row],[binding_level]]</f>
        <v>0</v>
      </c>
    </row>
    <row r="417" spans="1:11" x14ac:dyDescent="0.25">
      <c r="A417" s="2"/>
      <c r="B417" s="2"/>
      <c r="C417" s="2"/>
      <c r="D417" s="3"/>
      <c r="E417" s="1"/>
      <c r="I417" s="1"/>
      <c r="K417" s="4">
        <f>Tabelle5225[[#This Row],[value_present]]*Tabelle5225[[#This Row],[binding_level]]</f>
        <v>0</v>
      </c>
    </row>
    <row r="418" spans="1:11" x14ac:dyDescent="0.25">
      <c r="A418" s="2"/>
      <c r="B418" s="2"/>
      <c r="C418" s="2"/>
      <c r="D418" s="3"/>
      <c r="E418" s="1"/>
      <c r="I418" s="1"/>
      <c r="K418" s="4">
        <f>Tabelle5225[[#This Row],[value_present]]*Tabelle5225[[#This Row],[binding_level]]</f>
        <v>0</v>
      </c>
    </row>
    <row r="419" spans="1:11" x14ac:dyDescent="0.25">
      <c r="A419" s="2"/>
      <c r="B419" s="2"/>
      <c r="C419" s="2"/>
      <c r="D419" s="3"/>
      <c r="E419" s="1"/>
      <c r="I419" s="1"/>
      <c r="K419" s="4">
        <f>Tabelle5225[[#This Row],[value_present]]*Tabelle5225[[#This Row],[binding_level]]</f>
        <v>0</v>
      </c>
    </row>
    <row r="420" spans="1:11" x14ac:dyDescent="0.25">
      <c r="A420" s="2"/>
      <c r="B420" s="2"/>
      <c r="C420" s="2"/>
      <c r="D420" s="3"/>
      <c r="E420" s="1"/>
      <c r="I420" s="1"/>
      <c r="K420" s="4">
        <f>Tabelle5225[[#This Row],[value_present]]*Tabelle5225[[#This Row],[binding_level]]</f>
        <v>0</v>
      </c>
    </row>
    <row r="421" spans="1:11" x14ac:dyDescent="0.25">
      <c r="A421" s="2"/>
      <c r="B421" s="2"/>
      <c r="C421" s="2"/>
      <c r="D421" s="3"/>
      <c r="E421" s="1"/>
      <c r="I421" s="1"/>
      <c r="K421" s="4">
        <f>Tabelle5225[[#This Row],[value_present]]*Tabelle5225[[#This Row],[binding_level]]</f>
        <v>0</v>
      </c>
    </row>
    <row r="422" spans="1:11" x14ac:dyDescent="0.25">
      <c r="A422" s="2"/>
      <c r="B422" s="2"/>
      <c r="C422" s="2"/>
      <c r="D422" s="3"/>
      <c r="E422" s="1"/>
      <c r="I422" s="1"/>
      <c r="K422" s="4">
        <f>Tabelle5225[[#This Row],[value_present]]*Tabelle5225[[#This Row],[binding_level]]</f>
        <v>0</v>
      </c>
    </row>
    <row r="423" spans="1:11" x14ac:dyDescent="0.25">
      <c r="A423" s="2"/>
      <c r="B423" s="2"/>
      <c r="C423" s="2"/>
      <c r="D423" s="3"/>
      <c r="E423" s="1"/>
      <c r="I423" s="1"/>
      <c r="K423" s="4">
        <f>Tabelle5225[[#This Row],[value_present]]*Tabelle5225[[#This Row],[binding_level]]</f>
        <v>0</v>
      </c>
    </row>
    <row r="424" spans="1:11" x14ac:dyDescent="0.25">
      <c r="A424" s="2"/>
      <c r="B424" s="2"/>
      <c r="C424" s="2"/>
      <c r="D424" s="3"/>
      <c r="E424" s="1"/>
      <c r="I424" s="1"/>
      <c r="K424" s="4">
        <f>Tabelle5225[[#This Row],[value_present]]*Tabelle5225[[#This Row],[binding_level]]</f>
        <v>0</v>
      </c>
    </row>
    <row r="425" spans="1:11" x14ac:dyDescent="0.25">
      <c r="A425" s="2"/>
      <c r="B425" s="2"/>
      <c r="C425" s="2"/>
      <c r="D425" s="3"/>
      <c r="E425" s="1"/>
      <c r="I425" s="1"/>
      <c r="K425" s="4">
        <f>Tabelle5225[[#This Row],[value_present]]*Tabelle5225[[#This Row],[binding_level]]</f>
        <v>0</v>
      </c>
    </row>
    <row r="426" spans="1:11" x14ac:dyDescent="0.25">
      <c r="A426" s="2"/>
      <c r="B426" s="2"/>
      <c r="C426" s="2"/>
      <c r="D426" s="3"/>
      <c r="E426" s="1"/>
      <c r="I426" s="1"/>
      <c r="K426" s="4">
        <f>Tabelle5225[[#This Row],[value_present]]*Tabelle5225[[#This Row],[binding_level]]</f>
        <v>0</v>
      </c>
    </row>
    <row r="427" spans="1:11" x14ac:dyDescent="0.25">
      <c r="A427" s="2"/>
      <c r="B427" s="2"/>
      <c r="C427" s="2"/>
      <c r="D427" s="3"/>
      <c r="E427" s="1"/>
      <c r="I427" s="1"/>
      <c r="K427" s="4">
        <f>Tabelle5225[[#This Row],[value_present]]*Tabelle5225[[#This Row],[binding_level]]</f>
        <v>0</v>
      </c>
    </row>
    <row r="428" spans="1:11" x14ac:dyDescent="0.25">
      <c r="A428" s="2"/>
      <c r="B428" s="2"/>
      <c r="C428" s="2"/>
      <c r="D428" s="3"/>
      <c r="E428" s="1"/>
      <c r="I428" s="1"/>
      <c r="K428" s="4">
        <f>Tabelle5225[[#This Row],[value_present]]*Tabelle5225[[#This Row],[binding_level]]</f>
        <v>0</v>
      </c>
    </row>
    <row r="429" spans="1:11" x14ac:dyDescent="0.25">
      <c r="A429" s="2"/>
      <c r="B429" s="2"/>
      <c r="C429" s="2"/>
      <c r="D429" s="3"/>
      <c r="E429" s="1"/>
      <c r="I429" s="1"/>
      <c r="K429" s="4">
        <f>Tabelle5225[[#This Row],[value_present]]*Tabelle5225[[#This Row],[binding_level]]</f>
        <v>0</v>
      </c>
    </row>
    <row r="430" spans="1:11" x14ac:dyDescent="0.25">
      <c r="A430" s="2"/>
      <c r="B430" s="2"/>
      <c r="C430" s="2"/>
      <c r="D430" s="3"/>
      <c r="E430" s="1"/>
      <c r="I430" s="1"/>
      <c r="K430" s="4">
        <f>Tabelle5225[[#This Row],[value_present]]*Tabelle5225[[#This Row],[binding_level]]</f>
        <v>0</v>
      </c>
    </row>
    <row r="431" spans="1:11" x14ac:dyDescent="0.25">
      <c r="A431" s="2"/>
      <c r="B431" s="2"/>
      <c r="C431" s="2"/>
      <c r="D431" s="3"/>
      <c r="E431" s="1"/>
      <c r="I431" s="1"/>
      <c r="K431" s="4">
        <f>Tabelle5225[[#This Row],[value_present]]*Tabelle5225[[#This Row],[binding_level]]</f>
        <v>0</v>
      </c>
    </row>
    <row r="432" spans="1:11" x14ac:dyDescent="0.25">
      <c r="A432" s="2"/>
      <c r="B432" s="2"/>
      <c r="C432" s="2"/>
      <c r="D432" s="3"/>
      <c r="E432" s="1"/>
      <c r="I432" s="1"/>
      <c r="K432" s="4">
        <f>Tabelle5225[[#This Row],[value_present]]*Tabelle5225[[#This Row],[binding_level]]</f>
        <v>0</v>
      </c>
    </row>
    <row r="433" spans="1:11" x14ac:dyDescent="0.25">
      <c r="A433" s="2"/>
      <c r="B433" s="2"/>
      <c r="C433" s="2"/>
      <c r="D433" s="3"/>
      <c r="E433" s="1"/>
      <c r="I433" s="1"/>
      <c r="K433" s="4">
        <f>Tabelle5225[[#This Row],[value_present]]*Tabelle5225[[#This Row],[binding_level]]</f>
        <v>0</v>
      </c>
    </row>
    <row r="434" spans="1:11" x14ac:dyDescent="0.25">
      <c r="A434" s="2"/>
      <c r="B434" s="2"/>
      <c r="C434" s="2"/>
      <c r="D434" s="3"/>
      <c r="E434" s="1"/>
      <c r="I434" s="1"/>
      <c r="K434" s="4">
        <f>Tabelle5225[[#This Row],[value_present]]*Tabelle5225[[#This Row],[binding_level]]</f>
        <v>0</v>
      </c>
    </row>
    <row r="435" spans="1:11" x14ac:dyDescent="0.25">
      <c r="A435" s="2"/>
      <c r="B435" s="2"/>
      <c r="C435" s="2"/>
      <c r="D435" s="3"/>
      <c r="E435" s="1"/>
      <c r="I435" s="1"/>
      <c r="K435" s="4">
        <f>Tabelle5225[[#This Row],[value_present]]*Tabelle5225[[#This Row],[binding_level]]</f>
        <v>0</v>
      </c>
    </row>
    <row r="436" spans="1:11" x14ac:dyDescent="0.25">
      <c r="A436" s="2"/>
      <c r="B436" s="2"/>
      <c r="C436" s="2"/>
      <c r="D436" s="3"/>
      <c r="E436" s="1"/>
      <c r="I436" s="1"/>
      <c r="K436" s="4">
        <f>Tabelle5225[[#This Row],[value_present]]*Tabelle5225[[#This Row],[binding_level]]</f>
        <v>0</v>
      </c>
    </row>
    <row r="437" spans="1:11" x14ac:dyDescent="0.25">
      <c r="A437" s="2"/>
      <c r="B437" s="2"/>
      <c r="C437" s="2"/>
      <c r="D437" s="3"/>
      <c r="E437" s="1"/>
      <c r="I437" s="1"/>
      <c r="K437" s="4">
        <f>Tabelle5225[[#This Row],[value_present]]*Tabelle5225[[#This Row],[binding_level]]</f>
        <v>0</v>
      </c>
    </row>
    <row r="438" spans="1:11" x14ac:dyDescent="0.25">
      <c r="A438" s="2"/>
      <c r="B438" s="2"/>
      <c r="C438" s="2"/>
      <c r="D438" s="3"/>
      <c r="E438" s="1"/>
      <c r="I438" s="1"/>
      <c r="K438" s="4">
        <f>Tabelle5225[[#This Row],[value_present]]*Tabelle5225[[#This Row],[binding_level]]</f>
        <v>0</v>
      </c>
    </row>
    <row r="439" spans="1:11" x14ac:dyDescent="0.25">
      <c r="A439" s="2"/>
      <c r="B439" s="2"/>
      <c r="C439" s="2"/>
      <c r="D439" s="3"/>
      <c r="E439" s="1"/>
      <c r="I439" s="1"/>
      <c r="K439" s="4">
        <f>Tabelle5225[[#This Row],[value_present]]*Tabelle5225[[#This Row],[binding_level]]</f>
        <v>0</v>
      </c>
    </row>
    <row r="440" spans="1:11" x14ac:dyDescent="0.25">
      <c r="A440" s="2"/>
      <c r="B440" s="2"/>
      <c r="C440" s="2"/>
      <c r="D440" s="3"/>
      <c r="E440" s="1"/>
      <c r="I440" s="1"/>
      <c r="K440" s="4">
        <f>Tabelle5225[[#This Row],[value_present]]*Tabelle5225[[#This Row],[binding_level]]</f>
        <v>0</v>
      </c>
    </row>
    <row r="441" spans="1:11" x14ac:dyDescent="0.25">
      <c r="A441" s="2"/>
      <c r="B441" s="2"/>
      <c r="C441" s="2"/>
      <c r="D441" s="3"/>
      <c r="E441" s="1"/>
      <c r="I441" s="1"/>
      <c r="K441" s="4">
        <f>Tabelle5225[[#This Row],[value_present]]*Tabelle5225[[#This Row],[binding_level]]</f>
        <v>0</v>
      </c>
    </row>
    <row r="442" spans="1:11" x14ac:dyDescent="0.25">
      <c r="A442" s="2"/>
      <c r="B442" s="2"/>
      <c r="C442" s="2"/>
      <c r="D442" s="3"/>
      <c r="E442" s="1"/>
      <c r="I442" s="1"/>
      <c r="K442" s="4">
        <f>Tabelle5225[[#This Row],[value_present]]*Tabelle5225[[#This Row],[binding_level]]</f>
        <v>0</v>
      </c>
    </row>
    <row r="443" spans="1:11" x14ac:dyDescent="0.25">
      <c r="A443" s="2"/>
      <c r="B443" s="2"/>
      <c r="C443" s="2"/>
      <c r="D443" s="3"/>
      <c r="E443" s="1"/>
      <c r="I443" s="1"/>
      <c r="K443" s="4">
        <f>Tabelle5225[[#This Row],[value_present]]*Tabelle5225[[#This Row],[binding_level]]</f>
        <v>0</v>
      </c>
    </row>
    <row r="444" spans="1:11" x14ac:dyDescent="0.25">
      <c r="A444" s="2"/>
      <c r="B444" s="2"/>
      <c r="C444" s="2"/>
      <c r="D444" s="3"/>
      <c r="E444" s="1"/>
      <c r="I444" s="1"/>
      <c r="K444" s="4">
        <f>Tabelle5225[[#This Row],[value_present]]*Tabelle5225[[#This Row],[binding_level]]</f>
        <v>0</v>
      </c>
    </row>
    <row r="445" spans="1:11" x14ac:dyDescent="0.25">
      <c r="A445" s="2"/>
      <c r="B445" s="2"/>
      <c r="C445" s="2"/>
      <c r="D445" s="3"/>
      <c r="E445" s="1"/>
      <c r="I445" s="1"/>
      <c r="K445" s="4">
        <f>Tabelle5225[[#This Row],[value_present]]*Tabelle5225[[#This Row],[binding_level]]</f>
        <v>0</v>
      </c>
    </row>
    <row r="446" spans="1:11" x14ac:dyDescent="0.25">
      <c r="A446" s="2"/>
      <c r="B446" s="2"/>
      <c r="C446" s="2"/>
      <c r="D446" s="3"/>
      <c r="E446" s="1"/>
      <c r="I446" s="1"/>
      <c r="K446" s="4">
        <f>Tabelle5225[[#This Row],[value_present]]*Tabelle5225[[#This Row],[binding_level]]</f>
        <v>0</v>
      </c>
    </row>
    <row r="447" spans="1:11" x14ac:dyDescent="0.25">
      <c r="A447" s="2"/>
      <c r="B447" s="2"/>
      <c r="C447" s="2"/>
      <c r="D447" s="3"/>
      <c r="E447" s="1"/>
      <c r="I447" s="1"/>
      <c r="K447" s="4">
        <f>Tabelle5225[[#This Row],[value_present]]*Tabelle5225[[#This Row],[binding_level]]</f>
        <v>0</v>
      </c>
    </row>
    <row r="448" spans="1:11" x14ac:dyDescent="0.25">
      <c r="A448" s="2"/>
      <c r="B448" s="2"/>
      <c r="C448" s="2"/>
      <c r="D448" s="3"/>
      <c r="E448" s="1"/>
      <c r="I448" s="1"/>
      <c r="K448" s="4">
        <f>Tabelle5225[[#This Row],[value_present]]*Tabelle5225[[#This Row],[binding_level]]</f>
        <v>0</v>
      </c>
    </row>
    <row r="449" spans="1:11" x14ac:dyDescent="0.25">
      <c r="A449" s="2"/>
      <c r="B449" s="2"/>
      <c r="C449" s="2"/>
      <c r="D449" s="3"/>
      <c r="E449" s="1"/>
      <c r="I449" s="1"/>
      <c r="K449" s="4">
        <f>Tabelle5225[[#This Row],[value_present]]*Tabelle5225[[#This Row],[binding_level]]</f>
        <v>0</v>
      </c>
    </row>
    <row r="450" spans="1:11" x14ac:dyDescent="0.25">
      <c r="A450" s="2"/>
      <c r="B450" s="2"/>
      <c r="C450" s="2"/>
      <c r="D450" s="3"/>
      <c r="E450" s="1"/>
      <c r="I450" s="1"/>
      <c r="K450" s="4">
        <f>Tabelle5225[[#This Row],[value_present]]*Tabelle5225[[#This Row],[binding_level]]</f>
        <v>0</v>
      </c>
    </row>
    <row r="451" spans="1:11" x14ac:dyDescent="0.25">
      <c r="A451" s="2"/>
      <c r="B451" s="2"/>
      <c r="C451" s="2"/>
      <c r="D451" s="3"/>
      <c r="E451" s="1"/>
      <c r="I451" s="1"/>
      <c r="K451" s="4">
        <f>Tabelle5225[[#This Row],[value_present]]*Tabelle5225[[#This Row],[binding_level]]</f>
        <v>0</v>
      </c>
    </row>
    <row r="452" spans="1:11" x14ac:dyDescent="0.25">
      <c r="A452" s="2"/>
      <c r="B452" s="2"/>
      <c r="C452" s="2"/>
      <c r="D452" s="3"/>
      <c r="E452" s="1"/>
      <c r="I452" s="1"/>
      <c r="K452" s="4">
        <f>Tabelle5225[[#This Row],[value_present]]*Tabelle5225[[#This Row],[binding_level]]</f>
        <v>0</v>
      </c>
    </row>
    <row r="453" spans="1:11" x14ac:dyDescent="0.25">
      <c r="A453" s="2"/>
      <c r="B453" s="2"/>
      <c r="C453" s="2"/>
      <c r="D453" s="3"/>
      <c r="E453" s="1"/>
      <c r="I453" s="1"/>
      <c r="K453" s="4">
        <f>Tabelle5225[[#This Row],[value_present]]*Tabelle5225[[#This Row],[binding_level]]</f>
        <v>0</v>
      </c>
    </row>
    <row r="454" spans="1:11" x14ac:dyDescent="0.25">
      <c r="A454" s="2"/>
      <c r="B454" s="2"/>
      <c r="C454" s="2"/>
      <c r="D454" s="3"/>
      <c r="E454" s="1"/>
      <c r="I454" s="1"/>
      <c r="K454" s="4">
        <f>Tabelle5225[[#This Row],[value_present]]*Tabelle5225[[#This Row],[binding_level]]</f>
        <v>0</v>
      </c>
    </row>
    <row r="455" spans="1:11" x14ac:dyDescent="0.25">
      <c r="A455" s="2"/>
      <c r="B455" s="2"/>
      <c r="C455" s="2"/>
      <c r="D455" s="3"/>
      <c r="E455" s="1"/>
      <c r="I455" s="1"/>
      <c r="K455" s="4">
        <f>Tabelle5225[[#This Row],[value_present]]*Tabelle5225[[#This Row],[binding_level]]</f>
        <v>0</v>
      </c>
    </row>
    <row r="456" spans="1:11" x14ac:dyDescent="0.25">
      <c r="A456" s="2"/>
      <c r="B456" s="2"/>
      <c r="C456" s="2"/>
      <c r="D456" s="3"/>
      <c r="E456" s="1"/>
      <c r="I456" s="1"/>
      <c r="K456" s="4">
        <f>Tabelle5225[[#This Row],[value_present]]*Tabelle5225[[#This Row],[binding_level]]</f>
        <v>0</v>
      </c>
    </row>
    <row r="457" spans="1:11" x14ac:dyDescent="0.25">
      <c r="A457" s="2"/>
      <c r="B457" s="2"/>
      <c r="C457" s="2"/>
      <c r="D457" s="3"/>
      <c r="E457" s="1"/>
      <c r="I457" s="1"/>
      <c r="K457" s="4">
        <f>Tabelle5225[[#This Row],[value_present]]*Tabelle5225[[#This Row],[binding_level]]</f>
        <v>0</v>
      </c>
    </row>
    <row r="458" spans="1:11" x14ac:dyDescent="0.25">
      <c r="A458" s="2"/>
      <c r="B458" s="2"/>
      <c r="C458" s="2"/>
      <c r="D458" s="3"/>
      <c r="E458" s="1"/>
      <c r="I458" s="1"/>
      <c r="K458" s="4">
        <f>Tabelle5225[[#This Row],[value_present]]*Tabelle5225[[#This Row],[binding_level]]</f>
        <v>0</v>
      </c>
    </row>
    <row r="459" spans="1:11" x14ac:dyDescent="0.25">
      <c r="A459" s="2"/>
      <c r="B459" s="2"/>
      <c r="C459" s="2"/>
      <c r="D459" s="3"/>
      <c r="E459" s="1"/>
      <c r="I459" s="1"/>
      <c r="K459" s="4">
        <f>Tabelle5225[[#This Row],[value_present]]*Tabelle5225[[#This Row],[binding_level]]</f>
        <v>0</v>
      </c>
    </row>
    <row r="460" spans="1:11" x14ac:dyDescent="0.25">
      <c r="A460" s="2"/>
      <c r="B460" s="2"/>
      <c r="C460" s="2"/>
      <c r="D460" s="3"/>
      <c r="E460" s="1"/>
      <c r="I460" s="1"/>
      <c r="K460" s="4">
        <f>Tabelle5225[[#This Row],[value_present]]*Tabelle5225[[#This Row],[binding_level]]</f>
        <v>0</v>
      </c>
    </row>
    <row r="461" spans="1:11" x14ac:dyDescent="0.25">
      <c r="A461" s="2"/>
      <c r="B461" s="2"/>
      <c r="C461" s="2"/>
      <c r="D461" s="3"/>
      <c r="E461" s="1"/>
      <c r="I461" s="1"/>
      <c r="K461" s="4">
        <f>Tabelle5225[[#This Row],[value_present]]*Tabelle5225[[#This Row],[binding_level]]</f>
        <v>0</v>
      </c>
    </row>
    <row r="462" spans="1:11" x14ac:dyDescent="0.25">
      <c r="A462" s="2"/>
      <c r="B462" s="2"/>
      <c r="C462" s="2"/>
      <c r="D462" s="3"/>
      <c r="E462" s="1"/>
      <c r="I462" s="1"/>
      <c r="K462" s="4">
        <f>Tabelle5225[[#This Row],[value_present]]*Tabelle5225[[#This Row],[binding_level]]</f>
        <v>0</v>
      </c>
    </row>
    <row r="463" spans="1:11" x14ac:dyDescent="0.25">
      <c r="A463" s="2"/>
      <c r="B463" s="2"/>
      <c r="C463" s="2"/>
      <c r="D463" s="3"/>
      <c r="E463" s="1"/>
      <c r="I463" s="1"/>
      <c r="K463" s="4">
        <f>Tabelle5225[[#This Row],[value_present]]*Tabelle5225[[#This Row],[binding_level]]</f>
        <v>0</v>
      </c>
    </row>
    <row r="464" spans="1:11" x14ac:dyDescent="0.25">
      <c r="A464" s="2"/>
      <c r="B464" s="2"/>
      <c r="C464" s="2"/>
      <c r="D464" s="3"/>
      <c r="E464" s="1"/>
      <c r="I464" s="1"/>
      <c r="K464" s="4">
        <f>Tabelle5225[[#This Row],[value_present]]*Tabelle5225[[#This Row],[binding_level]]</f>
        <v>0</v>
      </c>
    </row>
  </sheetData>
  <pageMargins left="0.7" right="0.7" top="0.78740157499999996" bottom="0.78740157499999996" header="0.3" footer="0.3"/>
  <tableParts count="2">
    <tablePart r:id="rId1"/>
    <tablePart r:id="rId2"/>
  </tableParts>
  <extLst>
    <ext xmlns:x14="http://schemas.microsoft.com/office/spreadsheetml/2009/9/main" uri="{CCE6A557-97BC-4b89-ADB6-D9C93CAAB3DF}">
      <x14:dataValidations xmlns:xm="http://schemas.microsoft.com/office/excel/2006/main" count="3">
        <x14:dataValidation type="list" showErrorMessage="1" xr:uid="{A2EE1F40-697D-41BA-BC9B-A35D207A38F7}">
          <x14:formula1>
            <xm:f>'99_Lookups'!$K$2:$K$4</xm:f>
          </x14:formula1>
          <xm:sqref>I38:I464 I2:I37</xm:sqref>
        </x14:dataValidation>
        <x14:dataValidation type="list" showErrorMessage="1" xr:uid="{C2E192F1-4D87-4192-9A91-D3C006BF269E}">
          <x14:formula1>
            <xm:f>'99_Lookups'!$O$2:$O$3</xm:f>
          </x14:formula1>
          <xm:sqref>D2:D464</xm:sqref>
        </x14:dataValidation>
        <x14:dataValidation type="list" showInputMessage="1" showErrorMessage="1" xr:uid="{09BF46C4-5F56-4CE2-B817-53B2CF72210F}">
          <x14:formula1>
            <xm:f>'99_Lookups'!$M$2:$M$4</xm:f>
          </x14:formula1>
          <xm:sqref>E2:E464</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4C90F-9AEB-4CAC-86B7-45D29A93C6B5}">
  <sheetPr>
    <tabColor theme="0" tint="-0.499984740745262"/>
  </sheetPr>
  <dimension ref="A1:K210"/>
  <sheetViews>
    <sheetView topLeftCell="A25" workbookViewId="0">
      <selection sqref="A1:J57"/>
    </sheetView>
  </sheetViews>
  <sheetFormatPr baseColWidth="10" defaultRowHeight="15" x14ac:dyDescent="0.25"/>
  <cols>
    <col min="1" max="1" width="14" bestFit="1" customWidth="1"/>
    <col min="2" max="2" width="14" customWidth="1"/>
    <col min="3" max="3" width="12.85546875" bestFit="1" customWidth="1"/>
    <col min="4" max="4" width="26.28515625" hidden="1" customWidth="1"/>
    <col min="5" max="5" width="11.7109375" customWidth="1"/>
    <col min="6" max="6" width="16.7109375" customWidth="1"/>
    <col min="7" max="7" width="19" customWidth="1"/>
    <col min="8" max="8" width="16.7109375" customWidth="1"/>
    <col min="9" max="9" width="18.7109375" customWidth="1"/>
    <col min="10" max="10" width="18.28515625" bestFit="1" customWidth="1"/>
  </cols>
  <sheetData>
    <row r="1" spans="1:10" ht="15.75" thickBot="1" x14ac:dyDescent="0.3">
      <c r="A1" t="s">
        <v>0</v>
      </c>
      <c r="B1" t="s">
        <v>8</v>
      </c>
      <c r="C1" t="s">
        <v>37</v>
      </c>
      <c r="D1" t="s">
        <v>45</v>
      </c>
      <c r="E1" t="s">
        <v>46</v>
      </c>
      <c r="F1" t="s">
        <v>32</v>
      </c>
      <c r="G1" t="s">
        <v>33</v>
      </c>
      <c r="H1" t="s">
        <v>47</v>
      </c>
      <c r="I1" t="s">
        <v>34</v>
      </c>
      <c r="J1" t="s">
        <v>35</v>
      </c>
    </row>
    <row r="2" spans="1:10" x14ac:dyDescent="0.25">
      <c r="A2" s="18">
        <v>3</v>
      </c>
      <c r="B2" s="19">
        <v>16</v>
      </c>
      <c r="C2" s="19" t="s">
        <v>186</v>
      </c>
      <c r="D2" s="19"/>
      <c r="E2" s="20">
        <v>2</v>
      </c>
      <c r="F2" t="s">
        <v>1405</v>
      </c>
      <c r="G2" s="19" t="s">
        <v>1403</v>
      </c>
      <c r="H2" s="22" t="s">
        <v>1406</v>
      </c>
      <c r="I2" s="21" t="s">
        <v>272</v>
      </c>
      <c r="J2" s="32"/>
    </row>
    <row r="3" spans="1:10" x14ac:dyDescent="0.25">
      <c r="A3" s="24">
        <v>3</v>
      </c>
      <c r="B3" s="2">
        <v>16</v>
      </c>
      <c r="C3" s="2" t="s">
        <v>192</v>
      </c>
      <c r="D3" s="2"/>
      <c r="E3" s="3">
        <v>1</v>
      </c>
      <c r="F3" t="s">
        <v>1407</v>
      </c>
      <c r="G3" s="2" t="s">
        <v>1408</v>
      </c>
      <c r="H3" t="s">
        <v>1409</v>
      </c>
      <c r="I3" s="1" t="s">
        <v>273</v>
      </c>
      <c r="J3" s="33"/>
    </row>
    <row r="4" spans="1:10" x14ac:dyDescent="0.25">
      <c r="A4" s="24">
        <v>3</v>
      </c>
      <c r="B4" s="2">
        <v>16</v>
      </c>
      <c r="C4" s="2" t="s">
        <v>198</v>
      </c>
      <c r="D4" s="2"/>
      <c r="E4" s="3">
        <v>2</v>
      </c>
      <c r="F4" t="s">
        <v>1411</v>
      </c>
      <c r="G4" s="2" t="s">
        <v>1387</v>
      </c>
      <c r="H4" t="s">
        <v>1410</v>
      </c>
      <c r="I4" s="1" t="s">
        <v>272</v>
      </c>
      <c r="J4" s="33"/>
    </row>
    <row r="5" spans="1:10" x14ac:dyDescent="0.25">
      <c r="A5" s="24">
        <v>3</v>
      </c>
      <c r="B5" s="2">
        <v>16</v>
      </c>
      <c r="C5" s="2" t="s">
        <v>204</v>
      </c>
      <c r="D5" s="2"/>
      <c r="E5" s="3">
        <v>0</v>
      </c>
      <c r="G5" s="2"/>
      <c r="I5" s="1" t="s">
        <v>272</v>
      </c>
      <c r="J5" s="33"/>
    </row>
    <row r="6" spans="1:10" x14ac:dyDescent="0.25">
      <c r="A6" s="24">
        <v>3</v>
      </c>
      <c r="B6" s="2">
        <v>16</v>
      </c>
      <c r="C6" s="2" t="s">
        <v>210</v>
      </c>
      <c r="D6" s="2"/>
      <c r="E6" s="3">
        <v>1</v>
      </c>
      <c r="F6" t="s">
        <v>1412</v>
      </c>
      <c r="G6" s="2" t="s">
        <v>1404</v>
      </c>
      <c r="H6" t="s">
        <v>1413</v>
      </c>
      <c r="I6" s="1" t="s">
        <v>273</v>
      </c>
      <c r="J6" s="33"/>
    </row>
    <row r="7" spans="1:10" x14ac:dyDescent="0.25">
      <c r="A7" s="24">
        <v>3</v>
      </c>
      <c r="B7" s="2">
        <v>16</v>
      </c>
      <c r="C7" s="2" t="s">
        <v>215</v>
      </c>
      <c r="D7" s="2"/>
      <c r="E7" s="3">
        <v>2</v>
      </c>
      <c r="F7" t="s">
        <v>1415</v>
      </c>
      <c r="G7" s="2" t="s">
        <v>1404</v>
      </c>
      <c r="H7" t="s">
        <v>1414</v>
      </c>
      <c r="I7" s="1" t="s">
        <v>273</v>
      </c>
      <c r="J7" s="33"/>
    </row>
    <row r="8" spans="1:10" ht="15.75" thickBot="1" x14ac:dyDescent="0.3">
      <c r="A8" s="26">
        <v>3</v>
      </c>
      <c r="B8" s="27">
        <v>16</v>
      </c>
      <c r="C8" s="27" t="s">
        <v>221</v>
      </c>
      <c r="D8" s="27"/>
      <c r="E8" s="28">
        <v>0</v>
      </c>
      <c r="F8" s="30"/>
      <c r="G8" s="27"/>
      <c r="H8" s="30"/>
      <c r="I8" s="29" t="s">
        <v>272</v>
      </c>
      <c r="J8" s="34"/>
    </row>
    <row r="9" spans="1:10" x14ac:dyDescent="0.25">
      <c r="A9" s="18">
        <v>4</v>
      </c>
      <c r="B9" s="19">
        <v>22</v>
      </c>
      <c r="C9" s="19" t="s">
        <v>186</v>
      </c>
      <c r="D9" s="19"/>
      <c r="E9" s="20">
        <v>1</v>
      </c>
      <c r="F9" s="22" t="s">
        <v>1499</v>
      </c>
      <c r="G9" s="19" t="s">
        <v>1497</v>
      </c>
      <c r="H9" s="22" t="s">
        <v>1494</v>
      </c>
      <c r="I9" s="21" t="s">
        <v>272</v>
      </c>
      <c r="J9" s="32"/>
    </row>
    <row r="10" spans="1:10" x14ac:dyDescent="0.25">
      <c r="A10" s="24">
        <v>4</v>
      </c>
      <c r="B10" s="2">
        <v>22</v>
      </c>
      <c r="C10" s="2" t="s">
        <v>192</v>
      </c>
      <c r="D10" s="2"/>
      <c r="E10" s="3">
        <v>1</v>
      </c>
      <c r="F10" t="s">
        <v>1500</v>
      </c>
      <c r="G10" s="2" t="s">
        <v>1498</v>
      </c>
      <c r="H10" t="s">
        <v>1495</v>
      </c>
      <c r="I10" s="1" t="s">
        <v>272</v>
      </c>
      <c r="J10" s="33"/>
    </row>
    <row r="11" spans="1:10" x14ac:dyDescent="0.25">
      <c r="A11" s="24">
        <v>4</v>
      </c>
      <c r="B11" s="2">
        <v>22</v>
      </c>
      <c r="C11" s="2" t="s">
        <v>198</v>
      </c>
      <c r="D11" s="2"/>
      <c r="E11" s="3">
        <v>1</v>
      </c>
      <c r="F11" t="s">
        <v>1500</v>
      </c>
      <c r="G11" s="2" t="s">
        <v>1498</v>
      </c>
      <c r="H11" t="s">
        <v>1496</v>
      </c>
      <c r="I11" s="1" t="s">
        <v>272</v>
      </c>
      <c r="J11" s="33"/>
    </row>
    <row r="12" spans="1:10" x14ac:dyDescent="0.25">
      <c r="A12" s="24">
        <v>4</v>
      </c>
      <c r="B12" s="2">
        <v>22</v>
      </c>
      <c r="C12" s="2" t="s">
        <v>204</v>
      </c>
      <c r="D12" s="2"/>
      <c r="E12" s="3">
        <v>0</v>
      </c>
      <c r="G12" s="2"/>
      <c r="I12" s="1" t="s">
        <v>272</v>
      </c>
      <c r="J12" s="33" t="s">
        <v>1390</v>
      </c>
    </row>
    <row r="13" spans="1:10" x14ac:dyDescent="0.25">
      <c r="A13" s="24">
        <v>4</v>
      </c>
      <c r="B13" s="2">
        <v>22</v>
      </c>
      <c r="C13" s="2" t="s">
        <v>210</v>
      </c>
      <c r="D13" s="2"/>
      <c r="E13" s="3">
        <v>0</v>
      </c>
      <c r="G13" s="2"/>
      <c r="I13" s="1" t="s">
        <v>272</v>
      </c>
      <c r="J13" s="33" t="s">
        <v>1390</v>
      </c>
    </row>
    <row r="14" spans="1:10" x14ac:dyDescent="0.25">
      <c r="A14" s="24">
        <v>4</v>
      </c>
      <c r="B14" s="2">
        <v>22</v>
      </c>
      <c r="C14" s="2" t="s">
        <v>215</v>
      </c>
      <c r="D14" s="2"/>
      <c r="E14" s="3">
        <v>0</v>
      </c>
      <c r="G14" s="2"/>
      <c r="I14" s="1" t="s">
        <v>272</v>
      </c>
      <c r="J14" s="33" t="s">
        <v>1390</v>
      </c>
    </row>
    <row r="15" spans="1:10" ht="15.75" thickBot="1" x14ac:dyDescent="0.3">
      <c r="A15" s="26">
        <v>4</v>
      </c>
      <c r="B15" s="27">
        <v>22</v>
      </c>
      <c r="C15" s="27" t="s">
        <v>221</v>
      </c>
      <c r="D15" s="27"/>
      <c r="E15" s="28">
        <v>0</v>
      </c>
      <c r="F15" s="30"/>
      <c r="G15" s="27"/>
      <c r="H15" s="30"/>
      <c r="I15" s="29" t="s">
        <v>272</v>
      </c>
      <c r="J15" s="34" t="s">
        <v>1390</v>
      </c>
    </row>
    <row r="16" spans="1:10" x14ac:dyDescent="0.25">
      <c r="A16" s="18">
        <v>5</v>
      </c>
      <c r="B16" s="19">
        <v>27</v>
      </c>
      <c r="C16" s="19" t="s">
        <v>186</v>
      </c>
      <c r="D16" s="19"/>
      <c r="E16" s="20">
        <v>1</v>
      </c>
      <c r="F16" t="s">
        <v>1533</v>
      </c>
      <c r="G16" s="19" t="s">
        <v>1558</v>
      </c>
      <c r="H16" s="22" t="s">
        <v>1554</v>
      </c>
      <c r="I16" s="21" t="s">
        <v>274</v>
      </c>
      <c r="J16" s="32"/>
    </row>
    <row r="17" spans="1:11" x14ac:dyDescent="0.25">
      <c r="A17" s="24">
        <v>5</v>
      </c>
      <c r="B17" s="2">
        <v>27</v>
      </c>
      <c r="C17" s="2" t="s">
        <v>192</v>
      </c>
      <c r="D17" s="2"/>
      <c r="E17" s="3">
        <v>1</v>
      </c>
      <c r="F17" t="s">
        <v>1559</v>
      </c>
      <c r="G17" s="2" t="s">
        <v>1549</v>
      </c>
      <c r="H17" t="s">
        <v>1555</v>
      </c>
      <c r="I17" s="1" t="s">
        <v>273</v>
      </c>
      <c r="J17" s="33"/>
    </row>
    <row r="18" spans="1:11" x14ac:dyDescent="0.25">
      <c r="A18" s="24">
        <v>5</v>
      </c>
      <c r="B18" s="2">
        <v>27</v>
      </c>
      <c r="C18" s="2" t="s">
        <v>198</v>
      </c>
      <c r="D18" s="2"/>
      <c r="E18" s="3">
        <v>2</v>
      </c>
      <c r="F18" t="s">
        <v>1560</v>
      </c>
      <c r="G18" s="2" t="s">
        <v>1549</v>
      </c>
      <c r="H18" t="s">
        <v>1556</v>
      </c>
      <c r="I18" s="1" t="s">
        <v>273</v>
      </c>
      <c r="J18" s="33"/>
    </row>
    <row r="19" spans="1:11" x14ac:dyDescent="0.25">
      <c r="A19" s="24">
        <v>5</v>
      </c>
      <c r="B19" s="2">
        <v>27</v>
      </c>
      <c r="C19" s="2" t="s">
        <v>204</v>
      </c>
      <c r="D19" s="2"/>
      <c r="E19" s="3">
        <v>1</v>
      </c>
      <c r="F19" t="s">
        <v>1532</v>
      </c>
      <c r="G19" s="2" t="s">
        <v>1549</v>
      </c>
      <c r="H19" t="s">
        <v>1557</v>
      </c>
      <c r="I19" s="1" t="s">
        <v>274</v>
      </c>
      <c r="J19" s="33"/>
    </row>
    <row r="20" spans="1:11" x14ac:dyDescent="0.25">
      <c r="A20" s="24">
        <v>5</v>
      </c>
      <c r="B20" s="2">
        <v>27</v>
      </c>
      <c r="C20" s="2" t="s">
        <v>210</v>
      </c>
      <c r="D20" s="2"/>
      <c r="E20" s="3">
        <v>0</v>
      </c>
      <c r="G20" s="2"/>
      <c r="I20" s="1" t="s">
        <v>272</v>
      </c>
      <c r="J20" s="33" t="s">
        <v>1390</v>
      </c>
    </row>
    <row r="21" spans="1:11" x14ac:dyDescent="0.25">
      <c r="A21" s="24">
        <v>5</v>
      </c>
      <c r="B21" s="2">
        <v>27</v>
      </c>
      <c r="C21" s="2" t="s">
        <v>215</v>
      </c>
      <c r="D21" s="2"/>
      <c r="E21" s="3">
        <v>0</v>
      </c>
      <c r="G21" s="2"/>
      <c r="I21" s="1" t="s">
        <v>272</v>
      </c>
      <c r="J21" s="33" t="s">
        <v>1390</v>
      </c>
    </row>
    <row r="22" spans="1:11" ht="15.75" thickBot="1" x14ac:dyDescent="0.3">
      <c r="A22" s="26">
        <v>5</v>
      </c>
      <c r="B22" s="27">
        <v>27</v>
      </c>
      <c r="C22" s="27" t="s">
        <v>221</v>
      </c>
      <c r="D22" s="27"/>
      <c r="E22" s="28">
        <v>0</v>
      </c>
      <c r="F22" s="30"/>
      <c r="G22" s="27"/>
      <c r="H22" s="30"/>
      <c r="I22" s="29" t="s">
        <v>272</v>
      </c>
      <c r="J22" s="34" t="s">
        <v>1390</v>
      </c>
    </row>
    <row r="23" spans="1:11" x14ac:dyDescent="0.25">
      <c r="A23" s="18">
        <v>6</v>
      </c>
      <c r="B23" s="19">
        <v>32</v>
      </c>
      <c r="C23" s="19" t="s">
        <v>186</v>
      </c>
      <c r="D23" s="19"/>
      <c r="E23" s="20">
        <v>0</v>
      </c>
      <c r="F23" s="22"/>
      <c r="G23" s="19"/>
      <c r="H23" s="22"/>
      <c r="I23" s="21" t="s">
        <v>1456</v>
      </c>
      <c r="J23" s="32" t="s">
        <v>1593</v>
      </c>
      <c r="K23" t="s">
        <v>1368</v>
      </c>
    </row>
    <row r="24" spans="1:11" x14ac:dyDescent="0.25">
      <c r="A24" s="24">
        <v>6</v>
      </c>
      <c r="B24" s="2">
        <v>32</v>
      </c>
      <c r="C24" s="2" t="s">
        <v>192</v>
      </c>
      <c r="D24" s="2"/>
      <c r="E24" s="3">
        <v>0</v>
      </c>
      <c r="G24" s="2"/>
      <c r="I24" s="1" t="s">
        <v>1456</v>
      </c>
      <c r="J24" s="33" t="s">
        <v>1594</v>
      </c>
    </row>
    <row r="25" spans="1:11" x14ac:dyDescent="0.25">
      <c r="A25" s="24">
        <v>6</v>
      </c>
      <c r="B25" s="2">
        <v>32</v>
      </c>
      <c r="C25" s="2" t="s">
        <v>198</v>
      </c>
      <c r="D25" s="2"/>
      <c r="E25" s="3">
        <v>0</v>
      </c>
      <c r="G25" s="2"/>
      <c r="I25" s="1" t="s">
        <v>1456</v>
      </c>
      <c r="J25" s="33" t="s">
        <v>1595</v>
      </c>
    </row>
    <row r="26" spans="1:11" x14ac:dyDescent="0.25">
      <c r="A26" s="24">
        <v>6</v>
      </c>
      <c r="B26" s="2">
        <v>32</v>
      </c>
      <c r="C26" s="2" t="s">
        <v>204</v>
      </c>
      <c r="D26" s="2"/>
      <c r="E26" s="3">
        <v>0</v>
      </c>
      <c r="G26" s="2"/>
      <c r="I26" s="1" t="s">
        <v>1456</v>
      </c>
      <c r="J26" s="33" t="s">
        <v>1596</v>
      </c>
    </row>
    <row r="27" spans="1:11" x14ac:dyDescent="0.25">
      <c r="A27" s="24">
        <v>6</v>
      </c>
      <c r="B27" s="2">
        <v>32</v>
      </c>
      <c r="C27" s="2" t="s">
        <v>210</v>
      </c>
      <c r="D27" s="2"/>
      <c r="E27" s="3">
        <v>0</v>
      </c>
      <c r="G27" s="2"/>
      <c r="I27" s="1" t="s">
        <v>1456</v>
      </c>
      <c r="J27" s="33" t="s">
        <v>1597</v>
      </c>
    </row>
    <row r="28" spans="1:11" x14ac:dyDescent="0.25">
      <c r="A28" s="24">
        <v>6</v>
      </c>
      <c r="B28" s="2">
        <v>32</v>
      </c>
      <c r="C28" s="2" t="s">
        <v>215</v>
      </c>
      <c r="D28" s="2"/>
      <c r="E28" s="3">
        <v>0</v>
      </c>
      <c r="G28" s="2"/>
      <c r="I28" s="1" t="s">
        <v>1456</v>
      </c>
      <c r="J28" s="33" t="s">
        <v>1598</v>
      </c>
    </row>
    <row r="29" spans="1:11" ht="15.75" thickBot="1" x14ac:dyDescent="0.3">
      <c r="A29" s="26">
        <v>6</v>
      </c>
      <c r="B29" s="27">
        <v>32</v>
      </c>
      <c r="C29" s="27" t="s">
        <v>221</v>
      </c>
      <c r="D29" s="27"/>
      <c r="E29" s="28">
        <v>0</v>
      </c>
      <c r="F29" s="30"/>
      <c r="G29" s="27"/>
      <c r="H29" s="30"/>
      <c r="I29" s="29" t="s">
        <v>1456</v>
      </c>
      <c r="J29" s="34" t="s">
        <v>1599</v>
      </c>
    </row>
    <row r="30" spans="1:11" x14ac:dyDescent="0.25">
      <c r="A30" s="18">
        <v>7</v>
      </c>
      <c r="B30" s="19">
        <v>37</v>
      </c>
      <c r="C30" s="19" t="s">
        <v>186</v>
      </c>
      <c r="D30" s="19"/>
      <c r="E30" s="20">
        <v>2</v>
      </c>
      <c r="F30" s="22" t="s">
        <v>1681</v>
      </c>
      <c r="G30" s="19" t="s">
        <v>1676</v>
      </c>
      <c r="H30" s="22" t="s">
        <v>1671</v>
      </c>
      <c r="I30" s="21" t="s">
        <v>1457</v>
      </c>
      <c r="J30" s="32"/>
    </row>
    <row r="31" spans="1:11" x14ac:dyDescent="0.25">
      <c r="A31" s="24">
        <v>7</v>
      </c>
      <c r="B31" s="2">
        <v>37</v>
      </c>
      <c r="C31" s="2" t="s">
        <v>192</v>
      </c>
      <c r="D31" s="2"/>
      <c r="E31" s="3">
        <v>1</v>
      </c>
      <c r="F31" t="s">
        <v>1682</v>
      </c>
      <c r="G31" s="2" t="s">
        <v>1677</v>
      </c>
      <c r="H31" t="s">
        <v>1672</v>
      </c>
      <c r="I31" s="1" t="s">
        <v>1457</v>
      </c>
      <c r="J31" s="33"/>
    </row>
    <row r="32" spans="1:11" x14ac:dyDescent="0.25">
      <c r="A32" s="24">
        <v>7</v>
      </c>
      <c r="B32" s="2">
        <v>37</v>
      </c>
      <c r="C32" s="2" t="s">
        <v>198</v>
      </c>
      <c r="D32" s="2"/>
      <c r="E32" s="3">
        <v>2</v>
      </c>
      <c r="F32" t="s">
        <v>1683</v>
      </c>
      <c r="G32" s="2" t="s">
        <v>1678</v>
      </c>
      <c r="H32" t="s">
        <v>1673</v>
      </c>
      <c r="I32" s="1" t="s">
        <v>1457</v>
      </c>
      <c r="J32" s="33"/>
    </row>
    <row r="33" spans="1:10" x14ac:dyDescent="0.25">
      <c r="A33" s="24">
        <v>7</v>
      </c>
      <c r="B33" s="2">
        <v>37</v>
      </c>
      <c r="C33" s="2" t="s">
        <v>204</v>
      </c>
      <c r="D33" s="2"/>
      <c r="E33" s="3">
        <v>0</v>
      </c>
      <c r="G33" s="2"/>
      <c r="I33" s="1" t="s">
        <v>1456</v>
      </c>
      <c r="J33" s="33" t="s">
        <v>1390</v>
      </c>
    </row>
    <row r="34" spans="1:10" x14ac:dyDescent="0.25">
      <c r="A34" s="24">
        <v>7</v>
      </c>
      <c r="B34" s="2">
        <v>37</v>
      </c>
      <c r="C34" s="2" t="s">
        <v>210</v>
      </c>
      <c r="D34" s="2"/>
      <c r="E34" s="3">
        <v>1</v>
      </c>
      <c r="F34" t="s">
        <v>1684</v>
      </c>
      <c r="G34" s="2" t="s">
        <v>1679</v>
      </c>
      <c r="H34" t="s">
        <v>1674</v>
      </c>
      <c r="I34" s="1" t="s">
        <v>1541</v>
      </c>
      <c r="J34" s="33"/>
    </row>
    <row r="35" spans="1:10" x14ac:dyDescent="0.25">
      <c r="A35" s="24">
        <v>7</v>
      </c>
      <c r="B35" s="2">
        <v>37</v>
      </c>
      <c r="C35" s="2" t="s">
        <v>215</v>
      </c>
      <c r="D35" s="2"/>
      <c r="E35" s="3">
        <v>0</v>
      </c>
      <c r="G35" s="2"/>
      <c r="I35" s="1" t="s">
        <v>1456</v>
      </c>
      <c r="J35" s="33" t="s">
        <v>1390</v>
      </c>
    </row>
    <row r="36" spans="1:10" ht="15.75" thickBot="1" x14ac:dyDescent="0.3">
      <c r="A36" s="26">
        <v>7</v>
      </c>
      <c r="B36" s="27">
        <v>37</v>
      </c>
      <c r="C36" s="27" t="s">
        <v>221</v>
      </c>
      <c r="D36" s="27"/>
      <c r="E36" s="28">
        <v>1</v>
      </c>
      <c r="F36" s="30" t="s">
        <v>1646</v>
      </c>
      <c r="G36" s="27" t="s">
        <v>1680</v>
      </c>
      <c r="H36" s="30" t="s">
        <v>1675</v>
      </c>
      <c r="I36" s="29" t="s">
        <v>1457</v>
      </c>
      <c r="J36" s="33"/>
    </row>
    <row r="37" spans="1:10" x14ac:dyDescent="0.25">
      <c r="A37" s="18">
        <v>12</v>
      </c>
      <c r="B37" s="19">
        <v>62</v>
      </c>
      <c r="C37" s="19" t="s">
        <v>186</v>
      </c>
      <c r="D37" s="19"/>
      <c r="E37" s="20">
        <v>0</v>
      </c>
      <c r="F37" s="22"/>
      <c r="G37" s="19"/>
      <c r="H37" s="22"/>
      <c r="I37" s="21" t="s">
        <v>1456</v>
      </c>
      <c r="J37" s="32" t="s">
        <v>1390</v>
      </c>
    </row>
    <row r="38" spans="1:10" x14ac:dyDescent="0.25">
      <c r="A38" s="24">
        <v>12</v>
      </c>
      <c r="B38" s="2">
        <v>62</v>
      </c>
      <c r="C38" s="2" t="s">
        <v>192</v>
      </c>
      <c r="D38" s="2"/>
      <c r="E38" s="3">
        <v>0</v>
      </c>
      <c r="G38" s="2"/>
      <c r="I38" s="1" t="s">
        <v>1456</v>
      </c>
      <c r="J38" s="33" t="s">
        <v>1390</v>
      </c>
    </row>
    <row r="39" spans="1:10" x14ac:dyDescent="0.25">
      <c r="A39" s="24">
        <v>12</v>
      </c>
      <c r="B39" s="2">
        <v>62</v>
      </c>
      <c r="C39" s="2" t="s">
        <v>198</v>
      </c>
      <c r="D39" s="2"/>
      <c r="E39" s="3">
        <v>1</v>
      </c>
      <c r="F39" t="s">
        <v>1756</v>
      </c>
      <c r="G39" s="2" t="s">
        <v>1721</v>
      </c>
      <c r="H39" t="s">
        <v>1753</v>
      </c>
      <c r="I39" s="1" t="s">
        <v>1457</v>
      </c>
      <c r="J39" s="33"/>
    </row>
    <row r="40" spans="1:10" x14ac:dyDescent="0.25">
      <c r="A40" s="24">
        <v>12</v>
      </c>
      <c r="B40" s="2">
        <v>62</v>
      </c>
      <c r="C40" s="2" t="s">
        <v>204</v>
      </c>
      <c r="D40" s="2"/>
      <c r="E40" s="3">
        <v>0</v>
      </c>
      <c r="G40" s="2"/>
      <c r="I40" s="1" t="s">
        <v>1456</v>
      </c>
      <c r="J40" s="33" t="s">
        <v>1390</v>
      </c>
    </row>
    <row r="41" spans="1:10" x14ac:dyDescent="0.25">
      <c r="A41" s="24">
        <v>12</v>
      </c>
      <c r="B41" s="2">
        <v>62</v>
      </c>
      <c r="C41" s="2" t="s">
        <v>210</v>
      </c>
      <c r="D41" s="2"/>
      <c r="E41" s="3">
        <v>1</v>
      </c>
      <c r="F41" t="s">
        <v>1757</v>
      </c>
      <c r="G41" s="2" t="s">
        <v>1755</v>
      </c>
      <c r="H41" t="s">
        <v>1754</v>
      </c>
      <c r="I41" s="1" t="s">
        <v>1457</v>
      </c>
      <c r="J41" s="33"/>
    </row>
    <row r="42" spans="1:10" x14ac:dyDescent="0.25">
      <c r="A42" s="24">
        <v>12</v>
      </c>
      <c r="B42" s="2">
        <v>62</v>
      </c>
      <c r="C42" s="2" t="s">
        <v>215</v>
      </c>
      <c r="D42" s="2"/>
      <c r="E42" s="3">
        <v>0</v>
      </c>
      <c r="G42" s="2"/>
      <c r="I42" s="1" t="s">
        <v>1456</v>
      </c>
      <c r="J42" s="33" t="s">
        <v>1390</v>
      </c>
    </row>
    <row r="43" spans="1:10" ht="15.75" thickBot="1" x14ac:dyDescent="0.3">
      <c r="A43" s="26">
        <v>12</v>
      </c>
      <c r="B43" s="27">
        <v>62</v>
      </c>
      <c r="C43" s="27" t="s">
        <v>221</v>
      </c>
      <c r="D43" s="27"/>
      <c r="E43" s="28">
        <v>0</v>
      </c>
      <c r="F43" s="30"/>
      <c r="G43" s="27"/>
      <c r="H43" s="30"/>
      <c r="I43" s="29" t="s">
        <v>1456</v>
      </c>
      <c r="J43" s="34" t="s">
        <v>1390</v>
      </c>
    </row>
    <row r="44" spans="1:10" x14ac:dyDescent="0.25">
      <c r="A44" s="18">
        <v>15</v>
      </c>
      <c r="B44" s="19">
        <v>86</v>
      </c>
      <c r="C44" s="19" t="s">
        <v>186</v>
      </c>
      <c r="D44" s="19"/>
      <c r="E44" s="20">
        <v>2</v>
      </c>
      <c r="F44" s="22" t="s">
        <v>1842</v>
      </c>
      <c r="G44" s="19" t="s">
        <v>1837</v>
      </c>
      <c r="H44" s="22" t="s">
        <v>1832</v>
      </c>
      <c r="I44" s="21" t="s">
        <v>1457</v>
      </c>
      <c r="J44" s="32"/>
    </row>
    <row r="45" spans="1:10" x14ac:dyDescent="0.25">
      <c r="A45" s="24">
        <v>15</v>
      </c>
      <c r="B45" s="2">
        <v>86</v>
      </c>
      <c r="C45" s="2" t="s">
        <v>192</v>
      </c>
      <c r="D45" s="2"/>
      <c r="E45" s="3">
        <v>1</v>
      </c>
      <c r="F45" t="s">
        <v>1843</v>
      </c>
      <c r="G45" s="2" t="s">
        <v>1838</v>
      </c>
      <c r="H45" t="s">
        <v>1833</v>
      </c>
      <c r="I45" s="1" t="s">
        <v>1457</v>
      </c>
      <c r="J45" s="33"/>
    </row>
    <row r="46" spans="1:10" x14ac:dyDescent="0.25">
      <c r="A46" s="24">
        <v>15</v>
      </c>
      <c r="B46" s="2">
        <v>86</v>
      </c>
      <c r="C46" s="2" t="s">
        <v>198</v>
      </c>
      <c r="D46" s="2"/>
      <c r="E46" s="3">
        <v>2</v>
      </c>
      <c r="F46" t="s">
        <v>1844</v>
      </c>
      <c r="G46" s="2" t="s">
        <v>1839</v>
      </c>
      <c r="H46" t="s">
        <v>1834</v>
      </c>
      <c r="I46" s="1" t="s">
        <v>1457</v>
      </c>
      <c r="J46" s="33"/>
    </row>
    <row r="47" spans="1:10" x14ac:dyDescent="0.25">
      <c r="A47" s="24">
        <v>15</v>
      </c>
      <c r="B47" s="2">
        <v>86</v>
      </c>
      <c r="C47" s="2" t="s">
        <v>204</v>
      </c>
      <c r="D47" s="2"/>
      <c r="E47" s="3">
        <v>1</v>
      </c>
      <c r="F47" t="s">
        <v>1814</v>
      </c>
      <c r="G47" s="2" t="s">
        <v>1840</v>
      </c>
      <c r="H47" t="s">
        <v>1835</v>
      </c>
      <c r="I47" s="1" t="s">
        <v>1541</v>
      </c>
      <c r="J47" s="33"/>
    </row>
    <row r="48" spans="1:10" x14ac:dyDescent="0.25">
      <c r="A48" s="24">
        <v>15</v>
      </c>
      <c r="B48" s="2">
        <v>86</v>
      </c>
      <c r="C48" s="2" t="s">
        <v>210</v>
      </c>
      <c r="D48" s="2"/>
      <c r="E48" s="3">
        <v>1</v>
      </c>
      <c r="F48" t="s">
        <v>1845</v>
      </c>
      <c r="G48" s="2" t="s">
        <v>1841</v>
      </c>
      <c r="H48" t="s">
        <v>1836</v>
      </c>
      <c r="I48" s="1" t="s">
        <v>1457</v>
      </c>
      <c r="J48" s="33"/>
    </row>
    <row r="49" spans="1:10" x14ac:dyDescent="0.25">
      <c r="A49" s="24">
        <v>15</v>
      </c>
      <c r="B49" s="2">
        <v>86</v>
      </c>
      <c r="C49" s="2" t="s">
        <v>215</v>
      </c>
      <c r="D49" s="2"/>
      <c r="E49" s="3">
        <v>0</v>
      </c>
      <c r="G49" s="2"/>
      <c r="I49" s="1" t="s">
        <v>1456</v>
      </c>
      <c r="J49" s="33" t="s">
        <v>1390</v>
      </c>
    </row>
    <row r="50" spans="1:10" ht="15.75" thickBot="1" x14ac:dyDescent="0.3">
      <c r="A50" s="26">
        <v>15</v>
      </c>
      <c r="B50" s="27">
        <v>86</v>
      </c>
      <c r="C50" s="27" t="s">
        <v>221</v>
      </c>
      <c r="D50" s="27"/>
      <c r="E50" s="28">
        <v>0</v>
      </c>
      <c r="F50" s="30"/>
      <c r="G50" s="27"/>
      <c r="H50" s="30"/>
      <c r="I50" s="29" t="s">
        <v>1456</v>
      </c>
      <c r="J50" s="34" t="s">
        <v>1390</v>
      </c>
    </row>
    <row r="51" spans="1:10" x14ac:dyDescent="0.25">
      <c r="A51" s="18">
        <v>32</v>
      </c>
      <c r="B51" s="19">
        <v>188</v>
      </c>
      <c r="C51" s="19" t="s">
        <v>186</v>
      </c>
      <c r="D51" s="19"/>
      <c r="E51" s="20">
        <v>2</v>
      </c>
      <c r="F51" s="22" t="s">
        <v>1943</v>
      </c>
      <c r="G51" s="19" t="s">
        <v>1936</v>
      </c>
      <c r="H51" s="22" t="s">
        <v>1929</v>
      </c>
      <c r="I51" s="21" t="s">
        <v>272</v>
      </c>
      <c r="J51" s="32"/>
    </row>
    <row r="52" spans="1:10" x14ac:dyDescent="0.25">
      <c r="A52" s="24">
        <v>32</v>
      </c>
      <c r="B52" s="2">
        <v>188</v>
      </c>
      <c r="C52" s="2" t="s">
        <v>192</v>
      </c>
      <c r="D52" s="2"/>
      <c r="E52" s="3">
        <v>2</v>
      </c>
      <c r="F52" t="s">
        <v>1944</v>
      </c>
      <c r="G52" s="2" t="s">
        <v>1937</v>
      </c>
      <c r="H52" t="s">
        <v>1930</v>
      </c>
      <c r="I52" s="1" t="s">
        <v>272</v>
      </c>
      <c r="J52" s="33"/>
    </row>
    <row r="53" spans="1:10" x14ac:dyDescent="0.25">
      <c r="A53" s="24">
        <v>32</v>
      </c>
      <c r="B53" s="2">
        <v>188</v>
      </c>
      <c r="C53" s="2" t="s">
        <v>198</v>
      </c>
      <c r="D53" s="2"/>
      <c r="E53" s="3">
        <v>2</v>
      </c>
      <c r="F53" t="s">
        <v>1945</v>
      </c>
      <c r="G53" s="2" t="s">
        <v>1938</v>
      </c>
      <c r="H53" t="s">
        <v>1931</v>
      </c>
      <c r="I53" s="1" t="s">
        <v>273</v>
      </c>
      <c r="J53" s="33"/>
    </row>
    <row r="54" spans="1:10" x14ac:dyDescent="0.25">
      <c r="A54" s="24">
        <v>32</v>
      </c>
      <c r="B54" s="2">
        <v>188</v>
      </c>
      <c r="C54" s="2" t="s">
        <v>204</v>
      </c>
      <c r="D54" s="2"/>
      <c r="E54" s="3">
        <v>2</v>
      </c>
      <c r="F54" t="s">
        <v>1946</v>
      </c>
      <c r="G54" s="2" t="s">
        <v>1939</v>
      </c>
      <c r="H54" t="s">
        <v>1932</v>
      </c>
      <c r="I54" s="1" t="s">
        <v>273</v>
      </c>
      <c r="J54" s="33"/>
    </row>
    <row r="55" spans="1:10" x14ac:dyDescent="0.25">
      <c r="A55" s="24">
        <v>32</v>
      </c>
      <c r="B55" s="2">
        <v>188</v>
      </c>
      <c r="C55" s="2" t="s">
        <v>210</v>
      </c>
      <c r="D55" s="2"/>
      <c r="E55" s="3">
        <v>2</v>
      </c>
      <c r="F55" t="s">
        <v>1947</v>
      </c>
      <c r="G55" s="2" t="s">
        <v>1940</v>
      </c>
      <c r="H55" t="s">
        <v>1933</v>
      </c>
      <c r="I55" s="1" t="s">
        <v>272</v>
      </c>
      <c r="J55" s="33"/>
    </row>
    <row r="56" spans="1:10" x14ac:dyDescent="0.25">
      <c r="A56" s="24">
        <v>32</v>
      </c>
      <c r="B56" s="2">
        <v>188</v>
      </c>
      <c r="C56" s="2" t="s">
        <v>215</v>
      </c>
      <c r="D56" s="2"/>
      <c r="E56" s="3">
        <v>2</v>
      </c>
      <c r="F56" t="s">
        <v>1948</v>
      </c>
      <c r="G56" s="2" t="s">
        <v>1941</v>
      </c>
      <c r="H56" t="s">
        <v>1934</v>
      </c>
      <c r="I56" s="1" t="s">
        <v>272</v>
      </c>
      <c r="J56" s="33"/>
    </row>
    <row r="57" spans="1:10" ht="15.75" thickBot="1" x14ac:dyDescent="0.3">
      <c r="A57" s="26">
        <v>32</v>
      </c>
      <c r="B57" s="27">
        <v>188</v>
      </c>
      <c r="C57" s="27" t="s">
        <v>221</v>
      </c>
      <c r="D57" s="27"/>
      <c r="E57" s="28">
        <v>1</v>
      </c>
      <c r="F57" t="s">
        <v>1949</v>
      </c>
      <c r="G57" s="27" t="s">
        <v>1942</v>
      </c>
      <c r="H57" s="30" t="s">
        <v>1935</v>
      </c>
      <c r="I57" s="29" t="s">
        <v>272</v>
      </c>
      <c r="J57" s="34"/>
    </row>
    <row r="58" spans="1:10" x14ac:dyDescent="0.25">
      <c r="A58" s="2"/>
      <c r="B58" s="2"/>
      <c r="C58" s="2"/>
      <c r="D58" s="2"/>
      <c r="E58" s="3"/>
      <c r="G58" s="2"/>
      <c r="I58" s="1"/>
    </row>
    <row r="59" spans="1:10" x14ac:dyDescent="0.25">
      <c r="A59" s="2"/>
      <c r="B59" s="2"/>
      <c r="C59" s="2"/>
      <c r="D59" s="2"/>
      <c r="E59" s="3"/>
      <c r="G59" s="2"/>
      <c r="I59" s="1"/>
    </row>
    <row r="60" spans="1:10" x14ac:dyDescent="0.25">
      <c r="A60" s="2"/>
      <c r="B60" s="2"/>
      <c r="C60" s="2"/>
      <c r="D60" s="2"/>
      <c r="E60" s="3"/>
      <c r="G60" s="2"/>
      <c r="I60" s="1"/>
    </row>
    <row r="61" spans="1:10" x14ac:dyDescent="0.25">
      <c r="A61" s="2"/>
      <c r="B61" s="2"/>
      <c r="C61" s="2"/>
      <c r="D61" s="2"/>
      <c r="E61" s="3"/>
      <c r="G61" s="2"/>
      <c r="I61" s="1"/>
    </row>
    <row r="62" spans="1:10" x14ac:dyDescent="0.25">
      <c r="A62" s="2"/>
      <c r="B62" s="2"/>
      <c r="C62" s="2"/>
      <c r="D62" s="2"/>
      <c r="E62" s="3"/>
      <c r="G62" s="2"/>
      <c r="I62" s="1"/>
    </row>
    <row r="63" spans="1:10" x14ac:dyDescent="0.25">
      <c r="A63" s="2"/>
      <c r="B63" s="2"/>
      <c r="C63" s="2"/>
      <c r="D63" s="2"/>
      <c r="E63" s="3"/>
      <c r="G63" s="2"/>
      <c r="I63" s="1"/>
    </row>
    <row r="64" spans="1:10" x14ac:dyDescent="0.25">
      <c r="A64" s="2"/>
      <c r="B64" s="2"/>
      <c r="C64" s="2"/>
      <c r="D64" s="2"/>
      <c r="E64" s="3"/>
      <c r="G64" s="2"/>
      <c r="I64" s="1"/>
    </row>
    <row r="65" spans="1:9" x14ac:dyDescent="0.25">
      <c r="A65" s="2"/>
      <c r="B65" s="2"/>
      <c r="C65" s="2"/>
      <c r="D65" s="2"/>
      <c r="E65" s="3"/>
      <c r="G65" s="2"/>
      <c r="I65" s="1"/>
    </row>
    <row r="66" spans="1:9" x14ac:dyDescent="0.25">
      <c r="A66" s="2"/>
      <c r="B66" s="2"/>
      <c r="C66" s="2"/>
      <c r="D66" s="2"/>
      <c r="E66" s="3"/>
      <c r="G66" s="2"/>
      <c r="I66" s="1"/>
    </row>
    <row r="67" spans="1:9" x14ac:dyDescent="0.25">
      <c r="A67" s="2"/>
      <c r="B67" s="2"/>
      <c r="C67" s="2"/>
      <c r="D67" s="2"/>
      <c r="E67" s="3"/>
      <c r="G67" s="2"/>
      <c r="I67" s="1"/>
    </row>
    <row r="68" spans="1:9" x14ac:dyDescent="0.25">
      <c r="A68" s="2"/>
      <c r="B68" s="2"/>
      <c r="C68" s="2"/>
      <c r="D68" s="2"/>
      <c r="E68" s="3"/>
      <c r="G68" s="2"/>
      <c r="I68" s="1"/>
    </row>
    <row r="69" spans="1:9" x14ac:dyDescent="0.25">
      <c r="A69" s="2"/>
      <c r="B69" s="2"/>
      <c r="C69" s="2"/>
      <c r="D69" s="2"/>
      <c r="E69" s="3"/>
      <c r="G69" s="2"/>
      <c r="I69" s="1"/>
    </row>
    <row r="70" spans="1:9" x14ac:dyDescent="0.25">
      <c r="A70" s="2"/>
      <c r="B70" s="2"/>
      <c r="C70" s="2"/>
      <c r="D70" s="2"/>
      <c r="E70" s="3"/>
      <c r="G70" s="2"/>
      <c r="I70" s="1"/>
    </row>
    <row r="71" spans="1:9" x14ac:dyDescent="0.25">
      <c r="A71" s="2"/>
      <c r="B71" s="2"/>
      <c r="C71" s="2"/>
      <c r="D71" s="2"/>
      <c r="E71" s="3"/>
      <c r="G71" s="2"/>
      <c r="I71" s="1"/>
    </row>
    <row r="72" spans="1:9" x14ac:dyDescent="0.25">
      <c r="A72" s="2"/>
      <c r="B72" s="2"/>
      <c r="C72" s="2"/>
      <c r="D72" s="2"/>
      <c r="E72" s="3"/>
      <c r="G72" s="2"/>
      <c r="I72" s="1"/>
    </row>
    <row r="73" spans="1:9" x14ac:dyDescent="0.25">
      <c r="A73" s="2"/>
      <c r="B73" s="2"/>
      <c r="C73" s="2"/>
      <c r="D73" s="2"/>
      <c r="E73" s="3"/>
      <c r="G73" s="2"/>
      <c r="I73" s="1"/>
    </row>
    <row r="74" spans="1:9" x14ac:dyDescent="0.25">
      <c r="A74" s="2"/>
      <c r="B74" s="2"/>
      <c r="C74" s="2"/>
      <c r="D74" s="2"/>
      <c r="E74" s="3"/>
      <c r="G74" s="2"/>
      <c r="I74" s="1"/>
    </row>
    <row r="75" spans="1:9" x14ac:dyDescent="0.25">
      <c r="A75" s="2"/>
      <c r="B75" s="2"/>
      <c r="C75" s="2"/>
      <c r="D75" s="2"/>
      <c r="E75" s="3"/>
      <c r="G75" s="2"/>
      <c r="I75" s="1"/>
    </row>
    <row r="76" spans="1:9" x14ac:dyDescent="0.25">
      <c r="A76" s="2"/>
      <c r="B76" s="2"/>
      <c r="C76" s="2"/>
      <c r="D76" s="2"/>
      <c r="E76" s="3"/>
      <c r="G76" s="2"/>
      <c r="I76" s="1"/>
    </row>
    <row r="77" spans="1:9" x14ac:dyDescent="0.25">
      <c r="A77" s="2"/>
      <c r="B77" s="2"/>
      <c r="C77" s="2"/>
      <c r="D77" s="2"/>
      <c r="E77" s="3"/>
      <c r="G77" s="2"/>
      <c r="I77" s="1"/>
    </row>
    <row r="78" spans="1:9" x14ac:dyDescent="0.25">
      <c r="A78" s="2"/>
      <c r="B78" s="2"/>
      <c r="C78" s="2"/>
      <c r="D78" s="2"/>
      <c r="E78" s="3"/>
      <c r="G78" s="2"/>
      <c r="I78" s="1"/>
    </row>
    <row r="79" spans="1:9" x14ac:dyDescent="0.25">
      <c r="A79" s="2"/>
      <c r="B79" s="2"/>
      <c r="C79" s="2"/>
      <c r="D79" s="2"/>
      <c r="E79" s="3"/>
      <c r="G79" s="2"/>
      <c r="I79" s="1"/>
    </row>
    <row r="80" spans="1:9" x14ac:dyDescent="0.25">
      <c r="A80" s="2"/>
      <c r="B80" s="2"/>
      <c r="C80" s="2"/>
      <c r="D80" s="2"/>
      <c r="E80" s="3"/>
      <c r="G80" s="2"/>
      <c r="I80" s="1"/>
    </row>
    <row r="81" spans="1:9" x14ac:dyDescent="0.25">
      <c r="A81" s="2"/>
      <c r="B81" s="2"/>
      <c r="C81" s="2"/>
      <c r="D81" s="2"/>
      <c r="E81" s="3"/>
      <c r="G81" s="2"/>
      <c r="I81" s="1"/>
    </row>
    <row r="82" spans="1:9" x14ac:dyDescent="0.25">
      <c r="A82" s="2"/>
      <c r="B82" s="2"/>
      <c r="C82" s="2"/>
      <c r="D82" s="2"/>
      <c r="E82" s="3"/>
      <c r="G82" s="2"/>
      <c r="I82" s="1"/>
    </row>
    <row r="83" spans="1:9" x14ac:dyDescent="0.25">
      <c r="A83" s="2"/>
      <c r="B83" s="2"/>
      <c r="C83" s="2"/>
      <c r="D83" s="2"/>
      <c r="E83" s="3"/>
      <c r="G83" s="2"/>
      <c r="I83" s="1"/>
    </row>
    <row r="84" spans="1:9" x14ac:dyDescent="0.25">
      <c r="A84" s="2"/>
      <c r="B84" s="2"/>
      <c r="C84" s="2"/>
      <c r="D84" s="2"/>
      <c r="E84" s="3"/>
      <c r="G84" s="2"/>
      <c r="I84" s="1"/>
    </row>
    <row r="85" spans="1:9" x14ac:dyDescent="0.25">
      <c r="A85" s="2"/>
      <c r="B85" s="2"/>
      <c r="C85" s="2"/>
      <c r="D85" s="2"/>
      <c r="E85" s="3"/>
      <c r="G85" s="2"/>
      <c r="I85" s="1"/>
    </row>
    <row r="86" spans="1:9" x14ac:dyDescent="0.25">
      <c r="A86" s="2"/>
      <c r="B86" s="2"/>
      <c r="C86" s="2"/>
      <c r="D86" s="2"/>
      <c r="E86" s="3"/>
      <c r="G86" s="2"/>
      <c r="I86" s="1"/>
    </row>
    <row r="87" spans="1:9" x14ac:dyDescent="0.25">
      <c r="A87" s="2"/>
      <c r="B87" s="2"/>
      <c r="C87" s="2"/>
      <c r="D87" s="2"/>
      <c r="E87" s="3"/>
      <c r="G87" s="2"/>
      <c r="I87" s="1"/>
    </row>
    <row r="88" spans="1:9" x14ac:dyDescent="0.25">
      <c r="A88" s="2"/>
      <c r="B88" s="2"/>
      <c r="C88" s="2"/>
      <c r="D88" s="2"/>
      <c r="E88" s="3"/>
      <c r="G88" s="2"/>
      <c r="I88" s="1"/>
    </row>
    <row r="89" spans="1:9" x14ac:dyDescent="0.25">
      <c r="A89" s="2"/>
      <c r="B89" s="2"/>
      <c r="C89" s="2"/>
      <c r="D89" s="2"/>
      <c r="E89" s="3"/>
      <c r="G89" s="2"/>
      <c r="I89" s="1"/>
    </row>
    <row r="90" spans="1:9" x14ac:dyDescent="0.25">
      <c r="A90" s="2"/>
      <c r="B90" s="2"/>
      <c r="C90" s="2"/>
      <c r="D90" s="2"/>
      <c r="E90" s="3"/>
      <c r="G90" s="2"/>
      <c r="I90" s="1"/>
    </row>
    <row r="91" spans="1:9" x14ac:dyDescent="0.25">
      <c r="A91" s="2"/>
      <c r="B91" s="2"/>
      <c r="C91" s="2"/>
      <c r="D91" s="2"/>
      <c r="E91" s="3"/>
      <c r="G91" s="2"/>
      <c r="I91" s="1"/>
    </row>
    <row r="92" spans="1:9" x14ac:dyDescent="0.25">
      <c r="A92" s="2"/>
      <c r="B92" s="2"/>
      <c r="C92" s="2"/>
      <c r="D92" s="2"/>
      <c r="E92" s="3"/>
      <c r="G92" s="2"/>
      <c r="I92" s="1"/>
    </row>
    <row r="93" spans="1:9" x14ac:dyDescent="0.25">
      <c r="A93" s="2"/>
      <c r="B93" s="2"/>
      <c r="C93" s="2"/>
      <c r="D93" s="2"/>
      <c r="E93" s="3"/>
      <c r="G93" s="2"/>
      <c r="I93" s="1"/>
    </row>
    <row r="94" spans="1:9" x14ac:dyDescent="0.25">
      <c r="A94" s="2"/>
      <c r="B94" s="2"/>
      <c r="C94" s="2"/>
      <c r="D94" s="2"/>
      <c r="E94" s="3"/>
      <c r="G94" s="2"/>
      <c r="I94" s="1"/>
    </row>
    <row r="95" spans="1:9" x14ac:dyDescent="0.25">
      <c r="A95" s="2"/>
      <c r="B95" s="2"/>
      <c r="C95" s="2"/>
      <c r="D95" s="2"/>
      <c r="E95" s="3"/>
      <c r="G95" s="2"/>
      <c r="I95" s="1"/>
    </row>
    <row r="96" spans="1:9" x14ac:dyDescent="0.25">
      <c r="A96" s="2"/>
      <c r="B96" s="2"/>
      <c r="C96" s="2"/>
      <c r="D96" s="2"/>
      <c r="E96" s="3"/>
      <c r="G96" s="2"/>
      <c r="I96" s="1"/>
    </row>
    <row r="97" spans="1:9" x14ac:dyDescent="0.25">
      <c r="A97" s="2"/>
      <c r="B97" s="2"/>
      <c r="C97" s="2"/>
      <c r="D97" s="2"/>
      <c r="E97" s="3"/>
      <c r="G97" s="2"/>
      <c r="I97" s="1"/>
    </row>
    <row r="98" spans="1:9" x14ac:dyDescent="0.25">
      <c r="A98" s="2"/>
      <c r="B98" s="2"/>
      <c r="C98" s="2"/>
      <c r="D98" s="2"/>
      <c r="E98" s="3"/>
      <c r="G98" s="2"/>
      <c r="I98" s="1"/>
    </row>
    <row r="99" spans="1:9" x14ac:dyDescent="0.25">
      <c r="A99" s="2"/>
      <c r="B99" s="2"/>
      <c r="C99" s="2"/>
      <c r="D99" s="2"/>
      <c r="E99" s="3"/>
      <c r="G99" s="2"/>
      <c r="I99" s="1"/>
    </row>
    <row r="100" spans="1:9" x14ac:dyDescent="0.25">
      <c r="A100" s="2"/>
      <c r="B100" s="2"/>
      <c r="C100" s="2"/>
      <c r="D100" s="2"/>
      <c r="E100" s="3"/>
      <c r="G100" s="2"/>
      <c r="I100" s="1"/>
    </row>
    <row r="101" spans="1:9" x14ac:dyDescent="0.25">
      <c r="A101" s="2"/>
      <c r="B101" s="2"/>
      <c r="C101" s="2"/>
      <c r="D101" s="2"/>
      <c r="E101" s="3"/>
      <c r="G101" s="2"/>
      <c r="I101" s="1"/>
    </row>
    <row r="102" spans="1:9" x14ac:dyDescent="0.25">
      <c r="A102" s="2"/>
      <c r="B102" s="2"/>
      <c r="C102" s="2"/>
      <c r="D102" s="2"/>
      <c r="E102" s="3"/>
      <c r="G102" s="2"/>
      <c r="I102" s="1"/>
    </row>
    <row r="103" spans="1:9" x14ac:dyDescent="0.25">
      <c r="A103" s="2"/>
      <c r="B103" s="2"/>
      <c r="C103" s="2"/>
      <c r="D103" s="2"/>
      <c r="E103" s="3"/>
      <c r="G103" s="2"/>
      <c r="I103" s="1"/>
    </row>
    <row r="104" spans="1:9" x14ac:dyDescent="0.25">
      <c r="A104" s="2"/>
      <c r="B104" s="2"/>
      <c r="C104" s="2"/>
      <c r="D104" s="2"/>
      <c r="E104" s="3"/>
      <c r="G104" s="2"/>
      <c r="I104" s="1"/>
    </row>
    <row r="105" spans="1:9" x14ac:dyDescent="0.25">
      <c r="A105" s="2"/>
      <c r="B105" s="2"/>
      <c r="C105" s="2"/>
      <c r="D105" s="2"/>
      <c r="E105" s="3"/>
      <c r="G105" s="2"/>
      <c r="I105" s="1"/>
    </row>
    <row r="106" spans="1:9" x14ac:dyDescent="0.25">
      <c r="A106" s="2"/>
      <c r="B106" s="2"/>
      <c r="C106" s="2"/>
      <c r="D106" s="2"/>
      <c r="E106" s="3"/>
      <c r="G106" s="2"/>
      <c r="I106" s="1"/>
    </row>
    <row r="107" spans="1:9" x14ac:dyDescent="0.25">
      <c r="A107" s="2"/>
      <c r="B107" s="2"/>
      <c r="C107" s="2"/>
      <c r="D107" s="2"/>
      <c r="E107" s="3"/>
      <c r="G107" s="2"/>
      <c r="I107" s="1"/>
    </row>
    <row r="108" spans="1:9" x14ac:dyDescent="0.25">
      <c r="A108" s="2"/>
      <c r="B108" s="2"/>
      <c r="C108" s="2"/>
      <c r="D108" s="2"/>
      <c r="E108" s="3"/>
      <c r="G108" s="2"/>
      <c r="I108" s="1"/>
    </row>
    <row r="109" spans="1:9" x14ac:dyDescent="0.25">
      <c r="A109" s="2"/>
      <c r="B109" s="2"/>
      <c r="C109" s="2"/>
      <c r="D109" s="2"/>
      <c r="E109" s="3"/>
      <c r="G109" s="2"/>
      <c r="I109" s="1"/>
    </row>
    <row r="110" spans="1:9" x14ac:dyDescent="0.25">
      <c r="A110" s="2"/>
      <c r="B110" s="2"/>
      <c r="C110" s="2"/>
      <c r="D110" s="2"/>
      <c r="E110" s="3"/>
      <c r="G110" s="2"/>
      <c r="I110" s="1"/>
    </row>
    <row r="111" spans="1:9" x14ac:dyDescent="0.25">
      <c r="A111" s="2"/>
      <c r="B111" s="2"/>
      <c r="C111" s="2"/>
      <c r="D111" s="2"/>
      <c r="E111" s="3"/>
      <c r="G111" s="2"/>
      <c r="I111" s="1"/>
    </row>
    <row r="112" spans="1:9" x14ac:dyDescent="0.25">
      <c r="A112" s="2"/>
      <c r="B112" s="2"/>
      <c r="C112" s="2"/>
      <c r="D112" s="2"/>
      <c r="E112" s="3"/>
      <c r="G112" s="2"/>
      <c r="I112" s="1"/>
    </row>
    <row r="113" spans="1:9" x14ac:dyDescent="0.25">
      <c r="A113" s="2"/>
      <c r="B113" s="2"/>
      <c r="C113" s="2"/>
      <c r="D113" s="2"/>
      <c r="E113" s="3"/>
      <c r="G113" s="2"/>
      <c r="I113" s="1"/>
    </row>
    <row r="114" spans="1:9" x14ac:dyDescent="0.25">
      <c r="A114" s="2"/>
      <c r="B114" s="2"/>
      <c r="C114" s="2"/>
      <c r="D114" s="2"/>
      <c r="E114" s="3"/>
      <c r="G114" s="2"/>
      <c r="I114" s="1"/>
    </row>
    <row r="115" spans="1:9" x14ac:dyDescent="0.25">
      <c r="A115" s="2"/>
      <c r="B115" s="2"/>
      <c r="C115" s="2"/>
      <c r="D115" s="2"/>
      <c r="E115" s="3"/>
      <c r="G115" s="2"/>
      <c r="I115" s="1"/>
    </row>
    <row r="116" spans="1:9" x14ac:dyDescent="0.25">
      <c r="A116" s="2"/>
      <c r="B116" s="2"/>
      <c r="C116" s="2"/>
      <c r="D116" s="2"/>
      <c r="E116" s="3"/>
      <c r="G116" s="2"/>
      <c r="I116" s="1"/>
    </row>
    <row r="117" spans="1:9" x14ac:dyDescent="0.25">
      <c r="A117" s="2"/>
      <c r="B117" s="2"/>
      <c r="C117" s="2"/>
      <c r="D117" s="2"/>
      <c r="E117" s="3"/>
      <c r="G117" s="2"/>
      <c r="I117" s="1"/>
    </row>
    <row r="118" spans="1:9" x14ac:dyDescent="0.25">
      <c r="A118" s="2"/>
      <c r="B118" s="2"/>
      <c r="C118" s="2"/>
      <c r="D118" s="2"/>
      <c r="E118" s="3"/>
      <c r="G118" s="2"/>
      <c r="I118" s="1"/>
    </row>
    <row r="119" spans="1:9" x14ac:dyDescent="0.25">
      <c r="A119" s="2"/>
      <c r="B119" s="2"/>
      <c r="C119" s="2"/>
      <c r="D119" s="2"/>
      <c r="E119" s="3"/>
      <c r="G119" s="2"/>
      <c r="I119" s="1"/>
    </row>
    <row r="120" spans="1:9" x14ac:dyDescent="0.25">
      <c r="A120" s="2"/>
      <c r="B120" s="2"/>
      <c r="C120" s="2"/>
      <c r="D120" s="2"/>
      <c r="E120" s="3"/>
      <c r="G120" s="2"/>
      <c r="I120" s="1"/>
    </row>
    <row r="121" spans="1:9" x14ac:dyDescent="0.25">
      <c r="A121" s="2"/>
      <c r="B121" s="2"/>
      <c r="C121" s="2"/>
      <c r="D121" s="2"/>
      <c r="E121" s="3"/>
      <c r="G121" s="2"/>
      <c r="I121" s="1"/>
    </row>
    <row r="122" spans="1:9" x14ac:dyDescent="0.25">
      <c r="A122" s="2"/>
      <c r="B122" s="2"/>
      <c r="C122" s="2"/>
      <c r="D122" s="2"/>
      <c r="E122" s="3"/>
      <c r="G122" s="2"/>
      <c r="I122" s="1"/>
    </row>
    <row r="123" spans="1:9" x14ac:dyDescent="0.25">
      <c r="A123" s="2"/>
      <c r="B123" s="2"/>
      <c r="C123" s="2"/>
      <c r="D123" s="2"/>
      <c r="E123" s="3"/>
      <c r="G123" s="2"/>
      <c r="I123" s="1"/>
    </row>
    <row r="124" spans="1:9" x14ac:dyDescent="0.25">
      <c r="A124" s="2"/>
      <c r="B124" s="2"/>
      <c r="C124" s="2"/>
      <c r="D124" s="2"/>
      <c r="E124" s="3"/>
      <c r="G124" s="2"/>
      <c r="I124" s="1"/>
    </row>
    <row r="125" spans="1:9" x14ac:dyDescent="0.25">
      <c r="A125" s="2"/>
      <c r="B125" s="2"/>
      <c r="C125" s="2"/>
      <c r="D125" s="2"/>
      <c r="E125" s="3"/>
      <c r="G125" s="2"/>
      <c r="I125" s="1"/>
    </row>
    <row r="126" spans="1:9" x14ac:dyDescent="0.25">
      <c r="A126" s="2"/>
      <c r="B126" s="2"/>
      <c r="C126" s="2"/>
      <c r="D126" s="2"/>
      <c r="E126" s="3"/>
      <c r="G126" s="2"/>
      <c r="I126" s="1"/>
    </row>
    <row r="127" spans="1:9" x14ac:dyDescent="0.25">
      <c r="A127" s="2"/>
      <c r="B127" s="2"/>
      <c r="C127" s="2"/>
      <c r="D127" s="2"/>
      <c r="E127" s="3"/>
      <c r="G127" s="2"/>
      <c r="I127" s="1"/>
    </row>
    <row r="128" spans="1:9" x14ac:dyDescent="0.25">
      <c r="A128" s="2"/>
      <c r="B128" s="2"/>
      <c r="C128" s="2"/>
      <c r="D128" s="2"/>
      <c r="E128" s="3"/>
      <c r="G128" s="2"/>
      <c r="I128" s="1"/>
    </row>
    <row r="129" spans="1:9" x14ac:dyDescent="0.25">
      <c r="A129" s="2"/>
      <c r="B129" s="2"/>
      <c r="C129" s="2"/>
      <c r="D129" s="2"/>
      <c r="E129" s="3"/>
      <c r="G129" s="2"/>
      <c r="I129" s="1"/>
    </row>
    <row r="130" spans="1:9" x14ac:dyDescent="0.25">
      <c r="A130" s="2"/>
      <c r="B130" s="2"/>
      <c r="C130" s="2"/>
      <c r="D130" s="2"/>
      <c r="E130" s="3"/>
      <c r="G130" s="2"/>
      <c r="I130" s="1"/>
    </row>
    <row r="131" spans="1:9" x14ac:dyDescent="0.25">
      <c r="A131" s="2"/>
      <c r="B131" s="2"/>
      <c r="C131" s="2"/>
      <c r="D131" s="2"/>
      <c r="E131" s="3"/>
      <c r="G131" s="2"/>
      <c r="I131" s="1"/>
    </row>
    <row r="132" spans="1:9" x14ac:dyDescent="0.25">
      <c r="A132" s="2"/>
      <c r="B132" s="2"/>
      <c r="C132" s="2"/>
      <c r="D132" s="2"/>
      <c r="E132" s="3"/>
      <c r="G132" s="2"/>
      <c r="I132" s="1"/>
    </row>
    <row r="133" spans="1:9" x14ac:dyDescent="0.25">
      <c r="A133" s="2"/>
      <c r="B133" s="2"/>
      <c r="C133" s="2"/>
      <c r="D133" s="2"/>
      <c r="E133" s="3"/>
      <c r="G133" s="2"/>
      <c r="I133" s="1"/>
    </row>
    <row r="134" spans="1:9" x14ac:dyDescent="0.25">
      <c r="A134" s="2"/>
      <c r="B134" s="2"/>
      <c r="C134" s="2"/>
      <c r="D134" s="2"/>
      <c r="E134" s="3"/>
      <c r="G134" s="2"/>
      <c r="I134" s="1"/>
    </row>
    <row r="135" spans="1:9" x14ac:dyDescent="0.25">
      <c r="A135" s="2"/>
      <c r="B135" s="2"/>
      <c r="C135" s="2"/>
      <c r="D135" s="2"/>
      <c r="E135" s="3"/>
      <c r="G135" s="2"/>
      <c r="I135" s="1"/>
    </row>
    <row r="136" spans="1:9" x14ac:dyDescent="0.25">
      <c r="A136" s="2"/>
      <c r="B136" s="2"/>
      <c r="C136" s="2"/>
      <c r="D136" s="2"/>
      <c r="E136" s="3"/>
      <c r="G136" s="2"/>
      <c r="I136" s="1"/>
    </row>
    <row r="137" spans="1:9" x14ac:dyDescent="0.25">
      <c r="A137" s="2"/>
      <c r="B137" s="2"/>
      <c r="C137" s="2"/>
      <c r="D137" s="2"/>
      <c r="E137" s="3"/>
      <c r="G137" s="2"/>
      <c r="I137" s="1"/>
    </row>
    <row r="138" spans="1:9" x14ac:dyDescent="0.25">
      <c r="A138" s="2"/>
      <c r="B138" s="2"/>
      <c r="C138" s="2"/>
      <c r="D138" s="2"/>
      <c r="E138" s="3"/>
      <c r="G138" s="2"/>
      <c r="I138" s="1"/>
    </row>
    <row r="139" spans="1:9" x14ac:dyDescent="0.25">
      <c r="A139" s="2"/>
      <c r="B139" s="2"/>
      <c r="C139" s="2"/>
      <c r="D139" s="2"/>
      <c r="E139" s="3"/>
      <c r="G139" s="2"/>
      <c r="I139" s="1"/>
    </row>
    <row r="140" spans="1:9" x14ac:dyDescent="0.25">
      <c r="A140" s="2"/>
      <c r="B140" s="2"/>
      <c r="C140" s="2"/>
      <c r="D140" s="2"/>
      <c r="E140" s="3"/>
      <c r="G140" s="2"/>
      <c r="I140" s="1"/>
    </row>
    <row r="141" spans="1:9" x14ac:dyDescent="0.25">
      <c r="A141" s="2"/>
      <c r="B141" s="2"/>
      <c r="C141" s="2"/>
      <c r="D141" s="2"/>
      <c r="E141" s="3"/>
      <c r="G141" s="2"/>
      <c r="I141" s="1"/>
    </row>
    <row r="142" spans="1:9" x14ac:dyDescent="0.25">
      <c r="A142" s="2"/>
      <c r="B142" s="2"/>
      <c r="C142" s="2"/>
      <c r="D142" s="2"/>
      <c r="E142" s="3"/>
      <c r="G142" s="2"/>
      <c r="I142" s="1"/>
    </row>
    <row r="143" spans="1:9" x14ac:dyDescent="0.25">
      <c r="A143" s="2"/>
      <c r="B143" s="2"/>
      <c r="C143" s="2"/>
      <c r="D143" s="2"/>
      <c r="E143" s="3"/>
      <c r="G143" s="2"/>
      <c r="I143" s="1"/>
    </row>
    <row r="144" spans="1:9" x14ac:dyDescent="0.25">
      <c r="A144" s="2"/>
      <c r="B144" s="2"/>
      <c r="C144" s="2"/>
      <c r="D144" s="2"/>
      <c r="E144" s="3"/>
      <c r="G144" s="2"/>
      <c r="I144" s="1"/>
    </row>
    <row r="145" spans="1:9" x14ac:dyDescent="0.25">
      <c r="A145" s="2"/>
      <c r="B145" s="2"/>
      <c r="C145" s="2"/>
      <c r="D145" s="2"/>
      <c r="E145" s="3"/>
      <c r="G145" s="2"/>
      <c r="I145" s="1"/>
    </row>
    <row r="146" spans="1:9" x14ac:dyDescent="0.25">
      <c r="A146" s="2"/>
      <c r="B146" s="2"/>
      <c r="C146" s="2"/>
      <c r="D146" s="2"/>
      <c r="E146" s="3"/>
      <c r="G146" s="2"/>
      <c r="I146" s="1"/>
    </row>
    <row r="147" spans="1:9" x14ac:dyDescent="0.25">
      <c r="A147" s="2"/>
      <c r="B147" s="2"/>
      <c r="C147" s="2"/>
      <c r="D147" s="2"/>
      <c r="E147" s="3"/>
      <c r="G147" s="2"/>
      <c r="I147" s="1"/>
    </row>
    <row r="148" spans="1:9" x14ac:dyDescent="0.25">
      <c r="A148" s="2"/>
      <c r="B148" s="2"/>
      <c r="C148" s="2"/>
      <c r="D148" s="2"/>
      <c r="E148" s="3"/>
      <c r="G148" s="2"/>
      <c r="I148" s="1"/>
    </row>
    <row r="149" spans="1:9" x14ac:dyDescent="0.25">
      <c r="A149" s="2"/>
      <c r="B149" s="2"/>
      <c r="C149" s="2"/>
      <c r="D149" s="2"/>
      <c r="E149" s="3"/>
      <c r="G149" s="2"/>
      <c r="I149" s="1"/>
    </row>
    <row r="150" spans="1:9" x14ac:dyDescent="0.25">
      <c r="A150" s="2"/>
      <c r="B150" s="2"/>
      <c r="C150" s="2"/>
      <c r="D150" s="2"/>
      <c r="E150" s="3"/>
      <c r="G150" s="2"/>
      <c r="I150" s="1"/>
    </row>
    <row r="151" spans="1:9" x14ac:dyDescent="0.25">
      <c r="A151" s="2"/>
      <c r="B151" s="2"/>
      <c r="C151" s="2"/>
      <c r="D151" s="2"/>
      <c r="E151" s="3"/>
      <c r="G151" s="2"/>
      <c r="I151" s="1"/>
    </row>
    <row r="152" spans="1:9" x14ac:dyDescent="0.25">
      <c r="A152" s="2"/>
      <c r="B152" s="2"/>
      <c r="C152" s="2"/>
      <c r="D152" s="2"/>
      <c r="E152" s="3"/>
      <c r="G152" s="2"/>
      <c r="I152" s="1"/>
    </row>
    <row r="153" spans="1:9" x14ac:dyDescent="0.25">
      <c r="A153" s="2"/>
      <c r="B153" s="2"/>
      <c r="C153" s="2"/>
      <c r="D153" s="2"/>
      <c r="E153" s="3"/>
      <c r="G153" s="2"/>
      <c r="I153" s="1"/>
    </row>
    <row r="154" spans="1:9" x14ac:dyDescent="0.25">
      <c r="A154" s="2"/>
      <c r="B154" s="2"/>
      <c r="C154" s="2"/>
      <c r="D154" s="2"/>
      <c r="E154" s="3"/>
      <c r="G154" s="2"/>
      <c r="I154" s="1"/>
    </row>
    <row r="155" spans="1:9" x14ac:dyDescent="0.25">
      <c r="A155" s="2"/>
      <c r="B155" s="2"/>
      <c r="C155" s="2"/>
      <c r="D155" s="2"/>
      <c r="E155" s="3"/>
      <c r="G155" s="2"/>
      <c r="I155" s="1"/>
    </row>
    <row r="156" spans="1:9" x14ac:dyDescent="0.25">
      <c r="A156" s="2"/>
      <c r="B156" s="2"/>
      <c r="C156" s="2"/>
      <c r="D156" s="2"/>
      <c r="E156" s="3"/>
      <c r="G156" s="2"/>
      <c r="I156" s="1"/>
    </row>
    <row r="157" spans="1:9" x14ac:dyDescent="0.25">
      <c r="A157" s="2"/>
      <c r="B157" s="2"/>
      <c r="C157" s="2"/>
      <c r="D157" s="2"/>
      <c r="E157" s="3"/>
      <c r="G157" s="2"/>
      <c r="I157" s="1"/>
    </row>
    <row r="158" spans="1:9" x14ac:dyDescent="0.25">
      <c r="A158" s="2"/>
      <c r="B158" s="2"/>
      <c r="C158" s="2"/>
      <c r="D158" s="2"/>
      <c r="E158" s="3"/>
      <c r="G158" s="2"/>
      <c r="I158" s="1"/>
    </row>
    <row r="159" spans="1:9" x14ac:dyDescent="0.25">
      <c r="A159" s="2"/>
      <c r="B159" s="2"/>
      <c r="C159" s="2"/>
      <c r="D159" s="2"/>
      <c r="E159" s="3"/>
      <c r="G159" s="2"/>
      <c r="I159" s="1"/>
    </row>
    <row r="160" spans="1:9" x14ac:dyDescent="0.25">
      <c r="A160" s="2"/>
      <c r="B160" s="2"/>
      <c r="C160" s="2"/>
      <c r="D160" s="2"/>
      <c r="E160" s="3"/>
      <c r="G160" s="2"/>
      <c r="I160" s="1"/>
    </row>
    <row r="161" spans="1:9" x14ac:dyDescent="0.25">
      <c r="A161" s="2"/>
      <c r="B161" s="2"/>
      <c r="C161" s="2"/>
      <c r="D161" s="2"/>
      <c r="E161" s="3"/>
      <c r="G161" s="2"/>
      <c r="I161" s="1"/>
    </row>
    <row r="162" spans="1:9" x14ac:dyDescent="0.25">
      <c r="A162" s="2"/>
      <c r="B162" s="2"/>
      <c r="C162" s="2"/>
      <c r="D162" s="2"/>
      <c r="E162" s="3"/>
      <c r="G162" s="2"/>
      <c r="I162" s="1"/>
    </row>
    <row r="163" spans="1:9" x14ac:dyDescent="0.25">
      <c r="A163" s="2"/>
      <c r="B163" s="2"/>
      <c r="C163" s="2"/>
      <c r="D163" s="2"/>
      <c r="E163" s="3"/>
      <c r="G163" s="2"/>
      <c r="I163" s="1"/>
    </row>
    <row r="164" spans="1:9" x14ac:dyDescent="0.25">
      <c r="A164" s="2"/>
      <c r="B164" s="2"/>
      <c r="C164" s="2"/>
      <c r="D164" s="2"/>
      <c r="E164" s="3"/>
      <c r="G164" s="2"/>
      <c r="I164" s="1"/>
    </row>
    <row r="165" spans="1:9" x14ac:dyDescent="0.25">
      <c r="A165" s="2"/>
      <c r="B165" s="2"/>
      <c r="C165" s="2"/>
      <c r="D165" s="2"/>
      <c r="E165" s="3"/>
      <c r="G165" s="2"/>
      <c r="I165" s="1"/>
    </row>
    <row r="166" spans="1:9" x14ac:dyDescent="0.25">
      <c r="A166" s="2"/>
      <c r="B166" s="2"/>
      <c r="C166" s="2"/>
      <c r="D166" s="2"/>
      <c r="E166" s="3"/>
      <c r="G166" s="2"/>
      <c r="I166" s="1"/>
    </row>
    <row r="167" spans="1:9" x14ac:dyDescent="0.25">
      <c r="A167" s="2"/>
      <c r="B167" s="2"/>
      <c r="C167" s="2"/>
      <c r="D167" s="2"/>
      <c r="E167" s="3"/>
      <c r="G167" s="2"/>
      <c r="I167" s="1"/>
    </row>
    <row r="168" spans="1:9" x14ac:dyDescent="0.25">
      <c r="A168" s="2"/>
      <c r="B168" s="2"/>
      <c r="C168" s="2"/>
      <c r="D168" s="2"/>
      <c r="E168" s="3"/>
      <c r="G168" s="2"/>
      <c r="I168" s="1"/>
    </row>
    <row r="169" spans="1:9" x14ac:dyDescent="0.25">
      <c r="A169" s="2"/>
      <c r="B169" s="2"/>
      <c r="C169" s="2"/>
      <c r="D169" s="2"/>
      <c r="E169" s="3"/>
      <c r="G169" s="2"/>
      <c r="I169" s="1"/>
    </row>
    <row r="170" spans="1:9" x14ac:dyDescent="0.25">
      <c r="A170" s="2"/>
      <c r="B170" s="2"/>
      <c r="C170" s="2"/>
      <c r="D170" s="2"/>
      <c r="E170" s="3"/>
      <c r="G170" s="2"/>
      <c r="I170" s="1"/>
    </row>
    <row r="171" spans="1:9" x14ac:dyDescent="0.25">
      <c r="A171" s="2"/>
      <c r="B171" s="2"/>
      <c r="C171" s="2"/>
      <c r="D171" s="2"/>
      <c r="E171" s="3"/>
      <c r="G171" s="2"/>
      <c r="I171" s="1"/>
    </row>
    <row r="172" spans="1:9" x14ac:dyDescent="0.25">
      <c r="A172" s="2"/>
      <c r="B172" s="2"/>
      <c r="C172" s="2"/>
      <c r="D172" s="2"/>
      <c r="E172" s="3"/>
      <c r="G172" s="2"/>
      <c r="I172" s="1"/>
    </row>
    <row r="173" spans="1:9" x14ac:dyDescent="0.25">
      <c r="A173" s="2"/>
      <c r="B173" s="2"/>
      <c r="C173" s="2"/>
      <c r="D173" s="2"/>
      <c r="E173" s="3"/>
      <c r="G173" s="2"/>
      <c r="I173" s="1"/>
    </row>
    <row r="174" spans="1:9" x14ac:dyDescent="0.25">
      <c r="A174" s="2"/>
      <c r="B174" s="2"/>
      <c r="C174" s="2"/>
      <c r="D174" s="2"/>
      <c r="E174" s="3"/>
      <c r="G174" s="2"/>
      <c r="I174" s="1"/>
    </row>
    <row r="175" spans="1:9" x14ac:dyDescent="0.25">
      <c r="A175" s="2"/>
      <c r="B175" s="2"/>
      <c r="C175" s="2"/>
      <c r="D175" s="2"/>
      <c r="E175" s="3"/>
      <c r="G175" s="2"/>
      <c r="I175" s="1"/>
    </row>
    <row r="176" spans="1:9" x14ac:dyDescent="0.25">
      <c r="A176" s="2"/>
      <c r="B176" s="2"/>
      <c r="C176" s="2"/>
      <c r="D176" s="2"/>
      <c r="E176" s="3"/>
      <c r="G176" s="2"/>
      <c r="I176" s="1"/>
    </row>
    <row r="177" spans="1:9" x14ac:dyDescent="0.25">
      <c r="A177" s="2"/>
      <c r="B177" s="2"/>
      <c r="C177" s="2"/>
      <c r="D177" s="2"/>
      <c r="E177" s="3"/>
      <c r="G177" s="2"/>
      <c r="I177" s="1"/>
    </row>
    <row r="178" spans="1:9" x14ac:dyDescent="0.25">
      <c r="A178" s="2"/>
      <c r="B178" s="2"/>
      <c r="C178" s="2"/>
      <c r="D178" s="2"/>
      <c r="E178" s="3"/>
      <c r="G178" s="2"/>
      <c r="I178" s="1"/>
    </row>
    <row r="179" spans="1:9" x14ac:dyDescent="0.25">
      <c r="A179" s="2"/>
      <c r="B179" s="2"/>
      <c r="C179" s="2"/>
      <c r="D179" s="2"/>
      <c r="E179" s="3"/>
      <c r="G179" s="2"/>
      <c r="I179" s="1"/>
    </row>
    <row r="180" spans="1:9" x14ac:dyDescent="0.25">
      <c r="A180" s="2"/>
      <c r="B180" s="2"/>
      <c r="C180" s="2"/>
      <c r="D180" s="2"/>
      <c r="E180" s="3"/>
      <c r="G180" s="2"/>
      <c r="I180" s="1"/>
    </row>
    <row r="181" spans="1:9" x14ac:dyDescent="0.25">
      <c r="A181" s="2"/>
      <c r="B181" s="2"/>
      <c r="C181" s="2"/>
      <c r="D181" s="2"/>
      <c r="E181" s="3"/>
      <c r="G181" s="2"/>
      <c r="I181" s="1"/>
    </row>
    <row r="182" spans="1:9" x14ac:dyDescent="0.25">
      <c r="A182" s="2"/>
      <c r="B182" s="2"/>
      <c r="C182" s="2"/>
      <c r="D182" s="2"/>
      <c r="E182" s="3"/>
      <c r="G182" s="2"/>
      <c r="I182" s="1"/>
    </row>
    <row r="183" spans="1:9" x14ac:dyDescent="0.25">
      <c r="A183" s="2"/>
      <c r="B183" s="2"/>
      <c r="C183" s="2"/>
      <c r="D183" s="2"/>
      <c r="E183" s="3"/>
      <c r="G183" s="2"/>
      <c r="I183" s="1"/>
    </row>
    <row r="184" spans="1:9" x14ac:dyDescent="0.25">
      <c r="A184" s="2"/>
      <c r="B184" s="2"/>
      <c r="C184" s="2"/>
      <c r="D184" s="2"/>
      <c r="E184" s="3"/>
      <c r="G184" s="2"/>
      <c r="I184" s="1"/>
    </row>
    <row r="185" spans="1:9" x14ac:dyDescent="0.25">
      <c r="A185" s="2"/>
      <c r="B185" s="2"/>
      <c r="C185" s="2"/>
      <c r="D185" s="2"/>
      <c r="E185" s="3"/>
      <c r="G185" s="2"/>
      <c r="I185" s="1"/>
    </row>
    <row r="186" spans="1:9" x14ac:dyDescent="0.25">
      <c r="A186" s="2"/>
      <c r="B186" s="2"/>
      <c r="C186" s="2"/>
      <c r="D186" s="2"/>
      <c r="E186" s="3"/>
      <c r="G186" s="2"/>
      <c r="I186" s="1"/>
    </row>
    <row r="187" spans="1:9" x14ac:dyDescent="0.25">
      <c r="A187" s="2"/>
      <c r="B187" s="2"/>
      <c r="C187" s="2"/>
      <c r="D187" s="2"/>
      <c r="E187" s="3"/>
      <c r="G187" s="2"/>
      <c r="I187" s="1"/>
    </row>
    <row r="188" spans="1:9" x14ac:dyDescent="0.25">
      <c r="A188" s="2"/>
      <c r="B188" s="2"/>
      <c r="C188" s="2"/>
      <c r="D188" s="2"/>
      <c r="E188" s="3"/>
      <c r="G188" s="2"/>
      <c r="I188" s="1"/>
    </row>
    <row r="189" spans="1:9" x14ac:dyDescent="0.25">
      <c r="A189" s="2"/>
      <c r="B189" s="2"/>
      <c r="C189" s="2"/>
      <c r="D189" s="2"/>
      <c r="E189" s="3"/>
      <c r="G189" s="2"/>
      <c r="I189" s="1"/>
    </row>
    <row r="190" spans="1:9" x14ac:dyDescent="0.25">
      <c r="A190" s="2"/>
      <c r="B190" s="2"/>
      <c r="C190" s="2"/>
      <c r="D190" s="2"/>
      <c r="E190" s="3"/>
      <c r="G190" s="2"/>
      <c r="I190" s="1"/>
    </row>
    <row r="191" spans="1:9" x14ac:dyDescent="0.25">
      <c r="A191" s="2"/>
      <c r="B191" s="2"/>
      <c r="C191" s="2"/>
      <c r="D191" s="2"/>
      <c r="E191" s="3"/>
      <c r="G191" s="2"/>
      <c r="I191" s="1"/>
    </row>
    <row r="192" spans="1:9" x14ac:dyDescent="0.25">
      <c r="A192" s="2"/>
      <c r="B192" s="2"/>
      <c r="C192" s="2"/>
      <c r="D192" s="2"/>
      <c r="E192" s="3"/>
      <c r="G192" s="2"/>
      <c r="I192" s="1"/>
    </row>
    <row r="193" spans="1:9" x14ac:dyDescent="0.25">
      <c r="A193" s="2"/>
      <c r="B193" s="2"/>
      <c r="C193" s="2"/>
      <c r="D193" s="2"/>
      <c r="E193" s="3"/>
      <c r="G193" s="2"/>
      <c r="I193" s="1"/>
    </row>
    <row r="194" spans="1:9" x14ac:dyDescent="0.25">
      <c r="A194" s="2"/>
      <c r="B194" s="2"/>
      <c r="C194" s="2"/>
      <c r="D194" s="2"/>
      <c r="E194" s="3"/>
      <c r="G194" s="2"/>
      <c r="I194" s="1"/>
    </row>
    <row r="195" spans="1:9" x14ac:dyDescent="0.25">
      <c r="A195" s="2"/>
      <c r="B195" s="2"/>
      <c r="C195" s="2"/>
      <c r="D195" s="2"/>
      <c r="E195" s="3"/>
      <c r="G195" s="2"/>
      <c r="I195" s="1"/>
    </row>
    <row r="196" spans="1:9" x14ac:dyDescent="0.25">
      <c r="A196" s="2"/>
      <c r="B196" s="2"/>
      <c r="C196" s="2"/>
      <c r="D196" s="2"/>
      <c r="E196" s="3"/>
      <c r="G196" s="2"/>
      <c r="I196" s="1"/>
    </row>
    <row r="197" spans="1:9" x14ac:dyDescent="0.25">
      <c r="A197" s="2"/>
      <c r="B197" s="2"/>
      <c r="C197" s="2"/>
      <c r="D197" s="2"/>
      <c r="E197" s="3"/>
      <c r="G197" s="2"/>
      <c r="I197" s="1"/>
    </row>
    <row r="198" spans="1:9" x14ac:dyDescent="0.25">
      <c r="A198" s="2"/>
      <c r="B198" s="2"/>
      <c r="C198" s="2"/>
      <c r="D198" s="2"/>
      <c r="E198" s="3"/>
      <c r="G198" s="2"/>
      <c r="I198" s="1"/>
    </row>
    <row r="199" spans="1:9" x14ac:dyDescent="0.25">
      <c r="A199" s="2"/>
      <c r="B199" s="2"/>
      <c r="C199" s="2"/>
      <c r="D199" s="2"/>
      <c r="E199" s="3"/>
      <c r="G199" s="2"/>
      <c r="I199" s="1"/>
    </row>
    <row r="200" spans="1:9" x14ac:dyDescent="0.25">
      <c r="A200" s="2"/>
      <c r="B200" s="2"/>
      <c r="C200" s="2"/>
      <c r="D200" s="2"/>
      <c r="E200" s="3"/>
      <c r="G200" s="2"/>
      <c r="I200" s="1"/>
    </row>
    <row r="201" spans="1:9" x14ac:dyDescent="0.25">
      <c r="A201" s="2"/>
      <c r="B201" s="2"/>
      <c r="C201" s="2"/>
      <c r="D201" s="2"/>
      <c r="E201" s="3"/>
      <c r="G201" s="2"/>
      <c r="I201" s="1"/>
    </row>
    <row r="202" spans="1:9" x14ac:dyDescent="0.25">
      <c r="A202" s="2"/>
      <c r="B202" s="2"/>
      <c r="C202" s="2"/>
      <c r="D202" s="2"/>
      <c r="E202" s="3"/>
      <c r="G202" s="2"/>
      <c r="I202" s="1"/>
    </row>
    <row r="203" spans="1:9" x14ac:dyDescent="0.25">
      <c r="A203" s="2"/>
      <c r="B203" s="2"/>
      <c r="C203" s="2"/>
      <c r="D203" s="2"/>
      <c r="E203" s="3"/>
      <c r="G203" s="2"/>
      <c r="I203" s="1"/>
    </row>
    <row r="204" spans="1:9" x14ac:dyDescent="0.25">
      <c r="A204" s="2"/>
      <c r="B204" s="2"/>
      <c r="C204" s="2"/>
      <c r="D204" s="2"/>
      <c r="E204" s="3"/>
      <c r="G204" s="2"/>
      <c r="I204" s="1"/>
    </row>
    <row r="205" spans="1:9" x14ac:dyDescent="0.25">
      <c r="A205" s="2"/>
      <c r="B205" s="2"/>
      <c r="C205" s="2"/>
      <c r="D205" s="2"/>
      <c r="E205" s="3"/>
      <c r="G205" s="2"/>
      <c r="I205" s="1"/>
    </row>
    <row r="206" spans="1:9" x14ac:dyDescent="0.25">
      <c r="A206" s="2"/>
      <c r="B206" s="2"/>
      <c r="C206" s="2"/>
      <c r="D206" s="2"/>
      <c r="E206" s="3"/>
      <c r="G206" s="2"/>
      <c r="I206" s="1"/>
    </row>
    <row r="207" spans="1:9" x14ac:dyDescent="0.25">
      <c r="A207" s="2"/>
      <c r="B207" s="2"/>
      <c r="C207" s="2"/>
      <c r="D207" s="2"/>
      <c r="E207" s="3"/>
      <c r="G207" s="2"/>
      <c r="I207" s="1"/>
    </row>
    <row r="208" spans="1:9" x14ac:dyDescent="0.25">
      <c r="A208" s="2"/>
      <c r="B208" s="2"/>
      <c r="C208" s="2"/>
      <c r="D208" s="2"/>
      <c r="E208" s="3"/>
      <c r="G208" s="2"/>
      <c r="I208" s="1"/>
    </row>
    <row r="209" spans="1:9" x14ac:dyDescent="0.25">
      <c r="A209" s="2"/>
      <c r="B209" s="2"/>
      <c r="C209" s="2"/>
      <c r="D209" s="2"/>
      <c r="E209" s="3"/>
      <c r="G209" s="2"/>
      <c r="I209" s="1"/>
    </row>
    <row r="210" spans="1:9" x14ac:dyDescent="0.25">
      <c r="A210" s="2"/>
      <c r="B210" s="2"/>
      <c r="C210" s="2"/>
      <c r="D210" s="2"/>
      <c r="E210" s="3"/>
      <c r="G210" s="2"/>
      <c r="I210" s="1"/>
    </row>
  </sheetData>
  <phoneticPr fontId="1"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ErrorMessage="1" xr:uid="{2E67468B-4DD2-4E4A-8EF5-DE8FEA785805}">
          <x14:formula1>
            <xm:f>'99_Lookups'!$K$2:$K$4</xm:f>
          </x14:formula1>
          <xm:sqref>I2:I210</xm:sqref>
        </x14:dataValidation>
        <x14:dataValidation type="list" showInputMessage="1" showErrorMessage="1" xr:uid="{440F9726-A62B-42BC-A39B-41B6A9FD842F}">
          <x14:formula1>
            <xm:f>'99_Lookups'!$Q$2:$Q$5</xm:f>
          </x14:formula1>
          <xm:sqref>E2:E210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D35BE-7BFE-4C21-B590-ECD26E7BCDE3}">
  <sheetPr>
    <tabColor theme="0" tint="-0.499984740745262"/>
  </sheetPr>
  <dimension ref="A1:M168"/>
  <sheetViews>
    <sheetView workbookViewId="0">
      <selection activeCell="M3" sqref="M3:M4"/>
    </sheetView>
  </sheetViews>
  <sheetFormatPr baseColWidth="10" defaultRowHeight="15" x14ac:dyDescent="0.25"/>
  <cols>
    <col min="1" max="1" width="14" bestFit="1" customWidth="1"/>
    <col min="2" max="2" width="14" customWidth="1"/>
    <col min="3" max="3" width="12.85546875" bestFit="1" customWidth="1"/>
    <col min="4" max="4" width="26.28515625" hidden="1" customWidth="1"/>
    <col min="5" max="5" width="11.7109375" customWidth="1"/>
    <col min="6" max="6" width="16.7109375" customWidth="1"/>
    <col min="7" max="7" width="19" customWidth="1"/>
    <col min="8" max="8" width="16.7109375" customWidth="1"/>
    <col min="9" max="9" width="18.7109375" customWidth="1"/>
    <col min="10" max="10" width="18.28515625" bestFit="1" customWidth="1"/>
  </cols>
  <sheetData>
    <row r="1" spans="1:13" ht="15.75" thickBot="1" x14ac:dyDescent="0.3">
      <c r="A1" t="s">
        <v>0</v>
      </c>
      <c r="B1" t="s">
        <v>8</v>
      </c>
      <c r="C1" t="s">
        <v>37</v>
      </c>
      <c r="D1" t="s">
        <v>45</v>
      </c>
      <c r="E1" t="s">
        <v>46</v>
      </c>
      <c r="F1" t="s">
        <v>32</v>
      </c>
      <c r="G1" t="s">
        <v>33</v>
      </c>
      <c r="H1" t="s">
        <v>47</v>
      </c>
      <c r="I1" t="s">
        <v>34</v>
      </c>
      <c r="J1" t="s">
        <v>35</v>
      </c>
    </row>
    <row r="2" spans="1:13" x14ac:dyDescent="0.25">
      <c r="A2" s="18">
        <v>7</v>
      </c>
      <c r="B2" s="19">
        <v>37</v>
      </c>
      <c r="C2" s="19" t="s">
        <v>186</v>
      </c>
      <c r="D2" s="19"/>
      <c r="E2" s="20">
        <v>2</v>
      </c>
      <c r="F2" s="22" t="s">
        <v>1681</v>
      </c>
      <c r="G2" s="19" t="s">
        <v>1676</v>
      </c>
      <c r="H2" s="22" t="s">
        <v>2105</v>
      </c>
      <c r="I2" s="21" t="s">
        <v>1457</v>
      </c>
      <c r="J2" s="32"/>
    </row>
    <row r="3" spans="1:13" x14ac:dyDescent="0.25">
      <c r="A3" s="24">
        <v>7</v>
      </c>
      <c r="B3" s="2">
        <v>37</v>
      </c>
      <c r="C3" s="2" t="s">
        <v>192</v>
      </c>
      <c r="D3" s="2"/>
      <c r="E3" s="3">
        <v>1</v>
      </c>
      <c r="F3" t="s">
        <v>1682</v>
      </c>
      <c r="G3" s="2" t="s">
        <v>1677</v>
      </c>
      <c r="H3" t="s">
        <v>2106</v>
      </c>
      <c r="I3" s="1" t="s">
        <v>1457</v>
      </c>
      <c r="J3" s="33"/>
      <c r="M3" s="38" t="s">
        <v>2147</v>
      </c>
    </row>
    <row r="4" spans="1:13" x14ac:dyDescent="0.25">
      <c r="A4" s="24">
        <v>7</v>
      </c>
      <c r="B4" s="2">
        <v>37</v>
      </c>
      <c r="C4" s="2" t="s">
        <v>198</v>
      </c>
      <c r="D4" s="2"/>
      <c r="E4" s="3">
        <v>2</v>
      </c>
      <c r="F4" t="s">
        <v>1683</v>
      </c>
      <c r="G4" s="2" t="s">
        <v>1678</v>
      </c>
      <c r="H4" t="s">
        <v>2107</v>
      </c>
      <c r="I4" s="1" t="s">
        <v>1457</v>
      </c>
      <c r="J4" s="33"/>
      <c r="M4" t="s">
        <v>2148</v>
      </c>
    </row>
    <row r="5" spans="1:13" x14ac:dyDescent="0.25">
      <c r="A5" s="24">
        <v>7</v>
      </c>
      <c r="B5" s="2">
        <v>37</v>
      </c>
      <c r="C5" s="2" t="s">
        <v>204</v>
      </c>
      <c r="D5" s="2"/>
      <c r="E5" s="3">
        <v>0</v>
      </c>
      <c r="G5" s="2"/>
      <c r="I5" s="1" t="s">
        <v>1456</v>
      </c>
      <c r="J5" s="33" t="s">
        <v>1390</v>
      </c>
    </row>
    <row r="6" spans="1:13" x14ac:dyDescent="0.25">
      <c r="A6" s="24">
        <v>7</v>
      </c>
      <c r="B6" s="2">
        <v>37</v>
      </c>
      <c r="C6" s="2" t="s">
        <v>210</v>
      </c>
      <c r="D6" s="2"/>
      <c r="E6" s="3">
        <v>1</v>
      </c>
      <c r="F6" t="s">
        <v>1684</v>
      </c>
      <c r="G6" s="2" t="s">
        <v>1679</v>
      </c>
      <c r="H6" t="s">
        <v>2108</v>
      </c>
      <c r="I6" s="1" t="s">
        <v>1541</v>
      </c>
      <c r="J6" s="33"/>
    </row>
    <row r="7" spans="1:13" x14ac:dyDescent="0.25">
      <c r="A7" s="24">
        <v>7</v>
      </c>
      <c r="B7" s="2">
        <v>37</v>
      </c>
      <c r="C7" s="2" t="s">
        <v>215</v>
      </c>
      <c r="D7" s="2"/>
      <c r="E7" s="3">
        <v>0</v>
      </c>
      <c r="G7" s="2"/>
      <c r="I7" s="1" t="s">
        <v>1456</v>
      </c>
      <c r="J7" s="33" t="s">
        <v>1390</v>
      </c>
    </row>
    <row r="8" spans="1:13" ht="15.75" thickBot="1" x14ac:dyDescent="0.3">
      <c r="A8" s="26">
        <v>7</v>
      </c>
      <c r="B8" s="27">
        <v>37</v>
      </c>
      <c r="C8" s="27" t="s">
        <v>221</v>
      </c>
      <c r="D8" s="27"/>
      <c r="E8" s="28">
        <v>1</v>
      </c>
      <c r="F8" s="30" t="s">
        <v>1646</v>
      </c>
      <c r="G8" s="27" t="s">
        <v>1680</v>
      </c>
      <c r="H8" s="30" t="s">
        <v>2109</v>
      </c>
      <c r="I8" s="29" t="s">
        <v>1457</v>
      </c>
      <c r="J8" s="33"/>
    </row>
    <row r="9" spans="1:13" x14ac:dyDescent="0.25">
      <c r="A9" s="18">
        <v>15</v>
      </c>
      <c r="B9" s="19">
        <v>86</v>
      </c>
      <c r="C9" s="19" t="s">
        <v>186</v>
      </c>
      <c r="D9" s="19"/>
      <c r="E9" s="20">
        <v>2</v>
      </c>
      <c r="F9" s="22" t="s">
        <v>1842</v>
      </c>
      <c r="G9" s="19" t="s">
        <v>1837</v>
      </c>
      <c r="H9" s="22" t="s">
        <v>1832</v>
      </c>
      <c r="I9" s="21" t="s">
        <v>1457</v>
      </c>
      <c r="J9" s="32"/>
    </row>
    <row r="10" spans="1:13" x14ac:dyDescent="0.25">
      <c r="A10" s="24">
        <v>15</v>
      </c>
      <c r="B10" s="2">
        <v>86</v>
      </c>
      <c r="C10" s="2" t="s">
        <v>192</v>
      </c>
      <c r="D10" s="2"/>
      <c r="E10" s="3">
        <v>1</v>
      </c>
      <c r="F10" t="s">
        <v>1843</v>
      </c>
      <c r="G10" s="2" t="s">
        <v>1838</v>
      </c>
      <c r="H10" t="s">
        <v>1833</v>
      </c>
      <c r="I10" s="1" t="s">
        <v>1457</v>
      </c>
      <c r="J10" s="33"/>
    </row>
    <row r="11" spans="1:13" x14ac:dyDescent="0.25">
      <c r="A11" s="24">
        <v>15</v>
      </c>
      <c r="B11" s="2">
        <v>86</v>
      </c>
      <c r="C11" s="2" t="s">
        <v>198</v>
      </c>
      <c r="D11" s="2"/>
      <c r="E11" s="3">
        <v>2</v>
      </c>
      <c r="F11" t="s">
        <v>1844</v>
      </c>
      <c r="G11" s="2" t="s">
        <v>1839</v>
      </c>
      <c r="H11" t="s">
        <v>1834</v>
      </c>
      <c r="I11" s="1" t="s">
        <v>1457</v>
      </c>
      <c r="J11" s="33"/>
    </row>
    <row r="12" spans="1:13" x14ac:dyDescent="0.25">
      <c r="A12" s="24">
        <v>15</v>
      </c>
      <c r="B12" s="2">
        <v>86</v>
      </c>
      <c r="C12" s="2" t="s">
        <v>204</v>
      </c>
      <c r="D12" s="2"/>
      <c r="E12" s="3">
        <v>1</v>
      </c>
      <c r="F12" t="s">
        <v>1814</v>
      </c>
      <c r="G12" s="2" t="s">
        <v>1840</v>
      </c>
      <c r="H12" t="s">
        <v>1835</v>
      </c>
      <c r="I12" s="1" t="s">
        <v>1541</v>
      </c>
      <c r="J12" s="33"/>
    </row>
    <row r="13" spans="1:13" x14ac:dyDescent="0.25">
      <c r="A13" s="24">
        <v>15</v>
      </c>
      <c r="B13" s="2">
        <v>86</v>
      </c>
      <c r="C13" s="2" t="s">
        <v>210</v>
      </c>
      <c r="D13" s="2"/>
      <c r="E13" s="3">
        <v>1</v>
      </c>
      <c r="F13" t="s">
        <v>1845</v>
      </c>
      <c r="G13" s="2" t="s">
        <v>1841</v>
      </c>
      <c r="H13" t="s">
        <v>1836</v>
      </c>
      <c r="I13" s="1" t="s">
        <v>1457</v>
      </c>
      <c r="J13" s="33"/>
    </row>
    <row r="14" spans="1:13" x14ac:dyDescent="0.25">
      <c r="A14" s="24">
        <v>15</v>
      </c>
      <c r="B14" s="2">
        <v>86</v>
      </c>
      <c r="C14" s="2" t="s">
        <v>215</v>
      </c>
      <c r="D14" s="2"/>
      <c r="E14" s="3"/>
      <c r="G14" s="2"/>
      <c r="I14" s="1" t="s">
        <v>1456</v>
      </c>
      <c r="J14" s="33" t="s">
        <v>1390</v>
      </c>
    </row>
    <row r="15" spans="1:13" ht="15.75" thickBot="1" x14ac:dyDescent="0.3">
      <c r="A15" s="26">
        <v>15</v>
      </c>
      <c r="B15" s="27">
        <v>86</v>
      </c>
      <c r="C15" s="27" t="s">
        <v>221</v>
      </c>
      <c r="D15" s="27"/>
      <c r="E15" s="28"/>
      <c r="F15" s="30"/>
      <c r="G15" s="27"/>
      <c r="H15" s="30"/>
      <c r="I15" s="29" t="s">
        <v>1456</v>
      </c>
      <c r="J15" s="34" t="s">
        <v>1390</v>
      </c>
    </row>
    <row r="16" spans="1:13" x14ac:dyDescent="0.25">
      <c r="A16" s="2"/>
      <c r="B16" s="2"/>
      <c r="C16" s="2"/>
      <c r="D16" s="2"/>
      <c r="E16" s="3"/>
      <c r="G16" s="2"/>
      <c r="I16" s="1"/>
    </row>
    <row r="17" spans="1:9" x14ac:dyDescent="0.25">
      <c r="A17" s="2"/>
      <c r="B17" s="2"/>
      <c r="C17" s="2"/>
      <c r="D17" s="2"/>
      <c r="E17" s="3"/>
      <c r="G17" s="2"/>
      <c r="I17" s="1"/>
    </row>
    <row r="18" spans="1:9" x14ac:dyDescent="0.25">
      <c r="A18" s="2"/>
      <c r="B18" s="2"/>
      <c r="C18" s="2"/>
      <c r="D18" s="2"/>
      <c r="E18" s="3"/>
      <c r="G18" s="2"/>
      <c r="I18" s="1"/>
    </row>
    <row r="19" spans="1:9" x14ac:dyDescent="0.25">
      <c r="A19" s="2"/>
      <c r="B19" s="2"/>
      <c r="C19" s="2"/>
      <c r="D19" s="2"/>
      <c r="E19" s="3"/>
      <c r="G19" s="2"/>
      <c r="I19" s="1"/>
    </row>
    <row r="20" spans="1:9" x14ac:dyDescent="0.25">
      <c r="A20" s="2"/>
      <c r="B20" s="2"/>
      <c r="C20" s="2"/>
      <c r="D20" s="2"/>
      <c r="E20" s="3"/>
      <c r="G20" s="2"/>
      <c r="I20" s="1"/>
    </row>
    <row r="21" spans="1:9" x14ac:dyDescent="0.25">
      <c r="A21" s="2"/>
      <c r="B21" s="2"/>
      <c r="C21" s="2"/>
      <c r="D21" s="2"/>
      <c r="E21" s="3"/>
      <c r="G21" s="2"/>
      <c r="I21" s="1"/>
    </row>
    <row r="22" spans="1:9" x14ac:dyDescent="0.25">
      <c r="A22" s="2"/>
      <c r="B22" s="2"/>
      <c r="C22" s="2"/>
      <c r="D22" s="2"/>
      <c r="E22" s="3"/>
      <c r="G22" s="2"/>
      <c r="I22" s="1"/>
    </row>
    <row r="23" spans="1:9" x14ac:dyDescent="0.25">
      <c r="A23" s="2"/>
      <c r="B23" s="2"/>
      <c r="C23" s="2"/>
      <c r="D23" s="2"/>
      <c r="E23" s="3"/>
      <c r="G23" s="2"/>
      <c r="I23" s="1"/>
    </row>
    <row r="24" spans="1:9" x14ac:dyDescent="0.25">
      <c r="A24" s="2"/>
      <c r="B24" s="2"/>
      <c r="C24" s="2"/>
      <c r="D24" s="2"/>
      <c r="E24" s="3"/>
      <c r="G24" s="2"/>
      <c r="I24" s="1"/>
    </row>
    <row r="25" spans="1:9" x14ac:dyDescent="0.25">
      <c r="A25" s="2"/>
      <c r="B25" s="2"/>
      <c r="C25" s="2"/>
      <c r="D25" s="2"/>
      <c r="E25" s="3"/>
      <c r="G25" s="2"/>
      <c r="I25" s="1"/>
    </row>
    <row r="26" spans="1:9" x14ac:dyDescent="0.25">
      <c r="A26" s="2"/>
      <c r="B26" s="2"/>
      <c r="C26" s="2"/>
      <c r="D26" s="2"/>
      <c r="E26" s="3"/>
      <c r="G26" s="2"/>
      <c r="I26" s="1"/>
    </row>
    <row r="27" spans="1:9" x14ac:dyDescent="0.25">
      <c r="A27" s="2"/>
      <c r="B27" s="2"/>
      <c r="C27" s="2"/>
      <c r="D27" s="2"/>
      <c r="E27" s="3"/>
      <c r="G27" s="2"/>
      <c r="I27" s="1"/>
    </row>
    <row r="28" spans="1:9" x14ac:dyDescent="0.25">
      <c r="A28" s="2"/>
      <c r="B28" s="2"/>
      <c r="C28" s="2"/>
      <c r="D28" s="2"/>
      <c r="E28" s="3"/>
      <c r="G28" s="2"/>
      <c r="I28" s="1"/>
    </row>
    <row r="29" spans="1:9" x14ac:dyDescent="0.25">
      <c r="A29" s="2"/>
      <c r="B29" s="2"/>
      <c r="C29" s="2"/>
      <c r="D29" s="2"/>
      <c r="E29" s="3"/>
      <c r="G29" s="2"/>
      <c r="I29" s="1"/>
    </row>
    <row r="30" spans="1:9" x14ac:dyDescent="0.25">
      <c r="A30" s="2"/>
      <c r="B30" s="2"/>
      <c r="C30" s="2"/>
      <c r="D30" s="2"/>
      <c r="E30" s="3"/>
      <c r="G30" s="2"/>
      <c r="I30" s="1"/>
    </row>
    <row r="31" spans="1:9" x14ac:dyDescent="0.25">
      <c r="A31" s="2"/>
      <c r="B31" s="2"/>
      <c r="C31" s="2"/>
      <c r="D31" s="2"/>
      <c r="E31" s="3"/>
      <c r="G31" s="2"/>
      <c r="I31" s="1"/>
    </row>
    <row r="32" spans="1:9" x14ac:dyDescent="0.25">
      <c r="A32" s="2"/>
      <c r="B32" s="2"/>
      <c r="C32" s="2"/>
      <c r="D32" s="2"/>
      <c r="E32" s="3"/>
      <c r="G32" s="2"/>
      <c r="I32" s="1"/>
    </row>
    <row r="33" spans="1:9" x14ac:dyDescent="0.25">
      <c r="A33" s="2"/>
      <c r="B33" s="2"/>
      <c r="C33" s="2"/>
      <c r="D33" s="2"/>
      <c r="E33" s="3"/>
      <c r="G33" s="2"/>
      <c r="I33" s="1"/>
    </row>
    <row r="34" spans="1:9" x14ac:dyDescent="0.25">
      <c r="A34" s="2"/>
      <c r="B34" s="2"/>
      <c r="C34" s="2"/>
      <c r="D34" s="2"/>
      <c r="E34" s="3"/>
      <c r="G34" s="2"/>
      <c r="I34" s="1"/>
    </row>
    <row r="35" spans="1:9" x14ac:dyDescent="0.25">
      <c r="A35" s="2"/>
      <c r="B35" s="2"/>
      <c r="C35" s="2"/>
      <c r="D35" s="2"/>
      <c r="E35" s="3"/>
      <c r="G35" s="2"/>
      <c r="I35" s="1"/>
    </row>
    <row r="36" spans="1:9" x14ac:dyDescent="0.25">
      <c r="A36" s="2"/>
      <c r="B36" s="2"/>
      <c r="C36" s="2"/>
      <c r="D36" s="2"/>
      <c r="E36" s="3"/>
      <c r="G36" s="2"/>
      <c r="I36" s="1"/>
    </row>
    <row r="37" spans="1:9" x14ac:dyDescent="0.25">
      <c r="A37" s="2"/>
      <c r="B37" s="2"/>
      <c r="C37" s="2"/>
      <c r="D37" s="2"/>
      <c r="E37" s="3"/>
      <c r="G37" s="2"/>
      <c r="I37" s="1"/>
    </row>
    <row r="38" spans="1:9" x14ac:dyDescent="0.25">
      <c r="A38" s="2"/>
      <c r="B38" s="2"/>
      <c r="C38" s="2"/>
      <c r="D38" s="2"/>
      <c r="E38" s="3"/>
      <c r="G38" s="2"/>
      <c r="I38" s="1"/>
    </row>
    <row r="39" spans="1:9" x14ac:dyDescent="0.25">
      <c r="A39" s="2"/>
      <c r="B39" s="2"/>
      <c r="C39" s="2"/>
      <c r="D39" s="2"/>
      <c r="E39" s="3"/>
      <c r="G39" s="2"/>
      <c r="I39" s="1"/>
    </row>
    <row r="40" spans="1:9" x14ac:dyDescent="0.25">
      <c r="A40" s="2"/>
      <c r="B40" s="2"/>
      <c r="C40" s="2"/>
      <c r="D40" s="2"/>
      <c r="E40" s="3"/>
      <c r="G40" s="2"/>
      <c r="I40" s="1"/>
    </row>
    <row r="41" spans="1:9" x14ac:dyDescent="0.25">
      <c r="A41" s="2"/>
      <c r="B41" s="2"/>
      <c r="C41" s="2"/>
      <c r="D41" s="2"/>
      <c r="E41" s="3"/>
      <c r="G41" s="2"/>
      <c r="I41" s="1"/>
    </row>
    <row r="42" spans="1:9" x14ac:dyDescent="0.25">
      <c r="A42" s="2"/>
      <c r="B42" s="2"/>
      <c r="C42" s="2"/>
      <c r="D42" s="2"/>
      <c r="E42" s="3"/>
      <c r="G42" s="2"/>
      <c r="I42" s="1"/>
    </row>
    <row r="43" spans="1:9" x14ac:dyDescent="0.25">
      <c r="A43" s="2"/>
      <c r="B43" s="2"/>
      <c r="C43" s="2"/>
      <c r="D43" s="2"/>
      <c r="E43" s="3"/>
      <c r="G43" s="2"/>
      <c r="I43" s="1"/>
    </row>
    <row r="44" spans="1:9" x14ac:dyDescent="0.25">
      <c r="A44" s="2"/>
      <c r="B44" s="2"/>
      <c r="C44" s="2"/>
      <c r="D44" s="2"/>
      <c r="E44" s="3"/>
      <c r="G44" s="2"/>
      <c r="I44" s="1"/>
    </row>
    <row r="45" spans="1:9" x14ac:dyDescent="0.25">
      <c r="A45" s="2"/>
      <c r="B45" s="2"/>
      <c r="C45" s="2"/>
      <c r="D45" s="2"/>
      <c r="E45" s="3"/>
      <c r="G45" s="2"/>
      <c r="I45" s="1"/>
    </row>
    <row r="46" spans="1:9" x14ac:dyDescent="0.25">
      <c r="A46" s="2"/>
      <c r="B46" s="2"/>
      <c r="C46" s="2"/>
      <c r="D46" s="2"/>
      <c r="E46" s="3"/>
      <c r="G46" s="2"/>
      <c r="I46" s="1"/>
    </row>
    <row r="47" spans="1:9" x14ac:dyDescent="0.25">
      <c r="A47" s="2"/>
      <c r="B47" s="2"/>
      <c r="C47" s="2"/>
      <c r="D47" s="2"/>
      <c r="E47" s="3"/>
      <c r="G47" s="2"/>
      <c r="I47" s="1"/>
    </row>
    <row r="48" spans="1:9" x14ac:dyDescent="0.25">
      <c r="A48" s="2"/>
      <c r="B48" s="2"/>
      <c r="C48" s="2"/>
      <c r="D48" s="2"/>
      <c r="E48" s="3"/>
      <c r="G48" s="2"/>
      <c r="I48" s="1"/>
    </row>
    <row r="49" spans="1:9" x14ac:dyDescent="0.25">
      <c r="A49" s="2"/>
      <c r="B49" s="2"/>
      <c r="C49" s="2"/>
      <c r="D49" s="2"/>
      <c r="E49" s="3"/>
      <c r="G49" s="2"/>
      <c r="I49" s="1"/>
    </row>
    <row r="50" spans="1:9" x14ac:dyDescent="0.25">
      <c r="A50" s="2"/>
      <c r="B50" s="2"/>
      <c r="C50" s="2"/>
      <c r="D50" s="2"/>
      <c r="E50" s="3"/>
      <c r="G50" s="2"/>
      <c r="I50" s="1"/>
    </row>
    <row r="51" spans="1:9" x14ac:dyDescent="0.25">
      <c r="A51" s="2"/>
      <c r="B51" s="2"/>
      <c r="C51" s="2"/>
      <c r="D51" s="2"/>
      <c r="E51" s="3"/>
      <c r="G51" s="2"/>
      <c r="I51" s="1"/>
    </row>
    <row r="52" spans="1:9" x14ac:dyDescent="0.25">
      <c r="A52" s="2"/>
      <c r="B52" s="2"/>
      <c r="C52" s="2"/>
      <c r="D52" s="2"/>
      <c r="E52" s="3"/>
      <c r="G52" s="2"/>
      <c r="I52" s="1"/>
    </row>
    <row r="53" spans="1:9" x14ac:dyDescent="0.25">
      <c r="A53" s="2"/>
      <c r="B53" s="2"/>
      <c r="C53" s="2"/>
      <c r="D53" s="2"/>
      <c r="E53" s="3"/>
      <c r="G53" s="2"/>
      <c r="I53" s="1"/>
    </row>
    <row r="54" spans="1:9" x14ac:dyDescent="0.25">
      <c r="A54" s="2"/>
      <c r="B54" s="2"/>
      <c r="C54" s="2"/>
      <c r="D54" s="2"/>
      <c r="E54" s="3"/>
      <c r="G54" s="2"/>
      <c r="I54" s="1"/>
    </row>
    <row r="55" spans="1:9" x14ac:dyDescent="0.25">
      <c r="A55" s="2"/>
      <c r="B55" s="2"/>
      <c r="C55" s="2"/>
      <c r="D55" s="2"/>
      <c r="E55" s="3"/>
      <c r="G55" s="2"/>
      <c r="I55" s="1"/>
    </row>
    <row r="56" spans="1:9" x14ac:dyDescent="0.25">
      <c r="A56" s="2"/>
      <c r="B56" s="2"/>
      <c r="C56" s="2"/>
      <c r="D56" s="2"/>
      <c r="E56" s="3"/>
      <c r="G56" s="2"/>
      <c r="I56" s="1"/>
    </row>
    <row r="57" spans="1:9" x14ac:dyDescent="0.25">
      <c r="A57" s="2"/>
      <c r="B57" s="2"/>
      <c r="C57" s="2"/>
      <c r="D57" s="2"/>
      <c r="E57" s="3"/>
      <c r="G57" s="2"/>
      <c r="I57" s="1"/>
    </row>
    <row r="58" spans="1:9" x14ac:dyDescent="0.25">
      <c r="A58" s="2"/>
      <c r="B58" s="2"/>
      <c r="C58" s="2"/>
      <c r="D58" s="2"/>
      <c r="E58" s="3"/>
      <c r="G58" s="2"/>
      <c r="I58" s="1"/>
    </row>
    <row r="59" spans="1:9" x14ac:dyDescent="0.25">
      <c r="A59" s="2"/>
      <c r="B59" s="2"/>
      <c r="C59" s="2"/>
      <c r="D59" s="2"/>
      <c r="E59" s="3"/>
      <c r="G59" s="2"/>
      <c r="I59" s="1"/>
    </row>
    <row r="60" spans="1:9" x14ac:dyDescent="0.25">
      <c r="A60" s="2"/>
      <c r="B60" s="2"/>
      <c r="C60" s="2"/>
      <c r="D60" s="2"/>
      <c r="E60" s="3"/>
      <c r="G60" s="2"/>
      <c r="I60" s="1"/>
    </row>
    <row r="61" spans="1:9" x14ac:dyDescent="0.25">
      <c r="A61" s="2"/>
      <c r="B61" s="2"/>
      <c r="C61" s="2"/>
      <c r="D61" s="2"/>
      <c r="E61" s="3"/>
      <c r="G61" s="2"/>
      <c r="I61" s="1"/>
    </row>
    <row r="62" spans="1:9" x14ac:dyDescent="0.25">
      <c r="A62" s="2"/>
      <c r="B62" s="2"/>
      <c r="C62" s="2"/>
      <c r="D62" s="2"/>
      <c r="E62" s="3"/>
      <c r="G62" s="2"/>
      <c r="I62" s="1"/>
    </row>
    <row r="63" spans="1:9" x14ac:dyDescent="0.25">
      <c r="A63" s="2"/>
      <c r="B63" s="2"/>
      <c r="C63" s="2"/>
      <c r="D63" s="2"/>
      <c r="E63" s="3"/>
      <c r="G63" s="2"/>
      <c r="I63" s="1"/>
    </row>
    <row r="64" spans="1:9" x14ac:dyDescent="0.25">
      <c r="A64" s="2"/>
      <c r="B64" s="2"/>
      <c r="C64" s="2"/>
      <c r="D64" s="2"/>
      <c r="E64" s="3"/>
      <c r="G64" s="2"/>
      <c r="I64" s="1"/>
    </row>
    <row r="65" spans="1:9" x14ac:dyDescent="0.25">
      <c r="A65" s="2"/>
      <c r="B65" s="2"/>
      <c r="C65" s="2"/>
      <c r="D65" s="2"/>
      <c r="E65" s="3"/>
      <c r="G65" s="2"/>
      <c r="I65" s="1"/>
    </row>
    <row r="66" spans="1:9" x14ac:dyDescent="0.25">
      <c r="A66" s="2"/>
      <c r="B66" s="2"/>
      <c r="C66" s="2"/>
      <c r="D66" s="2"/>
      <c r="E66" s="3"/>
      <c r="G66" s="2"/>
      <c r="I66" s="1"/>
    </row>
    <row r="67" spans="1:9" x14ac:dyDescent="0.25">
      <c r="A67" s="2"/>
      <c r="B67" s="2"/>
      <c r="C67" s="2"/>
      <c r="D67" s="2"/>
      <c r="E67" s="3"/>
      <c r="G67" s="2"/>
      <c r="I67" s="1"/>
    </row>
    <row r="68" spans="1:9" x14ac:dyDescent="0.25">
      <c r="A68" s="2"/>
      <c r="B68" s="2"/>
      <c r="C68" s="2"/>
      <c r="D68" s="2"/>
      <c r="E68" s="3"/>
      <c r="G68" s="2"/>
      <c r="I68" s="1"/>
    </row>
    <row r="69" spans="1:9" x14ac:dyDescent="0.25">
      <c r="A69" s="2"/>
      <c r="B69" s="2"/>
      <c r="C69" s="2"/>
      <c r="D69" s="2"/>
      <c r="E69" s="3"/>
      <c r="G69" s="2"/>
      <c r="I69" s="1"/>
    </row>
    <row r="70" spans="1:9" x14ac:dyDescent="0.25">
      <c r="A70" s="2"/>
      <c r="B70" s="2"/>
      <c r="C70" s="2"/>
      <c r="D70" s="2"/>
      <c r="E70" s="3"/>
      <c r="G70" s="2"/>
      <c r="I70" s="1"/>
    </row>
    <row r="71" spans="1:9" x14ac:dyDescent="0.25">
      <c r="A71" s="2"/>
      <c r="B71" s="2"/>
      <c r="C71" s="2"/>
      <c r="D71" s="2"/>
      <c r="E71" s="3"/>
      <c r="G71" s="2"/>
      <c r="I71" s="1"/>
    </row>
    <row r="72" spans="1:9" x14ac:dyDescent="0.25">
      <c r="A72" s="2"/>
      <c r="B72" s="2"/>
      <c r="C72" s="2"/>
      <c r="D72" s="2"/>
      <c r="E72" s="3"/>
      <c r="G72" s="2"/>
      <c r="I72" s="1"/>
    </row>
    <row r="73" spans="1:9" x14ac:dyDescent="0.25">
      <c r="A73" s="2"/>
      <c r="B73" s="2"/>
      <c r="C73" s="2"/>
      <c r="D73" s="2"/>
      <c r="E73" s="3"/>
      <c r="G73" s="2"/>
      <c r="I73" s="1"/>
    </row>
    <row r="74" spans="1:9" x14ac:dyDescent="0.25">
      <c r="A74" s="2"/>
      <c r="B74" s="2"/>
      <c r="C74" s="2"/>
      <c r="D74" s="2"/>
      <c r="E74" s="3"/>
      <c r="G74" s="2"/>
      <c r="I74" s="1"/>
    </row>
    <row r="75" spans="1:9" x14ac:dyDescent="0.25">
      <c r="A75" s="2"/>
      <c r="B75" s="2"/>
      <c r="C75" s="2"/>
      <c r="D75" s="2"/>
      <c r="E75" s="3"/>
      <c r="G75" s="2"/>
      <c r="I75" s="1"/>
    </row>
    <row r="76" spans="1:9" x14ac:dyDescent="0.25">
      <c r="A76" s="2"/>
      <c r="B76" s="2"/>
      <c r="C76" s="2"/>
      <c r="D76" s="2"/>
      <c r="E76" s="3"/>
      <c r="G76" s="2"/>
      <c r="I76" s="1"/>
    </row>
    <row r="77" spans="1:9" x14ac:dyDescent="0.25">
      <c r="A77" s="2"/>
      <c r="B77" s="2"/>
      <c r="C77" s="2"/>
      <c r="D77" s="2"/>
      <c r="E77" s="3"/>
      <c r="G77" s="2"/>
      <c r="I77" s="1"/>
    </row>
    <row r="78" spans="1:9" x14ac:dyDescent="0.25">
      <c r="A78" s="2"/>
      <c r="B78" s="2"/>
      <c r="C78" s="2"/>
      <c r="D78" s="2"/>
      <c r="E78" s="3"/>
      <c r="G78" s="2"/>
      <c r="I78" s="1"/>
    </row>
    <row r="79" spans="1:9" x14ac:dyDescent="0.25">
      <c r="A79" s="2"/>
      <c r="B79" s="2"/>
      <c r="C79" s="2"/>
      <c r="D79" s="2"/>
      <c r="E79" s="3"/>
      <c r="G79" s="2"/>
      <c r="I79" s="1"/>
    </row>
    <row r="80" spans="1:9" x14ac:dyDescent="0.25">
      <c r="A80" s="2"/>
      <c r="B80" s="2"/>
      <c r="C80" s="2"/>
      <c r="D80" s="2"/>
      <c r="E80" s="3"/>
      <c r="G80" s="2"/>
      <c r="I80" s="1"/>
    </row>
    <row r="81" spans="1:9" x14ac:dyDescent="0.25">
      <c r="A81" s="2"/>
      <c r="B81" s="2"/>
      <c r="C81" s="2"/>
      <c r="D81" s="2"/>
      <c r="E81" s="3"/>
      <c r="G81" s="2"/>
      <c r="I81" s="1"/>
    </row>
    <row r="82" spans="1:9" x14ac:dyDescent="0.25">
      <c r="A82" s="2"/>
      <c r="B82" s="2"/>
      <c r="C82" s="2"/>
      <c r="D82" s="2"/>
      <c r="E82" s="3"/>
      <c r="G82" s="2"/>
      <c r="I82" s="1"/>
    </row>
    <row r="83" spans="1:9" x14ac:dyDescent="0.25">
      <c r="A83" s="2"/>
      <c r="B83" s="2"/>
      <c r="C83" s="2"/>
      <c r="D83" s="2"/>
      <c r="E83" s="3"/>
      <c r="G83" s="2"/>
      <c r="I83" s="1"/>
    </row>
    <row r="84" spans="1:9" x14ac:dyDescent="0.25">
      <c r="A84" s="2"/>
      <c r="B84" s="2"/>
      <c r="C84" s="2"/>
      <c r="D84" s="2"/>
      <c r="E84" s="3"/>
      <c r="G84" s="2"/>
      <c r="I84" s="1"/>
    </row>
    <row r="85" spans="1:9" x14ac:dyDescent="0.25">
      <c r="A85" s="2"/>
      <c r="B85" s="2"/>
      <c r="C85" s="2"/>
      <c r="D85" s="2"/>
      <c r="E85" s="3"/>
      <c r="G85" s="2"/>
      <c r="I85" s="1"/>
    </row>
    <row r="86" spans="1:9" x14ac:dyDescent="0.25">
      <c r="A86" s="2"/>
      <c r="B86" s="2"/>
      <c r="C86" s="2"/>
      <c r="D86" s="2"/>
      <c r="E86" s="3"/>
      <c r="G86" s="2"/>
      <c r="I86" s="1"/>
    </row>
    <row r="87" spans="1:9" x14ac:dyDescent="0.25">
      <c r="A87" s="2"/>
      <c r="B87" s="2"/>
      <c r="C87" s="2"/>
      <c r="D87" s="2"/>
      <c r="E87" s="3"/>
      <c r="G87" s="2"/>
      <c r="I87" s="1"/>
    </row>
    <row r="88" spans="1:9" x14ac:dyDescent="0.25">
      <c r="A88" s="2"/>
      <c r="B88" s="2"/>
      <c r="C88" s="2"/>
      <c r="D88" s="2"/>
      <c r="E88" s="3"/>
      <c r="G88" s="2"/>
      <c r="I88" s="1"/>
    </row>
    <row r="89" spans="1:9" x14ac:dyDescent="0.25">
      <c r="A89" s="2"/>
      <c r="B89" s="2"/>
      <c r="C89" s="2"/>
      <c r="D89" s="2"/>
      <c r="E89" s="3"/>
      <c r="G89" s="2"/>
      <c r="I89" s="1"/>
    </row>
    <row r="90" spans="1:9" x14ac:dyDescent="0.25">
      <c r="A90" s="2"/>
      <c r="B90" s="2"/>
      <c r="C90" s="2"/>
      <c r="D90" s="2"/>
      <c r="E90" s="3"/>
      <c r="G90" s="2"/>
      <c r="I90" s="1"/>
    </row>
    <row r="91" spans="1:9" x14ac:dyDescent="0.25">
      <c r="A91" s="2"/>
      <c r="B91" s="2"/>
      <c r="C91" s="2"/>
      <c r="D91" s="2"/>
      <c r="E91" s="3"/>
      <c r="G91" s="2"/>
      <c r="I91" s="1"/>
    </row>
    <row r="92" spans="1:9" x14ac:dyDescent="0.25">
      <c r="A92" s="2"/>
      <c r="B92" s="2"/>
      <c r="C92" s="2"/>
      <c r="D92" s="2"/>
      <c r="E92" s="3"/>
      <c r="G92" s="2"/>
      <c r="I92" s="1"/>
    </row>
    <row r="93" spans="1:9" x14ac:dyDescent="0.25">
      <c r="A93" s="2"/>
      <c r="B93" s="2"/>
      <c r="C93" s="2"/>
      <c r="D93" s="2"/>
      <c r="E93" s="3"/>
      <c r="G93" s="2"/>
      <c r="I93" s="1"/>
    </row>
    <row r="94" spans="1:9" x14ac:dyDescent="0.25">
      <c r="A94" s="2"/>
      <c r="B94" s="2"/>
      <c r="C94" s="2"/>
      <c r="D94" s="2"/>
      <c r="E94" s="3"/>
      <c r="G94" s="2"/>
      <c r="I94" s="1"/>
    </row>
    <row r="95" spans="1:9" x14ac:dyDescent="0.25">
      <c r="A95" s="2"/>
      <c r="B95" s="2"/>
      <c r="C95" s="2"/>
      <c r="D95" s="2"/>
      <c r="E95" s="3"/>
      <c r="G95" s="2"/>
      <c r="I95" s="1"/>
    </row>
    <row r="96" spans="1:9" x14ac:dyDescent="0.25">
      <c r="A96" s="2"/>
      <c r="B96" s="2"/>
      <c r="C96" s="2"/>
      <c r="D96" s="2"/>
      <c r="E96" s="3"/>
      <c r="G96" s="2"/>
      <c r="I96" s="1"/>
    </row>
    <row r="97" spans="1:9" x14ac:dyDescent="0.25">
      <c r="A97" s="2"/>
      <c r="B97" s="2"/>
      <c r="C97" s="2"/>
      <c r="D97" s="2"/>
      <c r="E97" s="3"/>
      <c r="G97" s="2"/>
      <c r="I97" s="1"/>
    </row>
    <row r="98" spans="1:9" x14ac:dyDescent="0.25">
      <c r="A98" s="2"/>
      <c r="B98" s="2"/>
      <c r="C98" s="2"/>
      <c r="D98" s="2"/>
      <c r="E98" s="3"/>
      <c r="G98" s="2"/>
      <c r="I98" s="1"/>
    </row>
    <row r="99" spans="1:9" x14ac:dyDescent="0.25">
      <c r="A99" s="2"/>
      <c r="B99" s="2"/>
      <c r="C99" s="2"/>
      <c r="D99" s="2"/>
      <c r="E99" s="3"/>
      <c r="G99" s="2"/>
      <c r="I99" s="1"/>
    </row>
    <row r="100" spans="1:9" x14ac:dyDescent="0.25">
      <c r="A100" s="2"/>
      <c r="B100" s="2"/>
      <c r="C100" s="2"/>
      <c r="D100" s="2"/>
      <c r="E100" s="3"/>
      <c r="G100" s="2"/>
      <c r="I100" s="1"/>
    </row>
    <row r="101" spans="1:9" x14ac:dyDescent="0.25">
      <c r="A101" s="2"/>
      <c r="B101" s="2"/>
      <c r="C101" s="2"/>
      <c r="D101" s="2"/>
      <c r="E101" s="3"/>
      <c r="G101" s="2"/>
      <c r="I101" s="1"/>
    </row>
    <row r="102" spans="1:9" x14ac:dyDescent="0.25">
      <c r="A102" s="2"/>
      <c r="B102" s="2"/>
      <c r="C102" s="2"/>
      <c r="D102" s="2"/>
      <c r="E102" s="3"/>
      <c r="G102" s="2"/>
      <c r="I102" s="1"/>
    </row>
    <row r="103" spans="1:9" x14ac:dyDescent="0.25">
      <c r="A103" s="2"/>
      <c r="B103" s="2"/>
      <c r="C103" s="2"/>
      <c r="D103" s="2"/>
      <c r="E103" s="3"/>
      <c r="G103" s="2"/>
      <c r="I103" s="1"/>
    </row>
    <row r="104" spans="1:9" x14ac:dyDescent="0.25">
      <c r="A104" s="2"/>
      <c r="B104" s="2"/>
      <c r="C104" s="2"/>
      <c r="D104" s="2"/>
      <c r="E104" s="3"/>
      <c r="G104" s="2"/>
      <c r="I104" s="1"/>
    </row>
    <row r="105" spans="1:9" x14ac:dyDescent="0.25">
      <c r="A105" s="2"/>
      <c r="B105" s="2"/>
      <c r="C105" s="2"/>
      <c r="D105" s="2"/>
      <c r="E105" s="3"/>
      <c r="G105" s="2"/>
      <c r="I105" s="1"/>
    </row>
    <row r="106" spans="1:9" x14ac:dyDescent="0.25">
      <c r="A106" s="2"/>
      <c r="B106" s="2"/>
      <c r="C106" s="2"/>
      <c r="D106" s="2"/>
      <c r="E106" s="3"/>
      <c r="G106" s="2"/>
      <c r="I106" s="1"/>
    </row>
    <row r="107" spans="1:9" x14ac:dyDescent="0.25">
      <c r="A107" s="2"/>
      <c r="B107" s="2"/>
      <c r="C107" s="2"/>
      <c r="D107" s="2"/>
      <c r="E107" s="3"/>
      <c r="G107" s="2"/>
      <c r="I107" s="1"/>
    </row>
    <row r="108" spans="1:9" x14ac:dyDescent="0.25">
      <c r="A108" s="2"/>
      <c r="B108" s="2"/>
      <c r="C108" s="2"/>
      <c r="D108" s="2"/>
      <c r="E108" s="3"/>
      <c r="G108" s="2"/>
      <c r="I108" s="1"/>
    </row>
    <row r="109" spans="1:9" x14ac:dyDescent="0.25">
      <c r="A109" s="2"/>
      <c r="B109" s="2"/>
      <c r="C109" s="2"/>
      <c r="D109" s="2"/>
      <c r="E109" s="3"/>
      <c r="G109" s="2"/>
      <c r="I109" s="1"/>
    </row>
    <row r="110" spans="1:9" x14ac:dyDescent="0.25">
      <c r="A110" s="2"/>
      <c r="B110" s="2"/>
      <c r="C110" s="2"/>
      <c r="D110" s="2"/>
      <c r="E110" s="3"/>
      <c r="G110" s="2"/>
      <c r="I110" s="1"/>
    </row>
    <row r="111" spans="1:9" x14ac:dyDescent="0.25">
      <c r="A111" s="2"/>
      <c r="B111" s="2"/>
      <c r="C111" s="2"/>
      <c r="D111" s="2"/>
      <c r="E111" s="3"/>
      <c r="G111" s="2"/>
      <c r="I111" s="1"/>
    </row>
    <row r="112" spans="1:9" x14ac:dyDescent="0.25">
      <c r="A112" s="2"/>
      <c r="B112" s="2"/>
      <c r="C112" s="2"/>
      <c r="D112" s="2"/>
      <c r="E112" s="3"/>
      <c r="G112" s="2"/>
      <c r="I112" s="1"/>
    </row>
    <row r="113" spans="1:9" x14ac:dyDescent="0.25">
      <c r="A113" s="2"/>
      <c r="B113" s="2"/>
      <c r="C113" s="2"/>
      <c r="D113" s="2"/>
      <c r="E113" s="3"/>
      <c r="G113" s="2"/>
      <c r="I113" s="1"/>
    </row>
    <row r="114" spans="1:9" x14ac:dyDescent="0.25">
      <c r="A114" s="2"/>
      <c r="B114" s="2"/>
      <c r="C114" s="2"/>
      <c r="D114" s="2"/>
      <c r="E114" s="3"/>
      <c r="G114" s="2"/>
      <c r="I114" s="1"/>
    </row>
    <row r="115" spans="1:9" x14ac:dyDescent="0.25">
      <c r="A115" s="2"/>
      <c r="B115" s="2"/>
      <c r="C115" s="2"/>
      <c r="D115" s="2"/>
      <c r="E115" s="3"/>
      <c r="G115" s="2"/>
      <c r="I115" s="1"/>
    </row>
    <row r="116" spans="1:9" x14ac:dyDescent="0.25">
      <c r="A116" s="2"/>
      <c r="B116" s="2"/>
      <c r="C116" s="2"/>
      <c r="D116" s="2"/>
      <c r="E116" s="3"/>
      <c r="G116" s="2"/>
      <c r="I116" s="1"/>
    </row>
    <row r="117" spans="1:9" x14ac:dyDescent="0.25">
      <c r="A117" s="2"/>
      <c r="B117" s="2"/>
      <c r="C117" s="2"/>
      <c r="D117" s="2"/>
      <c r="E117" s="3"/>
      <c r="G117" s="2"/>
      <c r="I117" s="1"/>
    </row>
    <row r="118" spans="1:9" x14ac:dyDescent="0.25">
      <c r="A118" s="2"/>
      <c r="B118" s="2"/>
      <c r="C118" s="2"/>
      <c r="D118" s="2"/>
      <c r="E118" s="3"/>
      <c r="G118" s="2"/>
      <c r="I118" s="1"/>
    </row>
    <row r="119" spans="1:9" x14ac:dyDescent="0.25">
      <c r="A119" s="2"/>
      <c r="B119" s="2"/>
      <c r="C119" s="2"/>
      <c r="D119" s="2"/>
      <c r="E119" s="3"/>
      <c r="G119" s="2"/>
      <c r="I119" s="1"/>
    </row>
    <row r="120" spans="1:9" x14ac:dyDescent="0.25">
      <c r="A120" s="2"/>
      <c r="B120" s="2"/>
      <c r="C120" s="2"/>
      <c r="D120" s="2"/>
      <c r="E120" s="3"/>
      <c r="G120" s="2"/>
      <c r="I120" s="1"/>
    </row>
    <row r="121" spans="1:9" x14ac:dyDescent="0.25">
      <c r="A121" s="2"/>
      <c r="B121" s="2"/>
      <c r="C121" s="2"/>
      <c r="D121" s="2"/>
      <c r="E121" s="3"/>
      <c r="G121" s="2"/>
      <c r="I121" s="1"/>
    </row>
    <row r="122" spans="1:9" x14ac:dyDescent="0.25">
      <c r="A122" s="2"/>
      <c r="B122" s="2"/>
      <c r="C122" s="2"/>
      <c r="D122" s="2"/>
      <c r="E122" s="3"/>
      <c r="G122" s="2"/>
      <c r="I122" s="1"/>
    </row>
    <row r="123" spans="1:9" x14ac:dyDescent="0.25">
      <c r="A123" s="2"/>
      <c r="B123" s="2"/>
      <c r="C123" s="2"/>
      <c r="D123" s="2"/>
      <c r="E123" s="3"/>
      <c r="G123" s="2"/>
      <c r="I123" s="1"/>
    </row>
    <row r="124" spans="1:9" x14ac:dyDescent="0.25">
      <c r="A124" s="2"/>
      <c r="B124" s="2"/>
      <c r="C124" s="2"/>
      <c r="D124" s="2"/>
      <c r="E124" s="3"/>
      <c r="G124" s="2"/>
      <c r="I124" s="1"/>
    </row>
    <row r="125" spans="1:9" x14ac:dyDescent="0.25">
      <c r="A125" s="2"/>
      <c r="B125" s="2"/>
      <c r="C125" s="2"/>
      <c r="D125" s="2"/>
      <c r="E125" s="3"/>
      <c r="G125" s="2"/>
      <c r="I125" s="1"/>
    </row>
    <row r="126" spans="1:9" x14ac:dyDescent="0.25">
      <c r="A126" s="2"/>
      <c r="B126" s="2"/>
      <c r="C126" s="2"/>
      <c r="D126" s="2"/>
      <c r="E126" s="3"/>
      <c r="G126" s="2"/>
      <c r="I126" s="1"/>
    </row>
    <row r="127" spans="1:9" x14ac:dyDescent="0.25">
      <c r="A127" s="2"/>
      <c r="B127" s="2"/>
      <c r="C127" s="2"/>
      <c r="D127" s="2"/>
      <c r="E127" s="3"/>
      <c r="G127" s="2"/>
      <c r="I127" s="1"/>
    </row>
    <row r="128" spans="1:9" x14ac:dyDescent="0.25">
      <c r="A128" s="2"/>
      <c r="B128" s="2"/>
      <c r="C128" s="2"/>
      <c r="D128" s="2"/>
      <c r="E128" s="3"/>
      <c r="G128" s="2"/>
      <c r="I128" s="1"/>
    </row>
    <row r="129" spans="1:9" x14ac:dyDescent="0.25">
      <c r="A129" s="2"/>
      <c r="B129" s="2"/>
      <c r="C129" s="2"/>
      <c r="D129" s="2"/>
      <c r="E129" s="3"/>
      <c r="G129" s="2"/>
      <c r="I129" s="1"/>
    </row>
    <row r="130" spans="1:9" x14ac:dyDescent="0.25">
      <c r="A130" s="2"/>
      <c r="B130" s="2"/>
      <c r="C130" s="2"/>
      <c r="D130" s="2"/>
      <c r="E130" s="3"/>
      <c r="G130" s="2"/>
      <c r="I130" s="1"/>
    </row>
    <row r="131" spans="1:9" x14ac:dyDescent="0.25">
      <c r="A131" s="2"/>
      <c r="B131" s="2"/>
      <c r="C131" s="2"/>
      <c r="D131" s="2"/>
      <c r="E131" s="3"/>
      <c r="G131" s="2"/>
      <c r="I131" s="1"/>
    </row>
    <row r="132" spans="1:9" x14ac:dyDescent="0.25">
      <c r="A132" s="2"/>
      <c r="B132" s="2"/>
      <c r="C132" s="2"/>
      <c r="D132" s="2"/>
      <c r="E132" s="3"/>
      <c r="G132" s="2"/>
      <c r="I132" s="1"/>
    </row>
    <row r="133" spans="1:9" x14ac:dyDescent="0.25">
      <c r="A133" s="2"/>
      <c r="B133" s="2"/>
      <c r="C133" s="2"/>
      <c r="D133" s="2"/>
      <c r="E133" s="3"/>
      <c r="G133" s="2"/>
      <c r="I133" s="1"/>
    </row>
    <row r="134" spans="1:9" x14ac:dyDescent="0.25">
      <c r="A134" s="2"/>
      <c r="B134" s="2"/>
      <c r="C134" s="2"/>
      <c r="D134" s="2"/>
      <c r="E134" s="3"/>
      <c r="G134" s="2"/>
      <c r="I134" s="1"/>
    </row>
    <row r="135" spans="1:9" x14ac:dyDescent="0.25">
      <c r="A135" s="2"/>
      <c r="B135" s="2"/>
      <c r="C135" s="2"/>
      <c r="D135" s="2"/>
      <c r="E135" s="3"/>
      <c r="G135" s="2"/>
      <c r="I135" s="1"/>
    </row>
    <row r="136" spans="1:9" x14ac:dyDescent="0.25">
      <c r="A136" s="2"/>
      <c r="B136" s="2"/>
      <c r="C136" s="2"/>
      <c r="D136" s="2"/>
      <c r="E136" s="3"/>
      <c r="G136" s="2"/>
      <c r="I136" s="1"/>
    </row>
    <row r="137" spans="1:9" x14ac:dyDescent="0.25">
      <c r="A137" s="2"/>
      <c r="B137" s="2"/>
      <c r="C137" s="2"/>
      <c r="D137" s="2"/>
      <c r="E137" s="3"/>
      <c r="G137" s="2"/>
      <c r="I137" s="1"/>
    </row>
    <row r="138" spans="1:9" x14ac:dyDescent="0.25">
      <c r="A138" s="2"/>
      <c r="B138" s="2"/>
      <c r="C138" s="2"/>
      <c r="D138" s="2"/>
      <c r="E138" s="3"/>
      <c r="G138" s="2"/>
      <c r="I138" s="1"/>
    </row>
    <row r="139" spans="1:9" x14ac:dyDescent="0.25">
      <c r="A139" s="2"/>
      <c r="B139" s="2"/>
      <c r="C139" s="2"/>
      <c r="D139" s="2"/>
      <c r="E139" s="3"/>
      <c r="G139" s="2"/>
      <c r="I139" s="1"/>
    </row>
    <row r="140" spans="1:9" x14ac:dyDescent="0.25">
      <c r="A140" s="2"/>
      <c r="B140" s="2"/>
      <c r="C140" s="2"/>
      <c r="D140" s="2"/>
      <c r="E140" s="3"/>
      <c r="G140" s="2"/>
      <c r="I140" s="1"/>
    </row>
    <row r="141" spans="1:9" x14ac:dyDescent="0.25">
      <c r="A141" s="2"/>
      <c r="B141" s="2"/>
      <c r="C141" s="2"/>
      <c r="D141" s="2"/>
      <c r="E141" s="3"/>
      <c r="G141" s="2"/>
      <c r="I141" s="1"/>
    </row>
    <row r="142" spans="1:9" x14ac:dyDescent="0.25">
      <c r="A142" s="2"/>
      <c r="B142" s="2"/>
      <c r="C142" s="2"/>
      <c r="D142" s="2"/>
      <c r="E142" s="3"/>
      <c r="G142" s="2"/>
      <c r="I142" s="1"/>
    </row>
    <row r="143" spans="1:9" x14ac:dyDescent="0.25">
      <c r="A143" s="2"/>
      <c r="B143" s="2"/>
      <c r="C143" s="2"/>
      <c r="D143" s="2"/>
      <c r="E143" s="3"/>
      <c r="G143" s="2"/>
      <c r="I143" s="1"/>
    </row>
    <row r="144" spans="1:9" x14ac:dyDescent="0.25">
      <c r="A144" s="2"/>
      <c r="B144" s="2"/>
      <c r="C144" s="2"/>
      <c r="D144" s="2"/>
      <c r="E144" s="3"/>
      <c r="G144" s="2"/>
      <c r="I144" s="1"/>
    </row>
    <row r="145" spans="1:9" x14ac:dyDescent="0.25">
      <c r="A145" s="2"/>
      <c r="B145" s="2"/>
      <c r="C145" s="2"/>
      <c r="D145" s="2"/>
      <c r="E145" s="3"/>
      <c r="G145" s="2"/>
      <c r="I145" s="1"/>
    </row>
    <row r="146" spans="1:9" x14ac:dyDescent="0.25">
      <c r="A146" s="2"/>
      <c r="B146" s="2"/>
      <c r="C146" s="2"/>
      <c r="D146" s="2"/>
      <c r="E146" s="3"/>
      <c r="G146" s="2"/>
      <c r="I146" s="1"/>
    </row>
    <row r="147" spans="1:9" x14ac:dyDescent="0.25">
      <c r="A147" s="2"/>
      <c r="B147" s="2"/>
      <c r="C147" s="2"/>
      <c r="D147" s="2"/>
      <c r="E147" s="3"/>
      <c r="G147" s="2"/>
      <c r="I147" s="1"/>
    </row>
    <row r="148" spans="1:9" x14ac:dyDescent="0.25">
      <c r="A148" s="2"/>
      <c r="B148" s="2"/>
      <c r="C148" s="2"/>
      <c r="D148" s="2"/>
      <c r="E148" s="3"/>
      <c r="G148" s="2"/>
      <c r="I148" s="1"/>
    </row>
    <row r="149" spans="1:9" x14ac:dyDescent="0.25">
      <c r="A149" s="2"/>
      <c r="B149" s="2"/>
      <c r="C149" s="2"/>
      <c r="D149" s="2"/>
      <c r="E149" s="3"/>
      <c r="G149" s="2"/>
      <c r="I149" s="1"/>
    </row>
    <row r="150" spans="1:9" x14ac:dyDescent="0.25">
      <c r="A150" s="2"/>
      <c r="B150" s="2"/>
      <c r="C150" s="2"/>
      <c r="D150" s="2"/>
      <c r="E150" s="3"/>
      <c r="G150" s="2"/>
      <c r="I150" s="1"/>
    </row>
    <row r="151" spans="1:9" x14ac:dyDescent="0.25">
      <c r="A151" s="2"/>
      <c r="B151" s="2"/>
      <c r="C151" s="2"/>
      <c r="D151" s="2"/>
      <c r="E151" s="3"/>
      <c r="G151" s="2"/>
      <c r="I151" s="1"/>
    </row>
    <row r="152" spans="1:9" x14ac:dyDescent="0.25">
      <c r="A152" s="2"/>
      <c r="B152" s="2"/>
      <c r="C152" s="2"/>
      <c r="D152" s="2"/>
      <c r="E152" s="3"/>
      <c r="G152" s="2"/>
      <c r="I152" s="1"/>
    </row>
    <row r="153" spans="1:9" x14ac:dyDescent="0.25">
      <c r="A153" s="2"/>
      <c r="B153" s="2"/>
      <c r="C153" s="2"/>
      <c r="D153" s="2"/>
      <c r="E153" s="3"/>
      <c r="G153" s="2"/>
      <c r="I153" s="1"/>
    </row>
    <row r="154" spans="1:9" x14ac:dyDescent="0.25">
      <c r="A154" s="2"/>
      <c r="B154" s="2"/>
      <c r="C154" s="2"/>
      <c r="D154" s="2"/>
      <c r="E154" s="3"/>
      <c r="G154" s="2"/>
      <c r="I154" s="1"/>
    </row>
    <row r="155" spans="1:9" x14ac:dyDescent="0.25">
      <c r="A155" s="2"/>
      <c r="B155" s="2"/>
      <c r="C155" s="2"/>
      <c r="D155" s="2"/>
      <c r="E155" s="3"/>
      <c r="G155" s="2"/>
      <c r="I155" s="1"/>
    </row>
    <row r="156" spans="1:9" x14ac:dyDescent="0.25">
      <c r="A156" s="2"/>
      <c r="B156" s="2"/>
      <c r="C156" s="2"/>
      <c r="D156" s="2"/>
      <c r="E156" s="3"/>
      <c r="G156" s="2"/>
      <c r="I156" s="1"/>
    </row>
    <row r="157" spans="1:9" x14ac:dyDescent="0.25">
      <c r="A157" s="2"/>
      <c r="B157" s="2"/>
      <c r="C157" s="2"/>
      <c r="D157" s="2"/>
      <c r="E157" s="3"/>
      <c r="G157" s="2"/>
      <c r="I157" s="1"/>
    </row>
    <row r="158" spans="1:9" x14ac:dyDescent="0.25">
      <c r="A158" s="2"/>
      <c r="B158" s="2"/>
      <c r="C158" s="2"/>
      <c r="D158" s="2"/>
      <c r="E158" s="3"/>
      <c r="G158" s="2"/>
      <c r="I158" s="1"/>
    </row>
    <row r="159" spans="1:9" x14ac:dyDescent="0.25">
      <c r="A159" s="2"/>
      <c r="B159" s="2"/>
      <c r="C159" s="2"/>
      <c r="D159" s="2"/>
      <c r="E159" s="3"/>
      <c r="G159" s="2"/>
      <c r="I159" s="1"/>
    </row>
    <row r="160" spans="1:9" x14ac:dyDescent="0.25">
      <c r="A160" s="2"/>
      <c r="B160" s="2"/>
      <c r="C160" s="2"/>
      <c r="D160" s="2"/>
      <c r="E160" s="3"/>
      <c r="G160" s="2"/>
      <c r="I160" s="1"/>
    </row>
    <row r="161" spans="1:9" x14ac:dyDescent="0.25">
      <c r="A161" s="2"/>
      <c r="B161" s="2"/>
      <c r="C161" s="2"/>
      <c r="D161" s="2"/>
      <c r="E161" s="3"/>
      <c r="G161" s="2"/>
      <c r="I161" s="1"/>
    </row>
    <row r="162" spans="1:9" x14ac:dyDescent="0.25">
      <c r="A162" s="2"/>
      <c r="B162" s="2"/>
      <c r="C162" s="2"/>
      <c r="D162" s="2"/>
      <c r="E162" s="3"/>
      <c r="G162" s="2"/>
      <c r="I162" s="1"/>
    </row>
    <row r="163" spans="1:9" x14ac:dyDescent="0.25">
      <c r="A163" s="2"/>
      <c r="B163" s="2"/>
      <c r="C163" s="2"/>
      <c r="D163" s="2"/>
      <c r="E163" s="3"/>
      <c r="G163" s="2"/>
      <c r="I163" s="1"/>
    </row>
    <row r="164" spans="1:9" x14ac:dyDescent="0.25">
      <c r="A164" s="2"/>
      <c r="B164" s="2"/>
      <c r="C164" s="2"/>
      <c r="D164" s="2"/>
      <c r="E164" s="3"/>
      <c r="G164" s="2"/>
      <c r="I164" s="1"/>
    </row>
    <row r="165" spans="1:9" x14ac:dyDescent="0.25">
      <c r="A165" s="2"/>
      <c r="B165" s="2"/>
      <c r="C165" s="2"/>
      <c r="D165" s="2"/>
      <c r="E165" s="3"/>
      <c r="G165" s="2"/>
      <c r="I165" s="1"/>
    </row>
    <row r="166" spans="1:9" x14ac:dyDescent="0.25">
      <c r="A166" s="2"/>
      <c r="B166" s="2"/>
      <c r="C166" s="2"/>
      <c r="D166" s="2"/>
      <c r="E166" s="3"/>
      <c r="G166" s="2"/>
      <c r="I166" s="1"/>
    </row>
    <row r="167" spans="1:9" x14ac:dyDescent="0.25">
      <c r="A167" s="2"/>
      <c r="B167" s="2"/>
      <c r="C167" s="2"/>
      <c r="D167" s="2"/>
      <c r="E167" s="3"/>
      <c r="G167" s="2"/>
      <c r="I167" s="1"/>
    </row>
    <row r="168" spans="1:9" x14ac:dyDescent="0.25">
      <c r="A168" s="2"/>
      <c r="B168" s="2"/>
      <c r="C168" s="2"/>
      <c r="D168" s="2"/>
      <c r="E168" s="3"/>
      <c r="G168" s="2"/>
      <c r="I168" s="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72179F03-1067-443D-AA82-4043E2D155AC}">
          <x14:formula1>
            <xm:f>'99_Lookups'!$Q$2:$Q$5</xm:f>
          </x14:formula1>
          <xm:sqref>E2:E168</xm:sqref>
        </x14:dataValidation>
        <x14:dataValidation type="list" showErrorMessage="1" xr:uid="{7F222473-92EF-452D-9314-0130A3FAD6A2}">
          <x14:formula1>
            <xm:f>'99_Lookups'!$K$2:$K$4</xm:f>
          </x14:formula1>
          <xm:sqref>I2:I168</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8ADA3-0F35-43E9-87DA-DA589C27A99B}">
  <sheetPr>
    <tabColor theme="0" tint="-0.499984740745262"/>
  </sheetPr>
  <dimension ref="A1:F15"/>
  <sheetViews>
    <sheetView workbookViewId="0">
      <selection activeCell="G21" sqref="G21"/>
    </sheetView>
  </sheetViews>
  <sheetFormatPr baseColWidth="10" defaultRowHeight="15" x14ac:dyDescent="0.25"/>
  <cols>
    <col min="2" max="2" width="35.85546875" bestFit="1" customWidth="1"/>
    <col min="3" max="3" width="112.85546875" customWidth="1"/>
    <col min="4" max="4" width="29.28515625" bestFit="1" customWidth="1"/>
    <col min="6" max="6" width="84" bestFit="1" customWidth="1"/>
  </cols>
  <sheetData>
    <row r="1" spans="1:6" x14ac:dyDescent="0.25">
      <c r="A1" t="s">
        <v>1965</v>
      </c>
      <c r="B1" t="s">
        <v>1966</v>
      </c>
      <c r="C1" t="s">
        <v>1967</v>
      </c>
      <c r="D1" t="s">
        <v>1968</v>
      </c>
      <c r="E1" t="s">
        <v>1969</v>
      </c>
      <c r="F1" t="s">
        <v>1970</v>
      </c>
    </row>
    <row r="2" spans="1:6" x14ac:dyDescent="0.25">
      <c r="A2" t="s">
        <v>1971</v>
      </c>
      <c r="B2" t="s">
        <v>1972</v>
      </c>
      <c r="C2" t="s">
        <v>1973</v>
      </c>
      <c r="D2" t="s">
        <v>1974</v>
      </c>
      <c r="E2" t="s">
        <v>1975</v>
      </c>
      <c r="F2" t="s">
        <v>1976</v>
      </c>
    </row>
    <row r="3" spans="1:6" x14ac:dyDescent="0.25">
      <c r="A3" t="s">
        <v>1977</v>
      </c>
      <c r="B3" t="s">
        <v>1972</v>
      </c>
      <c r="C3" t="s">
        <v>1978</v>
      </c>
      <c r="D3" t="s">
        <v>1979</v>
      </c>
      <c r="E3" t="s">
        <v>1422</v>
      </c>
      <c r="F3" t="s">
        <v>1980</v>
      </c>
    </row>
    <row r="4" spans="1:6" x14ac:dyDescent="0.25">
      <c r="A4" t="s">
        <v>1981</v>
      </c>
      <c r="B4" t="s">
        <v>1982</v>
      </c>
      <c r="C4" t="s">
        <v>1983</v>
      </c>
      <c r="D4" t="s">
        <v>1979</v>
      </c>
      <c r="E4" t="s">
        <v>1984</v>
      </c>
      <c r="F4" t="s">
        <v>1985</v>
      </c>
    </row>
    <row r="5" spans="1:6" x14ac:dyDescent="0.25">
      <c r="A5" t="s">
        <v>1986</v>
      </c>
      <c r="B5" t="s">
        <v>1987</v>
      </c>
      <c r="C5" t="s">
        <v>1988</v>
      </c>
      <c r="D5" t="s">
        <v>1989</v>
      </c>
      <c r="E5" t="s">
        <v>1990</v>
      </c>
      <c r="F5" t="s">
        <v>1991</v>
      </c>
    </row>
    <row r="6" spans="1:6" x14ac:dyDescent="0.25">
      <c r="A6" t="s">
        <v>1992</v>
      </c>
      <c r="B6" t="s">
        <v>1987</v>
      </c>
      <c r="C6" t="s">
        <v>1993</v>
      </c>
      <c r="D6" t="s">
        <v>1994</v>
      </c>
      <c r="E6" t="s">
        <v>1995</v>
      </c>
      <c r="F6" t="s">
        <v>1996</v>
      </c>
    </row>
    <row r="7" spans="1:6" x14ac:dyDescent="0.25">
      <c r="A7" t="s">
        <v>1997</v>
      </c>
      <c r="B7" t="s">
        <v>1987</v>
      </c>
      <c r="C7" t="s">
        <v>1998</v>
      </c>
      <c r="D7" t="s">
        <v>1999</v>
      </c>
      <c r="E7" t="s">
        <v>1577</v>
      </c>
      <c r="F7" t="s">
        <v>2000</v>
      </c>
    </row>
    <row r="8" spans="1:6" x14ac:dyDescent="0.25">
      <c r="A8" t="s">
        <v>2001</v>
      </c>
      <c r="B8" t="s">
        <v>1987</v>
      </c>
      <c r="C8" t="s">
        <v>2002</v>
      </c>
      <c r="D8" t="s">
        <v>2003</v>
      </c>
      <c r="E8" t="s">
        <v>2004</v>
      </c>
      <c r="F8" t="s">
        <v>2005</v>
      </c>
    </row>
    <row r="9" spans="1:6" x14ac:dyDescent="0.25">
      <c r="A9" t="s">
        <v>2006</v>
      </c>
      <c r="B9" t="s">
        <v>1987</v>
      </c>
      <c r="C9" t="s">
        <v>2007</v>
      </c>
      <c r="D9" t="s">
        <v>2008</v>
      </c>
      <c r="E9" t="s">
        <v>1506</v>
      </c>
      <c r="F9" t="s">
        <v>2009</v>
      </c>
    </row>
    <row r="10" spans="1:6" x14ac:dyDescent="0.25">
      <c r="A10" t="s">
        <v>2010</v>
      </c>
      <c r="B10" t="s">
        <v>1987</v>
      </c>
      <c r="C10" t="s">
        <v>2011</v>
      </c>
      <c r="D10" t="s">
        <v>2012</v>
      </c>
      <c r="E10" t="s">
        <v>1865</v>
      </c>
      <c r="F10" t="s">
        <v>2013</v>
      </c>
    </row>
    <row r="11" spans="1:6" x14ac:dyDescent="0.25">
      <c r="A11" t="s">
        <v>2014</v>
      </c>
      <c r="B11" t="s">
        <v>2015</v>
      </c>
      <c r="C11" t="s">
        <v>2016</v>
      </c>
      <c r="D11" t="s">
        <v>2017</v>
      </c>
      <c r="E11" t="s">
        <v>2018</v>
      </c>
      <c r="F11" t="s">
        <v>2019</v>
      </c>
    </row>
    <row r="12" spans="1:6" x14ac:dyDescent="0.25">
      <c r="A12" t="s">
        <v>2020</v>
      </c>
      <c r="B12" t="s">
        <v>2021</v>
      </c>
      <c r="C12" t="s">
        <v>2022</v>
      </c>
      <c r="D12" t="s">
        <v>2023</v>
      </c>
      <c r="E12" t="s">
        <v>2024</v>
      </c>
      <c r="F12" t="s">
        <v>2025</v>
      </c>
    </row>
    <row r="13" spans="1:6" x14ac:dyDescent="0.25">
      <c r="A13" t="s">
        <v>2026</v>
      </c>
      <c r="B13" t="s">
        <v>2027</v>
      </c>
      <c r="C13" t="s">
        <v>2028</v>
      </c>
      <c r="D13" t="s">
        <v>2029</v>
      </c>
      <c r="E13" t="s">
        <v>2030</v>
      </c>
      <c r="F13" t="s">
        <v>2031</v>
      </c>
    </row>
    <row r="14" spans="1:6" x14ac:dyDescent="0.25">
      <c r="A14" t="s">
        <v>2032</v>
      </c>
      <c r="B14" t="s">
        <v>2027</v>
      </c>
      <c r="C14" t="s">
        <v>2033</v>
      </c>
      <c r="D14" t="s">
        <v>204</v>
      </c>
      <c r="E14" t="s">
        <v>2034</v>
      </c>
      <c r="F14" t="s">
        <v>2035</v>
      </c>
    </row>
    <row r="15" spans="1:6" x14ac:dyDescent="0.25">
      <c r="A15" t="s">
        <v>2036</v>
      </c>
      <c r="B15" t="s">
        <v>2037</v>
      </c>
      <c r="C15" t="s">
        <v>2038</v>
      </c>
      <c r="D15" t="s">
        <v>2039</v>
      </c>
      <c r="E15" t="s">
        <v>2040</v>
      </c>
      <c r="F15" t="s">
        <v>2041</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23</vt:i4>
      </vt:variant>
    </vt:vector>
  </HeadingPairs>
  <TitlesOfParts>
    <vt:vector size="23" baseType="lpstr">
      <vt:lpstr>00_DAX_Master</vt:lpstr>
      <vt:lpstr>01_Document_Log</vt:lpstr>
      <vt:lpstr>02_Values_Codebook</vt:lpstr>
      <vt:lpstr>04_Governance_Codebook</vt:lpstr>
      <vt:lpstr>03_Values_Coding</vt:lpstr>
      <vt:lpstr>05_Governance_Coding</vt:lpstr>
      <vt:lpstr>07_Boundary_Cases</vt:lpstr>
      <vt:lpstr>03b_Values_Company_Level</vt:lpstr>
      <vt:lpstr>05b_Governance_Company_Level</vt:lpstr>
      <vt:lpstr>06_Derived_Indices</vt:lpstr>
      <vt:lpstr>07a_Analyse_Jaccard</vt:lpstr>
      <vt:lpstr>07b_Analyse_deskriptiv</vt:lpstr>
      <vt:lpstr>07c_Analyse_Cluster</vt:lpstr>
      <vt:lpstr>07d_Analyse_Zusammenhänge</vt:lpstr>
      <vt:lpstr>07e_Analyse_Sensitivität</vt:lpstr>
      <vt:lpstr>08_Codebook_Changelog</vt:lpstr>
      <vt:lpstr>09_Coding_Memos</vt:lpstr>
      <vt:lpstr>99_Lookups</vt:lpstr>
      <vt:lpstr>30_Values_Coding_PILOT</vt:lpstr>
      <vt:lpstr>31_Values_Coding_RE</vt:lpstr>
      <vt:lpstr>50_Governance_Coding_PILOT</vt:lpstr>
      <vt:lpstr>51_Governance_Coding_RE</vt:lpstr>
      <vt:lpstr>80_Regelkonsolidierung_Pilot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Klawun</dc:creator>
  <cp:lastModifiedBy>Florian Klawun</cp:lastModifiedBy>
  <dcterms:created xsi:type="dcterms:W3CDTF">2026-01-04T16:10:53Z</dcterms:created>
  <dcterms:modified xsi:type="dcterms:W3CDTF">2026-04-19T10:27:46Z</dcterms:modified>
</cp:coreProperties>
</file>